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uofh-my.sharepoint.com/personal/fsarthur_cougarnet_uh_edu/Documents/"/>
    </mc:Choice>
  </mc:AlternateContent>
  <xr:revisionPtr revIDLastSave="0" documentId="8_{74493290-CCFE-4A14-BFE3-12C13FEBC4CE}" xr6:coauthVersionLast="47" xr6:coauthVersionMax="47" xr10:uidLastSave="{00000000-0000-0000-0000-000000000000}"/>
  <bookViews>
    <workbookView xWindow="0" yWindow="500" windowWidth="19420" windowHeight="11500" firstSheet="3" activeTab="3" xr2:uid="{00000000-000D-0000-FFFF-FFFF00000000}"/>
  </bookViews>
  <sheets>
    <sheet name="Assets" sheetId="1" r:id="rId1"/>
    <sheet name="Events" sheetId="2" r:id="rId2"/>
    <sheet name="Cleaning_Log" sheetId="21" r:id="rId3"/>
    <sheet name="Slide1" sheetId="20" r:id="rId4"/>
    <sheet name="Downtime Analysis" sheetId="19" r:id="rId5"/>
    <sheet name="Production" sheetId="3" r:id="rId6"/>
    <sheet name="Readings" sheetId="4" r:id="rId7"/>
    <sheet name="Solutions" sheetId="5" r:id="rId8"/>
    <sheet name="HSE" sheetId="6" r:id="rId9"/>
    <sheet name="ReadMe" sheetId="7" r:id="rId10"/>
    <sheet name="Dictionary" sheetId="8" r:id="rId11"/>
  </sheets>
  <definedNames>
    <definedName name="B16B17">'Downtime Analysis'!$B$16:$B$16</definedName>
    <definedName name="E3E4">'Downtime Analysis'!$E$3:$E$3</definedName>
    <definedName name="Z_32F56CEF_5C94_48B5_AB61_CE849CF34946_.wvu.FilterData" localSheetId="1" hidden="1">Events!$A$1:$Y$386</definedName>
  </definedNames>
  <calcPr calcId="191028"/>
  <customWorkbookViews>
    <customWorkbookView name="TEvents filter view" guid="{32F56CEF-5C94-48B5-AB61-CE849CF34946}" maximized="1" windowWidth="0" windowHeight="0" activeSheetId="0"/>
  </customWorkbookViews>
  <pivotCaches>
    <pivotCache cacheId="159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" i="19" l="1"/>
  <c r="V1" i="19"/>
  <c r="T1" i="19"/>
  <c r="R1" i="19"/>
  <c r="P1" i="19"/>
  <c r="N6" i="19"/>
  <c r="N5" i="19"/>
  <c r="N4" i="19"/>
  <c r="N3" i="19"/>
  <c r="N2" i="19"/>
  <c r="H7" i="19"/>
  <c r="H6" i="19"/>
  <c r="H5" i="19"/>
  <c r="B16" i="19"/>
  <c r="B15" i="19"/>
  <c r="B17" i="19" s="1"/>
  <c r="B13" i="19"/>
  <c r="B12" i="19"/>
  <c r="B14" i="19" s="1"/>
  <c r="B11" i="19"/>
  <c r="B9" i="19"/>
  <c r="B7" i="19"/>
  <c r="B6" i="19"/>
  <c r="B8" i="19" s="1"/>
  <c r="B4" i="19"/>
  <c r="B2" i="19"/>
  <c r="B1" i="19"/>
  <c r="B3" i="19" s="1"/>
  <c r="AD386" i="2"/>
  <c r="AD385" i="2"/>
  <c r="AD384" i="2"/>
  <c r="AD383" i="2"/>
  <c r="AD382" i="2"/>
  <c r="AD381" i="2"/>
  <c r="AD380" i="2"/>
  <c r="AD379" i="2"/>
  <c r="AD378" i="2"/>
  <c r="AD377" i="2"/>
  <c r="AD376" i="2"/>
  <c r="AD375" i="2"/>
  <c r="AD374" i="2"/>
  <c r="AD373" i="2"/>
  <c r="AD372" i="2"/>
  <c r="AD371" i="2"/>
  <c r="AD370" i="2"/>
  <c r="AD369" i="2"/>
  <c r="AD368" i="2"/>
  <c r="AD367" i="2"/>
  <c r="AD366" i="2"/>
  <c r="AD365" i="2"/>
  <c r="AD364" i="2"/>
  <c r="AD363" i="2"/>
  <c r="AD362" i="2"/>
  <c r="AD361" i="2"/>
  <c r="AD360" i="2"/>
  <c r="AD359" i="2"/>
  <c r="AD358" i="2"/>
  <c r="AD357" i="2"/>
  <c r="AD356" i="2"/>
  <c r="AD355" i="2"/>
  <c r="AD354" i="2"/>
  <c r="AD353" i="2"/>
  <c r="AD352" i="2"/>
  <c r="AD351" i="2"/>
  <c r="AD350" i="2"/>
  <c r="AD349" i="2"/>
  <c r="AD348" i="2"/>
  <c r="AD347" i="2"/>
  <c r="AD346" i="2"/>
  <c r="AD345" i="2"/>
  <c r="AD344" i="2"/>
  <c r="AD343" i="2"/>
  <c r="AD342" i="2"/>
  <c r="AD341" i="2"/>
  <c r="AD340" i="2"/>
  <c r="AD339" i="2"/>
  <c r="AD338" i="2"/>
  <c r="AD337" i="2"/>
  <c r="AD336" i="2"/>
  <c r="AD335" i="2"/>
  <c r="AD334" i="2"/>
  <c r="AD333" i="2"/>
  <c r="AD332" i="2"/>
  <c r="AD331" i="2"/>
  <c r="AD330" i="2"/>
  <c r="AD329" i="2"/>
  <c r="AD328" i="2"/>
  <c r="AD327" i="2"/>
  <c r="AD326" i="2"/>
  <c r="AD325" i="2"/>
  <c r="AD324" i="2"/>
  <c r="AD323" i="2"/>
  <c r="AD322" i="2"/>
  <c r="AD321" i="2"/>
  <c r="AD320" i="2"/>
  <c r="AD319" i="2"/>
  <c r="AD318" i="2"/>
  <c r="AD317" i="2"/>
  <c r="AD316" i="2"/>
  <c r="AD315" i="2"/>
  <c r="AD314" i="2"/>
  <c r="AD313" i="2"/>
  <c r="AD312" i="2"/>
  <c r="AD311" i="2"/>
  <c r="AD310" i="2"/>
  <c r="AD309" i="2"/>
  <c r="AD308" i="2"/>
  <c r="AD307" i="2"/>
  <c r="AD306" i="2"/>
  <c r="AD305" i="2"/>
  <c r="AD304" i="2"/>
  <c r="AD303" i="2"/>
  <c r="AD302" i="2"/>
  <c r="AD301" i="2"/>
  <c r="AD300" i="2"/>
  <c r="AD299" i="2"/>
  <c r="AD298" i="2"/>
  <c r="AD297" i="2"/>
  <c r="AD296" i="2"/>
  <c r="AD295" i="2"/>
  <c r="AD294" i="2"/>
  <c r="AD293" i="2"/>
  <c r="AD292" i="2"/>
  <c r="AD291" i="2"/>
  <c r="AD290" i="2"/>
  <c r="AD289" i="2"/>
  <c r="AD288" i="2"/>
  <c r="AD287" i="2"/>
  <c r="AD286" i="2"/>
  <c r="AD285" i="2"/>
  <c r="AD284" i="2"/>
  <c r="AD283" i="2"/>
  <c r="AD282" i="2"/>
  <c r="AD281" i="2"/>
  <c r="AD280" i="2"/>
  <c r="AD279" i="2"/>
  <c r="AD278" i="2"/>
  <c r="AD277" i="2"/>
  <c r="AD276" i="2"/>
  <c r="AD275" i="2"/>
  <c r="AD274" i="2"/>
  <c r="AD273" i="2"/>
  <c r="AD272" i="2"/>
  <c r="AD271" i="2"/>
  <c r="AD270" i="2"/>
  <c r="AD269" i="2"/>
  <c r="AD268" i="2"/>
  <c r="AD267" i="2"/>
  <c r="AD266" i="2"/>
  <c r="AD265" i="2"/>
  <c r="AD264" i="2"/>
  <c r="AD263" i="2"/>
  <c r="AD262" i="2"/>
  <c r="AD261" i="2"/>
  <c r="AD260" i="2"/>
  <c r="AD259" i="2"/>
  <c r="AD258" i="2"/>
  <c r="AD257" i="2"/>
  <c r="AD256" i="2"/>
  <c r="AD255" i="2"/>
  <c r="AD254" i="2"/>
  <c r="AD253" i="2"/>
  <c r="AD252" i="2"/>
  <c r="AD251" i="2"/>
  <c r="AD250" i="2"/>
  <c r="AD249" i="2"/>
  <c r="AD248" i="2"/>
  <c r="AD247" i="2"/>
  <c r="AD246" i="2"/>
  <c r="AD245" i="2"/>
  <c r="AD244" i="2"/>
  <c r="AD243" i="2"/>
  <c r="AD242" i="2"/>
  <c r="AD241" i="2"/>
  <c r="AD240" i="2"/>
  <c r="AD239" i="2"/>
  <c r="AD238" i="2"/>
  <c r="AD237" i="2"/>
  <c r="AD236" i="2"/>
  <c r="AD235" i="2"/>
  <c r="AD234" i="2"/>
  <c r="AD233" i="2"/>
  <c r="AD232" i="2"/>
  <c r="AD231" i="2"/>
  <c r="AD230" i="2"/>
  <c r="AD229" i="2"/>
  <c r="AD228" i="2"/>
  <c r="AD227" i="2"/>
  <c r="AD226" i="2"/>
  <c r="AD225" i="2"/>
  <c r="AD224" i="2"/>
  <c r="AD223" i="2"/>
  <c r="AD222" i="2"/>
  <c r="AD221" i="2"/>
  <c r="AD220" i="2"/>
  <c r="AD219" i="2"/>
  <c r="AD218" i="2"/>
  <c r="AD217" i="2"/>
  <c r="AD216" i="2"/>
  <c r="AD215" i="2"/>
  <c r="AD214" i="2"/>
  <c r="AD213" i="2"/>
  <c r="AD212" i="2"/>
  <c r="AD211" i="2"/>
  <c r="AD210" i="2"/>
  <c r="AD209" i="2"/>
  <c r="AD208" i="2"/>
  <c r="AD207" i="2"/>
  <c r="AD206" i="2"/>
  <c r="AD205" i="2"/>
  <c r="AD204" i="2"/>
  <c r="AD203" i="2"/>
  <c r="AD202" i="2"/>
  <c r="AD201" i="2"/>
  <c r="AD200" i="2"/>
  <c r="AD199" i="2"/>
  <c r="AD198" i="2"/>
  <c r="AD197" i="2"/>
  <c r="AD196" i="2"/>
  <c r="AD195" i="2"/>
  <c r="AD194" i="2"/>
  <c r="AD193" i="2"/>
  <c r="AD192" i="2"/>
  <c r="AD191" i="2"/>
  <c r="AD190" i="2"/>
  <c r="AD189" i="2"/>
  <c r="AD188" i="2"/>
  <c r="AD187" i="2"/>
  <c r="AD182" i="2"/>
  <c r="AD181" i="2"/>
  <c r="AD180" i="2"/>
  <c r="AD179" i="2"/>
  <c r="AD178" i="2"/>
  <c r="AD177" i="2"/>
  <c r="AD176" i="2"/>
  <c r="AD175" i="2"/>
  <c r="AD174" i="2"/>
  <c r="AD173" i="2"/>
  <c r="AD172" i="2"/>
  <c r="AD171" i="2"/>
  <c r="AD170" i="2"/>
  <c r="AD169" i="2"/>
  <c r="AD168" i="2"/>
  <c r="AD167" i="2"/>
  <c r="AD166" i="2"/>
  <c r="AD165" i="2"/>
  <c r="AD164" i="2"/>
  <c r="AD163" i="2"/>
  <c r="AD162" i="2"/>
  <c r="AD161" i="2"/>
  <c r="AD160" i="2"/>
  <c r="AD159" i="2"/>
  <c r="AD158" i="2"/>
  <c r="AD157" i="2"/>
  <c r="AD156" i="2"/>
  <c r="AD155" i="2"/>
  <c r="AD154" i="2"/>
  <c r="AD153" i="2"/>
  <c r="AD152" i="2"/>
  <c r="AD151" i="2"/>
  <c r="AD150" i="2"/>
  <c r="AD149" i="2"/>
  <c r="AD148" i="2"/>
  <c r="AD147" i="2"/>
  <c r="AD146" i="2"/>
  <c r="AD145" i="2"/>
  <c r="AD144" i="2"/>
  <c r="AD143" i="2"/>
  <c r="AD142" i="2"/>
  <c r="AD141" i="2"/>
  <c r="AD140" i="2"/>
  <c r="AD139" i="2"/>
  <c r="AD138" i="2"/>
  <c r="AD137" i="2"/>
  <c r="AD136" i="2"/>
  <c r="AD135" i="2"/>
  <c r="AD134" i="2"/>
  <c r="AD133" i="2"/>
  <c r="AD132" i="2"/>
  <c r="AD131" i="2"/>
  <c r="AD130" i="2"/>
  <c r="AD129" i="2"/>
  <c r="AD128" i="2"/>
  <c r="AD127" i="2"/>
  <c r="AD126" i="2"/>
  <c r="AD125" i="2"/>
  <c r="AD124" i="2"/>
  <c r="AD123" i="2"/>
  <c r="AD122" i="2"/>
  <c r="AD121" i="2"/>
  <c r="AD120" i="2"/>
  <c r="AD119" i="2"/>
  <c r="AD118" i="2"/>
  <c r="AD117" i="2"/>
  <c r="AD116" i="2"/>
  <c r="AD115" i="2"/>
  <c r="AD114" i="2"/>
  <c r="AD113" i="2"/>
  <c r="AD112" i="2"/>
  <c r="AD111" i="2"/>
  <c r="AD110" i="2"/>
  <c r="AD109" i="2"/>
  <c r="AD108" i="2"/>
  <c r="AD107" i="2"/>
  <c r="AD106" i="2"/>
  <c r="AD105" i="2"/>
  <c r="AD104" i="2"/>
  <c r="AD103" i="2"/>
  <c r="AD102" i="2"/>
  <c r="AD101" i="2"/>
  <c r="AD100" i="2"/>
  <c r="AD99" i="2"/>
  <c r="AD98" i="2"/>
  <c r="AD97" i="2"/>
  <c r="AD96" i="2"/>
  <c r="AD95" i="2"/>
  <c r="AD94" i="2"/>
  <c r="AD93" i="2"/>
  <c r="AD92" i="2"/>
  <c r="AD91" i="2"/>
  <c r="AD90" i="2"/>
  <c r="AD89" i="2"/>
  <c r="AD88" i="2"/>
  <c r="AD87" i="2"/>
  <c r="AD86" i="2"/>
  <c r="AD85" i="2"/>
  <c r="AD84" i="2"/>
  <c r="AD83" i="2"/>
  <c r="AD82" i="2"/>
  <c r="AD81" i="2"/>
  <c r="AD80" i="2"/>
  <c r="AD79" i="2"/>
  <c r="AD78" i="2"/>
  <c r="AD77" i="2"/>
  <c r="AD76" i="2"/>
  <c r="AD75" i="2"/>
  <c r="AD74" i="2"/>
  <c r="AD73" i="2"/>
  <c r="AD72" i="2"/>
  <c r="AD71" i="2"/>
  <c r="AD70" i="2"/>
  <c r="AD69" i="2"/>
  <c r="AD68" i="2"/>
  <c r="AD67" i="2"/>
  <c r="AD66" i="2"/>
  <c r="AD65" i="2"/>
  <c r="AD64" i="2"/>
  <c r="AD63" i="2"/>
  <c r="AD62" i="2"/>
  <c r="AD61" i="2"/>
  <c r="AD60" i="2"/>
  <c r="AD59" i="2"/>
  <c r="AD58" i="2"/>
  <c r="AD57" i="2"/>
  <c r="AD56" i="2"/>
  <c r="AD55" i="2"/>
  <c r="AD54" i="2"/>
  <c r="AD53" i="2"/>
  <c r="AD52" i="2"/>
  <c r="AD51" i="2"/>
  <c r="AD50" i="2"/>
  <c r="AD49" i="2"/>
  <c r="AD48" i="2"/>
  <c r="AD47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AD2" i="2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D183" i="2" s="1"/>
  <c r="AC184" i="2"/>
  <c r="AD184" i="2" s="1"/>
  <c r="AC185" i="2"/>
  <c r="AD185" i="2" s="1"/>
  <c r="AC186" i="2"/>
  <c r="AD186" i="2" s="1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299" i="2"/>
  <c r="AC300" i="2"/>
  <c r="AC301" i="2"/>
  <c r="AC302" i="2"/>
  <c r="AC303" i="2"/>
  <c r="AC304" i="2"/>
  <c r="AC305" i="2"/>
  <c r="AC306" i="2"/>
  <c r="AC307" i="2"/>
  <c r="AC308" i="2"/>
  <c r="AC309" i="2"/>
  <c r="AC310" i="2"/>
  <c r="AC311" i="2"/>
  <c r="AC312" i="2"/>
  <c r="AC313" i="2"/>
  <c r="AC314" i="2"/>
  <c r="AC315" i="2"/>
  <c r="AC316" i="2"/>
  <c r="AC317" i="2"/>
  <c r="AC318" i="2"/>
  <c r="AC319" i="2"/>
  <c r="AC320" i="2"/>
  <c r="AC321" i="2"/>
  <c r="AC322" i="2"/>
  <c r="AC323" i="2"/>
  <c r="AC324" i="2"/>
  <c r="AC325" i="2"/>
  <c r="AC326" i="2"/>
  <c r="AC327" i="2"/>
  <c r="AC328" i="2"/>
  <c r="AC329" i="2"/>
  <c r="AC330" i="2"/>
  <c r="AC331" i="2"/>
  <c r="AC332" i="2"/>
  <c r="AC333" i="2"/>
  <c r="AC334" i="2"/>
  <c r="AC335" i="2"/>
  <c r="AC336" i="2"/>
  <c r="AC337" i="2"/>
  <c r="AC338" i="2"/>
  <c r="AC339" i="2"/>
  <c r="AC340" i="2"/>
  <c r="AC341" i="2"/>
  <c r="AC342" i="2"/>
  <c r="AC343" i="2"/>
  <c r="AC344" i="2"/>
  <c r="AC345" i="2"/>
  <c r="AC346" i="2"/>
  <c r="AC347" i="2"/>
  <c r="AC348" i="2"/>
  <c r="AC349" i="2"/>
  <c r="AC350" i="2"/>
  <c r="AC351" i="2"/>
  <c r="AC352" i="2"/>
  <c r="AC353" i="2"/>
  <c r="AC354" i="2"/>
  <c r="AC355" i="2"/>
  <c r="AC356" i="2"/>
  <c r="AC357" i="2"/>
  <c r="AC358" i="2"/>
  <c r="AC359" i="2"/>
  <c r="AC360" i="2"/>
  <c r="AC361" i="2"/>
  <c r="AC362" i="2"/>
  <c r="AC363" i="2"/>
  <c r="AC364" i="2"/>
  <c r="AC365" i="2"/>
  <c r="AC366" i="2"/>
  <c r="AC367" i="2"/>
  <c r="AC368" i="2"/>
  <c r="AC369" i="2"/>
  <c r="AC370" i="2"/>
  <c r="AC371" i="2"/>
  <c r="AC372" i="2"/>
  <c r="AC373" i="2"/>
  <c r="AC374" i="2"/>
  <c r="AC375" i="2"/>
  <c r="AC376" i="2"/>
  <c r="AC377" i="2"/>
  <c r="AC378" i="2"/>
  <c r="AC379" i="2"/>
  <c r="AC380" i="2"/>
  <c r="AC381" i="2"/>
  <c r="AC382" i="2"/>
  <c r="AC383" i="2"/>
  <c r="AC384" i="2"/>
  <c r="AC385" i="2"/>
  <c r="AC386" i="2"/>
  <c r="AB386" i="2"/>
  <c r="AB385" i="2"/>
  <c r="AB384" i="2"/>
  <c r="AB383" i="2"/>
  <c r="AB382" i="2"/>
  <c r="AB381" i="2"/>
  <c r="AB380" i="2"/>
  <c r="AB379" i="2"/>
  <c r="AB378" i="2"/>
  <c r="AB377" i="2"/>
  <c r="AB376" i="2"/>
  <c r="AB375" i="2"/>
  <c r="AB374" i="2"/>
  <c r="AB373" i="2"/>
  <c r="AB372" i="2"/>
  <c r="AB371" i="2"/>
  <c r="AB370" i="2"/>
  <c r="AB369" i="2"/>
  <c r="AB368" i="2"/>
  <c r="AB367" i="2"/>
  <c r="AB366" i="2"/>
  <c r="AB365" i="2"/>
  <c r="AB364" i="2"/>
  <c r="AB363" i="2"/>
  <c r="AB362" i="2"/>
  <c r="AB361" i="2"/>
  <c r="AB360" i="2"/>
  <c r="AB359" i="2"/>
  <c r="AB358" i="2"/>
  <c r="AB357" i="2"/>
  <c r="AB356" i="2"/>
  <c r="AB355" i="2"/>
  <c r="AB354" i="2"/>
  <c r="AB353" i="2"/>
  <c r="AB352" i="2"/>
  <c r="AB351" i="2"/>
  <c r="AB350" i="2"/>
  <c r="AB349" i="2"/>
  <c r="AB348" i="2"/>
  <c r="AB347" i="2"/>
  <c r="AB346" i="2"/>
  <c r="AB345" i="2"/>
  <c r="AB344" i="2"/>
  <c r="AB343" i="2"/>
  <c r="AB342" i="2"/>
  <c r="AB341" i="2"/>
  <c r="AB340" i="2"/>
  <c r="AB339" i="2"/>
  <c r="AB338" i="2"/>
  <c r="AB337" i="2"/>
  <c r="AB336" i="2"/>
  <c r="AB335" i="2"/>
  <c r="AB334" i="2"/>
  <c r="AB333" i="2"/>
  <c r="AB332" i="2"/>
  <c r="AB331" i="2"/>
  <c r="AB330" i="2"/>
  <c r="AB329" i="2"/>
  <c r="AB328" i="2"/>
  <c r="AB327" i="2"/>
  <c r="AB326" i="2"/>
  <c r="AB325" i="2"/>
  <c r="AB324" i="2"/>
  <c r="AB323" i="2"/>
  <c r="AB322" i="2"/>
  <c r="AB321" i="2"/>
  <c r="AB320" i="2"/>
  <c r="AB319" i="2"/>
  <c r="AB318" i="2"/>
  <c r="AB317" i="2"/>
  <c r="AB316" i="2"/>
  <c r="AB315" i="2"/>
  <c r="AB314" i="2"/>
  <c r="AB313" i="2"/>
  <c r="AB312" i="2"/>
  <c r="AB311" i="2"/>
  <c r="AB310" i="2"/>
  <c r="AB309" i="2"/>
  <c r="AB308" i="2"/>
  <c r="AB307" i="2"/>
  <c r="AB306" i="2"/>
  <c r="AB305" i="2"/>
  <c r="AB304" i="2"/>
  <c r="AB303" i="2"/>
  <c r="AB302" i="2"/>
  <c r="AB301" i="2"/>
  <c r="AB300" i="2"/>
  <c r="AB299" i="2"/>
  <c r="AB298" i="2"/>
  <c r="AB297" i="2"/>
  <c r="AB296" i="2"/>
  <c r="AB295" i="2"/>
  <c r="AB294" i="2"/>
  <c r="AB293" i="2"/>
  <c r="AB292" i="2"/>
  <c r="AB291" i="2"/>
  <c r="AB290" i="2"/>
  <c r="AB289" i="2"/>
  <c r="AB288" i="2"/>
  <c r="AB287" i="2"/>
  <c r="AB286" i="2"/>
  <c r="AB285" i="2"/>
  <c r="AB284" i="2"/>
  <c r="AB283" i="2"/>
  <c r="AB282" i="2"/>
  <c r="AB281" i="2"/>
  <c r="AB280" i="2"/>
  <c r="AB279" i="2"/>
  <c r="AB278" i="2"/>
  <c r="AB277" i="2"/>
  <c r="AB276" i="2"/>
  <c r="AB275" i="2"/>
  <c r="AB274" i="2"/>
  <c r="AB273" i="2"/>
  <c r="AB272" i="2"/>
  <c r="AB271" i="2"/>
  <c r="AB270" i="2"/>
  <c r="AB269" i="2"/>
  <c r="AB268" i="2"/>
  <c r="AB267" i="2"/>
  <c r="AB266" i="2"/>
  <c r="AB265" i="2"/>
  <c r="AB264" i="2"/>
  <c r="AB263" i="2"/>
  <c r="AB262" i="2"/>
  <c r="AB261" i="2"/>
  <c r="AB260" i="2"/>
  <c r="AB259" i="2"/>
  <c r="AB258" i="2"/>
  <c r="AB257" i="2"/>
  <c r="AB256" i="2"/>
  <c r="AB255" i="2"/>
  <c r="AB254" i="2"/>
  <c r="AB253" i="2"/>
  <c r="AB252" i="2"/>
  <c r="AB251" i="2"/>
  <c r="AB250" i="2"/>
  <c r="AB249" i="2"/>
  <c r="AB248" i="2"/>
  <c r="AB247" i="2"/>
  <c r="AB246" i="2"/>
  <c r="AB245" i="2"/>
  <c r="AB244" i="2"/>
  <c r="AB243" i="2"/>
  <c r="AB242" i="2"/>
  <c r="AB241" i="2"/>
  <c r="AB240" i="2"/>
  <c r="AB239" i="2"/>
  <c r="AB238" i="2"/>
  <c r="AB237" i="2"/>
  <c r="AB236" i="2"/>
  <c r="AB235" i="2"/>
  <c r="AB234" i="2"/>
  <c r="AB233" i="2"/>
  <c r="AB232" i="2"/>
  <c r="AB231" i="2"/>
  <c r="AB230" i="2"/>
  <c r="AB229" i="2"/>
  <c r="AB228" i="2"/>
  <c r="AB227" i="2"/>
  <c r="AB226" i="2"/>
  <c r="AB225" i="2"/>
  <c r="AB224" i="2"/>
  <c r="AB223" i="2"/>
  <c r="AB222" i="2"/>
  <c r="AB221" i="2"/>
  <c r="AB220" i="2"/>
  <c r="AB219" i="2"/>
  <c r="AB218" i="2"/>
  <c r="AB217" i="2"/>
  <c r="AB216" i="2"/>
  <c r="AB215" i="2"/>
  <c r="AB214" i="2"/>
  <c r="AB213" i="2"/>
  <c r="AB212" i="2"/>
  <c r="AB211" i="2"/>
  <c r="AB210" i="2"/>
  <c r="AB209" i="2"/>
  <c r="AB208" i="2"/>
  <c r="AB207" i="2"/>
  <c r="AB206" i="2"/>
  <c r="AB205" i="2"/>
  <c r="AB204" i="2"/>
  <c r="AB203" i="2"/>
  <c r="AB202" i="2"/>
  <c r="AB201" i="2"/>
  <c r="AB200" i="2"/>
  <c r="AB199" i="2"/>
  <c r="AB198" i="2"/>
  <c r="AB197" i="2"/>
  <c r="AB196" i="2"/>
  <c r="AB195" i="2"/>
  <c r="AB194" i="2"/>
  <c r="AB193" i="2"/>
  <c r="AB192" i="2"/>
  <c r="AB191" i="2"/>
  <c r="AB190" i="2"/>
  <c r="AB189" i="2"/>
  <c r="AB188" i="2"/>
  <c r="AB187" i="2"/>
  <c r="AB186" i="2"/>
  <c r="AB185" i="2"/>
  <c r="AB184" i="2"/>
  <c r="AB183" i="2"/>
  <c r="AB182" i="2"/>
  <c r="AB181" i="2"/>
  <c r="AB180" i="2"/>
  <c r="AB179" i="2"/>
  <c r="AB178" i="2"/>
  <c r="AB177" i="2"/>
  <c r="AB176" i="2"/>
  <c r="AB175" i="2"/>
  <c r="AB174" i="2"/>
  <c r="AB173" i="2"/>
  <c r="AB172" i="2"/>
  <c r="AB171" i="2"/>
  <c r="AB170" i="2"/>
  <c r="AB169" i="2"/>
  <c r="AB168" i="2"/>
  <c r="AB167" i="2"/>
  <c r="AB166" i="2"/>
  <c r="AB165" i="2"/>
  <c r="AB164" i="2"/>
  <c r="AB163" i="2"/>
  <c r="AB162" i="2"/>
  <c r="AB161" i="2"/>
  <c r="AB160" i="2"/>
  <c r="AB159" i="2"/>
  <c r="AB158" i="2"/>
  <c r="AB157" i="2"/>
  <c r="AB156" i="2"/>
  <c r="AB155" i="2"/>
  <c r="AB154" i="2"/>
  <c r="AB153" i="2"/>
  <c r="AB152" i="2"/>
  <c r="AB151" i="2"/>
  <c r="AB150" i="2"/>
  <c r="AB149" i="2"/>
  <c r="AB148" i="2"/>
  <c r="AB147" i="2"/>
  <c r="AB146" i="2"/>
  <c r="AB145" i="2"/>
  <c r="AB144" i="2"/>
  <c r="AB143" i="2"/>
  <c r="AB142" i="2"/>
  <c r="AB141" i="2"/>
  <c r="AB140" i="2"/>
  <c r="AB139" i="2"/>
  <c r="AB138" i="2"/>
  <c r="AB137" i="2"/>
  <c r="AB136" i="2"/>
  <c r="AB135" i="2"/>
  <c r="AB134" i="2"/>
  <c r="AB133" i="2"/>
  <c r="AB132" i="2"/>
  <c r="AB131" i="2"/>
  <c r="AB130" i="2"/>
  <c r="AB129" i="2"/>
  <c r="AB128" i="2"/>
  <c r="AB127" i="2"/>
  <c r="AB126" i="2"/>
  <c r="AB125" i="2"/>
  <c r="AB124" i="2"/>
  <c r="AB123" i="2"/>
  <c r="AB122" i="2"/>
  <c r="AB121" i="2"/>
  <c r="AB120" i="2"/>
  <c r="AB119" i="2"/>
  <c r="AB118" i="2"/>
  <c r="AB117" i="2"/>
  <c r="AB116" i="2"/>
  <c r="AB115" i="2"/>
  <c r="AB114" i="2"/>
  <c r="AB113" i="2"/>
  <c r="AB112" i="2"/>
  <c r="AB111" i="2"/>
  <c r="AB110" i="2"/>
  <c r="AB109" i="2"/>
  <c r="AB108" i="2"/>
  <c r="AB107" i="2"/>
  <c r="AB106" i="2"/>
  <c r="AB105" i="2"/>
  <c r="AB104" i="2"/>
  <c r="AB103" i="2"/>
  <c r="AB102" i="2"/>
  <c r="AB101" i="2"/>
  <c r="AB100" i="2"/>
  <c r="AB99" i="2"/>
  <c r="AB98" i="2"/>
  <c r="AB97" i="2"/>
  <c r="AB96" i="2"/>
  <c r="AB95" i="2"/>
  <c r="AB94" i="2"/>
  <c r="AB93" i="2"/>
  <c r="AB92" i="2"/>
  <c r="AB91" i="2"/>
  <c r="AB90" i="2"/>
  <c r="AB89" i="2"/>
  <c r="AB88" i="2"/>
  <c r="AB87" i="2"/>
  <c r="AB86" i="2"/>
  <c r="AB85" i="2"/>
  <c r="AB84" i="2"/>
  <c r="AB83" i="2"/>
  <c r="AB82" i="2"/>
  <c r="AB81" i="2"/>
  <c r="AB80" i="2"/>
  <c r="AB79" i="2"/>
  <c r="AB78" i="2"/>
  <c r="AB77" i="2"/>
  <c r="AB76" i="2"/>
  <c r="AB75" i="2"/>
  <c r="AB74" i="2"/>
  <c r="AB73" i="2"/>
  <c r="AB72" i="2"/>
  <c r="AB71" i="2"/>
  <c r="AB70" i="2"/>
  <c r="AB69" i="2"/>
  <c r="AB68" i="2"/>
  <c r="AB67" i="2"/>
  <c r="AB66" i="2"/>
  <c r="AB65" i="2"/>
  <c r="AB64" i="2"/>
  <c r="AB63" i="2"/>
  <c r="AB62" i="2"/>
  <c r="AB61" i="2"/>
  <c r="AB60" i="2"/>
  <c r="AB59" i="2"/>
  <c r="AB58" i="2"/>
  <c r="AB57" i="2"/>
  <c r="AB56" i="2"/>
  <c r="AB55" i="2"/>
  <c r="AB54" i="2"/>
  <c r="AB53" i="2"/>
  <c r="AB52" i="2"/>
  <c r="AB51" i="2"/>
  <c r="AB50" i="2"/>
  <c r="AB49" i="2"/>
  <c r="AB48" i="2"/>
  <c r="AB47" i="2"/>
  <c r="AB46" i="2"/>
  <c r="AB45" i="2"/>
  <c r="AB44" i="2"/>
  <c r="AB43" i="2"/>
  <c r="AB42" i="2"/>
  <c r="AB41" i="2"/>
  <c r="AB40" i="2"/>
  <c r="AB39" i="2"/>
  <c r="AB38" i="2"/>
  <c r="AB37" i="2"/>
  <c r="AB36" i="2"/>
  <c r="AB35" i="2"/>
  <c r="AB34" i="2"/>
  <c r="AB33" i="2"/>
  <c r="AB32" i="2"/>
  <c r="AB31" i="2"/>
  <c r="AB30" i="2"/>
  <c r="AB29" i="2"/>
  <c r="AB28" i="2"/>
  <c r="AB27" i="2"/>
  <c r="AB26" i="2"/>
  <c r="AB25" i="2"/>
  <c r="AB24" i="2"/>
  <c r="AB23" i="2"/>
  <c r="AB22" i="2"/>
  <c r="AB21" i="2"/>
  <c r="AB20" i="2"/>
  <c r="AB19" i="2"/>
  <c r="AB18" i="2"/>
  <c r="AB17" i="2"/>
  <c r="AB16" i="2"/>
  <c r="AB15" i="2"/>
  <c r="AB14" i="2"/>
  <c r="AB13" i="2"/>
  <c r="AB12" i="2"/>
  <c r="AB11" i="2"/>
  <c r="AB10" i="2"/>
  <c r="AB9" i="2"/>
  <c r="AB8" i="2"/>
  <c r="AB7" i="2"/>
  <c r="AB6" i="2"/>
  <c r="AB5" i="2"/>
  <c r="AB4" i="2"/>
  <c r="AB3" i="2"/>
  <c r="AB2" i="2"/>
  <c r="AA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251" i="2"/>
  <c r="AA252" i="2"/>
  <c r="AA253" i="2"/>
  <c r="AA254" i="2"/>
  <c r="AA255" i="2"/>
  <c r="AA256" i="2"/>
  <c r="AA257" i="2"/>
  <c r="AA258" i="2"/>
  <c r="AA259" i="2"/>
  <c r="AA260" i="2"/>
  <c r="AA261" i="2"/>
  <c r="AA262" i="2"/>
  <c r="AA263" i="2"/>
  <c r="AA264" i="2"/>
  <c r="AA265" i="2"/>
  <c r="AA266" i="2"/>
  <c r="AA267" i="2"/>
  <c r="AA268" i="2"/>
  <c r="AA269" i="2"/>
  <c r="AA270" i="2"/>
  <c r="AA271" i="2"/>
  <c r="AA272" i="2"/>
  <c r="AA273" i="2"/>
  <c r="AA274" i="2"/>
  <c r="AA275" i="2"/>
  <c r="AA276" i="2"/>
  <c r="AA277" i="2"/>
  <c r="AA278" i="2"/>
  <c r="AA279" i="2"/>
  <c r="AA280" i="2"/>
  <c r="AA281" i="2"/>
  <c r="AA282" i="2"/>
  <c r="AA283" i="2"/>
  <c r="AA284" i="2"/>
  <c r="AA285" i="2"/>
  <c r="AA286" i="2"/>
  <c r="AA287" i="2"/>
  <c r="AA288" i="2"/>
  <c r="AA289" i="2"/>
  <c r="AA290" i="2"/>
  <c r="AA291" i="2"/>
  <c r="AA292" i="2"/>
  <c r="AA293" i="2"/>
  <c r="AA294" i="2"/>
  <c r="AA295" i="2"/>
  <c r="AA296" i="2"/>
  <c r="AA297" i="2"/>
  <c r="AA298" i="2"/>
  <c r="AA299" i="2"/>
  <c r="AA300" i="2"/>
  <c r="AA301" i="2"/>
  <c r="AA302" i="2"/>
  <c r="AA303" i="2"/>
  <c r="AA304" i="2"/>
  <c r="AA305" i="2"/>
  <c r="AA306" i="2"/>
  <c r="AA307" i="2"/>
  <c r="AA308" i="2"/>
  <c r="AA309" i="2"/>
  <c r="AA310" i="2"/>
  <c r="AA311" i="2"/>
  <c r="AA312" i="2"/>
  <c r="AA313" i="2"/>
  <c r="AA314" i="2"/>
  <c r="AA315" i="2"/>
  <c r="AA316" i="2"/>
  <c r="AA317" i="2"/>
  <c r="AA318" i="2"/>
  <c r="AA319" i="2"/>
  <c r="AA320" i="2"/>
  <c r="AA321" i="2"/>
  <c r="AA322" i="2"/>
  <c r="AA323" i="2"/>
  <c r="AA324" i="2"/>
  <c r="AA325" i="2"/>
  <c r="AA326" i="2"/>
  <c r="AA327" i="2"/>
  <c r="AA328" i="2"/>
  <c r="AA329" i="2"/>
  <c r="AA330" i="2"/>
  <c r="AA331" i="2"/>
  <c r="AA332" i="2"/>
  <c r="AA333" i="2"/>
  <c r="AA334" i="2"/>
  <c r="AA335" i="2"/>
  <c r="AA336" i="2"/>
  <c r="AA337" i="2"/>
  <c r="AA338" i="2"/>
  <c r="AA339" i="2"/>
  <c r="AA340" i="2"/>
  <c r="AA341" i="2"/>
  <c r="AA342" i="2"/>
  <c r="AA343" i="2"/>
  <c r="AA344" i="2"/>
  <c r="AA345" i="2"/>
  <c r="AA346" i="2"/>
  <c r="AA347" i="2"/>
  <c r="AA348" i="2"/>
  <c r="AA349" i="2"/>
  <c r="AA350" i="2"/>
  <c r="AA351" i="2"/>
  <c r="AA352" i="2"/>
  <c r="AA353" i="2"/>
  <c r="AA354" i="2"/>
  <c r="AA355" i="2"/>
  <c r="AA356" i="2"/>
  <c r="AA357" i="2"/>
  <c r="AA358" i="2"/>
  <c r="AA359" i="2"/>
  <c r="AA360" i="2"/>
  <c r="AA361" i="2"/>
  <c r="AA362" i="2"/>
  <c r="AA363" i="2"/>
  <c r="AA364" i="2"/>
  <c r="AA365" i="2"/>
  <c r="AA366" i="2"/>
  <c r="AA367" i="2"/>
  <c r="AA368" i="2"/>
  <c r="AA369" i="2"/>
  <c r="AA370" i="2"/>
  <c r="AA371" i="2"/>
  <c r="AA372" i="2"/>
  <c r="AA373" i="2"/>
  <c r="AA374" i="2"/>
  <c r="AA375" i="2"/>
  <c r="AA376" i="2"/>
  <c r="AA377" i="2"/>
  <c r="AA378" i="2"/>
  <c r="AA379" i="2"/>
  <c r="AA380" i="2"/>
  <c r="AA381" i="2"/>
  <c r="AA382" i="2"/>
  <c r="AA383" i="2"/>
  <c r="AA384" i="2"/>
  <c r="AA385" i="2"/>
  <c r="AA386" i="2"/>
  <c r="Z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H3" i="19"/>
  <c r="B10" i="19"/>
  <c r="K3" i="19"/>
  <c r="E3" i="19"/>
  <c r="L293" i="2"/>
  <c r="L193" i="2"/>
  <c r="L73" i="2"/>
  <c r="L13" i="2"/>
  <c r="Z1" i="19" l="1"/>
  <c r="H2" i="19"/>
  <c r="K2" i="19"/>
  <c r="K4" i="19"/>
  <c r="E4" i="19"/>
  <c r="E2" i="19"/>
  <c r="B5" i="19" l="1"/>
  <c r="H4" i="19"/>
</calcChain>
</file>

<file path=xl/sharedStrings.xml><?xml version="1.0" encoding="utf-8"?>
<sst xmlns="http://schemas.openxmlformats.org/spreadsheetml/2006/main" count="38185" uniqueCount="7934">
  <si>
    <t>asset_id</t>
  </si>
  <si>
    <t>site_id</t>
  </si>
  <si>
    <t>asset_type</t>
  </si>
  <si>
    <t>age_years</t>
  </si>
  <si>
    <t>modeled_capacity_bbl_hr</t>
  </si>
  <si>
    <t>criticality</t>
  </si>
  <si>
    <t>vibration_normal_mm_s</t>
  </si>
  <si>
    <t>temperature_normal_c</t>
  </si>
  <si>
    <t>replacement_usd</t>
  </si>
  <si>
    <t>site_name</t>
  </si>
  <si>
    <t>network_uptime_pct</t>
  </si>
  <si>
    <t>technicians</t>
  </si>
  <si>
    <t>spare_fill_pct</t>
  </si>
  <si>
    <t>training_hours_per_person</t>
  </si>
  <si>
    <t>edge_setup_usd</t>
  </si>
  <si>
    <t>edge_annual_usd</t>
  </si>
  <si>
    <t>cleanup_setup_usd</t>
  </si>
  <si>
    <t>available_project_hours</t>
  </si>
  <si>
    <t>A001</t>
  </si>
  <si>
    <t>S01</t>
  </si>
  <si>
    <t>Transfer pump</t>
  </si>
  <si>
    <t>High</t>
  </si>
  <si>
    <t>Cedar</t>
  </si>
  <si>
    <t>A002</t>
  </si>
  <si>
    <t>Lift pump</t>
  </si>
  <si>
    <t>Medium</t>
  </si>
  <si>
    <t>A003</t>
  </si>
  <si>
    <t>Compressor</t>
  </si>
  <si>
    <t>A004</t>
  </si>
  <si>
    <t>S02</t>
  </si>
  <si>
    <t>Mesa</t>
  </si>
  <si>
    <t>A005</t>
  </si>
  <si>
    <t>A006</t>
  </si>
  <si>
    <t>A007</t>
  </si>
  <si>
    <t>S03</t>
  </si>
  <si>
    <t>Juniper</t>
  </si>
  <si>
    <t>A008</t>
  </si>
  <si>
    <t>A009</t>
  </si>
  <si>
    <t>A010</t>
  </si>
  <si>
    <t>S04</t>
  </si>
  <si>
    <t>Arroyo</t>
  </si>
  <si>
    <t>A011</t>
  </si>
  <si>
    <t>A012</t>
  </si>
  <si>
    <t>A013</t>
  </si>
  <si>
    <t>S05</t>
  </si>
  <si>
    <t>Canyon</t>
  </si>
  <si>
    <t>A014</t>
  </si>
  <si>
    <t>A015</t>
  </si>
  <si>
    <t>A016</t>
  </si>
  <si>
    <t>S06</t>
  </si>
  <si>
    <t>Prairie</t>
  </si>
  <si>
    <t>A017</t>
  </si>
  <si>
    <t>A018</t>
  </si>
  <si>
    <t>event_id</t>
  </si>
  <si>
    <t>start_utc</t>
  </si>
  <si>
    <t>end_utc</t>
  </si>
  <si>
    <t>event_type</t>
  </si>
  <si>
    <t>cause</t>
  </si>
  <si>
    <t>detect_hours</t>
  </si>
  <si>
    <t>dispatch_hours</t>
  </si>
  <si>
    <t>parts_wait_hours</t>
  </si>
  <si>
    <t>repair_hours</t>
  </si>
  <si>
    <t>restart_hours</t>
  </si>
  <si>
    <t>stopped_hours</t>
  </si>
  <si>
    <t>lost_oil_bbl</t>
  </si>
  <si>
    <t>recoverable_fraction</t>
  </si>
  <si>
    <t>work_order_id</t>
  </si>
  <si>
    <t>opened_utc</t>
  </si>
  <si>
    <t>closed_utc</t>
  </si>
  <si>
    <t>work_type</t>
  </si>
  <si>
    <t>labor_hours</t>
  </si>
  <si>
    <t>labor_rate_usd_hr</t>
  </si>
  <si>
    <t>parts_usd</t>
  </si>
  <si>
    <t>contractor_usd</t>
  </si>
  <si>
    <t>cost_status</t>
  </si>
  <si>
    <t>technician_note</t>
  </si>
  <si>
    <t>protected_repair_hours</t>
  </si>
  <si>
    <t>Site</t>
  </si>
  <si>
    <t>Unrecovered bbl</t>
  </si>
  <si>
    <t>Month</t>
  </si>
  <si>
    <t>Margin</t>
  </si>
  <si>
    <t>Loss</t>
  </si>
  <si>
    <t>E0001</t>
  </si>
  <si>
    <t>Unplanned</t>
  </si>
  <si>
    <t>Process upset</t>
  </si>
  <si>
    <t>W0001</t>
  </si>
  <si>
    <t>Corrective</t>
  </si>
  <si>
    <t>Parts invoice pending</t>
  </si>
  <si>
    <t>Feed conditions changed; equipment restarted</t>
  </si>
  <si>
    <t>E0002</t>
  </si>
  <si>
    <t>Planned</t>
  </si>
  <si>
    <t>Scheduled service</t>
  </si>
  <si>
    <t>W0002</t>
  </si>
  <si>
    <t>Preventive</t>
  </si>
  <si>
    <t>Complete</t>
  </si>
  <si>
    <t>Scheduled inspection and service</t>
  </si>
  <si>
    <t>E0003</t>
  </si>
  <si>
    <t>Electrical trip</t>
  </si>
  <si>
    <t>W0003</t>
  </si>
  <si>
    <t>Protective trip; reviewed electrical panel</t>
  </si>
  <si>
    <t>E0004</t>
  </si>
  <si>
    <t>Seal leak</t>
  </si>
  <si>
    <t>W0004</t>
  </si>
  <si>
    <t>Visible leak reported during inspection</t>
  </si>
  <si>
    <t>E0005</t>
  </si>
  <si>
    <t>W0005</t>
  </si>
  <si>
    <t>E0006</t>
  </si>
  <si>
    <t>W0006</t>
  </si>
  <si>
    <t>E0007</t>
  </si>
  <si>
    <t>W0007</t>
  </si>
  <si>
    <t>E0008</t>
  </si>
  <si>
    <t>W0008</t>
  </si>
  <si>
    <t>E0009</t>
  </si>
  <si>
    <t>W0009</t>
  </si>
  <si>
    <t>E0010</t>
  </si>
  <si>
    <t>Unknown</t>
  </si>
  <si>
    <t>W0010</t>
  </si>
  <si>
    <t>Cause not confirmed; follow-up needed</t>
  </si>
  <si>
    <t>E0011</t>
  </si>
  <si>
    <t>Bearing wear</t>
  </si>
  <si>
    <t>W0011</t>
  </si>
  <si>
    <t>Noise and vibration increased before stop</t>
  </si>
  <si>
    <t>E0012</t>
  </si>
  <si>
    <t>W0012</t>
  </si>
  <si>
    <t>E0013</t>
  </si>
  <si>
    <t>W0013</t>
  </si>
  <si>
    <t>E0014</t>
  </si>
  <si>
    <t>W0014</t>
  </si>
  <si>
    <t>E0015</t>
  </si>
  <si>
    <t>W0015</t>
  </si>
  <si>
    <t>E0016</t>
  </si>
  <si>
    <t>W0016</t>
  </si>
  <si>
    <t>E0017</t>
  </si>
  <si>
    <t>W0017</t>
  </si>
  <si>
    <t>E0018</t>
  </si>
  <si>
    <t>W0018</t>
  </si>
  <si>
    <t>E0019</t>
  </si>
  <si>
    <t>W0019</t>
  </si>
  <si>
    <t>E0020</t>
  </si>
  <si>
    <t>W0020</t>
  </si>
  <si>
    <t>E0021</t>
  </si>
  <si>
    <t>W0021</t>
  </si>
  <si>
    <t>E0022</t>
  </si>
  <si>
    <t>W0022</t>
  </si>
  <si>
    <t>E0023</t>
  </si>
  <si>
    <t>W0023</t>
  </si>
  <si>
    <t>E0024</t>
  </si>
  <si>
    <t>W0024</t>
  </si>
  <si>
    <t>E0025</t>
  </si>
  <si>
    <t>W0025</t>
  </si>
  <si>
    <t>E0026</t>
  </si>
  <si>
    <t>W0026</t>
  </si>
  <si>
    <t>E0027</t>
  </si>
  <si>
    <t>W0027</t>
  </si>
  <si>
    <t>E0028</t>
  </si>
  <si>
    <t>W0028</t>
  </si>
  <si>
    <t>E0029</t>
  </si>
  <si>
    <t>W0029</t>
  </si>
  <si>
    <t>E0030</t>
  </si>
  <si>
    <t>W0030</t>
  </si>
  <si>
    <t>E0031</t>
  </si>
  <si>
    <t>W0031</t>
  </si>
  <si>
    <t>E0032</t>
  </si>
  <si>
    <t>W0032</t>
  </si>
  <si>
    <t>E0033</t>
  </si>
  <si>
    <t>W0033</t>
  </si>
  <si>
    <t>E0034</t>
  </si>
  <si>
    <t>W0034</t>
  </si>
  <si>
    <t>E0035</t>
  </si>
  <si>
    <t>W0035</t>
  </si>
  <si>
    <t>E0036</t>
  </si>
  <si>
    <t>W0036</t>
  </si>
  <si>
    <t>E0037</t>
  </si>
  <si>
    <t>W0037</t>
  </si>
  <si>
    <t>E0038</t>
  </si>
  <si>
    <t>W0038</t>
  </si>
  <si>
    <t>E0039</t>
  </si>
  <si>
    <t>W0039</t>
  </si>
  <si>
    <t>E0040</t>
  </si>
  <si>
    <t>W0040</t>
  </si>
  <si>
    <t>E0041</t>
  </si>
  <si>
    <t>W0041</t>
  </si>
  <si>
    <t>E0042</t>
  </si>
  <si>
    <t>W0042</t>
  </si>
  <si>
    <t>E0043</t>
  </si>
  <si>
    <t>W0043</t>
  </si>
  <si>
    <t>E0044</t>
  </si>
  <si>
    <t>W0044</t>
  </si>
  <si>
    <t>E0045</t>
  </si>
  <si>
    <t>W0045</t>
  </si>
  <si>
    <t>E0046</t>
  </si>
  <si>
    <t>W0046</t>
  </si>
  <si>
    <t>E0047</t>
  </si>
  <si>
    <t>W0047</t>
  </si>
  <si>
    <t>E0048</t>
  </si>
  <si>
    <t>W0048</t>
  </si>
  <si>
    <t>E0049</t>
  </si>
  <si>
    <t>W0049</t>
  </si>
  <si>
    <t>E0050</t>
  </si>
  <si>
    <t>W0050</t>
  </si>
  <si>
    <t>E0051</t>
  </si>
  <si>
    <t>W0051</t>
  </si>
  <si>
    <t>E0052</t>
  </si>
  <si>
    <t>W0052</t>
  </si>
  <si>
    <t>E0053</t>
  </si>
  <si>
    <t>W0053</t>
  </si>
  <si>
    <t>E0054</t>
  </si>
  <si>
    <t>W0054</t>
  </si>
  <si>
    <t>E0055</t>
  </si>
  <si>
    <t>W0055</t>
  </si>
  <si>
    <t>E0056</t>
  </si>
  <si>
    <t>W0056</t>
  </si>
  <si>
    <t>E0057</t>
  </si>
  <si>
    <t>W0057</t>
  </si>
  <si>
    <t>E0058</t>
  </si>
  <si>
    <t>W0058</t>
  </si>
  <si>
    <t>E0059</t>
  </si>
  <si>
    <t>W0059</t>
  </si>
  <si>
    <t>E0060</t>
  </si>
  <si>
    <t>W0060</t>
  </si>
  <si>
    <t>E0061</t>
  </si>
  <si>
    <t>W0061</t>
  </si>
  <si>
    <t>E0062</t>
  </si>
  <si>
    <t>W0062</t>
  </si>
  <si>
    <t>E0063</t>
  </si>
  <si>
    <t>W0063</t>
  </si>
  <si>
    <t>E0064</t>
  </si>
  <si>
    <t>W0064</t>
  </si>
  <si>
    <t>E0065</t>
  </si>
  <si>
    <t>W0065</t>
  </si>
  <si>
    <t>E0066</t>
  </si>
  <si>
    <t>W0066</t>
  </si>
  <si>
    <t>E0067</t>
  </si>
  <si>
    <t>W0067</t>
  </si>
  <si>
    <t>E0068</t>
  </si>
  <si>
    <t>W0068</t>
  </si>
  <si>
    <t>E0069</t>
  </si>
  <si>
    <t>W0069</t>
  </si>
  <si>
    <t>E0070</t>
  </si>
  <si>
    <t>W0070</t>
  </si>
  <si>
    <t>E0071</t>
  </si>
  <si>
    <t>W0071</t>
  </si>
  <si>
    <t>E0072</t>
  </si>
  <si>
    <t>W0072</t>
  </si>
  <si>
    <t>E0073</t>
  </si>
  <si>
    <t>W0073</t>
  </si>
  <si>
    <t>E0074</t>
  </si>
  <si>
    <t>W0074</t>
  </si>
  <si>
    <t>E0075</t>
  </si>
  <si>
    <t>W0075</t>
  </si>
  <si>
    <t>E0076</t>
  </si>
  <si>
    <t>W0076</t>
  </si>
  <si>
    <t>E0077</t>
  </si>
  <si>
    <t>W0077</t>
  </si>
  <si>
    <t>E0078</t>
  </si>
  <si>
    <t>W0078</t>
  </si>
  <si>
    <t>E0079</t>
  </si>
  <si>
    <t>W0079</t>
  </si>
  <si>
    <t>E0080</t>
  </si>
  <si>
    <t>W0080</t>
  </si>
  <si>
    <t>E0081</t>
  </si>
  <si>
    <t>W0081</t>
  </si>
  <si>
    <t>E0082</t>
  </si>
  <si>
    <t>W0082</t>
  </si>
  <si>
    <t>E0083</t>
  </si>
  <si>
    <t>W0083</t>
  </si>
  <si>
    <t>E0084</t>
  </si>
  <si>
    <t>W0084</t>
  </si>
  <si>
    <t>E0085</t>
  </si>
  <si>
    <t>W0085</t>
  </si>
  <si>
    <t>E0086</t>
  </si>
  <si>
    <t>W0086</t>
  </si>
  <si>
    <t>E0087</t>
  </si>
  <si>
    <t>W0087</t>
  </si>
  <si>
    <t>E0088</t>
  </si>
  <si>
    <t>W0088</t>
  </si>
  <si>
    <t>E0089</t>
  </si>
  <si>
    <t>W0089</t>
  </si>
  <si>
    <t>E0090</t>
  </si>
  <si>
    <t>W0090</t>
  </si>
  <si>
    <t>E0091</t>
  </si>
  <si>
    <t>W0091</t>
  </si>
  <si>
    <t>E0092</t>
  </si>
  <si>
    <t>W0092</t>
  </si>
  <si>
    <t>E0093</t>
  </si>
  <si>
    <t>W0093</t>
  </si>
  <si>
    <t>E0094</t>
  </si>
  <si>
    <t>W0094</t>
  </si>
  <si>
    <t>E0095</t>
  </si>
  <si>
    <t>W0095</t>
  </si>
  <si>
    <t>E0096</t>
  </si>
  <si>
    <t>W0096</t>
  </si>
  <si>
    <t>E0097</t>
  </si>
  <si>
    <t>W0097</t>
  </si>
  <si>
    <t>E0098</t>
  </si>
  <si>
    <t>W0098</t>
  </si>
  <si>
    <t>E0099</t>
  </si>
  <si>
    <t>W0099</t>
  </si>
  <si>
    <t>E0100</t>
  </si>
  <si>
    <t>W0100</t>
  </si>
  <si>
    <t>E0101</t>
  </si>
  <si>
    <t>W0101</t>
  </si>
  <si>
    <t>E0102</t>
  </si>
  <si>
    <t>W0102</t>
  </si>
  <si>
    <t>E0103</t>
  </si>
  <si>
    <t>W0103</t>
  </si>
  <si>
    <t>E0104</t>
  </si>
  <si>
    <t>W0104</t>
  </si>
  <si>
    <t>E0105</t>
  </si>
  <si>
    <t>W0105</t>
  </si>
  <si>
    <t>E0106</t>
  </si>
  <si>
    <t>W0106</t>
  </si>
  <si>
    <t>E0107</t>
  </si>
  <si>
    <t>W0107</t>
  </si>
  <si>
    <t>E0108</t>
  </si>
  <si>
    <t>W0108</t>
  </si>
  <si>
    <t>E0109</t>
  </si>
  <si>
    <t>W0109</t>
  </si>
  <si>
    <t>E0110</t>
  </si>
  <si>
    <t>W0110</t>
  </si>
  <si>
    <t>E0111</t>
  </si>
  <si>
    <t>W0111</t>
  </si>
  <si>
    <t>E0112</t>
  </si>
  <si>
    <t>W0112</t>
  </si>
  <si>
    <t>E0113</t>
  </si>
  <si>
    <t>W0113</t>
  </si>
  <si>
    <t>E0114</t>
  </si>
  <si>
    <t>W0114</t>
  </si>
  <si>
    <t>E0115</t>
  </si>
  <si>
    <t>W0115</t>
  </si>
  <si>
    <t>E0116</t>
  </si>
  <si>
    <t>W0116</t>
  </si>
  <si>
    <t>E0117</t>
  </si>
  <si>
    <t>W0117</t>
  </si>
  <si>
    <t>E0118</t>
  </si>
  <si>
    <t>W0118</t>
  </si>
  <si>
    <t>E0119</t>
  </si>
  <si>
    <t>W0119</t>
  </si>
  <si>
    <t>E0120</t>
  </si>
  <si>
    <t>W0120</t>
  </si>
  <si>
    <t>E0121</t>
  </si>
  <si>
    <t>W0121</t>
  </si>
  <si>
    <t>E0122</t>
  </si>
  <si>
    <t>W0122</t>
  </si>
  <si>
    <t>E0123</t>
  </si>
  <si>
    <t>W0123</t>
  </si>
  <si>
    <t>E0124</t>
  </si>
  <si>
    <t>W0124</t>
  </si>
  <si>
    <t>E0125</t>
  </si>
  <si>
    <t>W0125</t>
  </si>
  <si>
    <t>E0126</t>
  </si>
  <si>
    <t>W0126</t>
  </si>
  <si>
    <t>E0127</t>
  </si>
  <si>
    <t>W0127</t>
  </si>
  <si>
    <t>E0128</t>
  </si>
  <si>
    <t>W0128</t>
  </si>
  <si>
    <t>E0129</t>
  </si>
  <si>
    <t>W0129</t>
  </si>
  <si>
    <t>E0130</t>
  </si>
  <si>
    <t>W0130</t>
  </si>
  <si>
    <t>E0131</t>
  </si>
  <si>
    <t>W0131</t>
  </si>
  <si>
    <t>E0132</t>
  </si>
  <si>
    <t>W0132</t>
  </si>
  <si>
    <t>E0133</t>
  </si>
  <si>
    <t>W0133</t>
  </si>
  <si>
    <t>E0134</t>
  </si>
  <si>
    <t>W0134</t>
  </si>
  <si>
    <t>E0135</t>
  </si>
  <si>
    <t>W0135</t>
  </si>
  <si>
    <t>E0136</t>
  </si>
  <si>
    <t>W0136</t>
  </si>
  <si>
    <t>E0137</t>
  </si>
  <si>
    <t>W0137</t>
  </si>
  <si>
    <t>E0138</t>
  </si>
  <si>
    <t>W0138</t>
  </si>
  <si>
    <t>E0139</t>
  </si>
  <si>
    <t>W0139</t>
  </si>
  <si>
    <t>E0140</t>
  </si>
  <si>
    <t>W0140</t>
  </si>
  <si>
    <t>E0141</t>
  </si>
  <si>
    <t>W0141</t>
  </si>
  <si>
    <t>E0142</t>
  </si>
  <si>
    <t>W0142</t>
  </si>
  <si>
    <t>E0143</t>
  </si>
  <si>
    <t>W0143</t>
  </si>
  <si>
    <t>E0144</t>
  </si>
  <si>
    <t>W0144</t>
  </si>
  <si>
    <t>E0145</t>
  </si>
  <si>
    <t>W0145</t>
  </si>
  <si>
    <t>E0146</t>
  </si>
  <si>
    <t>W0146</t>
  </si>
  <si>
    <t>E0147</t>
  </si>
  <si>
    <t>W0147</t>
  </si>
  <si>
    <t>E0148</t>
  </si>
  <si>
    <t>W0148</t>
  </si>
  <si>
    <t>E0149</t>
  </si>
  <si>
    <t>W0149</t>
  </si>
  <si>
    <t>E0150</t>
  </si>
  <si>
    <t>W0150</t>
  </si>
  <si>
    <t>E0151</t>
  </si>
  <si>
    <t>W0151</t>
  </si>
  <si>
    <t>E0152</t>
  </si>
  <si>
    <t>W0152</t>
  </si>
  <si>
    <t>E0153</t>
  </si>
  <si>
    <t>W0153</t>
  </si>
  <si>
    <t>E0154</t>
  </si>
  <si>
    <t>W0154</t>
  </si>
  <si>
    <t>E0155</t>
  </si>
  <si>
    <t>W0155</t>
  </si>
  <si>
    <t>E0156</t>
  </si>
  <si>
    <t>W0156</t>
  </si>
  <si>
    <t>E0157</t>
  </si>
  <si>
    <t>W0157</t>
  </si>
  <si>
    <t>E0158</t>
  </si>
  <si>
    <t>W0158</t>
  </si>
  <si>
    <t>E0159</t>
  </si>
  <si>
    <t>W0159</t>
  </si>
  <si>
    <t>E0160</t>
  </si>
  <si>
    <t>W0160</t>
  </si>
  <si>
    <t>E0161</t>
  </si>
  <si>
    <t>W0161</t>
  </si>
  <si>
    <t>E0162</t>
  </si>
  <si>
    <t>W0162</t>
  </si>
  <si>
    <t>E0163</t>
  </si>
  <si>
    <t>W0163</t>
  </si>
  <si>
    <t>E0164</t>
  </si>
  <si>
    <t>W0164</t>
  </si>
  <si>
    <t>E0165</t>
  </si>
  <si>
    <t>W0165</t>
  </si>
  <si>
    <t>E0166</t>
  </si>
  <si>
    <t>W0166</t>
  </si>
  <si>
    <t>E0167</t>
  </si>
  <si>
    <t>W0167</t>
  </si>
  <si>
    <t>E0168</t>
  </si>
  <si>
    <t>W0168</t>
  </si>
  <si>
    <t>E0169</t>
  </si>
  <si>
    <t>W0169</t>
  </si>
  <si>
    <t>E0170</t>
  </si>
  <si>
    <t>W0170</t>
  </si>
  <si>
    <t>E0171</t>
  </si>
  <si>
    <t>W0171</t>
  </si>
  <si>
    <t>E0172</t>
  </si>
  <si>
    <t>W0172</t>
  </si>
  <si>
    <t>E0173</t>
  </si>
  <si>
    <t>W0173</t>
  </si>
  <si>
    <t>E0174</t>
  </si>
  <si>
    <t>W0174</t>
  </si>
  <si>
    <t>E0175</t>
  </si>
  <si>
    <t>W0175</t>
  </si>
  <si>
    <t>E0176</t>
  </si>
  <si>
    <t>W0176</t>
  </si>
  <si>
    <t>E0177</t>
  </si>
  <si>
    <t>W0177</t>
  </si>
  <si>
    <t>E0178</t>
  </si>
  <si>
    <t>W0178</t>
  </si>
  <si>
    <t>E0179</t>
  </si>
  <si>
    <t>W0179</t>
  </si>
  <si>
    <t>E0180</t>
  </si>
  <si>
    <t>W0180</t>
  </si>
  <si>
    <t>E0181</t>
  </si>
  <si>
    <t>W0181</t>
  </si>
  <si>
    <t>E0182</t>
  </si>
  <si>
    <t>W0182</t>
  </si>
  <si>
    <t>E0183</t>
  </si>
  <si>
    <t>W0183</t>
  </si>
  <si>
    <t>E0184</t>
  </si>
  <si>
    <t>W0184</t>
  </si>
  <si>
    <t>E0185</t>
  </si>
  <si>
    <t>W0185</t>
  </si>
  <si>
    <t>E0186</t>
  </si>
  <si>
    <t>W0186</t>
  </si>
  <si>
    <t>E0187</t>
  </si>
  <si>
    <t>W0187</t>
  </si>
  <si>
    <t>E0188</t>
  </si>
  <si>
    <t>W0188</t>
  </si>
  <si>
    <t>E0189</t>
  </si>
  <si>
    <t>W0189</t>
  </si>
  <si>
    <t>E0190</t>
  </si>
  <si>
    <t>W0190</t>
  </si>
  <si>
    <t>E0191</t>
  </si>
  <si>
    <t>W0191</t>
  </si>
  <si>
    <t>E0192</t>
  </si>
  <si>
    <t>W0192</t>
  </si>
  <si>
    <t>E0193</t>
  </si>
  <si>
    <t>W0193</t>
  </si>
  <si>
    <t>E0194</t>
  </si>
  <si>
    <t>W0194</t>
  </si>
  <si>
    <t>E0195</t>
  </si>
  <si>
    <t>W0195</t>
  </si>
  <si>
    <t>E0196</t>
  </si>
  <si>
    <t>W0196</t>
  </si>
  <si>
    <t>E0197</t>
  </si>
  <si>
    <t>W0197</t>
  </si>
  <si>
    <t>E0198</t>
  </si>
  <si>
    <t>W0198</t>
  </si>
  <si>
    <t>E0199</t>
  </si>
  <si>
    <t>W0199</t>
  </si>
  <si>
    <t>E0200</t>
  </si>
  <si>
    <t>W0200</t>
  </si>
  <si>
    <t>E0201</t>
  </si>
  <si>
    <t>W0201</t>
  </si>
  <si>
    <t>E0202</t>
  </si>
  <si>
    <t>W0202</t>
  </si>
  <si>
    <t>E0203</t>
  </si>
  <si>
    <t>W0203</t>
  </si>
  <si>
    <t>E0204</t>
  </si>
  <si>
    <t>W0204</t>
  </si>
  <si>
    <t>E0205</t>
  </si>
  <si>
    <t>W0205</t>
  </si>
  <si>
    <t>E0206</t>
  </si>
  <si>
    <t>W0206</t>
  </si>
  <si>
    <t>E0207</t>
  </si>
  <si>
    <t>W0207</t>
  </si>
  <si>
    <t>E0208</t>
  </si>
  <si>
    <t>W0208</t>
  </si>
  <si>
    <t>E0209</t>
  </si>
  <si>
    <t>W0209</t>
  </si>
  <si>
    <t>E0210</t>
  </si>
  <si>
    <t>W0210</t>
  </si>
  <si>
    <t>E0211</t>
  </si>
  <si>
    <t>W0211</t>
  </si>
  <si>
    <t>E0212</t>
  </si>
  <si>
    <t>W0212</t>
  </si>
  <si>
    <t>E0213</t>
  </si>
  <si>
    <t>W0213</t>
  </si>
  <si>
    <t>E0214</t>
  </si>
  <si>
    <t>W0214</t>
  </si>
  <si>
    <t>E0215</t>
  </si>
  <si>
    <t>W0215</t>
  </si>
  <si>
    <t>E0216</t>
  </si>
  <si>
    <t>W0216</t>
  </si>
  <si>
    <t>E0217</t>
  </si>
  <si>
    <t>W0217</t>
  </si>
  <si>
    <t>E0218</t>
  </si>
  <si>
    <t>W0218</t>
  </si>
  <si>
    <t>E0219</t>
  </si>
  <si>
    <t>W0219</t>
  </si>
  <si>
    <t>E0220</t>
  </si>
  <si>
    <t>W0220</t>
  </si>
  <si>
    <t>E0221</t>
  </si>
  <si>
    <t>W0221</t>
  </si>
  <si>
    <t>E0222</t>
  </si>
  <si>
    <t>W0222</t>
  </si>
  <si>
    <t>E0223</t>
  </si>
  <si>
    <t>W0223</t>
  </si>
  <si>
    <t>E0224</t>
  </si>
  <si>
    <t>W0224</t>
  </si>
  <si>
    <t>E0225</t>
  </si>
  <si>
    <t>W0225</t>
  </si>
  <si>
    <t>E0226</t>
  </si>
  <si>
    <t>W0226</t>
  </si>
  <si>
    <t>E0227</t>
  </si>
  <si>
    <t>W0227</t>
  </si>
  <si>
    <t>E0228</t>
  </si>
  <si>
    <t>W0228</t>
  </si>
  <si>
    <t>E0229</t>
  </si>
  <si>
    <t>W0229</t>
  </si>
  <si>
    <t>E0230</t>
  </si>
  <si>
    <t>W0230</t>
  </si>
  <si>
    <t>E0231</t>
  </si>
  <si>
    <t>W0231</t>
  </si>
  <si>
    <t>E0232</t>
  </si>
  <si>
    <t>W0232</t>
  </si>
  <si>
    <t>E0233</t>
  </si>
  <si>
    <t>W0233</t>
  </si>
  <si>
    <t>E0234</t>
  </si>
  <si>
    <t>W0234</t>
  </si>
  <si>
    <t>E0235</t>
  </si>
  <si>
    <t>W0235</t>
  </si>
  <si>
    <t>E0236</t>
  </si>
  <si>
    <t>W0236</t>
  </si>
  <si>
    <t>E0237</t>
  </si>
  <si>
    <t>W0237</t>
  </si>
  <si>
    <t>E0238</t>
  </si>
  <si>
    <t>W0238</t>
  </si>
  <si>
    <t>E0239</t>
  </si>
  <si>
    <t>W0239</t>
  </si>
  <si>
    <t>E0240</t>
  </si>
  <si>
    <t>W0240</t>
  </si>
  <si>
    <t>E0241</t>
  </si>
  <si>
    <t>W0241</t>
  </si>
  <si>
    <t>E0242</t>
  </si>
  <si>
    <t>W0242</t>
  </si>
  <si>
    <t>E0243</t>
  </si>
  <si>
    <t>W0243</t>
  </si>
  <si>
    <t>E0244</t>
  </si>
  <si>
    <t>W0244</t>
  </si>
  <si>
    <t>E0245</t>
  </si>
  <si>
    <t>W0245</t>
  </si>
  <si>
    <t>E0246</t>
  </si>
  <si>
    <t>W0246</t>
  </si>
  <si>
    <t>E0247</t>
  </si>
  <si>
    <t>W0247</t>
  </si>
  <si>
    <t>E0248</t>
  </si>
  <si>
    <t>W0248</t>
  </si>
  <si>
    <t>E0249</t>
  </si>
  <si>
    <t>W0249</t>
  </si>
  <si>
    <t>E0250</t>
  </si>
  <si>
    <t>W0250</t>
  </si>
  <si>
    <t>E0251</t>
  </si>
  <si>
    <t>W0251</t>
  </si>
  <si>
    <t>E0252</t>
  </si>
  <si>
    <t>W0252</t>
  </si>
  <si>
    <t>E0253</t>
  </si>
  <si>
    <t>W0253</t>
  </si>
  <si>
    <t>E0254</t>
  </si>
  <si>
    <t>W0254</t>
  </si>
  <si>
    <t>E0255</t>
  </si>
  <si>
    <t>W0255</t>
  </si>
  <si>
    <t>E0256</t>
  </si>
  <si>
    <t>W0256</t>
  </si>
  <si>
    <t>E0257</t>
  </si>
  <si>
    <t>W0257</t>
  </si>
  <si>
    <t>E0258</t>
  </si>
  <si>
    <t>W0258</t>
  </si>
  <si>
    <t>E0259</t>
  </si>
  <si>
    <t>W0259</t>
  </si>
  <si>
    <t>E0260</t>
  </si>
  <si>
    <t>W0260</t>
  </si>
  <si>
    <t>E0261</t>
  </si>
  <si>
    <t>W0261</t>
  </si>
  <si>
    <t>E0262</t>
  </si>
  <si>
    <t>W0262</t>
  </si>
  <si>
    <t>E0263</t>
  </si>
  <si>
    <t>W0263</t>
  </si>
  <si>
    <t>E0264</t>
  </si>
  <si>
    <t>W0264</t>
  </si>
  <si>
    <t>E0265</t>
  </si>
  <si>
    <t>W0265</t>
  </si>
  <si>
    <t>E0266</t>
  </si>
  <si>
    <t>W0266</t>
  </si>
  <si>
    <t>E0267</t>
  </si>
  <si>
    <t>W0267</t>
  </si>
  <si>
    <t>E0268</t>
  </si>
  <si>
    <t>W0268</t>
  </si>
  <si>
    <t>E0269</t>
  </si>
  <si>
    <t>W0269</t>
  </si>
  <si>
    <t>E0270</t>
  </si>
  <si>
    <t>W0270</t>
  </si>
  <si>
    <t>E0271</t>
  </si>
  <si>
    <t>W0271</t>
  </si>
  <si>
    <t>E0272</t>
  </si>
  <si>
    <t>W0272</t>
  </si>
  <si>
    <t>E0273</t>
  </si>
  <si>
    <t>W0273</t>
  </si>
  <si>
    <t>E0274</t>
  </si>
  <si>
    <t>W0274</t>
  </si>
  <si>
    <t>E0275</t>
  </si>
  <si>
    <t>W0275</t>
  </si>
  <si>
    <t>E0276</t>
  </si>
  <si>
    <t>W0276</t>
  </si>
  <si>
    <t>E0277</t>
  </si>
  <si>
    <t>W0277</t>
  </si>
  <si>
    <t>E0278</t>
  </si>
  <si>
    <t>W0278</t>
  </si>
  <si>
    <t>E0279</t>
  </si>
  <si>
    <t>W0279</t>
  </si>
  <si>
    <t>E0280</t>
  </si>
  <si>
    <t>W0280</t>
  </si>
  <si>
    <t>E0281</t>
  </si>
  <si>
    <t>W0281</t>
  </si>
  <si>
    <t>E0282</t>
  </si>
  <si>
    <t>W0282</t>
  </si>
  <si>
    <t>E0283</t>
  </si>
  <si>
    <t>W0283</t>
  </si>
  <si>
    <t>E0284</t>
  </si>
  <si>
    <t>W0284</t>
  </si>
  <si>
    <t>E0285</t>
  </si>
  <si>
    <t>W0285</t>
  </si>
  <si>
    <t>E0286</t>
  </si>
  <si>
    <t>W0286</t>
  </si>
  <si>
    <t>E0287</t>
  </si>
  <si>
    <t>W0287</t>
  </si>
  <si>
    <t>E0288</t>
  </si>
  <si>
    <t>W0288</t>
  </si>
  <si>
    <t>E0289</t>
  </si>
  <si>
    <t>W0289</t>
  </si>
  <si>
    <t>E0290</t>
  </si>
  <si>
    <t>W0290</t>
  </si>
  <si>
    <t>E0291</t>
  </si>
  <si>
    <t>W0291</t>
  </si>
  <si>
    <t>E0292</t>
  </si>
  <si>
    <t>W0292</t>
  </si>
  <si>
    <t>E0293</t>
  </si>
  <si>
    <t>W0293</t>
  </si>
  <si>
    <t>E0294</t>
  </si>
  <si>
    <t>W0294</t>
  </si>
  <si>
    <t>E0295</t>
  </si>
  <si>
    <t>W0295</t>
  </si>
  <si>
    <t>E0296</t>
  </si>
  <si>
    <t>W0296</t>
  </si>
  <si>
    <t>E0297</t>
  </si>
  <si>
    <t>W0297</t>
  </si>
  <si>
    <t>E0298</t>
  </si>
  <si>
    <t>W0298</t>
  </si>
  <si>
    <t>E0299</t>
  </si>
  <si>
    <t>W0299</t>
  </si>
  <si>
    <t>E0300</t>
  </si>
  <si>
    <t>W0300</t>
  </si>
  <si>
    <t>E0301</t>
  </si>
  <si>
    <t>W0301</t>
  </si>
  <si>
    <t>E0302</t>
  </si>
  <si>
    <t>W0302</t>
  </si>
  <si>
    <t>E0303</t>
  </si>
  <si>
    <t>W0303</t>
  </si>
  <si>
    <t>E0304</t>
  </si>
  <si>
    <t>W0304</t>
  </si>
  <si>
    <t>E0305</t>
  </si>
  <si>
    <t>W0305</t>
  </si>
  <si>
    <t>E0306</t>
  </si>
  <si>
    <t>W0306</t>
  </si>
  <si>
    <t>E0307</t>
  </si>
  <si>
    <t>W0307</t>
  </si>
  <si>
    <t>E0308</t>
  </si>
  <si>
    <t>W0308</t>
  </si>
  <si>
    <t>E0309</t>
  </si>
  <si>
    <t>W0309</t>
  </si>
  <si>
    <t>E0310</t>
  </si>
  <si>
    <t>W0310</t>
  </si>
  <si>
    <t>E0311</t>
  </si>
  <si>
    <t>W0311</t>
  </si>
  <si>
    <t>E0312</t>
  </si>
  <si>
    <t>W0312</t>
  </si>
  <si>
    <t>E0313</t>
  </si>
  <si>
    <t>W0313</t>
  </si>
  <si>
    <t>E0314</t>
  </si>
  <si>
    <t>W0314</t>
  </si>
  <si>
    <t>E0315</t>
  </si>
  <si>
    <t>W0315</t>
  </si>
  <si>
    <t>E0316</t>
  </si>
  <si>
    <t>W0316</t>
  </si>
  <si>
    <t>E0317</t>
  </si>
  <si>
    <t>W0317</t>
  </si>
  <si>
    <t>E0318</t>
  </si>
  <si>
    <t>W0318</t>
  </si>
  <si>
    <t>E0319</t>
  </si>
  <si>
    <t>W0319</t>
  </si>
  <si>
    <t>E0320</t>
  </si>
  <si>
    <t>W0320</t>
  </si>
  <si>
    <t>E0321</t>
  </si>
  <si>
    <t>W0321</t>
  </si>
  <si>
    <t>E0322</t>
  </si>
  <si>
    <t>W0322</t>
  </si>
  <si>
    <t>E0323</t>
  </si>
  <si>
    <t>W0323</t>
  </si>
  <si>
    <t>E0324</t>
  </si>
  <si>
    <t>W0324</t>
  </si>
  <si>
    <t>E0325</t>
  </si>
  <si>
    <t>W0325</t>
  </si>
  <si>
    <t>E0326</t>
  </si>
  <si>
    <t>W0326</t>
  </si>
  <si>
    <t>E0327</t>
  </si>
  <si>
    <t>W0327</t>
  </si>
  <si>
    <t>E0328</t>
  </si>
  <si>
    <t>W0328</t>
  </si>
  <si>
    <t>E0329</t>
  </si>
  <si>
    <t>W0329</t>
  </si>
  <si>
    <t>E0330</t>
  </si>
  <si>
    <t>W0330</t>
  </si>
  <si>
    <t>E0331</t>
  </si>
  <si>
    <t>W0331</t>
  </si>
  <si>
    <t>E0332</t>
  </si>
  <si>
    <t>W0332</t>
  </si>
  <si>
    <t>E0333</t>
  </si>
  <si>
    <t>W0333</t>
  </si>
  <si>
    <t>E0334</t>
  </si>
  <si>
    <t>W0334</t>
  </si>
  <si>
    <t>E0335</t>
  </si>
  <si>
    <t>W0335</t>
  </si>
  <si>
    <t>E0336</t>
  </si>
  <si>
    <t>W0336</t>
  </si>
  <si>
    <t>E0337</t>
  </si>
  <si>
    <t>W0337</t>
  </si>
  <si>
    <t>E0338</t>
  </si>
  <si>
    <t>W0338</t>
  </si>
  <si>
    <t>E0339</t>
  </si>
  <si>
    <t>W0339</t>
  </si>
  <si>
    <t>E0340</t>
  </si>
  <si>
    <t>W0340</t>
  </si>
  <si>
    <t>E0341</t>
  </si>
  <si>
    <t>W0341</t>
  </si>
  <si>
    <t>E0342</t>
  </si>
  <si>
    <t>W0342</t>
  </si>
  <si>
    <t>E0343</t>
  </si>
  <si>
    <t>W0343</t>
  </si>
  <si>
    <t>E0344</t>
  </si>
  <si>
    <t>W0344</t>
  </si>
  <si>
    <t>E0345</t>
  </si>
  <si>
    <t>W0345</t>
  </si>
  <si>
    <t>E0346</t>
  </si>
  <si>
    <t>W0346</t>
  </si>
  <si>
    <t>E0347</t>
  </si>
  <si>
    <t>W0347</t>
  </si>
  <si>
    <t>E0348</t>
  </si>
  <si>
    <t>W0348</t>
  </si>
  <si>
    <t>E0349</t>
  </si>
  <si>
    <t>W0349</t>
  </si>
  <si>
    <t>E0350</t>
  </si>
  <si>
    <t>W0350</t>
  </si>
  <si>
    <t>E0351</t>
  </si>
  <si>
    <t>W0351</t>
  </si>
  <si>
    <t>E0352</t>
  </si>
  <si>
    <t>W0352</t>
  </si>
  <si>
    <t>E0353</t>
  </si>
  <si>
    <t>W0353</t>
  </si>
  <si>
    <t>E0354</t>
  </si>
  <si>
    <t>W0354</t>
  </si>
  <si>
    <t>E0355</t>
  </si>
  <si>
    <t>W0355</t>
  </si>
  <si>
    <t>E0356</t>
  </si>
  <si>
    <t>W0356</t>
  </si>
  <si>
    <t>E0357</t>
  </si>
  <si>
    <t>W0357</t>
  </si>
  <si>
    <t>E0358</t>
  </si>
  <si>
    <t>W0358</t>
  </si>
  <si>
    <t>E0359</t>
  </si>
  <si>
    <t>W0359</t>
  </si>
  <si>
    <t>E0360</t>
  </si>
  <si>
    <t>W0360</t>
  </si>
  <si>
    <t>E0361</t>
  </si>
  <si>
    <t>W0361</t>
  </si>
  <si>
    <t>E0362</t>
  </si>
  <si>
    <t>W0362</t>
  </si>
  <si>
    <t>E0363</t>
  </si>
  <si>
    <t>W0363</t>
  </si>
  <si>
    <t>E0364</t>
  </si>
  <si>
    <t>W0364</t>
  </si>
  <si>
    <t>E0365</t>
  </si>
  <si>
    <t>W0365</t>
  </si>
  <si>
    <t>E0366</t>
  </si>
  <si>
    <t>W0366</t>
  </si>
  <si>
    <t>E0367</t>
  </si>
  <si>
    <t>W0367</t>
  </si>
  <si>
    <t>E0368</t>
  </si>
  <si>
    <t>W0368</t>
  </si>
  <si>
    <t>E0369</t>
  </si>
  <si>
    <t>W0369</t>
  </si>
  <si>
    <t>E0370</t>
  </si>
  <si>
    <t>W0370</t>
  </si>
  <si>
    <t>E0371</t>
  </si>
  <si>
    <t>W0371</t>
  </si>
  <si>
    <t>E0372</t>
  </si>
  <si>
    <t>W0372</t>
  </si>
  <si>
    <t>E0373</t>
  </si>
  <si>
    <t>W0373</t>
  </si>
  <si>
    <t>E0374</t>
  </si>
  <si>
    <t>W0374</t>
  </si>
  <si>
    <t>E0375</t>
  </si>
  <si>
    <t>W0375</t>
  </si>
  <si>
    <t>E0376</t>
  </si>
  <si>
    <t>W0376</t>
  </si>
  <si>
    <t>E0377</t>
  </si>
  <si>
    <t>W0377</t>
  </si>
  <si>
    <t>E0378</t>
  </si>
  <si>
    <t>W0378</t>
  </si>
  <si>
    <t>E0379</t>
  </si>
  <si>
    <t>W0379</t>
  </si>
  <si>
    <t>E0380</t>
  </si>
  <si>
    <t>W0380</t>
  </si>
  <si>
    <t>E0381</t>
  </si>
  <si>
    <t>W0381</t>
  </si>
  <si>
    <t>E0382</t>
  </si>
  <si>
    <t>W0382</t>
  </si>
  <si>
    <t>E0383</t>
  </si>
  <si>
    <t>W0383</t>
  </si>
  <si>
    <t>E0384</t>
  </si>
  <si>
    <t>W0384</t>
  </si>
  <si>
    <t>E0385</t>
  </si>
  <si>
    <t>W0385</t>
  </si>
  <si>
    <t>Date</t>
  </si>
  <si>
    <t>Sheet</t>
  </si>
  <si>
    <t>Cell(s)</t>
  </si>
  <si>
    <t>Issue found</t>
  </si>
  <si>
    <t>Raw value</t>
  </si>
  <si>
    <t>Fixed value / action</t>
  </si>
  <si>
    <t>Events</t>
  </si>
  <si>
    <t>B183:B186</t>
  </si>
  <si>
    <t>E0182-E0185 tagged to wrong assets: lost_oil/stopped = 35 bbl/h (A010 capacity); Production reconciles only with A010</t>
  </si>
  <si>
    <t>A011, A012, A013, A014</t>
  </si>
  <si>
    <t>Production</t>
  </si>
  <si>
    <t>D7</t>
  </si>
  <si>
    <t>A001 2025-06 potential not equal to 720 h x 22 bbl/h</t>
  </si>
  <si>
    <t>D157</t>
  </si>
  <si>
    <t>A013 2025-12 potential not equal to 744 h x 21 bbl/h</t>
  </si>
  <si>
    <t>D83:D97; D191:D199</t>
  </si>
  <si>
    <t>24 end_utc values displayed date only (time hidden by Date format; underlying values were correct)</t>
  </si>
  <si>
    <t>Date format</t>
  </si>
  <si>
    <t>yyyy-mm-dd hh:mm format; values unchanged</t>
  </si>
  <si>
    <t>HSE</t>
  </si>
  <si>
    <t>Row 38</t>
  </si>
  <si>
    <t>Empty row at end of THSE table (duplicates were already removed: 36 unique rows)</t>
  </si>
  <si>
    <t>Blank table row</t>
  </si>
  <si>
    <t>Row deleted</t>
  </si>
  <si>
    <t>Downtime Analysis</t>
  </si>
  <si>
    <t>B1:B17; H5:H7; N2:N6; P1; R1; T1; V1; X1; Z1</t>
  </si>
  <si>
    <t>Formulas linked to a local file (C:/Users/freda/Downloads/CaseQuest2026Dataset_FINAL.xlsx) and broke on refresh</t>
  </si>
  <si>
    <t>External-link formulas</t>
  </si>
  <si>
    <t>Rewritten to use Events columns in this workbook; Data &gt; Workbook Links is now empty</t>
  </si>
  <si>
    <t>A11; B11</t>
  </si>
  <si>
    <t>Total impact did not reconcile with any definition</t>
  </si>
  <si>
    <t>5943392.2 (Total Estimated Financial Impact)</t>
  </si>
  <si>
    <t>5608389.6 = unplanned events only, Events!AD (Total Unplanned Estimated Financial Loss)</t>
  </si>
  <si>
    <t>B16; E3; B17; E4</t>
  </si>
  <si>
    <t>Seal leak loss overstated</t>
  </si>
  <si>
    <t>919690.56; combined 3216535.04</t>
  </si>
  <si>
    <t>917931.74; combined 3214776.22</t>
  </si>
  <si>
    <t>G5; J4; A17</t>
  </si>
  <si>
    <t>Label typos</t>
  </si>
  <si>
    <t>Electrical Tritp; Combined Mechnaical; Type Combined Mechanical Financial Loss ($)</t>
  </si>
  <si>
    <t>Electrical Trip; Combined Mechanical; Combined Mechanical Estimated Financial Loss ($)</t>
  </si>
  <si>
    <t>P2; R2; T2; V2; X2; Z2</t>
  </si>
  <si>
    <t>Unlabeled mechanical stage-hour cells in row 1</t>
  </si>
  <si>
    <t>No labels</t>
  </si>
  <si>
    <t>Labels added (parts wait, detection, repair, dispatch, restart, total)</t>
  </si>
  <si>
    <t>Solutions</t>
  </si>
  <si>
    <t>B3:D3; D4:I4; I5:N5; N6:S6; S7:X7</t>
  </si>
  <si>
    <t>Accidentally overwritten during this cleanup session (log text typed into wrong sheet)</t>
  </si>
  <si>
    <t>Original values</t>
  </si>
  <si>
    <t>Restored to original source values and checked cell by cell</t>
  </si>
  <si>
    <t>Readings; Events</t>
  </si>
  <si>
    <t>Readings quality; Events parts_usd</t>
  </si>
  <si>
    <t>Not changed per ReadMe: 339 Missing and 58 Suspect readings, 102 delayed readings, 161 legacy tags; 14 pending parts invoices</t>
  </si>
  <si>
    <t>n/a</t>
  </si>
  <si>
    <t>Cannot be restored; filter quality = Valid and keep pending invoices as unknown</t>
  </si>
  <si>
    <t>Sum of Loss</t>
  </si>
  <si>
    <t>Sum of stopped_hours</t>
  </si>
  <si>
    <t>Grand Total</t>
  </si>
  <si>
    <t>Sum of parts_wait_hours</t>
  </si>
  <si>
    <t>Bearing Wear Downtime (hours)</t>
  </si>
  <si>
    <t>Failure Cause</t>
  </si>
  <si>
    <t>Estimated Financial Loss ($)</t>
  </si>
  <si>
    <t>Downtime (Hours)</t>
  </si>
  <si>
    <t>Unrecovered Oil (Barrels)</t>
  </si>
  <si>
    <t xml:space="preserve">Failure Cause </t>
  </si>
  <si>
    <t xml:space="preserve">Unplanned Event Count </t>
  </si>
  <si>
    <t>Seal Leak Downtime (hours)</t>
  </si>
  <si>
    <t>Bearing Wear</t>
  </si>
  <si>
    <t>Mech. parts wait (h)</t>
  </si>
  <si>
    <t>Mech. detection (h)</t>
  </si>
  <si>
    <t>Mech. repair (h)</t>
  </si>
  <si>
    <t>Mech. dispatch (h)</t>
  </si>
  <si>
    <t>Mech. restart (h)</t>
  </si>
  <si>
    <t>Mech. total (h)</t>
  </si>
  <si>
    <t>Combined Mechanical Downtime (hours)</t>
  </si>
  <si>
    <t>Seal Leak</t>
  </si>
  <si>
    <t>Total Unplanned Downtime (hours)</t>
  </si>
  <si>
    <t>Combined Mechanical</t>
  </si>
  <si>
    <t>Electrical Trip</t>
  </si>
  <si>
    <t>Mechanical Downtime Percentage (%)</t>
  </si>
  <si>
    <t>Process Upset</t>
  </si>
  <si>
    <t xml:space="preserve">Bearing Wear Lost Oil (barrels) </t>
  </si>
  <si>
    <t xml:space="preserve">Process Upset </t>
  </si>
  <si>
    <t xml:space="preserve">Seal Leak Lost Oil (barrels) </t>
  </si>
  <si>
    <t xml:space="preserve">Combined Lost Oil (barrels) </t>
  </si>
  <si>
    <t>Total Unplanned Lost Oil (barrels)</t>
  </si>
  <si>
    <t>Mechanical Oil Loss Percentage (%)</t>
  </si>
  <si>
    <t>Total Unplanned Estimated Financial Loss ($)</t>
  </si>
  <si>
    <t xml:space="preserve">Bearing Wear Unrecovered Oil (barrels) </t>
  </si>
  <si>
    <t>Seal Leak Unrecovered Oil (barrels)</t>
  </si>
  <si>
    <t>Combined Unrecovered Oil (barrels)</t>
  </si>
  <si>
    <t>Bearing Wear Estimated Financial Loss ($)</t>
  </si>
  <si>
    <t>Seal Leak Estimated Financial Loss ($)</t>
  </si>
  <si>
    <t>Combined Mechanical Estimated Financial Loss ($)</t>
  </si>
  <si>
    <t>month</t>
  </si>
  <si>
    <t>calendar_hours</t>
  </si>
  <si>
    <t>potential_oil_bbl</t>
  </si>
  <si>
    <t>produced_oil_bbl</t>
  </si>
  <si>
    <t>gross_deferred_bbl</t>
  </si>
  <si>
    <t>recovered_oil_bbl</t>
  </si>
  <si>
    <t>price_usd_bbl</t>
  </si>
  <si>
    <t>variable_cost_usd_bbl</t>
  </si>
  <si>
    <t>reading_id</t>
  </si>
  <si>
    <t>asset_tag</t>
  </si>
  <si>
    <t>observed_utc</t>
  </si>
  <si>
    <t>received_utc</t>
  </si>
  <si>
    <t>vibration_mm_s</t>
  </si>
  <si>
    <t>temperature_c</t>
  </si>
  <si>
    <t>operating_state</t>
  </si>
  <si>
    <t>quality</t>
  </si>
  <si>
    <t>inspection_note</t>
  </si>
  <si>
    <t>R00001</t>
  </si>
  <si>
    <t>LEG-001</t>
  </si>
  <si>
    <t>Running</t>
  </si>
  <si>
    <t>Valid</t>
  </si>
  <si>
    <t>Routine inspection complete</t>
  </si>
  <si>
    <t>R00002</t>
  </si>
  <si>
    <t>R00003</t>
  </si>
  <si>
    <t>R00004</t>
  </si>
  <si>
    <t>R00005</t>
  </si>
  <si>
    <t>R00006</t>
  </si>
  <si>
    <t>R00007</t>
  </si>
  <si>
    <t>R00008</t>
  </si>
  <si>
    <t>R00009</t>
  </si>
  <si>
    <t>R00010</t>
  </si>
  <si>
    <t>R00011</t>
  </si>
  <si>
    <t>R00012</t>
  </si>
  <si>
    <t>R00013</t>
  </si>
  <si>
    <t>R00014</t>
  </si>
  <si>
    <t>R00015</t>
  </si>
  <si>
    <t>R00016</t>
  </si>
  <si>
    <t>R00017</t>
  </si>
  <si>
    <t>R00018</t>
  </si>
  <si>
    <t>R00019</t>
  </si>
  <si>
    <t>R00020</t>
  </si>
  <si>
    <t>R00021</t>
  </si>
  <si>
    <t>R00022</t>
  </si>
  <si>
    <t>R00023</t>
  </si>
  <si>
    <t>R00024</t>
  </si>
  <si>
    <t>R00025</t>
  </si>
  <si>
    <t>R00026</t>
  </si>
  <si>
    <t>R00027</t>
  </si>
  <si>
    <t>R00028</t>
  </si>
  <si>
    <t>R00029</t>
  </si>
  <si>
    <t>R00030</t>
  </si>
  <si>
    <t>R00031</t>
  </si>
  <si>
    <t>R00032</t>
  </si>
  <si>
    <t>R00033</t>
  </si>
  <si>
    <t>R00034</t>
  </si>
  <si>
    <t>R00035</t>
  </si>
  <si>
    <t>R00036</t>
  </si>
  <si>
    <t>R00037</t>
  </si>
  <si>
    <t>Suspect</t>
  </si>
  <si>
    <t>R00038</t>
  </si>
  <si>
    <t>R00039</t>
  </si>
  <si>
    <t>R00040</t>
  </si>
  <si>
    <t>R00041</t>
  </si>
  <si>
    <t>R00042</t>
  </si>
  <si>
    <t>R00043</t>
  </si>
  <si>
    <t>R00044</t>
  </si>
  <si>
    <t>R00045</t>
  </si>
  <si>
    <t>R00046</t>
  </si>
  <si>
    <t>R00047</t>
  </si>
  <si>
    <t>R00048</t>
  </si>
  <si>
    <t>R00049</t>
  </si>
  <si>
    <t>R00050</t>
  </si>
  <si>
    <t>R00051</t>
  </si>
  <si>
    <t>R00052</t>
  </si>
  <si>
    <t>R00053</t>
  </si>
  <si>
    <t>R00054</t>
  </si>
  <si>
    <t>R00055</t>
  </si>
  <si>
    <t>R00056</t>
  </si>
  <si>
    <t>R00057</t>
  </si>
  <si>
    <t>R00058</t>
  </si>
  <si>
    <t>R00059</t>
  </si>
  <si>
    <t>R00060</t>
  </si>
  <si>
    <t>R00061</t>
  </si>
  <si>
    <t>R00062</t>
  </si>
  <si>
    <t>R00063</t>
  </si>
  <si>
    <t>R00064</t>
  </si>
  <si>
    <t>R00065</t>
  </si>
  <si>
    <t>R00066</t>
  </si>
  <si>
    <t>R00067</t>
  </si>
  <si>
    <t>Operator noticed abnormal noise</t>
  </si>
  <si>
    <t>R00068</t>
  </si>
  <si>
    <t>R00069</t>
  </si>
  <si>
    <t>R00070</t>
  </si>
  <si>
    <t>R00071</t>
  </si>
  <si>
    <t>R00072</t>
  </si>
  <si>
    <t>R00073</t>
  </si>
  <si>
    <t>R00074</t>
  </si>
  <si>
    <t>R00075</t>
  </si>
  <si>
    <t>R00076</t>
  </si>
  <si>
    <t>R00077</t>
  </si>
  <si>
    <t>R00078</t>
  </si>
  <si>
    <t>R00079</t>
  </si>
  <si>
    <t>Missing</t>
  </si>
  <si>
    <t>R00080</t>
  </si>
  <si>
    <t>R00081</t>
  </si>
  <si>
    <t>R00082</t>
  </si>
  <si>
    <t>R00083</t>
  </si>
  <si>
    <t>R00084</t>
  </si>
  <si>
    <t>R00085</t>
  </si>
  <si>
    <t>R00086</t>
  </si>
  <si>
    <t>R00087</t>
  </si>
  <si>
    <t>R00088</t>
  </si>
  <si>
    <t>R00089</t>
  </si>
  <si>
    <t>R00090</t>
  </si>
  <si>
    <t>R00091</t>
  </si>
  <si>
    <t>R00092</t>
  </si>
  <si>
    <t>R00093</t>
  </si>
  <si>
    <t>R00094</t>
  </si>
  <si>
    <t>R00095</t>
  </si>
  <si>
    <t>R00096</t>
  </si>
  <si>
    <t>R00097</t>
  </si>
  <si>
    <t>R00098</t>
  </si>
  <si>
    <t>R00099</t>
  </si>
  <si>
    <t>R00100</t>
  </si>
  <si>
    <t>R00101</t>
  </si>
  <si>
    <t>R00102</t>
  </si>
  <si>
    <t>R00103</t>
  </si>
  <si>
    <t>R00104</t>
  </si>
  <si>
    <t>R00105</t>
  </si>
  <si>
    <t>R00106</t>
  </si>
  <si>
    <t>R00107</t>
  </si>
  <si>
    <t>R00108</t>
  </si>
  <si>
    <t>R00109</t>
  </si>
  <si>
    <t>R00110</t>
  </si>
  <si>
    <t>R00111</t>
  </si>
  <si>
    <t>R00112</t>
  </si>
  <si>
    <t>R00113</t>
  </si>
  <si>
    <t>R00114</t>
  </si>
  <si>
    <t>R00115</t>
  </si>
  <si>
    <t>R00116</t>
  </si>
  <si>
    <t>R00117</t>
  </si>
  <si>
    <t>R00118</t>
  </si>
  <si>
    <t>R00119</t>
  </si>
  <si>
    <t>R00120</t>
  </si>
  <si>
    <t>R00121</t>
  </si>
  <si>
    <t>R00122</t>
  </si>
  <si>
    <t>R00123</t>
  </si>
  <si>
    <t>R00124</t>
  </si>
  <si>
    <t>R00125</t>
  </si>
  <si>
    <t>R00126</t>
  </si>
  <si>
    <t>R00127</t>
  </si>
  <si>
    <t>R00128</t>
  </si>
  <si>
    <t>R00129</t>
  </si>
  <si>
    <t>R00130</t>
  </si>
  <si>
    <t>R00131</t>
  </si>
  <si>
    <t>R00132</t>
  </si>
  <si>
    <t>R00133</t>
  </si>
  <si>
    <t>R00134</t>
  </si>
  <si>
    <t>R00135</t>
  </si>
  <si>
    <t>R00136</t>
  </si>
  <si>
    <t>R00137</t>
  </si>
  <si>
    <t>R00138</t>
  </si>
  <si>
    <t>R00139</t>
  </si>
  <si>
    <t>R00140</t>
  </si>
  <si>
    <t>R00141</t>
  </si>
  <si>
    <t>R00142</t>
  </si>
  <si>
    <t>R00143</t>
  </si>
  <si>
    <t>R00144</t>
  </si>
  <si>
    <t>R00145</t>
  </si>
  <si>
    <t>R00146</t>
  </si>
  <si>
    <t>R00147</t>
  </si>
  <si>
    <t>R00148</t>
  </si>
  <si>
    <t>R00149</t>
  </si>
  <si>
    <t>R00150</t>
  </si>
  <si>
    <t>R00151</t>
  </si>
  <si>
    <t>R00152</t>
  </si>
  <si>
    <t>R00153</t>
  </si>
  <si>
    <t>R00154</t>
  </si>
  <si>
    <t>R00155</t>
  </si>
  <si>
    <t>R00156</t>
  </si>
  <si>
    <t>R00157</t>
  </si>
  <si>
    <t>R00158</t>
  </si>
  <si>
    <t>R00159</t>
  </si>
  <si>
    <t>R00160</t>
  </si>
  <si>
    <t>R00161</t>
  </si>
  <si>
    <t>R00162</t>
  </si>
  <si>
    <t>R00163</t>
  </si>
  <si>
    <t>R00164</t>
  </si>
  <si>
    <t>R00165</t>
  </si>
  <si>
    <t>R00166</t>
  </si>
  <si>
    <t>R00167</t>
  </si>
  <si>
    <t>R00168</t>
  </si>
  <si>
    <t>R00169</t>
  </si>
  <si>
    <t>R00170</t>
  </si>
  <si>
    <t>R00171</t>
  </si>
  <si>
    <t>R00172</t>
  </si>
  <si>
    <t>R00173</t>
  </si>
  <si>
    <t>R00174</t>
  </si>
  <si>
    <t>R00175</t>
  </si>
  <si>
    <t>R00176</t>
  </si>
  <si>
    <t>R00177</t>
  </si>
  <si>
    <t>R00178</t>
  </si>
  <si>
    <t>R00179</t>
  </si>
  <si>
    <t>R00180</t>
  </si>
  <si>
    <t>R00181</t>
  </si>
  <si>
    <t>R00182</t>
  </si>
  <si>
    <t>R00183</t>
  </si>
  <si>
    <t>R00184</t>
  </si>
  <si>
    <t>R00185</t>
  </si>
  <si>
    <t>R00186</t>
  </si>
  <si>
    <t>R00187</t>
  </si>
  <si>
    <t>Stopped</t>
  </si>
  <si>
    <t>R00188</t>
  </si>
  <si>
    <t>R00189</t>
  </si>
  <si>
    <t>R00190</t>
  </si>
  <si>
    <t>R00191</t>
  </si>
  <si>
    <t>R00192</t>
  </si>
  <si>
    <t>R00193</t>
  </si>
  <si>
    <t>R00194</t>
  </si>
  <si>
    <t>R00195</t>
  </si>
  <si>
    <t>R00196</t>
  </si>
  <si>
    <t>R00197</t>
  </si>
  <si>
    <t>R00198</t>
  </si>
  <si>
    <t>R00199</t>
  </si>
  <si>
    <t>R00200</t>
  </si>
  <si>
    <t>R00201</t>
  </si>
  <si>
    <t>R00202</t>
  </si>
  <si>
    <t>R00203</t>
  </si>
  <si>
    <t>R00204</t>
  </si>
  <si>
    <t>R00205</t>
  </si>
  <si>
    <t>R00206</t>
  </si>
  <si>
    <t>R00207</t>
  </si>
  <si>
    <t>R00208</t>
  </si>
  <si>
    <t>R00209</t>
  </si>
  <si>
    <t>R00210</t>
  </si>
  <si>
    <t>R00211</t>
  </si>
  <si>
    <t>R00212</t>
  </si>
  <si>
    <t>R00213</t>
  </si>
  <si>
    <t>R00214</t>
  </si>
  <si>
    <t>R00215</t>
  </si>
  <si>
    <t>R00216</t>
  </si>
  <si>
    <t>R00217</t>
  </si>
  <si>
    <t>R00218</t>
  </si>
  <si>
    <t>R00219</t>
  </si>
  <si>
    <t>R00220</t>
  </si>
  <si>
    <t>R00221</t>
  </si>
  <si>
    <t>R00222</t>
  </si>
  <si>
    <t>R00223</t>
  </si>
  <si>
    <t>R00224</t>
  </si>
  <si>
    <t>R00225</t>
  </si>
  <si>
    <t>R00226</t>
  </si>
  <si>
    <t>R00227</t>
  </si>
  <si>
    <t>R00228</t>
  </si>
  <si>
    <t>R00229</t>
  </si>
  <si>
    <t>R00230</t>
  </si>
  <si>
    <t>R00231</t>
  </si>
  <si>
    <t>R00232</t>
  </si>
  <si>
    <t>R00233</t>
  </si>
  <si>
    <t>R00234</t>
  </si>
  <si>
    <t>R00235</t>
  </si>
  <si>
    <t>R00236</t>
  </si>
  <si>
    <t>R00237</t>
  </si>
  <si>
    <t>R00238</t>
  </si>
  <si>
    <t>R00239</t>
  </si>
  <si>
    <t>R00240</t>
  </si>
  <si>
    <t>R00241</t>
  </si>
  <si>
    <t>R00242</t>
  </si>
  <si>
    <t>R00243</t>
  </si>
  <si>
    <t>R00244</t>
  </si>
  <si>
    <t>R00245</t>
  </si>
  <si>
    <t>R00246</t>
  </si>
  <si>
    <t>R00247</t>
  </si>
  <si>
    <t>R00248</t>
  </si>
  <si>
    <t>R00249</t>
  </si>
  <si>
    <t>R00250</t>
  </si>
  <si>
    <t>R00251</t>
  </si>
  <si>
    <t>R00252</t>
  </si>
  <si>
    <t>R00253</t>
  </si>
  <si>
    <t>R00254</t>
  </si>
  <si>
    <t>R00255</t>
  </si>
  <si>
    <t>R00256</t>
  </si>
  <si>
    <t>R00257</t>
  </si>
  <si>
    <t>R00258</t>
  </si>
  <si>
    <t>R00259</t>
  </si>
  <si>
    <t>R00260</t>
  </si>
  <si>
    <t>R00261</t>
  </si>
  <si>
    <t>R00262</t>
  </si>
  <si>
    <t>R00263</t>
  </si>
  <si>
    <t>R00264</t>
  </si>
  <si>
    <t>R00265</t>
  </si>
  <si>
    <t>R00266</t>
  </si>
  <si>
    <t>R00267</t>
  </si>
  <si>
    <t>R00268</t>
  </si>
  <si>
    <t>R00269</t>
  </si>
  <si>
    <t>R00270</t>
  </si>
  <si>
    <t>R00271</t>
  </si>
  <si>
    <t>R00272</t>
  </si>
  <si>
    <t>R00273</t>
  </si>
  <si>
    <t>R00274</t>
  </si>
  <si>
    <t>R00275</t>
  </si>
  <si>
    <t>R00276</t>
  </si>
  <si>
    <t>R00277</t>
  </si>
  <si>
    <t>R00278</t>
  </si>
  <si>
    <t>R00279</t>
  </si>
  <si>
    <t>R00280</t>
  </si>
  <si>
    <t>R00281</t>
  </si>
  <si>
    <t>R00282</t>
  </si>
  <si>
    <t>R00283</t>
  </si>
  <si>
    <t>R00284</t>
  </si>
  <si>
    <t>R00285</t>
  </si>
  <si>
    <t>R00286</t>
  </si>
  <si>
    <t>R00287</t>
  </si>
  <si>
    <t>R00288</t>
  </si>
  <si>
    <t>R00289</t>
  </si>
  <si>
    <t>R00290</t>
  </si>
  <si>
    <t>R00291</t>
  </si>
  <si>
    <t>R00292</t>
  </si>
  <si>
    <t>R00293</t>
  </si>
  <si>
    <t>R00294</t>
  </si>
  <si>
    <t>R00295</t>
  </si>
  <si>
    <t>R00296</t>
  </si>
  <si>
    <t>R00297</t>
  </si>
  <si>
    <t>R00298</t>
  </si>
  <si>
    <t>R00299</t>
  </si>
  <si>
    <t>R00300</t>
  </si>
  <si>
    <t>R00301</t>
  </si>
  <si>
    <t>R00302</t>
  </si>
  <si>
    <t>R00303</t>
  </si>
  <si>
    <t>R00304</t>
  </si>
  <si>
    <t>R00305</t>
  </si>
  <si>
    <t>R00306</t>
  </si>
  <si>
    <t>R00307</t>
  </si>
  <si>
    <t>R00308</t>
  </si>
  <si>
    <t>R00309</t>
  </si>
  <si>
    <t>R00310</t>
  </si>
  <si>
    <t>R00311</t>
  </si>
  <si>
    <t>R00312</t>
  </si>
  <si>
    <t>R00313</t>
  </si>
  <si>
    <t>R00314</t>
  </si>
  <si>
    <t>R00315</t>
  </si>
  <si>
    <t>R00316</t>
  </si>
  <si>
    <t>R00317</t>
  </si>
  <si>
    <t>R00318</t>
  </si>
  <si>
    <t>R00319</t>
  </si>
  <si>
    <t>R00320</t>
  </si>
  <si>
    <t>R00321</t>
  </si>
  <si>
    <t>R00322</t>
  </si>
  <si>
    <t>R00323</t>
  </si>
  <si>
    <t>R00324</t>
  </si>
  <si>
    <t>R00325</t>
  </si>
  <si>
    <t>R00326</t>
  </si>
  <si>
    <t>R00327</t>
  </si>
  <si>
    <t>R00328</t>
  </si>
  <si>
    <t>R00329</t>
  </si>
  <si>
    <t>R00330</t>
  </si>
  <si>
    <t>R00331</t>
  </si>
  <si>
    <t>R00332</t>
  </si>
  <si>
    <t>R00333</t>
  </si>
  <si>
    <t>R00334</t>
  </si>
  <si>
    <t>R00335</t>
  </si>
  <si>
    <t>R00336</t>
  </si>
  <si>
    <t>R00337</t>
  </si>
  <si>
    <t>R00338</t>
  </si>
  <si>
    <t>R00339</t>
  </si>
  <si>
    <t>R00340</t>
  </si>
  <si>
    <t>R00341</t>
  </si>
  <si>
    <t>R00342</t>
  </si>
  <si>
    <t>R00343</t>
  </si>
  <si>
    <t>R00344</t>
  </si>
  <si>
    <t>R00345</t>
  </si>
  <si>
    <t>R00346</t>
  </si>
  <si>
    <t>R00347</t>
  </si>
  <si>
    <t>R00348</t>
  </si>
  <si>
    <t>R00349</t>
  </si>
  <si>
    <t>R00350</t>
  </si>
  <si>
    <t>R00351</t>
  </si>
  <si>
    <t>R00352</t>
  </si>
  <si>
    <t>R00353</t>
  </si>
  <si>
    <t>R00354</t>
  </si>
  <si>
    <t>R00355</t>
  </si>
  <si>
    <t>R00356</t>
  </si>
  <si>
    <t>R00357</t>
  </si>
  <si>
    <t>R00358</t>
  </si>
  <si>
    <t>R00359</t>
  </si>
  <si>
    <t>R00360</t>
  </si>
  <si>
    <t>R00361</t>
  </si>
  <si>
    <t>R00362</t>
  </si>
  <si>
    <t>R00363</t>
  </si>
  <si>
    <t>R00364</t>
  </si>
  <si>
    <t>R00365</t>
  </si>
  <si>
    <t>R00366</t>
  </si>
  <si>
    <t>R00367</t>
  </si>
  <si>
    <t>R00368</t>
  </si>
  <si>
    <t>R00369</t>
  </si>
  <si>
    <t>R00370</t>
  </si>
  <si>
    <t>LEG-002</t>
  </si>
  <si>
    <t>R00371</t>
  </si>
  <si>
    <t>R00372</t>
  </si>
  <si>
    <t>R00373</t>
  </si>
  <si>
    <t>R00374</t>
  </si>
  <si>
    <t>R00375</t>
  </si>
  <si>
    <t>R00376</t>
  </si>
  <si>
    <t>R00377</t>
  </si>
  <si>
    <t>R00378</t>
  </si>
  <si>
    <t>R00379</t>
  </si>
  <si>
    <t>R00380</t>
  </si>
  <si>
    <t>R00381</t>
  </si>
  <si>
    <t>R00382</t>
  </si>
  <si>
    <t>R00383</t>
  </si>
  <si>
    <t>R00384</t>
  </si>
  <si>
    <t>R00385</t>
  </si>
  <si>
    <t>R00386</t>
  </si>
  <si>
    <t>R00387</t>
  </si>
  <si>
    <t>R00388</t>
  </si>
  <si>
    <t>R00389</t>
  </si>
  <si>
    <t>R00390</t>
  </si>
  <si>
    <t>R00391</t>
  </si>
  <si>
    <t>R00392</t>
  </si>
  <si>
    <t>R00393</t>
  </si>
  <si>
    <t>R00394</t>
  </si>
  <si>
    <t>R00395</t>
  </si>
  <si>
    <t>R00396</t>
  </si>
  <si>
    <t>R00397</t>
  </si>
  <si>
    <t>R00398</t>
  </si>
  <si>
    <t>R00399</t>
  </si>
  <si>
    <t>R00400</t>
  </si>
  <si>
    <t>R00401</t>
  </si>
  <si>
    <t>R00402</t>
  </si>
  <si>
    <t>R00403</t>
  </si>
  <si>
    <t>R00404</t>
  </si>
  <si>
    <t>R00405</t>
  </si>
  <si>
    <t>R00406</t>
  </si>
  <si>
    <t>R00407</t>
  </si>
  <si>
    <t>R00408</t>
  </si>
  <si>
    <t>R00409</t>
  </si>
  <si>
    <t>R00410</t>
  </si>
  <si>
    <t>R00411</t>
  </si>
  <si>
    <t>R00412</t>
  </si>
  <si>
    <t>R00413</t>
  </si>
  <si>
    <t>R00414</t>
  </si>
  <si>
    <t>R00415</t>
  </si>
  <si>
    <t>R00416</t>
  </si>
  <si>
    <t>R00417</t>
  </si>
  <si>
    <t>R00418</t>
  </si>
  <si>
    <t>R00419</t>
  </si>
  <si>
    <t>R00420</t>
  </si>
  <si>
    <t>R00421</t>
  </si>
  <si>
    <t>R00422</t>
  </si>
  <si>
    <t>R00423</t>
  </si>
  <si>
    <t>R00424</t>
  </si>
  <si>
    <t>R00425</t>
  </si>
  <si>
    <t>R00426</t>
  </si>
  <si>
    <t>R00427</t>
  </si>
  <si>
    <t>R00428</t>
  </si>
  <si>
    <t>R00429</t>
  </si>
  <si>
    <t>R00430</t>
  </si>
  <si>
    <t>R00431</t>
  </si>
  <si>
    <t>R00432</t>
  </si>
  <si>
    <t>R00433</t>
  </si>
  <si>
    <t>R00434</t>
  </si>
  <si>
    <t>R00435</t>
  </si>
  <si>
    <t>R00436</t>
  </si>
  <si>
    <t>R00437</t>
  </si>
  <si>
    <t>R00438</t>
  </si>
  <si>
    <t>R00439</t>
  </si>
  <si>
    <t>R00440</t>
  </si>
  <si>
    <t>R00441</t>
  </si>
  <si>
    <t>R00442</t>
  </si>
  <si>
    <t>R00443</t>
  </si>
  <si>
    <t>R00444</t>
  </si>
  <si>
    <t>R00445</t>
  </si>
  <si>
    <t>R00446</t>
  </si>
  <si>
    <t>R00447</t>
  </si>
  <si>
    <t>R00448</t>
  </si>
  <si>
    <t>R00449</t>
  </si>
  <si>
    <t>R00450</t>
  </si>
  <si>
    <t>R00451</t>
  </si>
  <si>
    <t>R00452</t>
  </si>
  <si>
    <t>R00453</t>
  </si>
  <si>
    <t>R00454</t>
  </si>
  <si>
    <t>R00455</t>
  </si>
  <si>
    <t>R00456</t>
  </si>
  <si>
    <t>R00457</t>
  </si>
  <si>
    <t>R00458</t>
  </si>
  <si>
    <t>R00459</t>
  </si>
  <si>
    <t>R00460</t>
  </si>
  <si>
    <t>R00461</t>
  </si>
  <si>
    <t>R00462</t>
  </si>
  <si>
    <t>R00463</t>
  </si>
  <si>
    <t>R00464</t>
  </si>
  <si>
    <t>R00465</t>
  </si>
  <si>
    <t>R00466</t>
  </si>
  <si>
    <t>R00467</t>
  </si>
  <si>
    <t>R00468</t>
  </si>
  <si>
    <t>R00469</t>
  </si>
  <si>
    <t>R00470</t>
  </si>
  <si>
    <t>R00471</t>
  </si>
  <si>
    <t>R00472</t>
  </si>
  <si>
    <t>R00473</t>
  </si>
  <si>
    <t>R00474</t>
  </si>
  <si>
    <t>R00475</t>
  </si>
  <si>
    <t>R00476</t>
  </si>
  <si>
    <t>R00477</t>
  </si>
  <si>
    <t>R00478</t>
  </si>
  <si>
    <t>R00479</t>
  </si>
  <si>
    <t>R00480</t>
  </si>
  <si>
    <t>R00481</t>
  </si>
  <si>
    <t>R00482</t>
  </si>
  <si>
    <t>R00483</t>
  </si>
  <si>
    <t>R00484</t>
  </si>
  <si>
    <t>R00485</t>
  </si>
  <si>
    <t>R00486</t>
  </si>
  <si>
    <t>R00487</t>
  </si>
  <si>
    <t>R00488</t>
  </si>
  <si>
    <t>R00489</t>
  </si>
  <si>
    <t>R00490</t>
  </si>
  <si>
    <t>R00491</t>
  </si>
  <si>
    <t>R00492</t>
  </si>
  <si>
    <t>R00493</t>
  </si>
  <si>
    <t>R00494</t>
  </si>
  <si>
    <t>R00495</t>
  </si>
  <si>
    <t>R00496</t>
  </si>
  <si>
    <t>R00497</t>
  </si>
  <si>
    <t>R00498</t>
  </si>
  <si>
    <t>R00499</t>
  </si>
  <si>
    <t>R00500</t>
  </si>
  <si>
    <t>R00501</t>
  </si>
  <si>
    <t>R00502</t>
  </si>
  <si>
    <t>R00503</t>
  </si>
  <si>
    <t>R00504</t>
  </si>
  <si>
    <t>R00505</t>
  </si>
  <si>
    <t>R00506</t>
  </si>
  <si>
    <t>R00507</t>
  </si>
  <si>
    <t>R00508</t>
  </si>
  <si>
    <t>R00509</t>
  </si>
  <si>
    <t>R00510</t>
  </si>
  <si>
    <t>R00511</t>
  </si>
  <si>
    <t>R00512</t>
  </si>
  <si>
    <t>R00513</t>
  </si>
  <si>
    <t>R00514</t>
  </si>
  <si>
    <t>R00515</t>
  </si>
  <si>
    <t>R00516</t>
  </si>
  <si>
    <t>R00517</t>
  </si>
  <si>
    <t>R00518</t>
  </si>
  <si>
    <t>R00519</t>
  </si>
  <si>
    <t>R00520</t>
  </si>
  <si>
    <t>R00521</t>
  </si>
  <si>
    <t>R00522</t>
  </si>
  <si>
    <t>R00523</t>
  </si>
  <si>
    <t>R00524</t>
  </si>
  <si>
    <t>R00525</t>
  </si>
  <si>
    <t>R00526</t>
  </si>
  <si>
    <t>R00527</t>
  </si>
  <si>
    <t>R00528</t>
  </si>
  <si>
    <t>R00529</t>
  </si>
  <si>
    <t>R00530</t>
  </si>
  <si>
    <t>R00531</t>
  </si>
  <si>
    <t>R00532</t>
  </si>
  <si>
    <t>R00533</t>
  </si>
  <si>
    <t>R00534</t>
  </si>
  <si>
    <t>R00535</t>
  </si>
  <si>
    <t>R00536</t>
  </si>
  <si>
    <t>R00537</t>
  </si>
  <si>
    <t>R00538</t>
  </si>
  <si>
    <t>R00539</t>
  </si>
  <si>
    <t>R00540</t>
  </si>
  <si>
    <t>R00541</t>
  </si>
  <si>
    <t>R00542</t>
  </si>
  <si>
    <t>R00543</t>
  </si>
  <si>
    <t>R00544</t>
  </si>
  <si>
    <t>R00545</t>
  </si>
  <si>
    <t>R00546</t>
  </si>
  <si>
    <t>R00547</t>
  </si>
  <si>
    <t>R00548</t>
  </si>
  <si>
    <t>R00549</t>
  </si>
  <si>
    <t>R00550</t>
  </si>
  <si>
    <t>R00551</t>
  </si>
  <si>
    <t>R00552</t>
  </si>
  <si>
    <t>R00553</t>
  </si>
  <si>
    <t>R00554</t>
  </si>
  <si>
    <t>R00555</t>
  </si>
  <si>
    <t>R00556</t>
  </si>
  <si>
    <t>R00557</t>
  </si>
  <si>
    <t>R00558</t>
  </si>
  <si>
    <t>R00559</t>
  </si>
  <si>
    <t>R00560</t>
  </si>
  <si>
    <t>R00561</t>
  </si>
  <si>
    <t>R00562</t>
  </si>
  <si>
    <t>R00563</t>
  </si>
  <si>
    <t>R00564</t>
  </si>
  <si>
    <t>R00565</t>
  </si>
  <si>
    <t>R00566</t>
  </si>
  <si>
    <t>R00567</t>
  </si>
  <si>
    <t>R00568</t>
  </si>
  <si>
    <t>R00569</t>
  </si>
  <si>
    <t>R00570</t>
  </si>
  <si>
    <t>R00571</t>
  </si>
  <si>
    <t>R00572</t>
  </si>
  <si>
    <t>R00573</t>
  </si>
  <si>
    <t>R00574</t>
  </si>
  <si>
    <t>R00575</t>
  </si>
  <si>
    <t>R00576</t>
  </si>
  <si>
    <t>R00577</t>
  </si>
  <si>
    <t>R00578</t>
  </si>
  <si>
    <t>R00579</t>
  </si>
  <si>
    <t>R00580</t>
  </si>
  <si>
    <t>R00581</t>
  </si>
  <si>
    <t>R00582</t>
  </si>
  <si>
    <t>R00583</t>
  </si>
  <si>
    <t>R00584</t>
  </si>
  <si>
    <t>R00585</t>
  </si>
  <si>
    <t>R00586</t>
  </si>
  <si>
    <t>R00587</t>
  </si>
  <si>
    <t>R00588</t>
  </si>
  <si>
    <t>R00589</t>
  </si>
  <si>
    <t>R00590</t>
  </si>
  <si>
    <t>R00591</t>
  </si>
  <si>
    <t>R00592</t>
  </si>
  <si>
    <t>R00593</t>
  </si>
  <si>
    <t>R00594</t>
  </si>
  <si>
    <t>R00595</t>
  </si>
  <si>
    <t>R00596</t>
  </si>
  <si>
    <t>R00597</t>
  </si>
  <si>
    <t>R00598</t>
  </si>
  <si>
    <t>R00599</t>
  </si>
  <si>
    <t>R00600</t>
  </si>
  <si>
    <t>R00601</t>
  </si>
  <si>
    <t>R00602</t>
  </si>
  <si>
    <t>R00603</t>
  </si>
  <si>
    <t>R00604</t>
  </si>
  <si>
    <t>R00605</t>
  </si>
  <si>
    <t>R00606</t>
  </si>
  <si>
    <t>R00607</t>
  </si>
  <si>
    <t>R00608</t>
  </si>
  <si>
    <t>R00609</t>
  </si>
  <si>
    <t>R00610</t>
  </si>
  <si>
    <t>R00611</t>
  </si>
  <si>
    <t>R00612</t>
  </si>
  <si>
    <t>R00613</t>
  </si>
  <si>
    <t>R00614</t>
  </si>
  <si>
    <t>R00615</t>
  </si>
  <si>
    <t>R00616</t>
  </si>
  <si>
    <t>R00617</t>
  </si>
  <si>
    <t>R00618</t>
  </si>
  <si>
    <t>R00619</t>
  </si>
  <si>
    <t>R00620</t>
  </si>
  <si>
    <t>R00621</t>
  </si>
  <si>
    <t>R00622</t>
  </si>
  <si>
    <t>R00623</t>
  </si>
  <si>
    <t>R00624</t>
  </si>
  <si>
    <t>R00625</t>
  </si>
  <si>
    <t>R00626</t>
  </si>
  <si>
    <t>R00627</t>
  </si>
  <si>
    <t>R00628</t>
  </si>
  <si>
    <t>R00629</t>
  </si>
  <si>
    <t>R00630</t>
  </si>
  <si>
    <t>R00631</t>
  </si>
  <si>
    <t>R00632</t>
  </si>
  <si>
    <t>R00633</t>
  </si>
  <si>
    <t>R00634</t>
  </si>
  <si>
    <t>R00635</t>
  </si>
  <si>
    <t>R00636</t>
  </si>
  <si>
    <t>R00637</t>
  </si>
  <si>
    <t>R00638</t>
  </si>
  <si>
    <t>R00639</t>
  </si>
  <si>
    <t>R00640</t>
  </si>
  <si>
    <t>R00641</t>
  </si>
  <si>
    <t>R00642</t>
  </si>
  <si>
    <t>R00643</t>
  </si>
  <si>
    <t>R00644</t>
  </si>
  <si>
    <t>R00645</t>
  </si>
  <si>
    <t>R00646</t>
  </si>
  <si>
    <t>R00647</t>
  </si>
  <si>
    <t>R00648</t>
  </si>
  <si>
    <t>R00649</t>
  </si>
  <si>
    <t>R00650</t>
  </si>
  <si>
    <t>R00651</t>
  </si>
  <si>
    <t>R00652</t>
  </si>
  <si>
    <t>R00653</t>
  </si>
  <si>
    <t>R00654</t>
  </si>
  <si>
    <t>R00655</t>
  </si>
  <si>
    <t>R00656</t>
  </si>
  <si>
    <t>R00657</t>
  </si>
  <si>
    <t>R00658</t>
  </si>
  <si>
    <t>R00659</t>
  </si>
  <si>
    <t>R00660</t>
  </si>
  <si>
    <t>R00661</t>
  </si>
  <si>
    <t>R00662</t>
  </si>
  <si>
    <t>R00663</t>
  </si>
  <si>
    <t>R00664</t>
  </si>
  <si>
    <t>R00665</t>
  </si>
  <si>
    <t>R00666</t>
  </si>
  <si>
    <t>R00667</t>
  </si>
  <si>
    <t>R00668</t>
  </si>
  <si>
    <t>R00669</t>
  </si>
  <si>
    <t>R00670</t>
  </si>
  <si>
    <t>R00671</t>
  </si>
  <si>
    <t>R00672</t>
  </si>
  <si>
    <t>R00673</t>
  </si>
  <si>
    <t>R00674</t>
  </si>
  <si>
    <t>R00675</t>
  </si>
  <si>
    <t>R00676</t>
  </si>
  <si>
    <t>R00677</t>
  </si>
  <si>
    <t>R00678</t>
  </si>
  <si>
    <t>R00679</t>
  </si>
  <si>
    <t>R00680</t>
  </si>
  <si>
    <t>R00681</t>
  </si>
  <si>
    <t>R00682</t>
  </si>
  <si>
    <t>R00683</t>
  </si>
  <si>
    <t>R00684</t>
  </si>
  <si>
    <t>R00685</t>
  </si>
  <si>
    <t>R00686</t>
  </si>
  <si>
    <t>R00687</t>
  </si>
  <si>
    <t>R00688</t>
  </si>
  <si>
    <t>R00689</t>
  </si>
  <si>
    <t>R00690</t>
  </si>
  <si>
    <t>R00691</t>
  </si>
  <si>
    <t>R00692</t>
  </si>
  <si>
    <t>R00693</t>
  </si>
  <si>
    <t>R00694</t>
  </si>
  <si>
    <t>R00695</t>
  </si>
  <si>
    <t>R00696</t>
  </si>
  <si>
    <t>R00697</t>
  </si>
  <si>
    <t>R00698</t>
  </si>
  <si>
    <t>R00699</t>
  </si>
  <si>
    <t>R00700</t>
  </si>
  <si>
    <t>R00701</t>
  </si>
  <si>
    <t>R00702</t>
  </si>
  <si>
    <t>R00703</t>
  </si>
  <si>
    <t>R00704</t>
  </si>
  <si>
    <t>R00705</t>
  </si>
  <si>
    <t>R00706</t>
  </si>
  <si>
    <t>R00707</t>
  </si>
  <si>
    <t>R00708</t>
  </si>
  <si>
    <t>R00709</t>
  </si>
  <si>
    <t>R00710</t>
  </si>
  <si>
    <t>R00711</t>
  </si>
  <si>
    <t>R00712</t>
  </si>
  <si>
    <t>R00713</t>
  </si>
  <si>
    <t>R00714</t>
  </si>
  <si>
    <t>R00715</t>
  </si>
  <si>
    <t>R00716</t>
  </si>
  <si>
    <t>R00717</t>
  </si>
  <si>
    <t>R00718</t>
  </si>
  <si>
    <t>R00719</t>
  </si>
  <si>
    <t>R00720</t>
  </si>
  <si>
    <t>R00721</t>
  </si>
  <si>
    <t>R00722</t>
  </si>
  <si>
    <t>R00723</t>
  </si>
  <si>
    <t>R00724</t>
  </si>
  <si>
    <t>R00725</t>
  </si>
  <si>
    <t>R00726</t>
  </si>
  <si>
    <t>R00727</t>
  </si>
  <si>
    <t>R00728</t>
  </si>
  <si>
    <t>R00729</t>
  </si>
  <si>
    <t>R00730</t>
  </si>
  <si>
    <t>R00731</t>
  </si>
  <si>
    <t>R00732</t>
  </si>
  <si>
    <t>R00733</t>
  </si>
  <si>
    <t>R00734</t>
  </si>
  <si>
    <t>R00735</t>
  </si>
  <si>
    <t>R00736</t>
  </si>
  <si>
    <t>R00737</t>
  </si>
  <si>
    <t>R00738</t>
  </si>
  <si>
    <t>R00739</t>
  </si>
  <si>
    <t>LEG-003</t>
  </si>
  <si>
    <t>R00740</t>
  </si>
  <si>
    <t>R00741</t>
  </si>
  <si>
    <t>R00742</t>
  </si>
  <si>
    <t>R00743</t>
  </si>
  <si>
    <t>R00744</t>
  </si>
  <si>
    <t>R00745</t>
  </si>
  <si>
    <t>R00746</t>
  </si>
  <si>
    <t>R00747</t>
  </si>
  <si>
    <t>R00748</t>
  </si>
  <si>
    <t>R00749</t>
  </si>
  <si>
    <t>R00750</t>
  </si>
  <si>
    <t>R00751</t>
  </si>
  <si>
    <t>R00752</t>
  </si>
  <si>
    <t>R00753</t>
  </si>
  <si>
    <t>R00754</t>
  </si>
  <si>
    <t>R00755</t>
  </si>
  <si>
    <t>R00756</t>
  </si>
  <si>
    <t>R00757</t>
  </si>
  <si>
    <t>R00758</t>
  </si>
  <si>
    <t>R00759</t>
  </si>
  <si>
    <t>R00760</t>
  </si>
  <si>
    <t>R00761</t>
  </si>
  <si>
    <t>R00762</t>
  </si>
  <si>
    <t>R00763</t>
  </si>
  <si>
    <t>R00764</t>
  </si>
  <si>
    <t>R00765</t>
  </si>
  <si>
    <t>R00766</t>
  </si>
  <si>
    <t>R00767</t>
  </si>
  <si>
    <t>R00768</t>
  </si>
  <si>
    <t>R00769</t>
  </si>
  <si>
    <t>R00770</t>
  </si>
  <si>
    <t>R00771</t>
  </si>
  <si>
    <t>R00772</t>
  </si>
  <si>
    <t>R00773</t>
  </si>
  <si>
    <t>R00774</t>
  </si>
  <si>
    <t>R00775</t>
  </si>
  <si>
    <t>R00776</t>
  </si>
  <si>
    <t>R00777</t>
  </si>
  <si>
    <t>R00778</t>
  </si>
  <si>
    <t>R00779</t>
  </si>
  <si>
    <t>R00780</t>
  </si>
  <si>
    <t>R00781</t>
  </si>
  <si>
    <t>R00782</t>
  </si>
  <si>
    <t>R00783</t>
  </si>
  <si>
    <t>R00784</t>
  </si>
  <si>
    <t>R00785</t>
  </si>
  <si>
    <t>R00786</t>
  </si>
  <si>
    <t>R00787</t>
  </si>
  <si>
    <t>R00788</t>
  </si>
  <si>
    <t>R00789</t>
  </si>
  <si>
    <t>R00790</t>
  </si>
  <si>
    <t>R00791</t>
  </si>
  <si>
    <t>R00792</t>
  </si>
  <si>
    <t>R00793</t>
  </si>
  <si>
    <t>R00794</t>
  </si>
  <si>
    <t>R00795</t>
  </si>
  <si>
    <t>R00796</t>
  </si>
  <si>
    <t>R00797</t>
  </si>
  <si>
    <t>R00798</t>
  </si>
  <si>
    <t>R00799</t>
  </si>
  <si>
    <t>R00800</t>
  </si>
  <si>
    <t>R00801</t>
  </si>
  <si>
    <t>R00802</t>
  </si>
  <si>
    <t>R00803</t>
  </si>
  <si>
    <t>R00804</t>
  </si>
  <si>
    <t>R00805</t>
  </si>
  <si>
    <t>R00806</t>
  </si>
  <si>
    <t>R00807</t>
  </si>
  <si>
    <t>R00808</t>
  </si>
  <si>
    <t>R00809</t>
  </si>
  <si>
    <t>R00810</t>
  </si>
  <si>
    <t>R00811</t>
  </si>
  <si>
    <t>R00812</t>
  </si>
  <si>
    <t>R00813</t>
  </si>
  <si>
    <t>R00814</t>
  </si>
  <si>
    <t>R00815</t>
  </si>
  <si>
    <t>R00816</t>
  </si>
  <si>
    <t>R00817</t>
  </si>
  <si>
    <t>R00818</t>
  </si>
  <si>
    <t>R00819</t>
  </si>
  <si>
    <t>R00820</t>
  </si>
  <si>
    <t>R00821</t>
  </si>
  <si>
    <t>R00822</t>
  </si>
  <si>
    <t>R00823</t>
  </si>
  <si>
    <t>R00824</t>
  </si>
  <si>
    <t>R00825</t>
  </si>
  <si>
    <t>R00826</t>
  </si>
  <si>
    <t>R00827</t>
  </si>
  <si>
    <t>R00828</t>
  </si>
  <si>
    <t>R00829</t>
  </si>
  <si>
    <t>R00830</t>
  </si>
  <si>
    <t>R00831</t>
  </si>
  <si>
    <t>R00832</t>
  </si>
  <si>
    <t>R00833</t>
  </si>
  <si>
    <t>R00834</t>
  </si>
  <si>
    <t>R00835</t>
  </si>
  <si>
    <t>R00836</t>
  </si>
  <si>
    <t>R00837</t>
  </si>
  <si>
    <t>R00838</t>
  </si>
  <si>
    <t>R00839</t>
  </si>
  <si>
    <t>R00840</t>
  </si>
  <si>
    <t>R00841</t>
  </si>
  <si>
    <t>R00842</t>
  </si>
  <si>
    <t>R00843</t>
  </si>
  <si>
    <t>R00844</t>
  </si>
  <si>
    <t>R00845</t>
  </si>
  <si>
    <t>R00846</t>
  </si>
  <si>
    <t>R00847</t>
  </si>
  <si>
    <t>R00848</t>
  </si>
  <si>
    <t>R00849</t>
  </si>
  <si>
    <t>R00850</t>
  </si>
  <si>
    <t>R00851</t>
  </si>
  <si>
    <t>R00852</t>
  </si>
  <si>
    <t>R00853</t>
  </si>
  <si>
    <t>R00854</t>
  </si>
  <si>
    <t>R00855</t>
  </si>
  <si>
    <t>R00856</t>
  </si>
  <si>
    <t>R00857</t>
  </si>
  <si>
    <t>R00858</t>
  </si>
  <si>
    <t>R00859</t>
  </si>
  <si>
    <t>R00860</t>
  </si>
  <si>
    <t>R00861</t>
  </si>
  <si>
    <t>R00862</t>
  </si>
  <si>
    <t>R00863</t>
  </si>
  <si>
    <t>R00864</t>
  </si>
  <si>
    <t>R00865</t>
  </si>
  <si>
    <t>R00866</t>
  </si>
  <si>
    <t>R00867</t>
  </si>
  <si>
    <t>R00868</t>
  </si>
  <si>
    <t>R00869</t>
  </si>
  <si>
    <t>R00870</t>
  </si>
  <si>
    <t>R00871</t>
  </si>
  <si>
    <t>R00872</t>
  </si>
  <si>
    <t>R00873</t>
  </si>
  <si>
    <t>R00874</t>
  </si>
  <si>
    <t>R00875</t>
  </si>
  <si>
    <t>R00876</t>
  </si>
  <si>
    <t>R00877</t>
  </si>
  <si>
    <t>R00878</t>
  </si>
  <si>
    <t>R00879</t>
  </si>
  <si>
    <t>R00880</t>
  </si>
  <si>
    <t>R00881</t>
  </si>
  <si>
    <t>R00882</t>
  </si>
  <si>
    <t>R00883</t>
  </si>
  <si>
    <t>R00884</t>
  </si>
  <si>
    <t>R00885</t>
  </si>
  <si>
    <t>R00886</t>
  </si>
  <si>
    <t>R00887</t>
  </si>
  <si>
    <t>R00888</t>
  </si>
  <si>
    <t>R00889</t>
  </si>
  <si>
    <t>R00890</t>
  </si>
  <si>
    <t>R00891</t>
  </si>
  <si>
    <t>R00892</t>
  </si>
  <si>
    <t>R00893</t>
  </si>
  <si>
    <t>R00894</t>
  </si>
  <si>
    <t>R00895</t>
  </si>
  <si>
    <t>R00896</t>
  </si>
  <si>
    <t>R00897</t>
  </si>
  <si>
    <t>R00898</t>
  </si>
  <si>
    <t>R00899</t>
  </si>
  <si>
    <t>R00900</t>
  </si>
  <si>
    <t>R00901</t>
  </si>
  <si>
    <t>R00902</t>
  </si>
  <si>
    <t>R00903</t>
  </si>
  <si>
    <t>R00904</t>
  </si>
  <si>
    <t>R00905</t>
  </si>
  <si>
    <t>R00906</t>
  </si>
  <si>
    <t>R00907</t>
  </si>
  <si>
    <t>R00908</t>
  </si>
  <si>
    <t>R00909</t>
  </si>
  <si>
    <t>R00910</t>
  </si>
  <si>
    <t>R00911</t>
  </si>
  <si>
    <t>R00912</t>
  </si>
  <si>
    <t>R00913</t>
  </si>
  <si>
    <t>R00914</t>
  </si>
  <si>
    <t>R00915</t>
  </si>
  <si>
    <t>R00916</t>
  </si>
  <si>
    <t>R00917</t>
  </si>
  <si>
    <t>R00918</t>
  </si>
  <si>
    <t>R00919</t>
  </si>
  <si>
    <t>R00920</t>
  </si>
  <si>
    <t>R00921</t>
  </si>
  <si>
    <t>R00922</t>
  </si>
  <si>
    <t>R00923</t>
  </si>
  <si>
    <t>R00924</t>
  </si>
  <si>
    <t>R00925</t>
  </si>
  <si>
    <t>R00926</t>
  </si>
  <si>
    <t>R00927</t>
  </si>
  <si>
    <t>R00928</t>
  </si>
  <si>
    <t>R00929</t>
  </si>
  <si>
    <t>R00930</t>
  </si>
  <si>
    <t>R00931</t>
  </si>
  <si>
    <t>R00932</t>
  </si>
  <si>
    <t>R00933</t>
  </si>
  <si>
    <t>R00934</t>
  </si>
  <si>
    <t>R00935</t>
  </si>
  <si>
    <t>R00936</t>
  </si>
  <si>
    <t>R00937</t>
  </si>
  <si>
    <t>R00938</t>
  </si>
  <si>
    <t>R00939</t>
  </si>
  <si>
    <t>R00940</t>
  </si>
  <si>
    <t>R00941</t>
  </si>
  <si>
    <t>R00942</t>
  </si>
  <si>
    <t>R00943</t>
  </si>
  <si>
    <t>R00944</t>
  </si>
  <si>
    <t>R00945</t>
  </si>
  <si>
    <t>R00946</t>
  </si>
  <si>
    <t>R00947</t>
  </si>
  <si>
    <t>R00948</t>
  </si>
  <si>
    <t>R00949</t>
  </si>
  <si>
    <t>R00950</t>
  </si>
  <si>
    <t>R00951</t>
  </si>
  <si>
    <t>R00952</t>
  </si>
  <si>
    <t>R00953</t>
  </si>
  <si>
    <t>R00954</t>
  </si>
  <si>
    <t>R00955</t>
  </si>
  <si>
    <t>R00956</t>
  </si>
  <si>
    <t>R00957</t>
  </si>
  <si>
    <t>R00958</t>
  </si>
  <si>
    <t>R00959</t>
  </si>
  <si>
    <t>R00960</t>
  </si>
  <si>
    <t>R00961</t>
  </si>
  <si>
    <t>R00962</t>
  </si>
  <si>
    <t>R00963</t>
  </si>
  <si>
    <t>R00964</t>
  </si>
  <si>
    <t>R00965</t>
  </si>
  <si>
    <t>R00966</t>
  </si>
  <si>
    <t>R00967</t>
  </si>
  <si>
    <t>R00968</t>
  </si>
  <si>
    <t>R00969</t>
  </si>
  <si>
    <t>R00970</t>
  </si>
  <si>
    <t>R00971</t>
  </si>
  <si>
    <t>R00972</t>
  </si>
  <si>
    <t>R00973</t>
  </si>
  <si>
    <t>R00974</t>
  </si>
  <si>
    <t>R00975</t>
  </si>
  <si>
    <t>R00976</t>
  </si>
  <si>
    <t>R00977</t>
  </si>
  <si>
    <t>R00978</t>
  </si>
  <si>
    <t>R00979</t>
  </si>
  <si>
    <t>R00980</t>
  </si>
  <si>
    <t>R00981</t>
  </si>
  <si>
    <t>R00982</t>
  </si>
  <si>
    <t>R00983</t>
  </si>
  <si>
    <t>R00984</t>
  </si>
  <si>
    <t>R00985</t>
  </si>
  <si>
    <t>R00986</t>
  </si>
  <si>
    <t>R00987</t>
  </si>
  <si>
    <t>R00988</t>
  </si>
  <si>
    <t>R00989</t>
  </si>
  <si>
    <t>R00990</t>
  </si>
  <si>
    <t>R00991</t>
  </si>
  <si>
    <t>R00992</t>
  </si>
  <si>
    <t>R00993</t>
  </si>
  <si>
    <t>R00994</t>
  </si>
  <si>
    <t>R00995</t>
  </si>
  <si>
    <t>R00996</t>
  </si>
  <si>
    <t>R00997</t>
  </si>
  <si>
    <t>R00998</t>
  </si>
  <si>
    <t>R00999</t>
  </si>
  <si>
    <t>R01000</t>
  </si>
  <si>
    <t>R01001</t>
  </si>
  <si>
    <t>R01002</t>
  </si>
  <si>
    <t>R01003</t>
  </si>
  <si>
    <t>R01004</t>
  </si>
  <si>
    <t>R01005</t>
  </si>
  <si>
    <t>R01006</t>
  </si>
  <si>
    <t>R01007</t>
  </si>
  <si>
    <t>R01008</t>
  </si>
  <si>
    <t>R01009</t>
  </si>
  <si>
    <t>R01010</t>
  </si>
  <si>
    <t>R01011</t>
  </si>
  <si>
    <t>R01012</t>
  </si>
  <si>
    <t>R01013</t>
  </si>
  <si>
    <t>R01014</t>
  </si>
  <si>
    <t>R01015</t>
  </si>
  <si>
    <t>R01016</t>
  </si>
  <si>
    <t>R01017</t>
  </si>
  <si>
    <t>R01018</t>
  </si>
  <si>
    <t>R01019</t>
  </si>
  <si>
    <t>R01020</t>
  </si>
  <si>
    <t>R01021</t>
  </si>
  <si>
    <t>R01022</t>
  </si>
  <si>
    <t>R01023</t>
  </si>
  <si>
    <t>R01024</t>
  </si>
  <si>
    <t>R01025</t>
  </si>
  <si>
    <t>R01026</t>
  </si>
  <si>
    <t>R01027</t>
  </si>
  <si>
    <t>R01028</t>
  </si>
  <si>
    <t>R01029</t>
  </si>
  <si>
    <t>R01030</t>
  </si>
  <si>
    <t>R01031</t>
  </si>
  <si>
    <t>R01032</t>
  </si>
  <si>
    <t>R01033</t>
  </si>
  <si>
    <t>R01034</t>
  </si>
  <si>
    <t>R01035</t>
  </si>
  <si>
    <t>R01036</t>
  </si>
  <si>
    <t>R01037</t>
  </si>
  <si>
    <t>R01038</t>
  </si>
  <si>
    <t>R01039</t>
  </si>
  <si>
    <t>R01040</t>
  </si>
  <si>
    <t>R01041</t>
  </si>
  <si>
    <t>R01042</t>
  </si>
  <si>
    <t>R01043</t>
  </si>
  <si>
    <t>R01044</t>
  </si>
  <si>
    <t>R01045</t>
  </si>
  <si>
    <t>R01046</t>
  </si>
  <si>
    <t>R01047</t>
  </si>
  <si>
    <t>R01048</t>
  </si>
  <si>
    <t>R01049</t>
  </si>
  <si>
    <t>R01050</t>
  </si>
  <si>
    <t>R01051</t>
  </si>
  <si>
    <t>R01052</t>
  </si>
  <si>
    <t>R01053</t>
  </si>
  <si>
    <t>R01054</t>
  </si>
  <si>
    <t>R01055</t>
  </si>
  <si>
    <t>R01056</t>
  </si>
  <si>
    <t>R01057</t>
  </si>
  <si>
    <t>R01058</t>
  </si>
  <si>
    <t>R01059</t>
  </si>
  <si>
    <t>R01060</t>
  </si>
  <si>
    <t>R01061</t>
  </si>
  <si>
    <t>R01062</t>
  </si>
  <si>
    <t>R01063</t>
  </si>
  <si>
    <t>R01064</t>
  </si>
  <si>
    <t>R01065</t>
  </si>
  <si>
    <t>R01066</t>
  </si>
  <si>
    <t>R01067</t>
  </si>
  <si>
    <t>R01068</t>
  </si>
  <si>
    <t>R01069</t>
  </si>
  <si>
    <t>R01070</t>
  </si>
  <si>
    <t>R01071</t>
  </si>
  <si>
    <t>R01072</t>
  </si>
  <si>
    <t>R01073</t>
  </si>
  <si>
    <t>R01074</t>
  </si>
  <si>
    <t>R01075</t>
  </si>
  <si>
    <t>R01076</t>
  </si>
  <si>
    <t>R01077</t>
  </si>
  <si>
    <t>R01078</t>
  </si>
  <si>
    <t>R01079</t>
  </si>
  <si>
    <t>R01080</t>
  </si>
  <si>
    <t>R01081</t>
  </si>
  <si>
    <t>R01082</t>
  </si>
  <si>
    <t>R01083</t>
  </si>
  <si>
    <t>R01084</t>
  </si>
  <si>
    <t>R01085</t>
  </si>
  <si>
    <t>R01086</t>
  </si>
  <si>
    <t>R01087</t>
  </si>
  <si>
    <t>R01088</t>
  </si>
  <si>
    <t>R01089</t>
  </si>
  <si>
    <t>R01090</t>
  </si>
  <si>
    <t>R01091</t>
  </si>
  <si>
    <t>R01092</t>
  </si>
  <si>
    <t>R01093</t>
  </si>
  <si>
    <t>R01094</t>
  </si>
  <si>
    <t>R01095</t>
  </si>
  <si>
    <t>R01096</t>
  </si>
  <si>
    <t>R01097</t>
  </si>
  <si>
    <t>R01098</t>
  </si>
  <si>
    <t>R01099</t>
  </si>
  <si>
    <t>R01100</t>
  </si>
  <si>
    <t>R01101</t>
  </si>
  <si>
    <t>R01102</t>
  </si>
  <si>
    <t>R01103</t>
  </si>
  <si>
    <t>R01104</t>
  </si>
  <si>
    <t>R01105</t>
  </si>
  <si>
    <t>R01106</t>
  </si>
  <si>
    <t>R01107</t>
  </si>
  <si>
    <t>R01108</t>
  </si>
  <si>
    <t>LEG-004</t>
  </si>
  <si>
    <t>R01109</t>
  </si>
  <si>
    <t>R01110</t>
  </si>
  <si>
    <t>R01111</t>
  </si>
  <si>
    <t>R01112</t>
  </si>
  <si>
    <t>R01113</t>
  </si>
  <si>
    <t>R01114</t>
  </si>
  <si>
    <t>R01115</t>
  </si>
  <si>
    <t>R01116</t>
  </si>
  <si>
    <t>R01117</t>
  </si>
  <si>
    <t>R01118</t>
  </si>
  <si>
    <t>R01119</t>
  </si>
  <si>
    <t>R01120</t>
  </si>
  <si>
    <t>R01121</t>
  </si>
  <si>
    <t>R01122</t>
  </si>
  <si>
    <t>R01123</t>
  </si>
  <si>
    <t>R01124</t>
  </si>
  <si>
    <t>R01125</t>
  </si>
  <si>
    <t>R01126</t>
  </si>
  <si>
    <t>R01127</t>
  </si>
  <si>
    <t>R01128</t>
  </si>
  <si>
    <t>R01129</t>
  </si>
  <si>
    <t>R01130</t>
  </si>
  <si>
    <t>R01131</t>
  </si>
  <si>
    <t>R01132</t>
  </si>
  <si>
    <t>R01133</t>
  </si>
  <si>
    <t>R01134</t>
  </si>
  <si>
    <t>R01135</t>
  </si>
  <si>
    <t>R01136</t>
  </si>
  <si>
    <t>R01137</t>
  </si>
  <si>
    <t>R01138</t>
  </si>
  <si>
    <t>R01139</t>
  </si>
  <si>
    <t>R01140</t>
  </si>
  <si>
    <t>R01141</t>
  </si>
  <si>
    <t>R01142</t>
  </si>
  <si>
    <t>R01143</t>
  </si>
  <si>
    <t>R01144</t>
  </si>
  <si>
    <t>R01145</t>
  </si>
  <si>
    <t>R01146</t>
  </si>
  <si>
    <t>R01147</t>
  </si>
  <si>
    <t>R01148</t>
  </si>
  <si>
    <t>R01149</t>
  </si>
  <si>
    <t>R01150</t>
  </si>
  <si>
    <t>R01151</t>
  </si>
  <si>
    <t>R01152</t>
  </si>
  <si>
    <t>R01153</t>
  </si>
  <si>
    <t>R01154</t>
  </si>
  <si>
    <t>R01155</t>
  </si>
  <si>
    <t>R01156</t>
  </si>
  <si>
    <t>R01157</t>
  </si>
  <si>
    <t>R01158</t>
  </si>
  <si>
    <t>R01159</t>
  </si>
  <si>
    <t>R01160</t>
  </si>
  <si>
    <t>R01161</t>
  </si>
  <si>
    <t>R01162</t>
  </si>
  <si>
    <t>R01163</t>
  </si>
  <si>
    <t>R01164</t>
  </si>
  <si>
    <t>R01165</t>
  </si>
  <si>
    <t>R01166</t>
  </si>
  <si>
    <t>R01167</t>
  </si>
  <si>
    <t>R01168</t>
  </si>
  <si>
    <t>R01169</t>
  </si>
  <si>
    <t>R01170</t>
  </si>
  <si>
    <t>R01171</t>
  </si>
  <si>
    <t>R01172</t>
  </si>
  <si>
    <t>R01173</t>
  </si>
  <si>
    <t>R01174</t>
  </si>
  <si>
    <t>R01175</t>
  </si>
  <si>
    <t>R01176</t>
  </si>
  <si>
    <t>R01177</t>
  </si>
  <si>
    <t>R01178</t>
  </si>
  <si>
    <t>R01179</t>
  </si>
  <si>
    <t>R01180</t>
  </si>
  <si>
    <t>R01181</t>
  </si>
  <si>
    <t>R01182</t>
  </si>
  <si>
    <t>R01183</t>
  </si>
  <si>
    <t>R01184</t>
  </si>
  <si>
    <t>R01185</t>
  </si>
  <si>
    <t>R01186</t>
  </si>
  <si>
    <t>R01187</t>
  </si>
  <si>
    <t>R01188</t>
  </si>
  <si>
    <t>R01189</t>
  </si>
  <si>
    <t>R01190</t>
  </si>
  <si>
    <t>R01191</t>
  </si>
  <si>
    <t>R01192</t>
  </si>
  <si>
    <t>R01193</t>
  </si>
  <si>
    <t>R01194</t>
  </si>
  <si>
    <t>R01195</t>
  </si>
  <si>
    <t>R01196</t>
  </si>
  <si>
    <t>R01197</t>
  </si>
  <si>
    <t>R01198</t>
  </si>
  <si>
    <t>R01199</t>
  </si>
  <si>
    <t>R01200</t>
  </si>
  <si>
    <t>R01201</t>
  </si>
  <si>
    <t>R01202</t>
  </si>
  <si>
    <t>R01203</t>
  </si>
  <si>
    <t>R01204</t>
  </si>
  <si>
    <t>R01205</t>
  </si>
  <si>
    <t>R01206</t>
  </si>
  <si>
    <t>R01207</t>
  </si>
  <si>
    <t>R01208</t>
  </si>
  <si>
    <t>R01209</t>
  </si>
  <si>
    <t>R01210</t>
  </si>
  <si>
    <t>R01211</t>
  </si>
  <si>
    <t>R01212</t>
  </si>
  <si>
    <t>R01213</t>
  </si>
  <si>
    <t>R01214</t>
  </si>
  <si>
    <t>R01215</t>
  </si>
  <si>
    <t>R01216</t>
  </si>
  <si>
    <t>R01217</t>
  </si>
  <si>
    <t>R01218</t>
  </si>
  <si>
    <t>R01219</t>
  </si>
  <si>
    <t>R01220</t>
  </si>
  <si>
    <t>R01221</t>
  </si>
  <si>
    <t>R01222</t>
  </si>
  <si>
    <t>R01223</t>
  </si>
  <si>
    <t>R01224</t>
  </si>
  <si>
    <t>R01225</t>
  </si>
  <si>
    <t>R01226</t>
  </si>
  <si>
    <t>R01227</t>
  </si>
  <si>
    <t>R01228</t>
  </si>
  <si>
    <t>R01229</t>
  </si>
  <si>
    <t>R01230</t>
  </si>
  <si>
    <t>R01231</t>
  </si>
  <si>
    <t>R01232</t>
  </si>
  <si>
    <t>R01233</t>
  </si>
  <si>
    <t>R01234</t>
  </si>
  <si>
    <t>R01235</t>
  </si>
  <si>
    <t>R01236</t>
  </si>
  <si>
    <t>R01237</t>
  </si>
  <si>
    <t>R01238</t>
  </si>
  <si>
    <t>R01239</t>
  </si>
  <si>
    <t>R01240</t>
  </si>
  <si>
    <t>R01241</t>
  </si>
  <si>
    <t>R01242</t>
  </si>
  <si>
    <t>R01243</t>
  </si>
  <si>
    <t>R01244</t>
  </si>
  <si>
    <t>R01245</t>
  </si>
  <si>
    <t>R01246</t>
  </si>
  <si>
    <t>R01247</t>
  </si>
  <si>
    <t>R01248</t>
  </si>
  <si>
    <t>R01249</t>
  </si>
  <si>
    <t>R01250</t>
  </si>
  <si>
    <t>R01251</t>
  </si>
  <si>
    <t>R01252</t>
  </si>
  <si>
    <t>R01253</t>
  </si>
  <si>
    <t>R01254</t>
  </si>
  <si>
    <t>R01255</t>
  </si>
  <si>
    <t>R01256</t>
  </si>
  <si>
    <t>R01257</t>
  </si>
  <si>
    <t>R01258</t>
  </si>
  <si>
    <t>R01259</t>
  </si>
  <si>
    <t>R01260</t>
  </si>
  <si>
    <t>R01261</t>
  </si>
  <si>
    <t>R01262</t>
  </si>
  <si>
    <t>R01263</t>
  </si>
  <si>
    <t>R01264</t>
  </si>
  <si>
    <t>R01265</t>
  </si>
  <si>
    <t>R01266</t>
  </si>
  <si>
    <t>R01267</t>
  </si>
  <si>
    <t>R01268</t>
  </si>
  <si>
    <t>R01269</t>
  </si>
  <si>
    <t>R01270</t>
  </si>
  <si>
    <t>R01271</t>
  </si>
  <si>
    <t>R01272</t>
  </si>
  <si>
    <t>R01273</t>
  </si>
  <si>
    <t>R01274</t>
  </si>
  <si>
    <t>R01275</t>
  </si>
  <si>
    <t>R01276</t>
  </si>
  <si>
    <t>R01277</t>
  </si>
  <si>
    <t>R01278</t>
  </si>
  <si>
    <t>R01279</t>
  </si>
  <si>
    <t>R01280</t>
  </si>
  <si>
    <t>R01281</t>
  </si>
  <si>
    <t>R01282</t>
  </si>
  <si>
    <t>R01283</t>
  </si>
  <si>
    <t>R01284</t>
  </si>
  <si>
    <t>R01285</t>
  </si>
  <si>
    <t>R01286</t>
  </si>
  <si>
    <t>R01287</t>
  </si>
  <si>
    <t>R01288</t>
  </si>
  <si>
    <t>R01289</t>
  </si>
  <si>
    <t>R01290</t>
  </si>
  <si>
    <t>R01291</t>
  </si>
  <si>
    <t>R01292</t>
  </si>
  <si>
    <t>R01293</t>
  </si>
  <si>
    <t>R01294</t>
  </si>
  <si>
    <t>R01295</t>
  </si>
  <si>
    <t>R01296</t>
  </si>
  <si>
    <t>R01297</t>
  </si>
  <si>
    <t>R01298</t>
  </si>
  <si>
    <t>R01299</t>
  </si>
  <si>
    <t>R01300</t>
  </si>
  <si>
    <t>R01301</t>
  </si>
  <si>
    <t>R01302</t>
  </si>
  <si>
    <t>R01303</t>
  </si>
  <si>
    <t>R01304</t>
  </si>
  <si>
    <t>R01305</t>
  </si>
  <si>
    <t>R01306</t>
  </si>
  <si>
    <t>R01307</t>
  </si>
  <si>
    <t>R01308</t>
  </si>
  <si>
    <t>R01309</t>
  </si>
  <si>
    <t>R01310</t>
  </si>
  <si>
    <t>R01311</t>
  </si>
  <si>
    <t>R01312</t>
  </si>
  <si>
    <t>R01313</t>
  </si>
  <si>
    <t>R01314</t>
  </si>
  <si>
    <t>R01315</t>
  </si>
  <si>
    <t>R01316</t>
  </si>
  <si>
    <t>R01317</t>
  </si>
  <si>
    <t>R01318</t>
  </si>
  <si>
    <t>R01319</t>
  </si>
  <si>
    <t>R01320</t>
  </si>
  <si>
    <t>R01321</t>
  </si>
  <si>
    <t>R01322</t>
  </si>
  <si>
    <t>R01323</t>
  </si>
  <si>
    <t>R01324</t>
  </si>
  <si>
    <t>R01325</t>
  </si>
  <si>
    <t>R01326</t>
  </si>
  <si>
    <t>R01327</t>
  </si>
  <si>
    <t>R01328</t>
  </si>
  <si>
    <t>R01329</t>
  </si>
  <si>
    <t>R01330</t>
  </si>
  <si>
    <t>R01331</t>
  </si>
  <si>
    <t>R01332</t>
  </si>
  <si>
    <t>R01333</t>
  </si>
  <si>
    <t>R01334</t>
  </si>
  <si>
    <t>R01335</t>
  </si>
  <si>
    <t>R01336</t>
  </si>
  <si>
    <t>R01337</t>
  </si>
  <si>
    <t>R01338</t>
  </si>
  <si>
    <t>R01339</t>
  </si>
  <si>
    <t>R01340</t>
  </si>
  <si>
    <t>R01341</t>
  </si>
  <si>
    <t>R01342</t>
  </si>
  <si>
    <t>R01343</t>
  </si>
  <si>
    <t>R01344</t>
  </si>
  <si>
    <t>R01345</t>
  </si>
  <si>
    <t>R01346</t>
  </si>
  <si>
    <t>R01347</t>
  </si>
  <si>
    <t>R01348</t>
  </si>
  <si>
    <t>R01349</t>
  </si>
  <si>
    <t>R01350</t>
  </si>
  <si>
    <t>R01351</t>
  </si>
  <si>
    <t>R01352</t>
  </si>
  <si>
    <t>R01353</t>
  </si>
  <si>
    <t>R01354</t>
  </si>
  <si>
    <t>R01355</t>
  </si>
  <si>
    <t>R01356</t>
  </si>
  <si>
    <t>R01357</t>
  </si>
  <si>
    <t>R01358</t>
  </si>
  <si>
    <t>R01359</t>
  </si>
  <si>
    <t>R01360</t>
  </si>
  <si>
    <t>R01361</t>
  </si>
  <si>
    <t>R01362</t>
  </si>
  <si>
    <t>R01363</t>
  </si>
  <si>
    <t>R01364</t>
  </si>
  <si>
    <t>R01365</t>
  </si>
  <si>
    <t>R01366</t>
  </si>
  <si>
    <t>R01367</t>
  </si>
  <si>
    <t>R01368</t>
  </si>
  <si>
    <t>R01369</t>
  </si>
  <si>
    <t>R01370</t>
  </si>
  <si>
    <t>R01371</t>
  </si>
  <si>
    <t>R01372</t>
  </si>
  <si>
    <t>R01373</t>
  </si>
  <si>
    <t>R01374</t>
  </si>
  <si>
    <t>R01375</t>
  </si>
  <si>
    <t>R01376</t>
  </si>
  <si>
    <t>R01377</t>
  </si>
  <si>
    <t>R01378</t>
  </si>
  <si>
    <t>R01379</t>
  </si>
  <si>
    <t>R01380</t>
  </si>
  <si>
    <t>R01381</t>
  </si>
  <si>
    <t>R01382</t>
  </si>
  <si>
    <t>R01383</t>
  </si>
  <si>
    <t>R01384</t>
  </si>
  <si>
    <t>R01385</t>
  </si>
  <si>
    <t>R01386</t>
  </si>
  <si>
    <t>R01387</t>
  </si>
  <si>
    <t>R01388</t>
  </si>
  <si>
    <t>R01389</t>
  </si>
  <si>
    <t>R01390</t>
  </si>
  <si>
    <t>R01391</t>
  </si>
  <si>
    <t>R01392</t>
  </si>
  <si>
    <t>R01393</t>
  </si>
  <si>
    <t>R01394</t>
  </si>
  <si>
    <t>R01395</t>
  </si>
  <si>
    <t>R01396</t>
  </si>
  <si>
    <t>R01397</t>
  </si>
  <si>
    <t>R01398</t>
  </si>
  <si>
    <t>R01399</t>
  </si>
  <si>
    <t>R01400</t>
  </si>
  <si>
    <t>R01401</t>
  </si>
  <si>
    <t>R01402</t>
  </si>
  <si>
    <t>R01403</t>
  </si>
  <si>
    <t>R01404</t>
  </si>
  <si>
    <t>R01405</t>
  </si>
  <si>
    <t>R01406</t>
  </si>
  <si>
    <t>R01407</t>
  </si>
  <si>
    <t>R01408</t>
  </si>
  <si>
    <t>R01409</t>
  </si>
  <si>
    <t>R01410</t>
  </si>
  <si>
    <t>R01411</t>
  </si>
  <si>
    <t>R01412</t>
  </si>
  <si>
    <t>R01413</t>
  </si>
  <si>
    <t>R01414</t>
  </si>
  <si>
    <t>R01415</t>
  </si>
  <si>
    <t>R01416</t>
  </si>
  <si>
    <t>R01417</t>
  </si>
  <si>
    <t>R01418</t>
  </si>
  <si>
    <t>R01419</t>
  </si>
  <si>
    <t>R01420</t>
  </si>
  <si>
    <t>R01421</t>
  </si>
  <si>
    <t>R01422</t>
  </si>
  <si>
    <t>R01423</t>
  </si>
  <si>
    <t>R01424</t>
  </si>
  <si>
    <t>R01425</t>
  </si>
  <si>
    <t>R01426</t>
  </si>
  <si>
    <t>R01427</t>
  </si>
  <si>
    <t>R01428</t>
  </si>
  <si>
    <t>R01429</t>
  </si>
  <si>
    <t>R01430</t>
  </si>
  <si>
    <t>R01431</t>
  </si>
  <si>
    <t>R01432</t>
  </si>
  <si>
    <t>R01433</t>
  </si>
  <si>
    <t>R01434</t>
  </si>
  <si>
    <t>R01435</t>
  </si>
  <si>
    <t>R01436</t>
  </si>
  <si>
    <t>R01437</t>
  </si>
  <si>
    <t>R01438</t>
  </si>
  <si>
    <t>R01439</t>
  </si>
  <si>
    <t>R01440</t>
  </si>
  <si>
    <t>R01441</t>
  </si>
  <si>
    <t>R01442</t>
  </si>
  <si>
    <t>R01443</t>
  </si>
  <si>
    <t>R01444</t>
  </si>
  <si>
    <t>R01445</t>
  </si>
  <si>
    <t>R01446</t>
  </si>
  <si>
    <t>R01447</t>
  </si>
  <si>
    <t>R01448</t>
  </si>
  <si>
    <t>R01449</t>
  </si>
  <si>
    <t>R01450</t>
  </si>
  <si>
    <t>R01451</t>
  </si>
  <si>
    <t>R01452</t>
  </si>
  <si>
    <t>R01453</t>
  </si>
  <si>
    <t>R01454</t>
  </si>
  <si>
    <t>R01455</t>
  </si>
  <si>
    <t>R01456</t>
  </si>
  <si>
    <t>R01457</t>
  </si>
  <si>
    <t>R01458</t>
  </si>
  <si>
    <t>R01459</t>
  </si>
  <si>
    <t>R01460</t>
  </si>
  <si>
    <t>R01461</t>
  </si>
  <si>
    <t>R01462</t>
  </si>
  <si>
    <t>R01463</t>
  </si>
  <si>
    <t>R01464</t>
  </si>
  <si>
    <t>R01465</t>
  </si>
  <si>
    <t>R01466</t>
  </si>
  <si>
    <t>R01467</t>
  </si>
  <si>
    <t>R01468</t>
  </si>
  <si>
    <t>R01469</t>
  </si>
  <si>
    <t>R01470</t>
  </si>
  <si>
    <t>R01471</t>
  </si>
  <si>
    <t>R01472</t>
  </si>
  <si>
    <t>R01473</t>
  </si>
  <si>
    <t>R01474</t>
  </si>
  <si>
    <t>R01475</t>
  </si>
  <si>
    <t>R01476</t>
  </si>
  <si>
    <t>R01477</t>
  </si>
  <si>
    <t>LEG-005</t>
  </si>
  <si>
    <t>R01478</t>
  </si>
  <si>
    <t>R01479</t>
  </si>
  <si>
    <t>R01480</t>
  </si>
  <si>
    <t>R01481</t>
  </si>
  <si>
    <t>R01482</t>
  </si>
  <si>
    <t>R01483</t>
  </si>
  <si>
    <t>R01484</t>
  </si>
  <si>
    <t>R01485</t>
  </si>
  <si>
    <t>R01486</t>
  </si>
  <si>
    <t>R01487</t>
  </si>
  <si>
    <t>R01488</t>
  </si>
  <si>
    <t>R01489</t>
  </si>
  <si>
    <t>R01490</t>
  </si>
  <si>
    <t>R01491</t>
  </si>
  <si>
    <t>R01492</t>
  </si>
  <si>
    <t>R01493</t>
  </si>
  <si>
    <t>R01494</t>
  </si>
  <si>
    <t>R01495</t>
  </si>
  <si>
    <t>R01496</t>
  </si>
  <si>
    <t>R01497</t>
  </si>
  <si>
    <t>R01498</t>
  </si>
  <si>
    <t>R01499</t>
  </si>
  <si>
    <t>R01500</t>
  </si>
  <si>
    <t>R01501</t>
  </si>
  <si>
    <t>R01502</t>
  </si>
  <si>
    <t>R01503</t>
  </si>
  <si>
    <t>R01504</t>
  </si>
  <si>
    <t>R01505</t>
  </si>
  <si>
    <t>R01506</t>
  </si>
  <si>
    <t>R01507</t>
  </si>
  <si>
    <t>R01508</t>
  </si>
  <si>
    <t>R01509</t>
  </si>
  <si>
    <t>R01510</t>
  </si>
  <si>
    <t>R01511</t>
  </si>
  <si>
    <t>R01512</t>
  </si>
  <si>
    <t>R01513</t>
  </si>
  <si>
    <t>R01514</t>
  </si>
  <si>
    <t>R01515</t>
  </si>
  <si>
    <t>R01516</t>
  </si>
  <si>
    <t>R01517</t>
  </si>
  <si>
    <t>R01518</t>
  </si>
  <si>
    <t>R01519</t>
  </si>
  <si>
    <t>R01520</t>
  </si>
  <si>
    <t>R01521</t>
  </si>
  <si>
    <t>R01522</t>
  </si>
  <si>
    <t>R01523</t>
  </si>
  <si>
    <t>R01524</t>
  </si>
  <si>
    <t>R01525</t>
  </si>
  <si>
    <t>R01526</t>
  </si>
  <si>
    <t>R01527</t>
  </si>
  <si>
    <t>R01528</t>
  </si>
  <si>
    <t>R01529</t>
  </si>
  <si>
    <t>R01530</t>
  </si>
  <si>
    <t>R01531</t>
  </si>
  <si>
    <t>R01532</t>
  </si>
  <si>
    <t>R01533</t>
  </si>
  <si>
    <t>R01534</t>
  </si>
  <si>
    <t>R01535</t>
  </si>
  <si>
    <t>R01536</t>
  </si>
  <si>
    <t>R01537</t>
  </si>
  <si>
    <t>R01538</t>
  </si>
  <si>
    <t>R01539</t>
  </si>
  <si>
    <t>R01540</t>
  </si>
  <si>
    <t>R01541</t>
  </si>
  <si>
    <t>R01542</t>
  </si>
  <si>
    <t>R01543</t>
  </si>
  <si>
    <t>R01544</t>
  </si>
  <si>
    <t>R01545</t>
  </si>
  <si>
    <t>R01546</t>
  </si>
  <si>
    <t>R01547</t>
  </si>
  <si>
    <t>R01548</t>
  </si>
  <si>
    <t>R01549</t>
  </si>
  <si>
    <t>R01550</t>
  </si>
  <si>
    <t>R01551</t>
  </si>
  <si>
    <t>R01552</t>
  </si>
  <si>
    <t>R01553</t>
  </si>
  <si>
    <t>R01554</t>
  </si>
  <si>
    <t>R01555</t>
  </si>
  <si>
    <t>R01556</t>
  </si>
  <si>
    <t>R01557</t>
  </si>
  <si>
    <t>R01558</t>
  </si>
  <si>
    <t>R01559</t>
  </si>
  <si>
    <t>R01560</t>
  </si>
  <si>
    <t>R01561</t>
  </si>
  <si>
    <t>R01562</t>
  </si>
  <si>
    <t>R01563</t>
  </si>
  <si>
    <t>R01564</t>
  </si>
  <si>
    <t>R01565</t>
  </si>
  <si>
    <t>R01566</t>
  </si>
  <si>
    <t>R01567</t>
  </si>
  <si>
    <t>R01568</t>
  </si>
  <si>
    <t>R01569</t>
  </si>
  <si>
    <t>R01570</t>
  </si>
  <si>
    <t>R01571</t>
  </si>
  <si>
    <t>R01572</t>
  </si>
  <si>
    <t>R01573</t>
  </si>
  <si>
    <t>R01574</t>
  </si>
  <si>
    <t>R01575</t>
  </si>
  <si>
    <t>R01576</t>
  </si>
  <si>
    <t>R01577</t>
  </si>
  <si>
    <t>R01578</t>
  </si>
  <si>
    <t>R01579</t>
  </si>
  <si>
    <t>R01580</t>
  </si>
  <si>
    <t>R01581</t>
  </si>
  <si>
    <t>R01582</t>
  </si>
  <si>
    <t>R01583</t>
  </si>
  <si>
    <t>R01584</t>
  </si>
  <si>
    <t>R01585</t>
  </si>
  <si>
    <t>R01586</t>
  </si>
  <si>
    <t>R01587</t>
  </si>
  <si>
    <t>R01588</t>
  </si>
  <si>
    <t>R01589</t>
  </si>
  <si>
    <t>R01590</t>
  </si>
  <si>
    <t>R01591</t>
  </si>
  <si>
    <t>R01592</t>
  </si>
  <si>
    <t>R01593</t>
  </si>
  <si>
    <t>R01594</t>
  </si>
  <si>
    <t>R01595</t>
  </si>
  <si>
    <t>R01596</t>
  </si>
  <si>
    <t>R01597</t>
  </si>
  <si>
    <t>R01598</t>
  </si>
  <si>
    <t>R01599</t>
  </si>
  <si>
    <t>R01600</t>
  </si>
  <si>
    <t>R01601</t>
  </si>
  <si>
    <t>R01602</t>
  </si>
  <si>
    <t>R01603</t>
  </si>
  <si>
    <t>R01604</t>
  </si>
  <si>
    <t>R01605</t>
  </si>
  <si>
    <t>R01606</t>
  </si>
  <si>
    <t>R01607</t>
  </si>
  <si>
    <t>R01608</t>
  </si>
  <si>
    <t>R01609</t>
  </si>
  <si>
    <t>R01610</t>
  </si>
  <si>
    <t>R01611</t>
  </si>
  <si>
    <t>R01612</t>
  </si>
  <si>
    <t>R01613</t>
  </si>
  <si>
    <t>R01614</t>
  </si>
  <si>
    <t>R01615</t>
  </si>
  <si>
    <t>R01616</t>
  </si>
  <si>
    <t>R01617</t>
  </si>
  <si>
    <t>R01618</t>
  </si>
  <si>
    <t>R01619</t>
  </si>
  <si>
    <t>R01620</t>
  </si>
  <si>
    <t>R01621</t>
  </si>
  <si>
    <t>R01622</t>
  </si>
  <si>
    <t>R01623</t>
  </si>
  <si>
    <t>R01624</t>
  </si>
  <si>
    <t>R01625</t>
  </si>
  <si>
    <t>R01626</t>
  </si>
  <si>
    <t>R01627</t>
  </si>
  <si>
    <t>R01628</t>
  </si>
  <si>
    <t>R01629</t>
  </si>
  <si>
    <t>R01630</t>
  </si>
  <si>
    <t>R01631</t>
  </si>
  <si>
    <t>R01632</t>
  </si>
  <si>
    <t>R01633</t>
  </si>
  <si>
    <t>R01634</t>
  </si>
  <si>
    <t>R01635</t>
  </si>
  <si>
    <t>R01636</t>
  </si>
  <si>
    <t>R01637</t>
  </si>
  <si>
    <t>R01638</t>
  </si>
  <si>
    <t>R01639</t>
  </si>
  <si>
    <t>R01640</t>
  </si>
  <si>
    <t>R01641</t>
  </si>
  <si>
    <t>R01642</t>
  </si>
  <si>
    <t>R01643</t>
  </si>
  <si>
    <t>R01644</t>
  </si>
  <si>
    <t>R01645</t>
  </si>
  <si>
    <t>R01646</t>
  </si>
  <si>
    <t>R01647</t>
  </si>
  <si>
    <t>R01648</t>
  </si>
  <si>
    <t>R01649</t>
  </si>
  <si>
    <t>R01650</t>
  </si>
  <si>
    <t>R01651</t>
  </si>
  <si>
    <t>R01652</t>
  </si>
  <si>
    <t>R01653</t>
  </si>
  <si>
    <t>R01654</t>
  </si>
  <si>
    <t>R01655</t>
  </si>
  <si>
    <t>R01656</t>
  </si>
  <si>
    <t>R01657</t>
  </si>
  <si>
    <t>R01658</t>
  </si>
  <si>
    <t>R01659</t>
  </si>
  <si>
    <t>R01660</t>
  </si>
  <si>
    <t>R01661</t>
  </si>
  <si>
    <t>R01662</t>
  </si>
  <si>
    <t>R01663</t>
  </si>
  <si>
    <t>R01664</t>
  </si>
  <si>
    <t>R01665</t>
  </si>
  <si>
    <t>R01666</t>
  </si>
  <si>
    <t>R01667</t>
  </si>
  <si>
    <t>R01668</t>
  </si>
  <si>
    <t>R01669</t>
  </si>
  <si>
    <t>R01670</t>
  </si>
  <si>
    <t>R01671</t>
  </si>
  <si>
    <t>R01672</t>
  </si>
  <si>
    <t>R01673</t>
  </si>
  <si>
    <t>R01674</t>
  </si>
  <si>
    <t>R01675</t>
  </si>
  <si>
    <t>R01676</t>
  </si>
  <si>
    <t>R01677</t>
  </si>
  <si>
    <t>R01678</t>
  </si>
  <si>
    <t>R01679</t>
  </si>
  <si>
    <t>R01680</t>
  </si>
  <si>
    <t>R01681</t>
  </si>
  <si>
    <t>R01682</t>
  </si>
  <si>
    <t>R01683</t>
  </si>
  <si>
    <t>R01684</t>
  </si>
  <si>
    <t>R01685</t>
  </si>
  <si>
    <t>R01686</t>
  </si>
  <si>
    <t>R01687</t>
  </si>
  <si>
    <t>R01688</t>
  </si>
  <si>
    <t>R01689</t>
  </si>
  <si>
    <t>R01690</t>
  </si>
  <si>
    <t>R01691</t>
  </si>
  <si>
    <t>R01692</t>
  </si>
  <si>
    <t>R01693</t>
  </si>
  <si>
    <t>R01694</t>
  </si>
  <si>
    <t>R01695</t>
  </si>
  <si>
    <t>R01696</t>
  </si>
  <si>
    <t>R01697</t>
  </si>
  <si>
    <t>R01698</t>
  </si>
  <si>
    <t>R01699</t>
  </si>
  <si>
    <t>R01700</t>
  </si>
  <si>
    <t>R01701</t>
  </si>
  <si>
    <t>R01702</t>
  </si>
  <si>
    <t>R01703</t>
  </si>
  <si>
    <t>R01704</t>
  </si>
  <si>
    <t>R01705</t>
  </si>
  <si>
    <t>R01706</t>
  </si>
  <si>
    <t>R01707</t>
  </si>
  <si>
    <t>R01708</t>
  </si>
  <si>
    <t>R01709</t>
  </si>
  <si>
    <t>R01710</t>
  </si>
  <si>
    <t>R01711</t>
  </si>
  <si>
    <t>R01712</t>
  </si>
  <si>
    <t>R01713</t>
  </si>
  <si>
    <t>R01714</t>
  </si>
  <si>
    <t>R01715</t>
  </si>
  <si>
    <t>R01716</t>
  </si>
  <si>
    <t>R01717</t>
  </si>
  <si>
    <t>R01718</t>
  </si>
  <si>
    <t>R01719</t>
  </si>
  <si>
    <t>R01720</t>
  </si>
  <si>
    <t>R01721</t>
  </si>
  <si>
    <t>R01722</t>
  </si>
  <si>
    <t>R01723</t>
  </si>
  <si>
    <t>R01724</t>
  </si>
  <si>
    <t>R01725</t>
  </si>
  <si>
    <t>R01726</t>
  </si>
  <si>
    <t>R01727</t>
  </si>
  <si>
    <t>R01728</t>
  </si>
  <si>
    <t>R01729</t>
  </si>
  <si>
    <t>R01730</t>
  </si>
  <si>
    <t>R01731</t>
  </si>
  <si>
    <t>R01732</t>
  </si>
  <si>
    <t>R01733</t>
  </si>
  <si>
    <t>R01734</t>
  </si>
  <si>
    <t>R01735</t>
  </si>
  <si>
    <t>R01736</t>
  </si>
  <si>
    <t>R01737</t>
  </si>
  <si>
    <t>R01738</t>
  </si>
  <si>
    <t>R01739</t>
  </si>
  <si>
    <t>R01740</t>
  </si>
  <si>
    <t>R01741</t>
  </si>
  <si>
    <t>R01742</t>
  </si>
  <si>
    <t>R01743</t>
  </si>
  <si>
    <t>R01744</t>
  </si>
  <si>
    <t>R01745</t>
  </si>
  <si>
    <t>R01746</t>
  </si>
  <si>
    <t>R01747</t>
  </si>
  <si>
    <t>R01748</t>
  </si>
  <si>
    <t>R01749</t>
  </si>
  <si>
    <t>R01750</t>
  </si>
  <si>
    <t>R01751</t>
  </si>
  <si>
    <t>R01752</t>
  </si>
  <si>
    <t>R01753</t>
  </si>
  <si>
    <t>R01754</t>
  </si>
  <si>
    <t>R01755</t>
  </si>
  <si>
    <t>R01756</t>
  </si>
  <si>
    <t>R01757</t>
  </si>
  <si>
    <t>R01758</t>
  </si>
  <si>
    <t>R01759</t>
  </si>
  <si>
    <t>R01760</t>
  </si>
  <si>
    <t>R01761</t>
  </si>
  <si>
    <t>R01762</t>
  </si>
  <si>
    <t>R01763</t>
  </si>
  <si>
    <t>R01764</t>
  </si>
  <si>
    <t>R01765</t>
  </si>
  <si>
    <t>R01766</t>
  </si>
  <si>
    <t>R01767</t>
  </si>
  <si>
    <t>R01768</t>
  </si>
  <si>
    <t>R01769</t>
  </si>
  <si>
    <t>R01770</t>
  </si>
  <si>
    <t>R01771</t>
  </si>
  <si>
    <t>R01772</t>
  </si>
  <si>
    <t>R01773</t>
  </si>
  <si>
    <t>R01774</t>
  </si>
  <si>
    <t>R01775</t>
  </si>
  <si>
    <t>R01776</t>
  </si>
  <si>
    <t>R01777</t>
  </si>
  <si>
    <t>R01778</t>
  </si>
  <si>
    <t>R01779</t>
  </si>
  <si>
    <t>R01780</t>
  </si>
  <si>
    <t>R01781</t>
  </si>
  <si>
    <t>R01782</t>
  </si>
  <si>
    <t>R01783</t>
  </si>
  <si>
    <t>R01784</t>
  </si>
  <si>
    <t>R01785</t>
  </si>
  <si>
    <t>R01786</t>
  </si>
  <si>
    <t>R01787</t>
  </si>
  <si>
    <t>R01788</t>
  </si>
  <si>
    <t>R01789</t>
  </si>
  <si>
    <t>R01790</t>
  </si>
  <si>
    <t>R01791</t>
  </si>
  <si>
    <t>R01792</t>
  </si>
  <si>
    <t>R01793</t>
  </si>
  <si>
    <t>R01794</t>
  </si>
  <si>
    <t>R01795</t>
  </si>
  <si>
    <t>R01796</t>
  </si>
  <si>
    <t>R01797</t>
  </si>
  <si>
    <t>R01798</t>
  </si>
  <si>
    <t>R01799</t>
  </si>
  <si>
    <t>R01800</t>
  </si>
  <si>
    <t>R01801</t>
  </si>
  <si>
    <t>R01802</t>
  </si>
  <si>
    <t>R01803</t>
  </si>
  <si>
    <t>R01804</t>
  </si>
  <si>
    <t>R01805</t>
  </si>
  <si>
    <t>R01806</t>
  </si>
  <si>
    <t>R01807</t>
  </si>
  <si>
    <t>R01808</t>
  </si>
  <si>
    <t>R01809</t>
  </si>
  <si>
    <t>R01810</t>
  </si>
  <si>
    <t>R01811</t>
  </si>
  <si>
    <t>R01812</t>
  </si>
  <si>
    <t>R01813</t>
  </si>
  <si>
    <t>R01814</t>
  </si>
  <si>
    <t>R01815</t>
  </si>
  <si>
    <t>R01816</t>
  </si>
  <si>
    <t>R01817</t>
  </si>
  <si>
    <t>R01818</t>
  </si>
  <si>
    <t>R01819</t>
  </si>
  <si>
    <t>R01820</t>
  </si>
  <si>
    <t>R01821</t>
  </si>
  <si>
    <t>R01822</t>
  </si>
  <si>
    <t>R01823</t>
  </si>
  <si>
    <t>R01824</t>
  </si>
  <si>
    <t>R01825</t>
  </si>
  <si>
    <t>R01826</t>
  </si>
  <si>
    <t>R01827</t>
  </si>
  <si>
    <t>R01828</t>
  </si>
  <si>
    <t>R01829</t>
  </si>
  <si>
    <t>R01830</t>
  </si>
  <si>
    <t>R01831</t>
  </si>
  <si>
    <t>R01832</t>
  </si>
  <si>
    <t>R01833</t>
  </si>
  <si>
    <t>R01834</t>
  </si>
  <si>
    <t>R01835</t>
  </si>
  <si>
    <t>R01836</t>
  </si>
  <si>
    <t>R01837</t>
  </si>
  <si>
    <t>R01838</t>
  </si>
  <si>
    <t>R01839</t>
  </si>
  <si>
    <t>R01840</t>
  </si>
  <si>
    <t>R01841</t>
  </si>
  <si>
    <t>R01842</t>
  </si>
  <si>
    <t>R01843</t>
  </si>
  <si>
    <t>R01844</t>
  </si>
  <si>
    <t>R01845</t>
  </si>
  <si>
    <t>R01846</t>
  </si>
  <si>
    <t>LEG-006</t>
  </si>
  <si>
    <t>R01847</t>
  </si>
  <si>
    <t>R01848</t>
  </si>
  <si>
    <t>R01849</t>
  </si>
  <si>
    <t>R01850</t>
  </si>
  <si>
    <t>R01851</t>
  </si>
  <si>
    <t>R01852</t>
  </si>
  <si>
    <t>R01853</t>
  </si>
  <si>
    <t>R01854</t>
  </si>
  <si>
    <t>R01855</t>
  </si>
  <si>
    <t>R01856</t>
  </si>
  <si>
    <t>R01857</t>
  </si>
  <si>
    <t>R01858</t>
  </si>
  <si>
    <t>R01859</t>
  </si>
  <si>
    <t>R01860</t>
  </si>
  <si>
    <t>R01861</t>
  </si>
  <si>
    <t>R01862</t>
  </si>
  <si>
    <t>R01863</t>
  </si>
  <si>
    <t>R01864</t>
  </si>
  <si>
    <t>R01865</t>
  </si>
  <si>
    <t>R01866</t>
  </si>
  <si>
    <t>R01867</t>
  </si>
  <si>
    <t>R01868</t>
  </si>
  <si>
    <t>R01869</t>
  </si>
  <si>
    <t>R01870</t>
  </si>
  <si>
    <t>R01871</t>
  </si>
  <si>
    <t>R01872</t>
  </si>
  <si>
    <t>R01873</t>
  </si>
  <si>
    <t>R01874</t>
  </si>
  <si>
    <t>R01875</t>
  </si>
  <si>
    <t>R01876</t>
  </si>
  <si>
    <t>R01877</t>
  </si>
  <si>
    <t>R01878</t>
  </si>
  <si>
    <t>R01879</t>
  </si>
  <si>
    <t>R01880</t>
  </si>
  <si>
    <t>R01881</t>
  </si>
  <si>
    <t>R01882</t>
  </si>
  <si>
    <t>R01883</t>
  </si>
  <si>
    <t>R01884</t>
  </si>
  <si>
    <t>R01885</t>
  </si>
  <si>
    <t>R01886</t>
  </si>
  <si>
    <t>R01887</t>
  </si>
  <si>
    <t>R01888</t>
  </si>
  <si>
    <t>R01889</t>
  </si>
  <si>
    <t>R01890</t>
  </si>
  <si>
    <t>R01891</t>
  </si>
  <si>
    <t>R01892</t>
  </si>
  <si>
    <t>R01893</t>
  </si>
  <si>
    <t>R01894</t>
  </si>
  <si>
    <t>R01895</t>
  </si>
  <si>
    <t>R01896</t>
  </si>
  <si>
    <t>R01897</t>
  </si>
  <si>
    <t>R01898</t>
  </si>
  <si>
    <t>R01899</t>
  </si>
  <si>
    <t>R01900</t>
  </si>
  <si>
    <t>R01901</t>
  </si>
  <si>
    <t>R01902</t>
  </si>
  <si>
    <t>R01903</t>
  </si>
  <si>
    <t>R01904</t>
  </si>
  <si>
    <t>R01905</t>
  </si>
  <si>
    <t>R01906</t>
  </si>
  <si>
    <t>R01907</t>
  </si>
  <si>
    <t>R01908</t>
  </si>
  <si>
    <t>R01909</t>
  </si>
  <si>
    <t>R01910</t>
  </si>
  <si>
    <t>R01911</t>
  </si>
  <si>
    <t>R01912</t>
  </si>
  <si>
    <t>R01913</t>
  </si>
  <si>
    <t>R01914</t>
  </si>
  <si>
    <t>R01915</t>
  </si>
  <si>
    <t>R01916</t>
  </si>
  <si>
    <t>R01917</t>
  </si>
  <si>
    <t>R01918</t>
  </si>
  <si>
    <t>R01919</t>
  </si>
  <si>
    <t>R01920</t>
  </si>
  <si>
    <t>R01921</t>
  </si>
  <si>
    <t>R01922</t>
  </si>
  <si>
    <t>R01923</t>
  </si>
  <si>
    <t>R01924</t>
  </si>
  <si>
    <t>R01925</t>
  </si>
  <si>
    <t>R01926</t>
  </si>
  <si>
    <t>R01927</t>
  </si>
  <si>
    <t>R01928</t>
  </si>
  <si>
    <t>R01929</t>
  </si>
  <si>
    <t>R01930</t>
  </si>
  <si>
    <t>R01931</t>
  </si>
  <si>
    <t>R01932</t>
  </si>
  <si>
    <t>R01933</t>
  </si>
  <si>
    <t>R01934</t>
  </si>
  <si>
    <t>R01935</t>
  </si>
  <si>
    <t>R01936</t>
  </si>
  <si>
    <t>R01937</t>
  </si>
  <si>
    <t>R01938</t>
  </si>
  <si>
    <t>R01939</t>
  </si>
  <si>
    <t>R01940</t>
  </si>
  <si>
    <t>R01941</t>
  </si>
  <si>
    <t>R01942</t>
  </si>
  <si>
    <t>R01943</t>
  </si>
  <si>
    <t>R01944</t>
  </si>
  <si>
    <t>R01945</t>
  </si>
  <si>
    <t>R01946</t>
  </si>
  <si>
    <t>R01947</t>
  </si>
  <si>
    <t>R01948</t>
  </si>
  <si>
    <t>R01949</t>
  </si>
  <si>
    <t>R01950</t>
  </si>
  <si>
    <t>R01951</t>
  </si>
  <si>
    <t>R01952</t>
  </si>
  <si>
    <t>R01953</t>
  </si>
  <si>
    <t>R01954</t>
  </si>
  <si>
    <t>R01955</t>
  </si>
  <si>
    <t>R01956</t>
  </si>
  <si>
    <t>R01957</t>
  </si>
  <si>
    <t>R01958</t>
  </si>
  <si>
    <t>R01959</t>
  </si>
  <si>
    <t>R01960</t>
  </si>
  <si>
    <t>R01961</t>
  </si>
  <si>
    <t>R01962</t>
  </si>
  <si>
    <t>R01963</t>
  </si>
  <si>
    <t>R01964</t>
  </si>
  <si>
    <t>R01965</t>
  </si>
  <si>
    <t>R01966</t>
  </si>
  <si>
    <t>R01967</t>
  </si>
  <si>
    <t>R01968</t>
  </si>
  <si>
    <t>R01969</t>
  </si>
  <si>
    <t>R01970</t>
  </si>
  <si>
    <t>R01971</t>
  </si>
  <si>
    <t>R01972</t>
  </si>
  <si>
    <t>R01973</t>
  </si>
  <si>
    <t>R01974</t>
  </si>
  <si>
    <t>R01975</t>
  </si>
  <si>
    <t>R01976</t>
  </si>
  <si>
    <t>R01977</t>
  </si>
  <si>
    <t>R01978</t>
  </si>
  <si>
    <t>R01979</t>
  </si>
  <si>
    <t>R01980</t>
  </si>
  <si>
    <t>R01981</t>
  </si>
  <si>
    <t>R01982</t>
  </si>
  <si>
    <t>R01983</t>
  </si>
  <si>
    <t>R01984</t>
  </si>
  <si>
    <t>R01985</t>
  </si>
  <si>
    <t>R01986</t>
  </si>
  <si>
    <t>R01987</t>
  </si>
  <si>
    <t>R01988</t>
  </si>
  <si>
    <t>R01989</t>
  </si>
  <si>
    <t>R01990</t>
  </si>
  <si>
    <t>R01991</t>
  </si>
  <si>
    <t>R01992</t>
  </si>
  <si>
    <t>R01993</t>
  </si>
  <si>
    <t>R01994</t>
  </si>
  <si>
    <t>R01995</t>
  </si>
  <si>
    <t>R01996</t>
  </si>
  <si>
    <t>R01997</t>
  </si>
  <si>
    <t>R01998</t>
  </si>
  <si>
    <t>R01999</t>
  </si>
  <si>
    <t>R02000</t>
  </si>
  <si>
    <t>R02001</t>
  </si>
  <si>
    <t>R02002</t>
  </si>
  <si>
    <t>R02003</t>
  </si>
  <si>
    <t>R02004</t>
  </si>
  <si>
    <t>R02005</t>
  </si>
  <si>
    <t>R02006</t>
  </si>
  <si>
    <t>R02007</t>
  </si>
  <si>
    <t>R02008</t>
  </si>
  <si>
    <t>R02009</t>
  </si>
  <si>
    <t>R02010</t>
  </si>
  <si>
    <t>R02011</t>
  </si>
  <si>
    <t>R02012</t>
  </si>
  <si>
    <t>R02013</t>
  </si>
  <si>
    <t>R02014</t>
  </si>
  <si>
    <t>R02015</t>
  </si>
  <si>
    <t>R02016</t>
  </si>
  <si>
    <t>R02017</t>
  </si>
  <si>
    <t>R02018</t>
  </si>
  <si>
    <t>R02019</t>
  </si>
  <si>
    <t>R02020</t>
  </si>
  <si>
    <t>R02021</t>
  </si>
  <si>
    <t>R02022</t>
  </si>
  <si>
    <t>R02023</t>
  </si>
  <si>
    <t>R02024</t>
  </si>
  <si>
    <t>R02025</t>
  </si>
  <si>
    <t>R02026</t>
  </si>
  <si>
    <t>R02027</t>
  </si>
  <si>
    <t>R02028</t>
  </si>
  <si>
    <t>R02029</t>
  </si>
  <si>
    <t>R02030</t>
  </si>
  <si>
    <t>R02031</t>
  </si>
  <si>
    <t>R02032</t>
  </si>
  <si>
    <t>R02033</t>
  </si>
  <si>
    <t>R02034</t>
  </si>
  <si>
    <t>R02035</t>
  </si>
  <si>
    <t>R02036</t>
  </si>
  <si>
    <t>R02037</t>
  </si>
  <si>
    <t>R02038</t>
  </si>
  <si>
    <t>R02039</t>
  </si>
  <si>
    <t>R02040</t>
  </si>
  <si>
    <t>R02041</t>
  </si>
  <si>
    <t>R02042</t>
  </si>
  <si>
    <t>R02043</t>
  </si>
  <si>
    <t>R02044</t>
  </si>
  <si>
    <t>R02045</t>
  </si>
  <si>
    <t>R02046</t>
  </si>
  <si>
    <t>R02047</t>
  </si>
  <si>
    <t>R02048</t>
  </si>
  <si>
    <t>R02049</t>
  </si>
  <si>
    <t>R02050</t>
  </si>
  <si>
    <t>R02051</t>
  </si>
  <si>
    <t>R02052</t>
  </si>
  <si>
    <t>R02053</t>
  </si>
  <si>
    <t>R02054</t>
  </si>
  <si>
    <t>R02055</t>
  </si>
  <si>
    <t>R02056</t>
  </si>
  <si>
    <t>R02057</t>
  </si>
  <si>
    <t>R02058</t>
  </si>
  <si>
    <t>R02059</t>
  </si>
  <si>
    <t>R02060</t>
  </si>
  <si>
    <t>R02061</t>
  </si>
  <si>
    <t>R02062</t>
  </si>
  <si>
    <t>R02063</t>
  </si>
  <si>
    <t>R02064</t>
  </si>
  <si>
    <t>R02065</t>
  </si>
  <si>
    <t>R02066</t>
  </si>
  <si>
    <t>R02067</t>
  </si>
  <si>
    <t>R02068</t>
  </si>
  <si>
    <t>R02069</t>
  </si>
  <si>
    <t>R02070</t>
  </si>
  <si>
    <t>R02071</t>
  </si>
  <si>
    <t>R02072</t>
  </si>
  <si>
    <t>R02073</t>
  </si>
  <si>
    <t>R02074</t>
  </si>
  <si>
    <t>R02075</t>
  </si>
  <si>
    <t>R02076</t>
  </si>
  <si>
    <t>R02077</t>
  </si>
  <si>
    <t>R02078</t>
  </si>
  <si>
    <t>R02079</t>
  </si>
  <si>
    <t>R02080</t>
  </si>
  <si>
    <t>R02081</t>
  </si>
  <si>
    <t>R02082</t>
  </si>
  <si>
    <t>R02083</t>
  </si>
  <si>
    <t>R02084</t>
  </si>
  <si>
    <t>R02085</t>
  </si>
  <si>
    <t>R02086</t>
  </si>
  <si>
    <t>R02087</t>
  </si>
  <si>
    <t>R02088</t>
  </si>
  <si>
    <t>R02089</t>
  </si>
  <si>
    <t>R02090</t>
  </si>
  <si>
    <t>R02091</t>
  </si>
  <si>
    <t>R02092</t>
  </si>
  <si>
    <t>R02093</t>
  </si>
  <si>
    <t>R02094</t>
  </si>
  <si>
    <t>R02095</t>
  </si>
  <si>
    <t>R02096</t>
  </si>
  <si>
    <t>R02097</t>
  </si>
  <si>
    <t>R02098</t>
  </si>
  <si>
    <t>R02099</t>
  </si>
  <si>
    <t>R02100</t>
  </si>
  <si>
    <t>R02101</t>
  </si>
  <si>
    <t>R02102</t>
  </si>
  <si>
    <t>R02103</t>
  </si>
  <si>
    <t>R02104</t>
  </si>
  <si>
    <t>R02105</t>
  </si>
  <si>
    <t>R02106</t>
  </si>
  <si>
    <t>R02107</t>
  </si>
  <si>
    <t>R02108</t>
  </si>
  <si>
    <t>R02109</t>
  </si>
  <si>
    <t>R02110</t>
  </si>
  <si>
    <t>R02111</t>
  </si>
  <si>
    <t>R02112</t>
  </si>
  <si>
    <t>R02113</t>
  </si>
  <si>
    <t>R02114</t>
  </si>
  <si>
    <t>R02115</t>
  </si>
  <si>
    <t>R02116</t>
  </si>
  <si>
    <t>R02117</t>
  </si>
  <si>
    <t>R02118</t>
  </si>
  <si>
    <t>R02119</t>
  </si>
  <si>
    <t>R02120</t>
  </si>
  <si>
    <t>R02121</t>
  </si>
  <si>
    <t>R02122</t>
  </si>
  <si>
    <t>R02123</t>
  </si>
  <si>
    <t>R02124</t>
  </si>
  <si>
    <t>R02125</t>
  </si>
  <si>
    <t>R02126</t>
  </si>
  <si>
    <t>R02127</t>
  </si>
  <si>
    <t>R02128</t>
  </si>
  <si>
    <t>R02129</t>
  </si>
  <si>
    <t>R02130</t>
  </si>
  <si>
    <t>R02131</t>
  </si>
  <si>
    <t>R02132</t>
  </si>
  <si>
    <t>R02133</t>
  </si>
  <si>
    <t>R02134</t>
  </si>
  <si>
    <t>R02135</t>
  </si>
  <si>
    <t>R02136</t>
  </si>
  <si>
    <t>R02137</t>
  </si>
  <si>
    <t>R02138</t>
  </si>
  <si>
    <t>R02139</t>
  </si>
  <si>
    <t>R02140</t>
  </si>
  <si>
    <t>R02141</t>
  </si>
  <si>
    <t>R02142</t>
  </si>
  <si>
    <t>R02143</t>
  </si>
  <si>
    <t>R02144</t>
  </si>
  <si>
    <t>R02145</t>
  </si>
  <si>
    <t>R02146</t>
  </si>
  <si>
    <t>R02147</t>
  </si>
  <si>
    <t>R02148</t>
  </si>
  <si>
    <t>R02149</t>
  </si>
  <si>
    <t>R02150</t>
  </si>
  <si>
    <t>R02151</t>
  </si>
  <si>
    <t>R02152</t>
  </si>
  <si>
    <t>R02153</t>
  </si>
  <si>
    <t>R02154</t>
  </si>
  <si>
    <t>R02155</t>
  </si>
  <si>
    <t>R02156</t>
  </si>
  <si>
    <t>R02157</t>
  </si>
  <si>
    <t>R02158</t>
  </si>
  <si>
    <t>R02159</t>
  </si>
  <si>
    <t>R02160</t>
  </si>
  <si>
    <t>R02161</t>
  </si>
  <si>
    <t>R02162</t>
  </si>
  <si>
    <t>R02163</t>
  </si>
  <si>
    <t>R02164</t>
  </si>
  <si>
    <t>R02165</t>
  </si>
  <si>
    <t>R02166</t>
  </si>
  <si>
    <t>R02167</t>
  </si>
  <si>
    <t>R02168</t>
  </si>
  <si>
    <t>R02169</t>
  </si>
  <si>
    <t>R02170</t>
  </si>
  <si>
    <t>R02171</t>
  </si>
  <si>
    <t>R02172</t>
  </si>
  <si>
    <t>R02173</t>
  </si>
  <si>
    <t>R02174</t>
  </si>
  <si>
    <t>R02175</t>
  </si>
  <si>
    <t>R02176</t>
  </si>
  <si>
    <t>R02177</t>
  </si>
  <si>
    <t>R02178</t>
  </si>
  <si>
    <t>R02179</t>
  </si>
  <si>
    <t>R02180</t>
  </si>
  <si>
    <t>R02181</t>
  </si>
  <si>
    <t>R02182</t>
  </si>
  <si>
    <t>R02183</t>
  </si>
  <si>
    <t>R02184</t>
  </si>
  <si>
    <t>R02185</t>
  </si>
  <si>
    <t>R02186</t>
  </si>
  <si>
    <t>R02187</t>
  </si>
  <si>
    <t>R02188</t>
  </si>
  <si>
    <t>R02189</t>
  </si>
  <si>
    <t>R02190</t>
  </si>
  <si>
    <t>R02191</t>
  </si>
  <si>
    <t>R02192</t>
  </si>
  <si>
    <t>R02193</t>
  </si>
  <si>
    <t>R02194</t>
  </si>
  <si>
    <t>R02195</t>
  </si>
  <si>
    <t>R02196</t>
  </si>
  <si>
    <t>R02197</t>
  </si>
  <si>
    <t>R02198</t>
  </si>
  <si>
    <t>R02199</t>
  </si>
  <si>
    <t>R02200</t>
  </si>
  <si>
    <t>R02201</t>
  </si>
  <si>
    <t>R02202</t>
  </si>
  <si>
    <t>R02203</t>
  </si>
  <si>
    <t>R02204</t>
  </si>
  <si>
    <t>R02205</t>
  </si>
  <si>
    <t>R02206</t>
  </si>
  <si>
    <t>R02207</t>
  </si>
  <si>
    <t>R02208</t>
  </si>
  <si>
    <t>R02209</t>
  </si>
  <si>
    <t>R02210</t>
  </si>
  <si>
    <t>R02211</t>
  </si>
  <si>
    <t>R02212</t>
  </si>
  <si>
    <t>R02213</t>
  </si>
  <si>
    <t>R02214</t>
  </si>
  <si>
    <t>R02215</t>
  </si>
  <si>
    <t>LEG-007</t>
  </si>
  <si>
    <t>R02216</t>
  </si>
  <si>
    <t>R02217</t>
  </si>
  <si>
    <t>R02218</t>
  </si>
  <si>
    <t>R02219</t>
  </si>
  <si>
    <t>R02220</t>
  </si>
  <si>
    <t>R02221</t>
  </si>
  <si>
    <t>R02222</t>
  </si>
  <si>
    <t>R02223</t>
  </si>
  <si>
    <t>R02224</t>
  </si>
  <si>
    <t>R02225</t>
  </si>
  <si>
    <t>R02226</t>
  </si>
  <si>
    <t>R02227</t>
  </si>
  <si>
    <t>R02228</t>
  </si>
  <si>
    <t>R02229</t>
  </si>
  <si>
    <t>R02230</t>
  </si>
  <si>
    <t>R02231</t>
  </si>
  <si>
    <t>R02232</t>
  </si>
  <si>
    <t>R02233</t>
  </si>
  <si>
    <t>R02234</t>
  </si>
  <si>
    <t>R02235</t>
  </si>
  <si>
    <t>R02236</t>
  </si>
  <si>
    <t>R02237</t>
  </si>
  <si>
    <t>R02238</t>
  </si>
  <si>
    <t>R02239</t>
  </si>
  <si>
    <t>R02240</t>
  </si>
  <si>
    <t>R02241</t>
  </si>
  <si>
    <t>R02242</t>
  </si>
  <si>
    <t>R02243</t>
  </si>
  <si>
    <t>R02244</t>
  </si>
  <si>
    <t>R02245</t>
  </si>
  <si>
    <t>R02246</t>
  </si>
  <si>
    <t>R02247</t>
  </si>
  <si>
    <t>R02248</t>
  </si>
  <si>
    <t>R02249</t>
  </si>
  <si>
    <t>R02250</t>
  </si>
  <si>
    <t>R02251</t>
  </si>
  <si>
    <t>R02252</t>
  </si>
  <si>
    <t>R02253</t>
  </si>
  <si>
    <t>R02254</t>
  </si>
  <si>
    <t>R02255</t>
  </si>
  <si>
    <t>R02256</t>
  </si>
  <si>
    <t>R02257</t>
  </si>
  <si>
    <t>R02258</t>
  </si>
  <si>
    <t>R02259</t>
  </si>
  <si>
    <t>R02260</t>
  </si>
  <si>
    <t>R02261</t>
  </si>
  <si>
    <t>R02262</t>
  </si>
  <si>
    <t>R02263</t>
  </si>
  <si>
    <t>R02264</t>
  </si>
  <si>
    <t>R02265</t>
  </si>
  <si>
    <t>R02266</t>
  </si>
  <si>
    <t>R02267</t>
  </si>
  <si>
    <t>R02268</t>
  </si>
  <si>
    <t>R02269</t>
  </si>
  <si>
    <t>R02270</t>
  </si>
  <si>
    <t>R02271</t>
  </si>
  <si>
    <t>R02272</t>
  </si>
  <si>
    <t>R02273</t>
  </si>
  <si>
    <t>R02274</t>
  </si>
  <si>
    <t>R02275</t>
  </si>
  <si>
    <t>R02276</t>
  </si>
  <si>
    <t>R02277</t>
  </si>
  <si>
    <t>R02278</t>
  </si>
  <si>
    <t>R02279</t>
  </si>
  <si>
    <t>R02280</t>
  </si>
  <si>
    <t>R02281</t>
  </si>
  <si>
    <t>R02282</t>
  </si>
  <si>
    <t>R02283</t>
  </si>
  <si>
    <t>R02284</t>
  </si>
  <si>
    <t>R02285</t>
  </si>
  <si>
    <t>R02286</t>
  </si>
  <si>
    <t>R02287</t>
  </si>
  <si>
    <t>R02288</t>
  </si>
  <si>
    <t>R02289</t>
  </si>
  <si>
    <t>R02290</t>
  </si>
  <si>
    <t>R02291</t>
  </si>
  <si>
    <t>R02292</t>
  </si>
  <si>
    <t>R02293</t>
  </si>
  <si>
    <t>R02294</t>
  </si>
  <si>
    <t>R02295</t>
  </si>
  <si>
    <t>R02296</t>
  </si>
  <si>
    <t>R02297</t>
  </si>
  <si>
    <t>R02298</t>
  </si>
  <si>
    <t>R02299</t>
  </si>
  <si>
    <t>R02300</t>
  </si>
  <si>
    <t>R02301</t>
  </si>
  <si>
    <t>R02302</t>
  </si>
  <si>
    <t>R02303</t>
  </si>
  <si>
    <t>R02304</t>
  </si>
  <si>
    <t>R02305</t>
  </si>
  <si>
    <t>R02306</t>
  </si>
  <si>
    <t>R02307</t>
  </si>
  <si>
    <t>R02308</t>
  </si>
  <si>
    <t>R02309</t>
  </si>
  <si>
    <t>R02310</t>
  </si>
  <si>
    <t>R02311</t>
  </si>
  <si>
    <t>R02312</t>
  </si>
  <si>
    <t>R02313</t>
  </si>
  <si>
    <t>R02314</t>
  </si>
  <si>
    <t>R02315</t>
  </si>
  <si>
    <t>R02316</t>
  </si>
  <si>
    <t>R02317</t>
  </si>
  <si>
    <t>R02318</t>
  </si>
  <si>
    <t>R02319</t>
  </si>
  <si>
    <t>R02320</t>
  </si>
  <si>
    <t>R02321</t>
  </si>
  <si>
    <t>R02322</t>
  </si>
  <si>
    <t>R02323</t>
  </si>
  <si>
    <t>R02324</t>
  </si>
  <si>
    <t>R02325</t>
  </si>
  <si>
    <t>R02326</t>
  </si>
  <si>
    <t>R02327</t>
  </si>
  <si>
    <t>R02328</t>
  </si>
  <si>
    <t>R02329</t>
  </si>
  <si>
    <t>R02330</t>
  </si>
  <si>
    <t>R02331</t>
  </si>
  <si>
    <t>R02332</t>
  </si>
  <si>
    <t>R02333</t>
  </si>
  <si>
    <t>R02334</t>
  </si>
  <si>
    <t>R02335</t>
  </si>
  <si>
    <t>R02336</t>
  </si>
  <si>
    <t>R02337</t>
  </si>
  <si>
    <t>R02338</t>
  </si>
  <si>
    <t>R02339</t>
  </si>
  <si>
    <t>R02340</t>
  </si>
  <si>
    <t>R02341</t>
  </si>
  <si>
    <t>R02342</t>
  </si>
  <si>
    <t>R02343</t>
  </si>
  <si>
    <t>R02344</t>
  </si>
  <si>
    <t>R02345</t>
  </si>
  <si>
    <t>R02346</t>
  </si>
  <si>
    <t>R02347</t>
  </si>
  <si>
    <t>R02348</t>
  </si>
  <si>
    <t>R02349</t>
  </si>
  <si>
    <t>R02350</t>
  </si>
  <si>
    <t>R02351</t>
  </si>
  <si>
    <t>R02352</t>
  </si>
  <si>
    <t>R02353</t>
  </si>
  <si>
    <t>R02354</t>
  </si>
  <si>
    <t>R02355</t>
  </si>
  <si>
    <t>R02356</t>
  </si>
  <si>
    <t>R02357</t>
  </si>
  <si>
    <t>R02358</t>
  </si>
  <si>
    <t>R02359</t>
  </si>
  <si>
    <t>R02360</t>
  </si>
  <si>
    <t>R02361</t>
  </si>
  <si>
    <t>R02362</t>
  </si>
  <si>
    <t>R02363</t>
  </si>
  <si>
    <t>R02364</t>
  </si>
  <si>
    <t>R02365</t>
  </si>
  <si>
    <t>R02366</t>
  </si>
  <si>
    <t>R02367</t>
  </si>
  <si>
    <t>R02368</t>
  </si>
  <si>
    <t>R02369</t>
  </si>
  <si>
    <t>R02370</t>
  </si>
  <si>
    <t>R02371</t>
  </si>
  <si>
    <t>R02372</t>
  </si>
  <si>
    <t>R02373</t>
  </si>
  <si>
    <t>R02374</t>
  </si>
  <si>
    <t>R02375</t>
  </si>
  <si>
    <t>R02376</t>
  </si>
  <si>
    <t>R02377</t>
  </si>
  <si>
    <t>R02378</t>
  </si>
  <si>
    <t>R02379</t>
  </si>
  <si>
    <t>R02380</t>
  </si>
  <si>
    <t>R02381</t>
  </si>
  <si>
    <t>R02382</t>
  </si>
  <si>
    <t>R02383</t>
  </si>
  <si>
    <t>R02384</t>
  </si>
  <si>
    <t>R02385</t>
  </si>
  <si>
    <t>R02386</t>
  </si>
  <si>
    <t>R02387</t>
  </si>
  <si>
    <t>R02388</t>
  </si>
  <si>
    <t>R02389</t>
  </si>
  <si>
    <t>R02390</t>
  </si>
  <si>
    <t>R02391</t>
  </si>
  <si>
    <t>R02392</t>
  </si>
  <si>
    <t>R02393</t>
  </si>
  <si>
    <t>R02394</t>
  </si>
  <si>
    <t>R02395</t>
  </si>
  <si>
    <t>R02396</t>
  </si>
  <si>
    <t>R02397</t>
  </si>
  <si>
    <t>R02398</t>
  </si>
  <si>
    <t>R02399</t>
  </si>
  <si>
    <t>R02400</t>
  </si>
  <si>
    <t>R02401</t>
  </si>
  <si>
    <t>R02402</t>
  </si>
  <si>
    <t>R02403</t>
  </si>
  <si>
    <t>R02404</t>
  </si>
  <si>
    <t>R02405</t>
  </si>
  <si>
    <t>R02406</t>
  </si>
  <si>
    <t>R02407</t>
  </si>
  <si>
    <t>R02408</t>
  </si>
  <si>
    <t>R02409</t>
  </si>
  <si>
    <t>R02410</t>
  </si>
  <si>
    <t>R02411</t>
  </si>
  <si>
    <t>R02412</t>
  </si>
  <si>
    <t>R02413</t>
  </si>
  <si>
    <t>R02414</t>
  </si>
  <si>
    <t>R02415</t>
  </si>
  <si>
    <t>R02416</t>
  </si>
  <si>
    <t>R02417</t>
  </si>
  <si>
    <t>R02418</t>
  </si>
  <si>
    <t>R02419</t>
  </si>
  <si>
    <t>R02420</t>
  </si>
  <si>
    <t>R02421</t>
  </si>
  <si>
    <t>R02422</t>
  </si>
  <si>
    <t>R02423</t>
  </si>
  <si>
    <t>R02424</t>
  </si>
  <si>
    <t>R02425</t>
  </si>
  <si>
    <t>R02426</t>
  </si>
  <si>
    <t>R02427</t>
  </si>
  <si>
    <t>R02428</t>
  </si>
  <si>
    <t>R02429</t>
  </si>
  <si>
    <t>R02430</t>
  </si>
  <si>
    <t>R02431</t>
  </si>
  <si>
    <t>R02432</t>
  </si>
  <si>
    <t>R02433</t>
  </si>
  <si>
    <t>R02434</t>
  </si>
  <si>
    <t>R02435</t>
  </si>
  <si>
    <t>R02436</t>
  </si>
  <si>
    <t>R02437</t>
  </si>
  <si>
    <t>R02438</t>
  </si>
  <si>
    <t>R02439</t>
  </si>
  <si>
    <t>R02440</t>
  </si>
  <si>
    <t>R02441</t>
  </si>
  <si>
    <t>R02442</t>
  </si>
  <si>
    <t>R02443</t>
  </si>
  <si>
    <t>R02444</t>
  </si>
  <si>
    <t>R02445</t>
  </si>
  <si>
    <t>R02446</t>
  </si>
  <si>
    <t>R02447</t>
  </si>
  <si>
    <t>R02448</t>
  </si>
  <si>
    <t>R02449</t>
  </si>
  <si>
    <t>R02450</t>
  </si>
  <si>
    <t>R02451</t>
  </si>
  <si>
    <t>R02452</t>
  </si>
  <si>
    <t>R02453</t>
  </si>
  <si>
    <t>R02454</t>
  </si>
  <si>
    <t>R02455</t>
  </si>
  <si>
    <t>R02456</t>
  </si>
  <si>
    <t>R02457</t>
  </si>
  <si>
    <t>R02458</t>
  </si>
  <si>
    <t>R02459</t>
  </si>
  <si>
    <t>R02460</t>
  </si>
  <si>
    <t>R02461</t>
  </si>
  <si>
    <t>R02462</t>
  </si>
  <si>
    <t>R02463</t>
  </si>
  <si>
    <t>R02464</t>
  </si>
  <si>
    <t>R02465</t>
  </si>
  <si>
    <t>R02466</t>
  </si>
  <si>
    <t>R02467</t>
  </si>
  <si>
    <t>R02468</t>
  </si>
  <si>
    <t>R02469</t>
  </si>
  <si>
    <t>R02470</t>
  </si>
  <si>
    <t>R02471</t>
  </si>
  <si>
    <t>R02472</t>
  </si>
  <si>
    <t>R02473</t>
  </si>
  <si>
    <t>R02474</t>
  </si>
  <si>
    <t>R02475</t>
  </si>
  <si>
    <t>R02476</t>
  </si>
  <si>
    <t>R02477</t>
  </si>
  <si>
    <t>R02478</t>
  </si>
  <si>
    <t>R02479</t>
  </si>
  <si>
    <t>R02480</t>
  </si>
  <si>
    <t>R02481</t>
  </si>
  <si>
    <t>R02482</t>
  </si>
  <si>
    <t>R02483</t>
  </si>
  <si>
    <t>R02484</t>
  </si>
  <si>
    <t>R02485</t>
  </si>
  <si>
    <t>R02486</t>
  </si>
  <si>
    <t>R02487</t>
  </si>
  <si>
    <t>R02488</t>
  </si>
  <si>
    <t>R02489</t>
  </si>
  <si>
    <t>R02490</t>
  </si>
  <si>
    <t>R02491</t>
  </si>
  <si>
    <t>R02492</t>
  </si>
  <si>
    <t>R02493</t>
  </si>
  <si>
    <t>R02494</t>
  </si>
  <si>
    <t>R02495</t>
  </si>
  <si>
    <t>R02496</t>
  </si>
  <si>
    <t>R02497</t>
  </si>
  <si>
    <t>R02498</t>
  </si>
  <si>
    <t>R02499</t>
  </si>
  <si>
    <t>R02500</t>
  </si>
  <si>
    <t>R02501</t>
  </si>
  <si>
    <t>R02502</t>
  </si>
  <si>
    <t>R02503</t>
  </si>
  <si>
    <t>R02504</t>
  </si>
  <si>
    <t>R02505</t>
  </si>
  <si>
    <t>R02506</t>
  </si>
  <si>
    <t>R02507</t>
  </si>
  <si>
    <t>R02508</t>
  </si>
  <si>
    <t>R02509</t>
  </si>
  <si>
    <t>R02510</t>
  </si>
  <si>
    <t>R02511</t>
  </si>
  <si>
    <t>R02512</t>
  </si>
  <si>
    <t>R02513</t>
  </si>
  <si>
    <t>R02514</t>
  </si>
  <si>
    <t>R02515</t>
  </si>
  <si>
    <t>R02516</t>
  </si>
  <si>
    <t>R02517</t>
  </si>
  <si>
    <t>R02518</t>
  </si>
  <si>
    <t>R02519</t>
  </si>
  <si>
    <t>R02520</t>
  </si>
  <si>
    <t>R02521</t>
  </si>
  <si>
    <t>R02522</t>
  </si>
  <si>
    <t>R02523</t>
  </si>
  <si>
    <t>R02524</t>
  </si>
  <si>
    <t>R02525</t>
  </si>
  <si>
    <t>R02526</t>
  </si>
  <si>
    <t>R02527</t>
  </si>
  <si>
    <t>R02528</t>
  </si>
  <si>
    <t>R02529</t>
  </si>
  <si>
    <t>R02530</t>
  </si>
  <si>
    <t>R02531</t>
  </si>
  <si>
    <t>R02532</t>
  </si>
  <si>
    <t>R02533</t>
  </si>
  <si>
    <t>R02534</t>
  </si>
  <si>
    <t>R02535</t>
  </si>
  <si>
    <t>R02536</t>
  </si>
  <si>
    <t>R02537</t>
  </si>
  <si>
    <t>R02538</t>
  </si>
  <si>
    <t>R02539</t>
  </si>
  <si>
    <t>R02540</t>
  </si>
  <si>
    <t>R02541</t>
  </si>
  <si>
    <t>R02542</t>
  </si>
  <si>
    <t>R02543</t>
  </si>
  <si>
    <t>R02544</t>
  </si>
  <si>
    <t>R02545</t>
  </si>
  <si>
    <t>R02546</t>
  </si>
  <si>
    <t>R02547</t>
  </si>
  <si>
    <t>R02548</t>
  </si>
  <si>
    <t>R02549</t>
  </si>
  <si>
    <t>R02550</t>
  </si>
  <si>
    <t>R02551</t>
  </si>
  <si>
    <t>R02552</t>
  </si>
  <si>
    <t>R02553</t>
  </si>
  <si>
    <t>R02554</t>
  </si>
  <si>
    <t>R02555</t>
  </si>
  <si>
    <t>R02556</t>
  </si>
  <si>
    <t>R02557</t>
  </si>
  <si>
    <t>R02558</t>
  </si>
  <si>
    <t>R02559</t>
  </si>
  <si>
    <t>R02560</t>
  </si>
  <si>
    <t>R02561</t>
  </si>
  <si>
    <t>R02562</t>
  </si>
  <si>
    <t>R02563</t>
  </si>
  <si>
    <t>R02564</t>
  </si>
  <si>
    <t>R02565</t>
  </si>
  <si>
    <t>R02566</t>
  </si>
  <si>
    <t>R02567</t>
  </si>
  <si>
    <t>R02568</t>
  </si>
  <si>
    <t>R02569</t>
  </si>
  <si>
    <t>R02570</t>
  </si>
  <si>
    <t>R02571</t>
  </si>
  <si>
    <t>R02572</t>
  </si>
  <si>
    <t>R02573</t>
  </si>
  <si>
    <t>R02574</t>
  </si>
  <si>
    <t>R02575</t>
  </si>
  <si>
    <t>R02576</t>
  </si>
  <si>
    <t>R02577</t>
  </si>
  <si>
    <t>R02578</t>
  </si>
  <si>
    <t>R02579</t>
  </si>
  <si>
    <t>R02580</t>
  </si>
  <si>
    <t>R02581</t>
  </si>
  <si>
    <t>R02582</t>
  </si>
  <si>
    <t>R02583</t>
  </si>
  <si>
    <t>R02584</t>
  </si>
  <si>
    <t>LEG-008</t>
  </si>
  <si>
    <t>R02585</t>
  </si>
  <si>
    <t>R02586</t>
  </si>
  <si>
    <t>R02587</t>
  </si>
  <si>
    <t>R02588</t>
  </si>
  <si>
    <t>R02589</t>
  </si>
  <si>
    <t>R02590</t>
  </si>
  <si>
    <t>R02591</t>
  </si>
  <si>
    <t>R02592</t>
  </si>
  <si>
    <t>R02593</t>
  </si>
  <si>
    <t>R02594</t>
  </si>
  <si>
    <t>R02595</t>
  </si>
  <si>
    <t>R02596</t>
  </si>
  <si>
    <t>R02597</t>
  </si>
  <si>
    <t>R02598</t>
  </si>
  <si>
    <t>R02599</t>
  </si>
  <si>
    <t>R02600</t>
  </si>
  <si>
    <t>R02601</t>
  </si>
  <si>
    <t>R02602</t>
  </si>
  <si>
    <t>R02603</t>
  </si>
  <si>
    <t>R02604</t>
  </si>
  <si>
    <t>R02605</t>
  </si>
  <si>
    <t>R02606</t>
  </si>
  <si>
    <t>R02607</t>
  </si>
  <si>
    <t>R02608</t>
  </si>
  <si>
    <t>R02609</t>
  </si>
  <si>
    <t>R02610</t>
  </si>
  <si>
    <t>R02611</t>
  </si>
  <si>
    <t>R02612</t>
  </si>
  <si>
    <t>R02613</t>
  </si>
  <si>
    <t>R02614</t>
  </si>
  <si>
    <t>R02615</t>
  </si>
  <si>
    <t>R02616</t>
  </si>
  <si>
    <t>R02617</t>
  </si>
  <si>
    <t>R02618</t>
  </si>
  <si>
    <t>R02619</t>
  </si>
  <si>
    <t>R02620</t>
  </si>
  <si>
    <t>R02621</t>
  </si>
  <si>
    <t>R02622</t>
  </si>
  <si>
    <t>R02623</t>
  </si>
  <si>
    <t>R02624</t>
  </si>
  <si>
    <t>R02625</t>
  </si>
  <si>
    <t>R02626</t>
  </si>
  <si>
    <t>R02627</t>
  </si>
  <si>
    <t>R02628</t>
  </si>
  <si>
    <t>R02629</t>
  </si>
  <si>
    <t>R02630</t>
  </si>
  <si>
    <t>R02631</t>
  </si>
  <si>
    <t>R02632</t>
  </si>
  <si>
    <t>R02633</t>
  </si>
  <si>
    <t>R02634</t>
  </si>
  <si>
    <t>R02635</t>
  </si>
  <si>
    <t>R02636</t>
  </si>
  <si>
    <t>R02637</t>
  </si>
  <si>
    <t>R02638</t>
  </si>
  <si>
    <t>R02639</t>
  </si>
  <si>
    <t>R02640</t>
  </si>
  <si>
    <t>R02641</t>
  </si>
  <si>
    <t>R02642</t>
  </si>
  <si>
    <t>R02643</t>
  </si>
  <si>
    <t>R02644</t>
  </si>
  <si>
    <t>R02645</t>
  </si>
  <si>
    <t>R02646</t>
  </si>
  <si>
    <t>R02647</t>
  </si>
  <si>
    <t>R02648</t>
  </si>
  <si>
    <t>R02649</t>
  </si>
  <si>
    <t>R02650</t>
  </si>
  <si>
    <t>R02651</t>
  </si>
  <si>
    <t>R02652</t>
  </si>
  <si>
    <t>R02653</t>
  </si>
  <si>
    <t>R02654</t>
  </si>
  <si>
    <t>R02655</t>
  </si>
  <si>
    <t>R02656</t>
  </si>
  <si>
    <t>R02657</t>
  </si>
  <si>
    <t>R02658</t>
  </si>
  <si>
    <t>R02659</t>
  </si>
  <si>
    <t>R02660</t>
  </si>
  <si>
    <t>R02661</t>
  </si>
  <si>
    <t>R02662</t>
  </si>
  <si>
    <t>R02663</t>
  </si>
  <si>
    <t>R02664</t>
  </si>
  <si>
    <t>R02665</t>
  </si>
  <si>
    <t>R02666</t>
  </si>
  <si>
    <t>R02667</t>
  </si>
  <si>
    <t>R02668</t>
  </si>
  <si>
    <t>R02669</t>
  </si>
  <si>
    <t>R02670</t>
  </si>
  <si>
    <t>R02671</t>
  </si>
  <si>
    <t>R02672</t>
  </si>
  <si>
    <t>R02673</t>
  </si>
  <si>
    <t>R02674</t>
  </si>
  <si>
    <t>R02675</t>
  </si>
  <si>
    <t>R02676</t>
  </si>
  <si>
    <t>R02677</t>
  </si>
  <si>
    <t>R02678</t>
  </si>
  <si>
    <t>R02679</t>
  </si>
  <si>
    <t>R02680</t>
  </si>
  <si>
    <t>R02681</t>
  </si>
  <si>
    <t>R02682</t>
  </si>
  <si>
    <t>R02683</t>
  </si>
  <si>
    <t>R02684</t>
  </si>
  <si>
    <t>R02685</t>
  </si>
  <si>
    <t>R02686</t>
  </si>
  <si>
    <t>R02687</t>
  </si>
  <si>
    <t>R02688</t>
  </si>
  <si>
    <t>R02689</t>
  </si>
  <si>
    <t>R02690</t>
  </si>
  <si>
    <t>R02691</t>
  </si>
  <si>
    <t>R02692</t>
  </si>
  <si>
    <t>R02693</t>
  </si>
  <si>
    <t>R02694</t>
  </si>
  <si>
    <t>R02695</t>
  </si>
  <si>
    <t>R02696</t>
  </si>
  <si>
    <t>R02697</t>
  </si>
  <si>
    <t>R02698</t>
  </si>
  <si>
    <t>R02699</t>
  </si>
  <si>
    <t>R02700</t>
  </si>
  <si>
    <t>R02701</t>
  </si>
  <si>
    <t>R02702</t>
  </si>
  <si>
    <t>R02703</t>
  </si>
  <si>
    <t>R02704</t>
  </si>
  <si>
    <t>R02705</t>
  </si>
  <si>
    <t>R02706</t>
  </si>
  <si>
    <t>R02707</t>
  </si>
  <si>
    <t>R02708</t>
  </si>
  <si>
    <t>R02709</t>
  </si>
  <si>
    <t>R02710</t>
  </si>
  <si>
    <t>R02711</t>
  </si>
  <si>
    <t>R02712</t>
  </si>
  <si>
    <t>R02713</t>
  </si>
  <si>
    <t>R02714</t>
  </si>
  <si>
    <t>R02715</t>
  </si>
  <si>
    <t>R02716</t>
  </si>
  <si>
    <t>R02717</t>
  </si>
  <si>
    <t>R02718</t>
  </si>
  <si>
    <t>R02719</t>
  </si>
  <si>
    <t>R02720</t>
  </si>
  <si>
    <t>R02721</t>
  </si>
  <si>
    <t>R02722</t>
  </si>
  <si>
    <t>R02723</t>
  </si>
  <si>
    <t>R02724</t>
  </si>
  <si>
    <t>R02725</t>
  </si>
  <si>
    <t>R02726</t>
  </si>
  <si>
    <t>R02727</t>
  </si>
  <si>
    <t>R02728</t>
  </si>
  <si>
    <t>R02729</t>
  </si>
  <si>
    <t>R02730</t>
  </si>
  <si>
    <t>R02731</t>
  </si>
  <si>
    <t>R02732</t>
  </si>
  <si>
    <t>R02733</t>
  </si>
  <si>
    <t>R02734</t>
  </si>
  <si>
    <t>R02735</t>
  </si>
  <si>
    <t>R02736</t>
  </si>
  <si>
    <t>R02737</t>
  </si>
  <si>
    <t>R02738</t>
  </si>
  <si>
    <t>R02739</t>
  </si>
  <si>
    <t>R02740</t>
  </si>
  <si>
    <t>R02741</t>
  </si>
  <si>
    <t>R02742</t>
  </si>
  <si>
    <t>R02743</t>
  </si>
  <si>
    <t>R02744</t>
  </si>
  <si>
    <t>R02745</t>
  </si>
  <si>
    <t>R02746</t>
  </si>
  <si>
    <t>R02747</t>
  </si>
  <si>
    <t>R02748</t>
  </si>
  <si>
    <t>R02749</t>
  </si>
  <si>
    <t>R02750</t>
  </si>
  <si>
    <t>R02751</t>
  </si>
  <si>
    <t>R02752</t>
  </si>
  <si>
    <t>R02753</t>
  </si>
  <si>
    <t>R02754</t>
  </si>
  <si>
    <t>R02755</t>
  </si>
  <si>
    <t>R02756</t>
  </si>
  <si>
    <t>R02757</t>
  </si>
  <si>
    <t>R02758</t>
  </si>
  <si>
    <t>R02759</t>
  </si>
  <si>
    <t>R02760</t>
  </si>
  <si>
    <t>R02761</t>
  </si>
  <si>
    <t>R02762</t>
  </si>
  <si>
    <t>R02763</t>
  </si>
  <si>
    <t>R02764</t>
  </si>
  <si>
    <t>R02765</t>
  </si>
  <si>
    <t>R02766</t>
  </si>
  <si>
    <t>R02767</t>
  </si>
  <si>
    <t>R02768</t>
  </si>
  <si>
    <t>R02769</t>
  </si>
  <si>
    <t>R02770</t>
  </si>
  <si>
    <t>R02771</t>
  </si>
  <si>
    <t>R02772</t>
  </si>
  <si>
    <t>R02773</t>
  </si>
  <si>
    <t>R02774</t>
  </si>
  <si>
    <t>R02775</t>
  </si>
  <si>
    <t>R02776</t>
  </si>
  <si>
    <t>R02777</t>
  </si>
  <si>
    <t>R02778</t>
  </si>
  <si>
    <t>R02779</t>
  </si>
  <si>
    <t>R02780</t>
  </si>
  <si>
    <t>R02781</t>
  </si>
  <si>
    <t>R02782</t>
  </si>
  <si>
    <t>R02783</t>
  </si>
  <si>
    <t>R02784</t>
  </si>
  <si>
    <t>R02785</t>
  </si>
  <si>
    <t>R02786</t>
  </si>
  <si>
    <t>R02787</t>
  </si>
  <si>
    <t>R02788</t>
  </si>
  <si>
    <t>R02789</t>
  </si>
  <si>
    <t>R02790</t>
  </si>
  <si>
    <t>R02791</t>
  </si>
  <si>
    <t>R02792</t>
  </si>
  <si>
    <t>R02793</t>
  </si>
  <si>
    <t>R02794</t>
  </si>
  <si>
    <t>R02795</t>
  </si>
  <si>
    <t>R02796</t>
  </si>
  <si>
    <t>R02797</t>
  </si>
  <si>
    <t>R02798</t>
  </si>
  <si>
    <t>R02799</t>
  </si>
  <si>
    <t>R02800</t>
  </si>
  <si>
    <t>R02801</t>
  </si>
  <si>
    <t>R02802</t>
  </si>
  <si>
    <t>R02803</t>
  </si>
  <si>
    <t>R02804</t>
  </si>
  <si>
    <t>R02805</t>
  </si>
  <si>
    <t>R02806</t>
  </si>
  <si>
    <t>R02807</t>
  </si>
  <si>
    <t>R02808</t>
  </si>
  <si>
    <t>R02809</t>
  </si>
  <si>
    <t>R02810</t>
  </si>
  <si>
    <t>R02811</t>
  </si>
  <si>
    <t>R02812</t>
  </si>
  <si>
    <t>R02813</t>
  </si>
  <si>
    <t>R02814</t>
  </si>
  <si>
    <t>R02815</t>
  </si>
  <si>
    <t>R02816</t>
  </si>
  <si>
    <t>R02817</t>
  </si>
  <si>
    <t>R02818</t>
  </si>
  <si>
    <t>R02819</t>
  </si>
  <si>
    <t>R02820</t>
  </si>
  <si>
    <t>R02821</t>
  </si>
  <si>
    <t>R02822</t>
  </si>
  <si>
    <t>R02823</t>
  </si>
  <si>
    <t>R02824</t>
  </si>
  <si>
    <t>R02825</t>
  </si>
  <si>
    <t>R02826</t>
  </si>
  <si>
    <t>R02827</t>
  </si>
  <si>
    <t>R02828</t>
  </si>
  <si>
    <t>R02829</t>
  </si>
  <si>
    <t>R02830</t>
  </si>
  <si>
    <t>R02831</t>
  </si>
  <si>
    <t>R02832</t>
  </si>
  <si>
    <t>R02833</t>
  </si>
  <si>
    <t>R02834</t>
  </si>
  <si>
    <t>R02835</t>
  </si>
  <si>
    <t>R02836</t>
  </si>
  <si>
    <t>R02837</t>
  </si>
  <si>
    <t>R02838</t>
  </si>
  <si>
    <t>R02839</t>
  </si>
  <si>
    <t>R02840</t>
  </si>
  <si>
    <t>R02841</t>
  </si>
  <si>
    <t>R02842</t>
  </si>
  <si>
    <t>R02843</t>
  </si>
  <si>
    <t>R02844</t>
  </si>
  <si>
    <t>R02845</t>
  </si>
  <si>
    <t>R02846</t>
  </si>
  <si>
    <t>R02847</t>
  </si>
  <si>
    <t>R02848</t>
  </si>
  <si>
    <t>R02849</t>
  </si>
  <si>
    <t>R02850</t>
  </si>
  <si>
    <t>R02851</t>
  </si>
  <si>
    <t>R02852</t>
  </si>
  <si>
    <t>R02853</t>
  </si>
  <si>
    <t>R02854</t>
  </si>
  <si>
    <t>R02855</t>
  </si>
  <si>
    <t>R02856</t>
  </si>
  <si>
    <t>R02857</t>
  </si>
  <si>
    <t>R02858</t>
  </si>
  <si>
    <t>R02859</t>
  </si>
  <si>
    <t>R02860</t>
  </si>
  <si>
    <t>R02861</t>
  </si>
  <si>
    <t>R02862</t>
  </si>
  <si>
    <t>R02863</t>
  </si>
  <si>
    <t>R02864</t>
  </si>
  <si>
    <t>R02865</t>
  </si>
  <si>
    <t>R02866</t>
  </si>
  <si>
    <t>R02867</t>
  </si>
  <si>
    <t>R02868</t>
  </si>
  <si>
    <t>R02869</t>
  </si>
  <si>
    <t>R02870</t>
  </si>
  <si>
    <t>R02871</t>
  </si>
  <si>
    <t>R02872</t>
  </si>
  <si>
    <t>R02873</t>
  </si>
  <si>
    <t>R02874</t>
  </si>
  <si>
    <t>R02875</t>
  </si>
  <si>
    <t>R02876</t>
  </si>
  <si>
    <t>R02877</t>
  </si>
  <si>
    <t>R02878</t>
  </si>
  <si>
    <t>R02879</t>
  </si>
  <si>
    <t>R02880</t>
  </si>
  <si>
    <t>R02881</t>
  </si>
  <si>
    <t>R02882</t>
  </si>
  <si>
    <t>R02883</t>
  </si>
  <si>
    <t>R02884</t>
  </si>
  <si>
    <t>R02885</t>
  </si>
  <si>
    <t>R02886</t>
  </si>
  <si>
    <t>R02887</t>
  </si>
  <si>
    <t>R02888</t>
  </si>
  <si>
    <t>R02889</t>
  </si>
  <si>
    <t>R02890</t>
  </si>
  <si>
    <t>R02891</t>
  </si>
  <si>
    <t>R02892</t>
  </si>
  <si>
    <t>R02893</t>
  </si>
  <si>
    <t>R02894</t>
  </si>
  <si>
    <t>R02895</t>
  </si>
  <si>
    <t>R02896</t>
  </si>
  <si>
    <t>R02897</t>
  </si>
  <si>
    <t>R02898</t>
  </si>
  <si>
    <t>R02899</t>
  </si>
  <si>
    <t>R02900</t>
  </si>
  <si>
    <t>R02901</t>
  </si>
  <si>
    <t>R02902</t>
  </si>
  <si>
    <t>R02903</t>
  </si>
  <si>
    <t>R02904</t>
  </si>
  <si>
    <t>R02905</t>
  </si>
  <si>
    <t>R02906</t>
  </si>
  <si>
    <t>R02907</t>
  </si>
  <si>
    <t>R02908</t>
  </si>
  <si>
    <t>R02909</t>
  </si>
  <si>
    <t>R02910</t>
  </si>
  <si>
    <t>R02911</t>
  </si>
  <si>
    <t>R02912</t>
  </si>
  <si>
    <t>R02913</t>
  </si>
  <si>
    <t>R02914</t>
  </si>
  <si>
    <t>R02915</t>
  </si>
  <si>
    <t>R02916</t>
  </si>
  <si>
    <t>R02917</t>
  </si>
  <si>
    <t>R02918</t>
  </si>
  <si>
    <t>R02919</t>
  </si>
  <si>
    <t>R02920</t>
  </si>
  <si>
    <t>R02921</t>
  </si>
  <si>
    <t>R02922</t>
  </si>
  <si>
    <t>R02923</t>
  </si>
  <si>
    <t>R02924</t>
  </si>
  <si>
    <t>R02925</t>
  </si>
  <si>
    <t>R02926</t>
  </si>
  <si>
    <t>R02927</t>
  </si>
  <si>
    <t>R02928</t>
  </si>
  <si>
    <t>R02929</t>
  </si>
  <si>
    <t>R02930</t>
  </si>
  <si>
    <t>R02931</t>
  </si>
  <si>
    <t>R02932</t>
  </si>
  <si>
    <t>R02933</t>
  </si>
  <si>
    <t>R02934</t>
  </si>
  <si>
    <t>R02935</t>
  </si>
  <si>
    <t>R02936</t>
  </si>
  <si>
    <t>R02937</t>
  </si>
  <si>
    <t>R02938</t>
  </si>
  <si>
    <t>R02939</t>
  </si>
  <si>
    <t>R02940</t>
  </si>
  <si>
    <t>R02941</t>
  </si>
  <si>
    <t>R02942</t>
  </si>
  <si>
    <t>R02943</t>
  </si>
  <si>
    <t>R02944</t>
  </si>
  <si>
    <t>R02945</t>
  </si>
  <si>
    <t>R02946</t>
  </si>
  <si>
    <t>R02947</t>
  </si>
  <si>
    <t>R02948</t>
  </si>
  <si>
    <t>R02949</t>
  </si>
  <si>
    <t>R02950</t>
  </si>
  <si>
    <t>R02951</t>
  </si>
  <si>
    <t>R02952</t>
  </si>
  <si>
    <t>R02953</t>
  </si>
  <si>
    <t>LEG-009</t>
  </si>
  <si>
    <t>R02954</t>
  </si>
  <si>
    <t>R02955</t>
  </si>
  <si>
    <t>R02956</t>
  </si>
  <si>
    <t>R02957</t>
  </si>
  <si>
    <t>R02958</t>
  </si>
  <si>
    <t>R02959</t>
  </si>
  <si>
    <t>R02960</t>
  </si>
  <si>
    <t>R02961</t>
  </si>
  <si>
    <t>R02962</t>
  </si>
  <si>
    <t>R02963</t>
  </si>
  <si>
    <t>R02964</t>
  </si>
  <si>
    <t>R02965</t>
  </si>
  <si>
    <t>R02966</t>
  </si>
  <si>
    <t>R02967</t>
  </si>
  <si>
    <t>R02968</t>
  </si>
  <si>
    <t>R02969</t>
  </si>
  <si>
    <t>R02970</t>
  </si>
  <si>
    <t>R02971</t>
  </si>
  <si>
    <t>R02972</t>
  </si>
  <si>
    <t>R02973</t>
  </si>
  <si>
    <t>R02974</t>
  </si>
  <si>
    <t>R02975</t>
  </si>
  <si>
    <t>R02976</t>
  </si>
  <si>
    <t>R02977</t>
  </si>
  <si>
    <t>R02978</t>
  </si>
  <si>
    <t>R02979</t>
  </si>
  <si>
    <t>R02980</t>
  </si>
  <si>
    <t>R02981</t>
  </si>
  <si>
    <t>R02982</t>
  </si>
  <si>
    <t>R02983</t>
  </si>
  <si>
    <t>R02984</t>
  </si>
  <si>
    <t>R02985</t>
  </si>
  <si>
    <t>R02986</t>
  </si>
  <si>
    <t>R02987</t>
  </si>
  <si>
    <t>R02988</t>
  </si>
  <si>
    <t>R02989</t>
  </si>
  <si>
    <t>R02990</t>
  </si>
  <si>
    <t>R02991</t>
  </si>
  <si>
    <t>R02992</t>
  </si>
  <si>
    <t>R02993</t>
  </si>
  <si>
    <t>R02994</t>
  </si>
  <si>
    <t>R02995</t>
  </si>
  <si>
    <t>R02996</t>
  </si>
  <si>
    <t>R02997</t>
  </si>
  <si>
    <t>R02998</t>
  </si>
  <si>
    <t>R02999</t>
  </si>
  <si>
    <t>R03000</t>
  </si>
  <si>
    <t>R03001</t>
  </si>
  <si>
    <t>R03002</t>
  </si>
  <si>
    <t>R03003</t>
  </si>
  <si>
    <t>R03004</t>
  </si>
  <si>
    <t>R03005</t>
  </si>
  <si>
    <t>R03006</t>
  </si>
  <si>
    <t>R03007</t>
  </si>
  <si>
    <t>R03008</t>
  </si>
  <si>
    <t>R03009</t>
  </si>
  <si>
    <t>R03010</t>
  </si>
  <si>
    <t>R03011</t>
  </si>
  <si>
    <t>R03012</t>
  </si>
  <si>
    <t>R03013</t>
  </si>
  <si>
    <t>R03014</t>
  </si>
  <si>
    <t>R03015</t>
  </si>
  <si>
    <t>R03016</t>
  </si>
  <si>
    <t>R03017</t>
  </si>
  <si>
    <t>R03018</t>
  </si>
  <si>
    <t>R03019</t>
  </si>
  <si>
    <t>R03020</t>
  </si>
  <si>
    <t>R03021</t>
  </si>
  <si>
    <t>R03022</t>
  </si>
  <si>
    <t>R03023</t>
  </si>
  <si>
    <t>R03024</t>
  </si>
  <si>
    <t>R03025</t>
  </si>
  <si>
    <t>R03026</t>
  </si>
  <si>
    <t>R03027</t>
  </si>
  <si>
    <t>R03028</t>
  </si>
  <si>
    <t>R03029</t>
  </si>
  <si>
    <t>R03030</t>
  </si>
  <si>
    <t>R03031</t>
  </si>
  <si>
    <t>R03032</t>
  </si>
  <si>
    <t>R03033</t>
  </si>
  <si>
    <t>R03034</t>
  </si>
  <si>
    <t>R03035</t>
  </si>
  <si>
    <t>R03036</t>
  </si>
  <si>
    <t>R03037</t>
  </si>
  <si>
    <t>R03038</t>
  </si>
  <si>
    <t>R03039</t>
  </si>
  <si>
    <t>R03040</t>
  </si>
  <si>
    <t>R03041</t>
  </si>
  <si>
    <t>R03042</t>
  </si>
  <si>
    <t>R03043</t>
  </si>
  <si>
    <t>R03044</t>
  </si>
  <si>
    <t>R03045</t>
  </si>
  <si>
    <t>R03046</t>
  </si>
  <si>
    <t>R03047</t>
  </si>
  <si>
    <t>R03048</t>
  </si>
  <si>
    <t>R03049</t>
  </si>
  <si>
    <t>R03050</t>
  </si>
  <si>
    <t>R03051</t>
  </si>
  <si>
    <t>R03052</t>
  </si>
  <si>
    <t>R03053</t>
  </si>
  <si>
    <t>R03054</t>
  </si>
  <si>
    <t>R03055</t>
  </si>
  <si>
    <t>R03056</t>
  </si>
  <si>
    <t>R03057</t>
  </si>
  <si>
    <t>R03058</t>
  </si>
  <si>
    <t>R03059</t>
  </si>
  <si>
    <t>R03060</t>
  </si>
  <si>
    <t>R03061</t>
  </si>
  <si>
    <t>R03062</t>
  </si>
  <si>
    <t>R03063</t>
  </si>
  <si>
    <t>R03064</t>
  </si>
  <si>
    <t>R03065</t>
  </si>
  <si>
    <t>R03066</t>
  </si>
  <si>
    <t>R03067</t>
  </si>
  <si>
    <t>R03068</t>
  </si>
  <si>
    <t>R03069</t>
  </si>
  <si>
    <t>R03070</t>
  </si>
  <si>
    <t>R03071</t>
  </si>
  <si>
    <t>R03072</t>
  </si>
  <si>
    <t>R03073</t>
  </si>
  <si>
    <t>R03074</t>
  </si>
  <si>
    <t>R03075</t>
  </si>
  <si>
    <t>R03076</t>
  </si>
  <si>
    <t>R03077</t>
  </si>
  <si>
    <t>R03078</t>
  </si>
  <si>
    <t>R03079</t>
  </si>
  <si>
    <t>R03080</t>
  </si>
  <si>
    <t>R03081</t>
  </si>
  <si>
    <t>R03082</t>
  </si>
  <si>
    <t>R03083</t>
  </si>
  <si>
    <t>R03084</t>
  </si>
  <si>
    <t>R03085</t>
  </si>
  <si>
    <t>R03086</t>
  </si>
  <si>
    <t>R03087</t>
  </si>
  <si>
    <t>R03088</t>
  </si>
  <si>
    <t>R03089</t>
  </si>
  <si>
    <t>R03090</t>
  </si>
  <si>
    <t>R03091</t>
  </si>
  <si>
    <t>R03092</t>
  </si>
  <si>
    <t>R03093</t>
  </si>
  <si>
    <t>R03094</t>
  </si>
  <si>
    <t>R03095</t>
  </si>
  <si>
    <t>R03096</t>
  </si>
  <si>
    <t>R03097</t>
  </si>
  <si>
    <t>R03098</t>
  </si>
  <si>
    <t>R03099</t>
  </si>
  <si>
    <t>R03100</t>
  </si>
  <si>
    <t>R03101</t>
  </si>
  <si>
    <t>R03102</t>
  </si>
  <si>
    <t>R03103</t>
  </si>
  <si>
    <t>R03104</t>
  </si>
  <si>
    <t>R03105</t>
  </si>
  <si>
    <t>R03106</t>
  </si>
  <si>
    <t>R03107</t>
  </si>
  <si>
    <t>R03108</t>
  </si>
  <si>
    <t>R03109</t>
  </si>
  <si>
    <t>R03110</t>
  </si>
  <si>
    <t>R03111</t>
  </si>
  <si>
    <t>R03112</t>
  </si>
  <si>
    <t>R03113</t>
  </si>
  <si>
    <t>R03114</t>
  </si>
  <si>
    <t>R03115</t>
  </si>
  <si>
    <t>R03116</t>
  </si>
  <si>
    <t>R03117</t>
  </si>
  <si>
    <t>R03118</t>
  </si>
  <si>
    <t>R03119</t>
  </si>
  <si>
    <t>R03120</t>
  </si>
  <si>
    <t>R03121</t>
  </si>
  <si>
    <t>R03122</t>
  </si>
  <si>
    <t>R03123</t>
  </si>
  <si>
    <t>R03124</t>
  </si>
  <si>
    <t>R03125</t>
  </si>
  <si>
    <t>R03126</t>
  </si>
  <si>
    <t>R03127</t>
  </si>
  <si>
    <t>R03128</t>
  </si>
  <si>
    <t>R03129</t>
  </si>
  <si>
    <t>R03130</t>
  </si>
  <si>
    <t>R03131</t>
  </si>
  <si>
    <t>R03132</t>
  </si>
  <si>
    <t>R03133</t>
  </si>
  <si>
    <t>R03134</t>
  </si>
  <si>
    <t>R03135</t>
  </si>
  <si>
    <t>R03136</t>
  </si>
  <si>
    <t>R03137</t>
  </si>
  <si>
    <t>R03138</t>
  </si>
  <si>
    <t>R03139</t>
  </si>
  <si>
    <t>R03140</t>
  </si>
  <si>
    <t>R03141</t>
  </si>
  <si>
    <t>R03142</t>
  </si>
  <si>
    <t>R03143</t>
  </si>
  <si>
    <t>R03144</t>
  </si>
  <si>
    <t>R03145</t>
  </si>
  <si>
    <t>R03146</t>
  </si>
  <si>
    <t>R03147</t>
  </si>
  <si>
    <t>R03148</t>
  </si>
  <si>
    <t>R03149</t>
  </si>
  <si>
    <t>R03150</t>
  </si>
  <si>
    <t>R03151</t>
  </si>
  <si>
    <t>R03152</t>
  </si>
  <si>
    <t>R03153</t>
  </si>
  <si>
    <t>R03154</t>
  </si>
  <si>
    <t>R03155</t>
  </si>
  <si>
    <t>R03156</t>
  </si>
  <si>
    <t>R03157</t>
  </si>
  <si>
    <t>R03158</t>
  </si>
  <si>
    <t>R03159</t>
  </si>
  <si>
    <t>R03160</t>
  </si>
  <si>
    <t>R03161</t>
  </si>
  <si>
    <t>R03162</t>
  </si>
  <si>
    <t>R03163</t>
  </si>
  <si>
    <t>R03164</t>
  </si>
  <si>
    <t>R03165</t>
  </si>
  <si>
    <t>R03166</t>
  </si>
  <si>
    <t>R03167</t>
  </si>
  <si>
    <t>R03168</t>
  </si>
  <si>
    <t>R03169</t>
  </si>
  <si>
    <t>R03170</t>
  </si>
  <si>
    <t>R03171</t>
  </si>
  <si>
    <t>R03172</t>
  </si>
  <si>
    <t>R03173</t>
  </si>
  <si>
    <t>R03174</t>
  </si>
  <si>
    <t>R03175</t>
  </si>
  <si>
    <t>R03176</t>
  </si>
  <si>
    <t>R03177</t>
  </si>
  <si>
    <t>R03178</t>
  </si>
  <si>
    <t>R03179</t>
  </si>
  <si>
    <t>R03180</t>
  </si>
  <si>
    <t>R03181</t>
  </si>
  <si>
    <t>R03182</t>
  </si>
  <si>
    <t>R03183</t>
  </si>
  <si>
    <t>R03184</t>
  </si>
  <si>
    <t>R03185</t>
  </si>
  <si>
    <t>R03186</t>
  </si>
  <si>
    <t>R03187</t>
  </si>
  <si>
    <t>R03188</t>
  </si>
  <si>
    <t>R03189</t>
  </si>
  <si>
    <t>R03190</t>
  </si>
  <si>
    <t>R03191</t>
  </si>
  <si>
    <t>R03192</t>
  </si>
  <si>
    <t>R03193</t>
  </si>
  <si>
    <t>R03194</t>
  </si>
  <si>
    <t>R03195</t>
  </si>
  <si>
    <t>R03196</t>
  </si>
  <si>
    <t>R03197</t>
  </si>
  <si>
    <t>R03198</t>
  </si>
  <si>
    <t>R03199</t>
  </si>
  <si>
    <t>R03200</t>
  </si>
  <si>
    <t>R03201</t>
  </si>
  <si>
    <t>R03202</t>
  </si>
  <si>
    <t>R03203</t>
  </si>
  <si>
    <t>R03204</t>
  </si>
  <si>
    <t>R03205</t>
  </si>
  <si>
    <t>R03206</t>
  </si>
  <si>
    <t>R03207</t>
  </si>
  <si>
    <t>R03208</t>
  </si>
  <si>
    <t>R03209</t>
  </si>
  <si>
    <t>R03210</t>
  </si>
  <si>
    <t>R03211</t>
  </si>
  <si>
    <t>R03212</t>
  </si>
  <si>
    <t>R03213</t>
  </si>
  <si>
    <t>R03214</t>
  </si>
  <si>
    <t>R03215</t>
  </si>
  <si>
    <t>R03216</t>
  </si>
  <si>
    <t>R03217</t>
  </si>
  <si>
    <t>R03218</t>
  </si>
  <si>
    <t>R03219</t>
  </si>
  <si>
    <t>R03220</t>
  </si>
  <si>
    <t>R03221</t>
  </si>
  <si>
    <t>R03222</t>
  </si>
  <si>
    <t>R03223</t>
  </si>
  <si>
    <t>R03224</t>
  </si>
  <si>
    <t>R03225</t>
  </si>
  <si>
    <t>R03226</t>
  </si>
  <si>
    <t>R03227</t>
  </si>
  <si>
    <t>R03228</t>
  </si>
  <si>
    <t>R03229</t>
  </si>
  <si>
    <t>R03230</t>
  </si>
  <si>
    <t>R03231</t>
  </si>
  <si>
    <t>R03232</t>
  </si>
  <si>
    <t>R03233</t>
  </si>
  <si>
    <t>R03234</t>
  </si>
  <si>
    <t>R03235</t>
  </si>
  <si>
    <t>R03236</t>
  </si>
  <si>
    <t>R03237</t>
  </si>
  <si>
    <t>R03238</t>
  </si>
  <si>
    <t>R03239</t>
  </si>
  <si>
    <t>R03240</t>
  </si>
  <si>
    <t>R03241</t>
  </si>
  <si>
    <t>R03242</t>
  </si>
  <si>
    <t>R03243</t>
  </si>
  <si>
    <t>R03244</t>
  </si>
  <si>
    <t>R03245</t>
  </si>
  <si>
    <t>R03246</t>
  </si>
  <si>
    <t>R03247</t>
  </si>
  <si>
    <t>R03248</t>
  </si>
  <si>
    <t>R03249</t>
  </si>
  <si>
    <t>R03250</t>
  </si>
  <si>
    <t>R03251</t>
  </si>
  <si>
    <t>R03252</t>
  </si>
  <si>
    <t>R03253</t>
  </si>
  <si>
    <t>R03254</t>
  </si>
  <si>
    <t>R03255</t>
  </si>
  <si>
    <t>R03256</t>
  </si>
  <si>
    <t>R03257</t>
  </si>
  <si>
    <t>R03258</t>
  </si>
  <si>
    <t>R03259</t>
  </si>
  <si>
    <t>R03260</t>
  </si>
  <si>
    <t>R03261</t>
  </si>
  <si>
    <t>R03262</t>
  </si>
  <si>
    <t>R03263</t>
  </si>
  <si>
    <t>R03264</t>
  </si>
  <si>
    <t>R03265</t>
  </si>
  <si>
    <t>R03266</t>
  </si>
  <si>
    <t>R03267</t>
  </si>
  <si>
    <t>R03268</t>
  </si>
  <si>
    <t>R03269</t>
  </si>
  <si>
    <t>R03270</t>
  </si>
  <si>
    <t>R03271</t>
  </si>
  <si>
    <t>R03272</t>
  </si>
  <si>
    <t>R03273</t>
  </si>
  <si>
    <t>R03274</t>
  </si>
  <si>
    <t>R03275</t>
  </si>
  <si>
    <t>R03276</t>
  </si>
  <si>
    <t>R03277</t>
  </si>
  <si>
    <t>R03278</t>
  </si>
  <si>
    <t>R03279</t>
  </si>
  <si>
    <t>R03280</t>
  </si>
  <si>
    <t>R03281</t>
  </si>
  <si>
    <t>R03282</t>
  </si>
  <si>
    <t>R03283</t>
  </si>
  <si>
    <t>R03284</t>
  </si>
  <si>
    <t>R03285</t>
  </si>
  <si>
    <t>R03286</t>
  </si>
  <si>
    <t>R03287</t>
  </si>
  <si>
    <t>R03288</t>
  </si>
  <si>
    <t>R03289</t>
  </si>
  <si>
    <t>R03290</t>
  </si>
  <si>
    <t>R03291</t>
  </si>
  <si>
    <t>R03292</t>
  </si>
  <si>
    <t>R03293</t>
  </si>
  <si>
    <t>R03294</t>
  </si>
  <si>
    <t>R03295</t>
  </si>
  <si>
    <t>R03296</t>
  </si>
  <si>
    <t>R03297</t>
  </si>
  <si>
    <t>R03298</t>
  </si>
  <si>
    <t>R03299</t>
  </si>
  <si>
    <t>R03300</t>
  </si>
  <si>
    <t>R03301</t>
  </si>
  <si>
    <t>R03302</t>
  </si>
  <si>
    <t>R03303</t>
  </si>
  <si>
    <t>R03304</t>
  </si>
  <si>
    <t>R03305</t>
  </si>
  <si>
    <t>R03306</t>
  </si>
  <si>
    <t>R03307</t>
  </si>
  <si>
    <t>R03308</t>
  </si>
  <si>
    <t>R03309</t>
  </si>
  <si>
    <t>R03310</t>
  </si>
  <si>
    <t>R03311</t>
  </si>
  <si>
    <t>R03312</t>
  </si>
  <si>
    <t>R03313</t>
  </si>
  <si>
    <t>R03314</t>
  </si>
  <si>
    <t>R03315</t>
  </si>
  <si>
    <t>R03316</t>
  </si>
  <si>
    <t>R03317</t>
  </si>
  <si>
    <t>R03318</t>
  </si>
  <si>
    <t>R03319</t>
  </si>
  <si>
    <t>R03320</t>
  </si>
  <si>
    <t>R03321</t>
  </si>
  <si>
    <t>R03322</t>
  </si>
  <si>
    <t>LEG-010</t>
  </si>
  <si>
    <t>R03323</t>
  </si>
  <si>
    <t>R03324</t>
  </si>
  <si>
    <t>R03325</t>
  </si>
  <si>
    <t>R03326</t>
  </si>
  <si>
    <t>R03327</t>
  </si>
  <si>
    <t>R03328</t>
  </si>
  <si>
    <t>R03329</t>
  </si>
  <si>
    <t>R03330</t>
  </si>
  <si>
    <t>R03331</t>
  </si>
  <si>
    <t>R03332</t>
  </si>
  <si>
    <t>R03333</t>
  </si>
  <si>
    <t>R03334</t>
  </si>
  <si>
    <t>R03335</t>
  </si>
  <si>
    <t>R03336</t>
  </si>
  <si>
    <t>R03337</t>
  </si>
  <si>
    <t>R03338</t>
  </si>
  <si>
    <t>R03339</t>
  </si>
  <si>
    <t>R03340</t>
  </si>
  <si>
    <t>R03341</t>
  </si>
  <si>
    <t>R03342</t>
  </si>
  <si>
    <t>R03343</t>
  </si>
  <si>
    <t>R03344</t>
  </si>
  <si>
    <t>R03345</t>
  </si>
  <si>
    <t>R03346</t>
  </si>
  <si>
    <t>R03347</t>
  </si>
  <si>
    <t>R03348</t>
  </si>
  <si>
    <t>R03349</t>
  </si>
  <si>
    <t>R03350</t>
  </si>
  <si>
    <t>R03351</t>
  </si>
  <si>
    <t>R03352</t>
  </si>
  <si>
    <t>R03353</t>
  </si>
  <si>
    <t>R03354</t>
  </si>
  <si>
    <t>R03355</t>
  </si>
  <si>
    <t>R03356</t>
  </si>
  <si>
    <t>R03357</t>
  </si>
  <si>
    <t>R03358</t>
  </si>
  <si>
    <t>R03359</t>
  </si>
  <si>
    <t>R03360</t>
  </si>
  <si>
    <t>R03361</t>
  </si>
  <si>
    <t>R03362</t>
  </si>
  <si>
    <t>R03363</t>
  </si>
  <si>
    <t>R03364</t>
  </si>
  <si>
    <t>R03365</t>
  </si>
  <si>
    <t>R03366</t>
  </si>
  <si>
    <t>R03367</t>
  </si>
  <si>
    <t>R03368</t>
  </si>
  <si>
    <t>R03369</t>
  </si>
  <si>
    <t>R03370</t>
  </si>
  <si>
    <t>R03371</t>
  </si>
  <si>
    <t>R03372</t>
  </si>
  <si>
    <t>R03373</t>
  </si>
  <si>
    <t>R03374</t>
  </si>
  <si>
    <t>R03375</t>
  </si>
  <si>
    <t>R03376</t>
  </si>
  <si>
    <t>R03377</t>
  </si>
  <si>
    <t>R03378</t>
  </si>
  <si>
    <t>R03379</t>
  </si>
  <si>
    <t>R03380</t>
  </si>
  <si>
    <t>R03381</t>
  </si>
  <si>
    <t>R03382</t>
  </si>
  <si>
    <t>R03383</t>
  </si>
  <si>
    <t>R03384</t>
  </si>
  <si>
    <t>R03385</t>
  </si>
  <si>
    <t>R03386</t>
  </si>
  <si>
    <t>R03387</t>
  </si>
  <si>
    <t>R03388</t>
  </si>
  <si>
    <t>R03389</t>
  </si>
  <si>
    <t>R03390</t>
  </si>
  <si>
    <t>R03391</t>
  </si>
  <si>
    <t>R03392</t>
  </si>
  <si>
    <t>R03393</t>
  </si>
  <si>
    <t>R03394</t>
  </si>
  <si>
    <t>R03395</t>
  </si>
  <si>
    <t>R03396</t>
  </si>
  <si>
    <t>R03397</t>
  </si>
  <si>
    <t>R03398</t>
  </si>
  <si>
    <t>R03399</t>
  </si>
  <si>
    <t>R03400</t>
  </si>
  <si>
    <t>R03401</t>
  </si>
  <si>
    <t>R03402</t>
  </si>
  <si>
    <t>R03403</t>
  </si>
  <si>
    <t>R03404</t>
  </si>
  <si>
    <t>R03405</t>
  </si>
  <si>
    <t>R03406</t>
  </si>
  <si>
    <t>R03407</t>
  </si>
  <si>
    <t>R03408</t>
  </si>
  <si>
    <t>R03409</t>
  </si>
  <si>
    <t>R03410</t>
  </si>
  <si>
    <t>R03411</t>
  </si>
  <si>
    <t>R03412</t>
  </si>
  <si>
    <t>R03413</t>
  </si>
  <si>
    <t>R03414</t>
  </si>
  <si>
    <t>R03415</t>
  </si>
  <si>
    <t>R03416</t>
  </si>
  <si>
    <t>R03417</t>
  </si>
  <si>
    <t>R03418</t>
  </si>
  <si>
    <t>R03419</t>
  </si>
  <si>
    <t>R03420</t>
  </si>
  <si>
    <t>R03421</t>
  </si>
  <si>
    <t>R03422</t>
  </si>
  <si>
    <t>R03423</t>
  </si>
  <si>
    <t>R03424</t>
  </si>
  <si>
    <t>R03425</t>
  </si>
  <si>
    <t>R03426</t>
  </si>
  <si>
    <t>R03427</t>
  </si>
  <si>
    <t>R03428</t>
  </si>
  <si>
    <t>R03429</t>
  </si>
  <si>
    <t>R03430</t>
  </si>
  <si>
    <t>R03431</t>
  </si>
  <si>
    <t>R03432</t>
  </si>
  <si>
    <t>R03433</t>
  </si>
  <si>
    <t>R03434</t>
  </si>
  <si>
    <t>R03435</t>
  </si>
  <si>
    <t>R03436</t>
  </si>
  <si>
    <t>R03437</t>
  </si>
  <si>
    <t>R03438</t>
  </si>
  <si>
    <t>R03439</t>
  </si>
  <si>
    <t>R03440</t>
  </si>
  <si>
    <t>R03441</t>
  </si>
  <si>
    <t>R03442</t>
  </si>
  <si>
    <t>R03443</t>
  </si>
  <si>
    <t>R03444</t>
  </si>
  <si>
    <t>R03445</t>
  </si>
  <si>
    <t>R03446</t>
  </si>
  <si>
    <t>R03447</t>
  </si>
  <si>
    <t>R03448</t>
  </si>
  <si>
    <t>R03449</t>
  </si>
  <si>
    <t>R03450</t>
  </si>
  <si>
    <t>R03451</t>
  </si>
  <si>
    <t>R03452</t>
  </si>
  <si>
    <t>R03453</t>
  </si>
  <si>
    <t>R03454</t>
  </si>
  <si>
    <t>R03455</t>
  </si>
  <si>
    <t>R03456</t>
  </si>
  <si>
    <t>R03457</t>
  </si>
  <si>
    <t>R03458</t>
  </si>
  <si>
    <t>R03459</t>
  </si>
  <si>
    <t>R03460</t>
  </si>
  <si>
    <t>R03461</t>
  </si>
  <si>
    <t>R03462</t>
  </si>
  <si>
    <t>R03463</t>
  </si>
  <si>
    <t>R03464</t>
  </si>
  <si>
    <t>R03465</t>
  </si>
  <si>
    <t>R03466</t>
  </si>
  <si>
    <t>R03467</t>
  </si>
  <si>
    <t>R03468</t>
  </si>
  <si>
    <t>R03469</t>
  </si>
  <si>
    <t>R03470</t>
  </si>
  <si>
    <t>R03471</t>
  </si>
  <si>
    <t>R03472</t>
  </si>
  <si>
    <t>R03473</t>
  </si>
  <si>
    <t>R03474</t>
  </si>
  <si>
    <t>R03475</t>
  </si>
  <si>
    <t>R03476</t>
  </si>
  <si>
    <t>R03477</t>
  </si>
  <si>
    <t>R03478</t>
  </si>
  <si>
    <t>R03479</t>
  </si>
  <si>
    <t>R03480</t>
  </si>
  <si>
    <t>R03481</t>
  </si>
  <si>
    <t>R03482</t>
  </si>
  <si>
    <t>R03483</t>
  </si>
  <si>
    <t>R03484</t>
  </si>
  <si>
    <t>R03485</t>
  </si>
  <si>
    <t>R03486</t>
  </si>
  <si>
    <t>R03487</t>
  </si>
  <si>
    <t>R03488</t>
  </si>
  <si>
    <t>R03489</t>
  </si>
  <si>
    <t>R03490</t>
  </si>
  <si>
    <t>R03491</t>
  </si>
  <si>
    <t>R03492</t>
  </si>
  <si>
    <t>R03493</t>
  </si>
  <si>
    <t>R03494</t>
  </si>
  <si>
    <t>R03495</t>
  </si>
  <si>
    <t>R03496</t>
  </si>
  <si>
    <t>R03497</t>
  </si>
  <si>
    <t>R03498</t>
  </si>
  <si>
    <t>R03499</t>
  </si>
  <si>
    <t>R03500</t>
  </si>
  <si>
    <t>R03501</t>
  </si>
  <si>
    <t>R03502</t>
  </si>
  <si>
    <t>R03503</t>
  </si>
  <si>
    <t>R03504</t>
  </si>
  <si>
    <t>R03505</t>
  </si>
  <si>
    <t>R03506</t>
  </si>
  <si>
    <t>R03507</t>
  </si>
  <si>
    <t>R03508</t>
  </si>
  <si>
    <t>R03509</t>
  </si>
  <si>
    <t>R03510</t>
  </si>
  <si>
    <t>R03511</t>
  </si>
  <si>
    <t>R03512</t>
  </si>
  <si>
    <t>R03513</t>
  </si>
  <si>
    <t>R03514</t>
  </si>
  <si>
    <t>R03515</t>
  </si>
  <si>
    <t>R03516</t>
  </si>
  <si>
    <t>R03517</t>
  </si>
  <si>
    <t>R03518</t>
  </si>
  <si>
    <t>R03519</t>
  </si>
  <si>
    <t>R03520</t>
  </si>
  <si>
    <t>R03521</t>
  </si>
  <si>
    <t>R03522</t>
  </si>
  <si>
    <t>R03523</t>
  </si>
  <si>
    <t>R03524</t>
  </si>
  <si>
    <t>R03525</t>
  </si>
  <si>
    <t>R03526</t>
  </si>
  <si>
    <t>R03527</t>
  </si>
  <si>
    <t>R03528</t>
  </si>
  <si>
    <t>R03529</t>
  </si>
  <si>
    <t>R03530</t>
  </si>
  <si>
    <t>R03531</t>
  </si>
  <si>
    <t>R03532</t>
  </si>
  <si>
    <t>R03533</t>
  </si>
  <si>
    <t>R03534</t>
  </si>
  <si>
    <t>R03535</t>
  </si>
  <si>
    <t>R03536</t>
  </si>
  <si>
    <t>R03537</t>
  </si>
  <si>
    <t>R03538</t>
  </si>
  <si>
    <t>R03539</t>
  </si>
  <si>
    <t>R03540</t>
  </si>
  <si>
    <t>R03541</t>
  </si>
  <si>
    <t>R03542</t>
  </si>
  <si>
    <t>R03543</t>
  </si>
  <si>
    <t>R03544</t>
  </si>
  <si>
    <t>R03545</t>
  </si>
  <si>
    <t>R03546</t>
  </si>
  <si>
    <t>R03547</t>
  </si>
  <si>
    <t>R03548</t>
  </si>
  <si>
    <t>R03549</t>
  </si>
  <si>
    <t>R03550</t>
  </si>
  <si>
    <t>R03551</t>
  </si>
  <si>
    <t>R03552</t>
  </si>
  <si>
    <t>R03553</t>
  </si>
  <si>
    <t>R03554</t>
  </si>
  <si>
    <t>R03555</t>
  </si>
  <si>
    <t>R03556</t>
  </si>
  <si>
    <t>R03557</t>
  </si>
  <si>
    <t>R03558</t>
  </si>
  <si>
    <t>R03559</t>
  </si>
  <si>
    <t>R03560</t>
  </si>
  <si>
    <t>R03561</t>
  </si>
  <si>
    <t>R03562</t>
  </si>
  <si>
    <t>R03563</t>
  </si>
  <si>
    <t>R03564</t>
  </si>
  <si>
    <t>R03565</t>
  </si>
  <si>
    <t>R03566</t>
  </si>
  <si>
    <t>R03567</t>
  </si>
  <si>
    <t>R03568</t>
  </si>
  <si>
    <t>R03569</t>
  </si>
  <si>
    <t>R03570</t>
  </si>
  <si>
    <t>R03571</t>
  </si>
  <si>
    <t>R03572</t>
  </si>
  <si>
    <t>R03573</t>
  </si>
  <si>
    <t>R03574</t>
  </si>
  <si>
    <t>R03575</t>
  </si>
  <si>
    <t>R03576</t>
  </si>
  <si>
    <t>R03577</t>
  </si>
  <si>
    <t>R03578</t>
  </si>
  <si>
    <t>R03579</t>
  </si>
  <si>
    <t>R03580</t>
  </si>
  <si>
    <t>R03581</t>
  </si>
  <si>
    <t>R03582</t>
  </si>
  <si>
    <t>R03583</t>
  </si>
  <si>
    <t>R03584</t>
  </si>
  <si>
    <t>R03585</t>
  </si>
  <si>
    <t>R03586</t>
  </si>
  <si>
    <t>R03587</t>
  </si>
  <si>
    <t>R03588</t>
  </si>
  <si>
    <t>R03589</t>
  </si>
  <si>
    <t>R03590</t>
  </si>
  <si>
    <t>R03591</t>
  </si>
  <si>
    <t>R03592</t>
  </si>
  <si>
    <t>R03593</t>
  </si>
  <si>
    <t>R03594</t>
  </si>
  <si>
    <t>R03595</t>
  </si>
  <si>
    <t>R03596</t>
  </si>
  <si>
    <t>R03597</t>
  </si>
  <si>
    <t>R03598</t>
  </si>
  <si>
    <t>R03599</t>
  </si>
  <si>
    <t>R03600</t>
  </si>
  <si>
    <t>R03601</t>
  </si>
  <si>
    <t>R03602</t>
  </si>
  <si>
    <t>R03603</t>
  </si>
  <si>
    <t>R03604</t>
  </si>
  <si>
    <t>R03605</t>
  </si>
  <si>
    <t>R03606</t>
  </si>
  <si>
    <t>R03607</t>
  </si>
  <si>
    <t>R03608</t>
  </si>
  <si>
    <t>R03609</t>
  </si>
  <si>
    <t>R03610</t>
  </si>
  <si>
    <t>R03611</t>
  </si>
  <si>
    <t>R03612</t>
  </si>
  <si>
    <t>R03613</t>
  </si>
  <si>
    <t>R03614</t>
  </si>
  <si>
    <t>R03615</t>
  </si>
  <si>
    <t>R03616</t>
  </si>
  <si>
    <t>R03617</t>
  </si>
  <si>
    <t>R03618</t>
  </si>
  <si>
    <t>R03619</t>
  </si>
  <si>
    <t>R03620</t>
  </si>
  <si>
    <t>R03621</t>
  </si>
  <si>
    <t>R03622</t>
  </si>
  <si>
    <t>R03623</t>
  </si>
  <si>
    <t>R03624</t>
  </si>
  <si>
    <t>R03625</t>
  </si>
  <si>
    <t>R03626</t>
  </si>
  <si>
    <t>R03627</t>
  </si>
  <si>
    <t>R03628</t>
  </si>
  <si>
    <t>R03629</t>
  </si>
  <si>
    <t>R03630</t>
  </si>
  <si>
    <t>R03631</t>
  </si>
  <si>
    <t>R03632</t>
  </si>
  <si>
    <t>R03633</t>
  </si>
  <si>
    <t>R03634</t>
  </si>
  <si>
    <t>R03635</t>
  </si>
  <si>
    <t>R03636</t>
  </si>
  <si>
    <t>R03637</t>
  </si>
  <si>
    <t>R03638</t>
  </si>
  <si>
    <t>R03639</t>
  </si>
  <si>
    <t>R03640</t>
  </si>
  <si>
    <t>R03641</t>
  </si>
  <si>
    <t>R03642</t>
  </si>
  <si>
    <t>R03643</t>
  </si>
  <si>
    <t>R03644</t>
  </si>
  <si>
    <t>R03645</t>
  </si>
  <si>
    <t>R03646</t>
  </si>
  <si>
    <t>R03647</t>
  </si>
  <si>
    <t>R03648</t>
  </si>
  <si>
    <t>R03649</t>
  </si>
  <si>
    <t>R03650</t>
  </si>
  <si>
    <t>R03651</t>
  </si>
  <si>
    <t>R03652</t>
  </si>
  <si>
    <t>R03653</t>
  </si>
  <si>
    <t>R03654</t>
  </si>
  <si>
    <t>R03655</t>
  </si>
  <si>
    <t>R03656</t>
  </si>
  <si>
    <t>R03657</t>
  </si>
  <si>
    <t>R03658</t>
  </si>
  <si>
    <t>R03659</t>
  </si>
  <si>
    <t>R03660</t>
  </si>
  <si>
    <t>R03661</t>
  </si>
  <si>
    <t>R03662</t>
  </si>
  <si>
    <t>R03663</t>
  </si>
  <si>
    <t>R03664</t>
  </si>
  <si>
    <t>R03665</t>
  </si>
  <si>
    <t>R03666</t>
  </si>
  <si>
    <t>R03667</t>
  </si>
  <si>
    <t>R03668</t>
  </si>
  <si>
    <t>R03669</t>
  </si>
  <si>
    <t>R03670</t>
  </si>
  <si>
    <t>R03671</t>
  </si>
  <si>
    <t>R03672</t>
  </si>
  <si>
    <t>R03673</t>
  </si>
  <si>
    <t>R03674</t>
  </si>
  <si>
    <t>R03675</t>
  </si>
  <si>
    <t>R03676</t>
  </si>
  <si>
    <t>R03677</t>
  </si>
  <si>
    <t>R03678</t>
  </si>
  <si>
    <t>R03679</t>
  </si>
  <si>
    <t>R03680</t>
  </si>
  <si>
    <t>R03681</t>
  </si>
  <si>
    <t>R03682</t>
  </si>
  <si>
    <t>R03683</t>
  </si>
  <si>
    <t>R03684</t>
  </si>
  <si>
    <t>R03685</t>
  </si>
  <si>
    <t>R03686</t>
  </si>
  <si>
    <t>R03687</t>
  </si>
  <si>
    <t>R03688</t>
  </si>
  <si>
    <t>R03689</t>
  </si>
  <si>
    <t>R03690</t>
  </si>
  <si>
    <t>R03691</t>
  </si>
  <si>
    <t>LEG-011</t>
  </si>
  <si>
    <t>R03692</t>
  </si>
  <si>
    <t>R03693</t>
  </si>
  <si>
    <t>R03694</t>
  </si>
  <si>
    <t>R03695</t>
  </si>
  <si>
    <t>R03696</t>
  </si>
  <si>
    <t>R03697</t>
  </si>
  <si>
    <t>R03698</t>
  </si>
  <si>
    <t>R03699</t>
  </si>
  <si>
    <t>R03700</t>
  </si>
  <si>
    <t>R03701</t>
  </si>
  <si>
    <t>R03702</t>
  </si>
  <si>
    <t>R03703</t>
  </si>
  <si>
    <t>R03704</t>
  </si>
  <si>
    <t>R03705</t>
  </si>
  <si>
    <t>R03706</t>
  </si>
  <si>
    <t>R03707</t>
  </si>
  <si>
    <t>R03708</t>
  </si>
  <si>
    <t>R03709</t>
  </si>
  <si>
    <t>R03710</t>
  </si>
  <si>
    <t>R03711</t>
  </si>
  <si>
    <t>R03712</t>
  </si>
  <si>
    <t>R03713</t>
  </si>
  <si>
    <t>R03714</t>
  </si>
  <si>
    <t>R03715</t>
  </si>
  <si>
    <t>R03716</t>
  </si>
  <si>
    <t>R03717</t>
  </si>
  <si>
    <t>R03718</t>
  </si>
  <si>
    <t>R03719</t>
  </si>
  <si>
    <t>R03720</t>
  </si>
  <si>
    <t>R03721</t>
  </si>
  <si>
    <t>R03722</t>
  </si>
  <si>
    <t>R03723</t>
  </si>
  <si>
    <t>R03724</t>
  </si>
  <si>
    <t>R03725</t>
  </si>
  <si>
    <t>R03726</t>
  </si>
  <si>
    <t>R03727</t>
  </si>
  <si>
    <t>R03728</t>
  </si>
  <si>
    <t>R03729</t>
  </si>
  <si>
    <t>R03730</t>
  </si>
  <si>
    <t>R03731</t>
  </si>
  <si>
    <t>R03732</t>
  </si>
  <si>
    <t>R03733</t>
  </si>
  <si>
    <t>R03734</t>
  </si>
  <si>
    <t>R03735</t>
  </si>
  <si>
    <t>R03736</t>
  </si>
  <si>
    <t>R03737</t>
  </si>
  <si>
    <t>R03738</t>
  </si>
  <si>
    <t>R03739</t>
  </si>
  <si>
    <t>R03740</t>
  </si>
  <si>
    <t>R03741</t>
  </si>
  <si>
    <t>R03742</t>
  </si>
  <si>
    <t>R03743</t>
  </si>
  <si>
    <t>R03744</t>
  </si>
  <si>
    <t>R03745</t>
  </si>
  <si>
    <t>R03746</t>
  </si>
  <si>
    <t>R03747</t>
  </si>
  <si>
    <t>R03748</t>
  </si>
  <si>
    <t>R03749</t>
  </si>
  <si>
    <t>R03750</t>
  </si>
  <si>
    <t>R03751</t>
  </si>
  <si>
    <t>R03752</t>
  </si>
  <si>
    <t>R03753</t>
  </si>
  <si>
    <t>R03754</t>
  </si>
  <si>
    <t>R03755</t>
  </si>
  <si>
    <t>R03756</t>
  </si>
  <si>
    <t>R03757</t>
  </si>
  <si>
    <t>R03758</t>
  </si>
  <si>
    <t>R03759</t>
  </si>
  <si>
    <t>R03760</t>
  </si>
  <si>
    <t>R03761</t>
  </si>
  <si>
    <t>R03762</t>
  </si>
  <si>
    <t>R03763</t>
  </si>
  <si>
    <t>R03764</t>
  </si>
  <si>
    <t>R03765</t>
  </si>
  <si>
    <t>R03766</t>
  </si>
  <si>
    <t>R03767</t>
  </si>
  <si>
    <t>R03768</t>
  </si>
  <si>
    <t>R03769</t>
  </si>
  <si>
    <t>R03770</t>
  </si>
  <si>
    <t>R03771</t>
  </si>
  <si>
    <t>R03772</t>
  </si>
  <si>
    <t>R03773</t>
  </si>
  <si>
    <t>R03774</t>
  </si>
  <si>
    <t>R03775</t>
  </si>
  <si>
    <t>R03776</t>
  </si>
  <si>
    <t>R03777</t>
  </si>
  <si>
    <t>R03778</t>
  </si>
  <si>
    <t>R03779</t>
  </si>
  <si>
    <t>R03780</t>
  </si>
  <si>
    <t>R03781</t>
  </si>
  <si>
    <t>R03782</t>
  </si>
  <si>
    <t>R03783</t>
  </si>
  <si>
    <t>R03784</t>
  </si>
  <si>
    <t>R03785</t>
  </si>
  <si>
    <t>R03786</t>
  </si>
  <si>
    <t>R03787</t>
  </si>
  <si>
    <t>R03788</t>
  </si>
  <si>
    <t>R03789</t>
  </si>
  <si>
    <t>R03790</t>
  </si>
  <si>
    <t>R03791</t>
  </si>
  <si>
    <t>R03792</t>
  </si>
  <si>
    <t>R03793</t>
  </si>
  <si>
    <t>R03794</t>
  </si>
  <si>
    <t>R03795</t>
  </si>
  <si>
    <t>R03796</t>
  </si>
  <si>
    <t>R03797</t>
  </si>
  <si>
    <t>R03798</t>
  </si>
  <si>
    <t>R03799</t>
  </si>
  <si>
    <t>R03800</t>
  </si>
  <si>
    <t>R03801</t>
  </si>
  <si>
    <t>R03802</t>
  </si>
  <si>
    <t>R03803</t>
  </si>
  <si>
    <t>R03804</t>
  </si>
  <si>
    <t>R03805</t>
  </si>
  <si>
    <t>R03806</t>
  </si>
  <si>
    <t>R03807</t>
  </si>
  <si>
    <t>R03808</t>
  </si>
  <si>
    <t>R03809</t>
  </si>
  <si>
    <t>R03810</t>
  </si>
  <si>
    <t>R03811</t>
  </si>
  <si>
    <t>R03812</t>
  </si>
  <si>
    <t>R03813</t>
  </si>
  <si>
    <t>R03814</t>
  </si>
  <si>
    <t>R03815</t>
  </si>
  <si>
    <t>R03816</t>
  </si>
  <si>
    <t>R03817</t>
  </si>
  <si>
    <t>R03818</t>
  </si>
  <si>
    <t>R03819</t>
  </si>
  <si>
    <t>R03820</t>
  </si>
  <si>
    <t>R03821</t>
  </si>
  <si>
    <t>R03822</t>
  </si>
  <si>
    <t>R03823</t>
  </si>
  <si>
    <t>R03824</t>
  </si>
  <si>
    <t>R03825</t>
  </si>
  <si>
    <t>R03826</t>
  </si>
  <si>
    <t>R03827</t>
  </si>
  <si>
    <t>R03828</t>
  </si>
  <si>
    <t>R03829</t>
  </si>
  <si>
    <t>R03830</t>
  </si>
  <si>
    <t>R03831</t>
  </si>
  <si>
    <t>R03832</t>
  </si>
  <si>
    <t>R03833</t>
  </si>
  <si>
    <t>R03834</t>
  </si>
  <si>
    <t>R03835</t>
  </si>
  <si>
    <t>R03836</t>
  </si>
  <si>
    <t>R03837</t>
  </si>
  <si>
    <t>R03838</t>
  </si>
  <si>
    <t>R03839</t>
  </si>
  <si>
    <t>R03840</t>
  </si>
  <si>
    <t>R03841</t>
  </si>
  <si>
    <t>R03842</t>
  </si>
  <si>
    <t>R03843</t>
  </si>
  <si>
    <t>R03844</t>
  </si>
  <si>
    <t>R03845</t>
  </si>
  <si>
    <t>R03846</t>
  </si>
  <si>
    <t>R03847</t>
  </si>
  <si>
    <t>R03848</t>
  </si>
  <si>
    <t>R03849</t>
  </si>
  <si>
    <t>R03850</t>
  </si>
  <si>
    <t>R03851</t>
  </si>
  <si>
    <t>R03852</t>
  </si>
  <si>
    <t>R03853</t>
  </si>
  <si>
    <t>R03854</t>
  </si>
  <si>
    <t>R03855</t>
  </si>
  <si>
    <t>R03856</t>
  </si>
  <si>
    <t>R03857</t>
  </si>
  <si>
    <t>R03858</t>
  </si>
  <si>
    <t>R03859</t>
  </si>
  <si>
    <t>R03860</t>
  </si>
  <si>
    <t>R03861</t>
  </si>
  <si>
    <t>R03862</t>
  </si>
  <si>
    <t>R03863</t>
  </si>
  <si>
    <t>R03864</t>
  </si>
  <si>
    <t>R03865</t>
  </si>
  <si>
    <t>R03866</t>
  </si>
  <si>
    <t>R03867</t>
  </si>
  <si>
    <t>R03868</t>
  </si>
  <si>
    <t>R03869</t>
  </si>
  <si>
    <t>R03870</t>
  </si>
  <si>
    <t>R03871</t>
  </si>
  <si>
    <t>R03872</t>
  </si>
  <si>
    <t>R03873</t>
  </si>
  <si>
    <t>R03874</t>
  </si>
  <si>
    <t>R03875</t>
  </si>
  <si>
    <t>R03876</t>
  </si>
  <si>
    <t>R03877</t>
  </si>
  <si>
    <t>R03878</t>
  </si>
  <si>
    <t>R03879</t>
  </si>
  <si>
    <t>R03880</t>
  </si>
  <si>
    <t>R03881</t>
  </si>
  <si>
    <t>R03882</t>
  </si>
  <si>
    <t>R03883</t>
  </si>
  <si>
    <t>R03884</t>
  </si>
  <si>
    <t>R03885</t>
  </si>
  <si>
    <t>R03886</t>
  </si>
  <si>
    <t>R03887</t>
  </si>
  <si>
    <t>R03888</t>
  </si>
  <si>
    <t>R03889</t>
  </si>
  <si>
    <t>R03890</t>
  </si>
  <si>
    <t>R03891</t>
  </si>
  <si>
    <t>R03892</t>
  </si>
  <si>
    <t>R03893</t>
  </si>
  <si>
    <t>R03894</t>
  </si>
  <si>
    <t>R03895</t>
  </si>
  <si>
    <t>R03896</t>
  </si>
  <si>
    <t>R03897</t>
  </si>
  <si>
    <t>R03898</t>
  </si>
  <si>
    <t>R03899</t>
  </si>
  <si>
    <t>R03900</t>
  </si>
  <si>
    <t>R03901</t>
  </si>
  <si>
    <t>R03902</t>
  </si>
  <si>
    <t>R03903</t>
  </si>
  <si>
    <t>R03904</t>
  </si>
  <si>
    <t>R03905</t>
  </si>
  <si>
    <t>R03906</t>
  </si>
  <si>
    <t>R03907</t>
  </si>
  <si>
    <t>R03908</t>
  </si>
  <si>
    <t>R03909</t>
  </si>
  <si>
    <t>R03910</t>
  </si>
  <si>
    <t>R03911</t>
  </si>
  <si>
    <t>R03912</t>
  </si>
  <si>
    <t>R03913</t>
  </si>
  <si>
    <t>R03914</t>
  </si>
  <si>
    <t>R03915</t>
  </si>
  <si>
    <t>R03916</t>
  </si>
  <si>
    <t>R03917</t>
  </si>
  <si>
    <t>R03918</t>
  </si>
  <si>
    <t>R03919</t>
  </si>
  <si>
    <t>R03920</t>
  </si>
  <si>
    <t>R03921</t>
  </si>
  <si>
    <t>R03922</t>
  </si>
  <si>
    <t>R03923</t>
  </si>
  <si>
    <t>R03924</t>
  </si>
  <si>
    <t>R03925</t>
  </si>
  <si>
    <t>R03926</t>
  </si>
  <si>
    <t>R03927</t>
  </si>
  <si>
    <t>R03928</t>
  </si>
  <si>
    <t>R03929</t>
  </si>
  <si>
    <t>R03930</t>
  </si>
  <si>
    <t>R03931</t>
  </si>
  <si>
    <t>R03932</t>
  </si>
  <si>
    <t>R03933</t>
  </si>
  <si>
    <t>R03934</t>
  </si>
  <si>
    <t>R03935</t>
  </si>
  <si>
    <t>R03936</t>
  </si>
  <si>
    <t>R03937</t>
  </si>
  <si>
    <t>R03938</t>
  </si>
  <si>
    <t>R03939</t>
  </si>
  <si>
    <t>R03940</t>
  </si>
  <si>
    <t>R03941</t>
  </si>
  <si>
    <t>R03942</t>
  </si>
  <si>
    <t>R03943</t>
  </si>
  <si>
    <t>R03944</t>
  </si>
  <si>
    <t>R03945</t>
  </si>
  <si>
    <t>R03946</t>
  </si>
  <si>
    <t>R03947</t>
  </si>
  <si>
    <t>R03948</t>
  </si>
  <si>
    <t>R03949</t>
  </si>
  <si>
    <t>R03950</t>
  </si>
  <si>
    <t>R03951</t>
  </si>
  <si>
    <t>R03952</t>
  </si>
  <si>
    <t>R03953</t>
  </si>
  <si>
    <t>R03954</t>
  </si>
  <si>
    <t>R03955</t>
  </si>
  <si>
    <t>R03956</t>
  </si>
  <si>
    <t>R03957</t>
  </si>
  <si>
    <t>R03958</t>
  </si>
  <si>
    <t>R03959</t>
  </si>
  <si>
    <t>R03960</t>
  </si>
  <si>
    <t>R03961</t>
  </si>
  <si>
    <t>R03962</t>
  </si>
  <si>
    <t>R03963</t>
  </si>
  <si>
    <t>R03964</t>
  </si>
  <si>
    <t>R03965</t>
  </si>
  <si>
    <t>R03966</t>
  </si>
  <si>
    <t>R03967</t>
  </si>
  <si>
    <t>R03968</t>
  </si>
  <si>
    <t>R03969</t>
  </si>
  <si>
    <t>R03970</t>
  </si>
  <si>
    <t>R03971</t>
  </si>
  <si>
    <t>R03972</t>
  </si>
  <si>
    <t>R03973</t>
  </si>
  <si>
    <t>R03974</t>
  </si>
  <si>
    <t>R03975</t>
  </si>
  <si>
    <t>R03976</t>
  </si>
  <si>
    <t>R03977</t>
  </si>
  <si>
    <t>R03978</t>
  </si>
  <si>
    <t>R03979</t>
  </si>
  <si>
    <t>R03980</t>
  </si>
  <si>
    <t>R03981</t>
  </si>
  <si>
    <t>R03982</t>
  </si>
  <si>
    <t>R03983</t>
  </si>
  <si>
    <t>R03984</t>
  </si>
  <si>
    <t>R03985</t>
  </si>
  <si>
    <t>R03986</t>
  </si>
  <si>
    <t>R03987</t>
  </si>
  <si>
    <t>R03988</t>
  </si>
  <si>
    <t>R03989</t>
  </si>
  <si>
    <t>R03990</t>
  </si>
  <si>
    <t>R03991</t>
  </si>
  <si>
    <t>R03992</t>
  </si>
  <si>
    <t>R03993</t>
  </si>
  <si>
    <t>R03994</t>
  </si>
  <si>
    <t>R03995</t>
  </si>
  <si>
    <t>R03996</t>
  </si>
  <si>
    <t>R03997</t>
  </si>
  <si>
    <t>R03998</t>
  </si>
  <si>
    <t>R03999</t>
  </si>
  <si>
    <t>R04000</t>
  </si>
  <si>
    <t>R04001</t>
  </si>
  <si>
    <t>R04002</t>
  </si>
  <si>
    <t>R04003</t>
  </si>
  <si>
    <t>R04004</t>
  </si>
  <si>
    <t>R04005</t>
  </si>
  <si>
    <t>R04006</t>
  </si>
  <si>
    <t>R04007</t>
  </si>
  <si>
    <t>R04008</t>
  </si>
  <si>
    <t>R04009</t>
  </si>
  <si>
    <t>R04010</t>
  </si>
  <si>
    <t>R04011</t>
  </si>
  <si>
    <t>R04012</t>
  </si>
  <si>
    <t>R04013</t>
  </si>
  <si>
    <t>R04014</t>
  </si>
  <si>
    <t>R04015</t>
  </si>
  <si>
    <t>R04016</t>
  </si>
  <si>
    <t>R04017</t>
  </si>
  <si>
    <t>R04018</t>
  </si>
  <si>
    <t>R04019</t>
  </si>
  <si>
    <t>LEG-012</t>
  </si>
  <si>
    <t>R04020</t>
  </si>
  <si>
    <t>R04021</t>
  </si>
  <si>
    <t>R04022</t>
  </si>
  <si>
    <t>R04023</t>
  </si>
  <si>
    <t>R04024</t>
  </si>
  <si>
    <t>R04025</t>
  </si>
  <si>
    <t>R04026</t>
  </si>
  <si>
    <t>R04027</t>
  </si>
  <si>
    <t>R04028</t>
  </si>
  <si>
    <t>R04029</t>
  </si>
  <si>
    <t>R04030</t>
  </si>
  <si>
    <t>R04031</t>
  </si>
  <si>
    <t>R04032</t>
  </si>
  <si>
    <t>R04033</t>
  </si>
  <si>
    <t>R04034</t>
  </si>
  <si>
    <t>R04035</t>
  </si>
  <si>
    <t>R04036</t>
  </si>
  <si>
    <t>R04037</t>
  </si>
  <si>
    <t>R04038</t>
  </si>
  <si>
    <t>R04039</t>
  </si>
  <si>
    <t>R04040</t>
  </si>
  <si>
    <t>R04041</t>
  </si>
  <si>
    <t>R04042</t>
  </si>
  <si>
    <t>R04043</t>
  </si>
  <si>
    <t>R04044</t>
  </si>
  <si>
    <t>R04045</t>
  </si>
  <si>
    <t>R04046</t>
  </si>
  <si>
    <t>R04047</t>
  </si>
  <si>
    <t>R04048</t>
  </si>
  <si>
    <t>R04049</t>
  </si>
  <si>
    <t>R04050</t>
  </si>
  <si>
    <t>R04051</t>
  </si>
  <si>
    <t>R04052</t>
  </si>
  <si>
    <t>R04053</t>
  </si>
  <si>
    <t>R04054</t>
  </si>
  <si>
    <t>R04055</t>
  </si>
  <si>
    <t>R04056</t>
  </si>
  <si>
    <t>R04057</t>
  </si>
  <si>
    <t>R04058</t>
  </si>
  <si>
    <t>R04059</t>
  </si>
  <si>
    <t>R04060</t>
  </si>
  <si>
    <t>R04061</t>
  </si>
  <si>
    <t>R04062</t>
  </si>
  <si>
    <t>R04063</t>
  </si>
  <si>
    <t>R04064</t>
  </si>
  <si>
    <t>R04065</t>
  </si>
  <si>
    <t>R04066</t>
  </si>
  <si>
    <t>R04067</t>
  </si>
  <si>
    <t>R04068</t>
  </si>
  <si>
    <t>R04069</t>
  </si>
  <si>
    <t>R04070</t>
  </si>
  <si>
    <t>R04071</t>
  </si>
  <si>
    <t>R04072</t>
  </si>
  <si>
    <t>R04073</t>
  </si>
  <si>
    <t>R04074</t>
  </si>
  <si>
    <t>R04075</t>
  </si>
  <si>
    <t>R04076</t>
  </si>
  <si>
    <t>R04077</t>
  </si>
  <si>
    <t>R04078</t>
  </si>
  <si>
    <t>R04079</t>
  </si>
  <si>
    <t>R04080</t>
  </si>
  <si>
    <t>R04081</t>
  </si>
  <si>
    <t>R04082</t>
  </si>
  <si>
    <t>R04083</t>
  </si>
  <si>
    <t>R04084</t>
  </si>
  <si>
    <t>R04085</t>
  </si>
  <si>
    <t>R04086</t>
  </si>
  <si>
    <t>R04087</t>
  </si>
  <si>
    <t>R04088</t>
  </si>
  <si>
    <t>R04089</t>
  </si>
  <si>
    <t>R04090</t>
  </si>
  <si>
    <t>R04091</t>
  </si>
  <si>
    <t>R04092</t>
  </si>
  <si>
    <t>R04093</t>
  </si>
  <si>
    <t>R04094</t>
  </si>
  <si>
    <t>R04095</t>
  </si>
  <si>
    <t>R04096</t>
  </si>
  <si>
    <t>R04097</t>
  </si>
  <si>
    <t>R04098</t>
  </si>
  <si>
    <t>R04099</t>
  </si>
  <si>
    <t>R04100</t>
  </si>
  <si>
    <t>R04101</t>
  </si>
  <si>
    <t>R04102</t>
  </si>
  <si>
    <t>R04103</t>
  </si>
  <si>
    <t>R04104</t>
  </si>
  <si>
    <t>R04105</t>
  </si>
  <si>
    <t>R04106</t>
  </si>
  <si>
    <t>R04107</t>
  </si>
  <si>
    <t>R04108</t>
  </si>
  <si>
    <t>R04109</t>
  </si>
  <si>
    <t>R04110</t>
  </si>
  <si>
    <t>R04111</t>
  </si>
  <si>
    <t>R04112</t>
  </si>
  <si>
    <t>R04113</t>
  </si>
  <si>
    <t>R04114</t>
  </si>
  <si>
    <t>R04115</t>
  </si>
  <si>
    <t>R04116</t>
  </si>
  <si>
    <t>R04117</t>
  </si>
  <si>
    <t>R04118</t>
  </si>
  <si>
    <t>R04119</t>
  </si>
  <si>
    <t>R04120</t>
  </si>
  <si>
    <t>R04121</t>
  </si>
  <si>
    <t>R04122</t>
  </si>
  <si>
    <t>R04123</t>
  </si>
  <si>
    <t>R04124</t>
  </si>
  <si>
    <t>R04125</t>
  </si>
  <si>
    <t>R04126</t>
  </si>
  <si>
    <t>R04127</t>
  </si>
  <si>
    <t>R04128</t>
  </si>
  <si>
    <t>R04129</t>
  </si>
  <si>
    <t>R04130</t>
  </si>
  <si>
    <t>R04131</t>
  </si>
  <si>
    <t>R04132</t>
  </si>
  <si>
    <t>R04133</t>
  </si>
  <si>
    <t>R04134</t>
  </si>
  <si>
    <t>R04135</t>
  </si>
  <si>
    <t>R04136</t>
  </si>
  <si>
    <t>R04137</t>
  </si>
  <si>
    <t>R04138</t>
  </si>
  <si>
    <t>R04139</t>
  </si>
  <si>
    <t>R04140</t>
  </si>
  <si>
    <t>R04141</t>
  </si>
  <si>
    <t>R04142</t>
  </si>
  <si>
    <t>R04143</t>
  </si>
  <si>
    <t>R04144</t>
  </si>
  <si>
    <t>R04145</t>
  </si>
  <si>
    <t>R04146</t>
  </si>
  <si>
    <t>R04147</t>
  </si>
  <si>
    <t>R04148</t>
  </si>
  <si>
    <t>R04149</t>
  </si>
  <si>
    <t>R04150</t>
  </si>
  <si>
    <t>R04151</t>
  </si>
  <si>
    <t>R04152</t>
  </si>
  <si>
    <t>R04153</t>
  </si>
  <si>
    <t>R04154</t>
  </si>
  <si>
    <t>R04155</t>
  </si>
  <si>
    <t>R04156</t>
  </si>
  <si>
    <t>R04157</t>
  </si>
  <si>
    <t>R04158</t>
  </si>
  <si>
    <t>R04159</t>
  </si>
  <si>
    <t>R04160</t>
  </si>
  <si>
    <t>R04161</t>
  </si>
  <si>
    <t>R04162</t>
  </si>
  <si>
    <t>R04163</t>
  </si>
  <si>
    <t>R04164</t>
  </si>
  <si>
    <t>R04165</t>
  </si>
  <si>
    <t>R04166</t>
  </si>
  <si>
    <t>R04167</t>
  </si>
  <si>
    <t>R04168</t>
  </si>
  <si>
    <t>R04169</t>
  </si>
  <si>
    <t>R04170</t>
  </si>
  <si>
    <t>R04171</t>
  </si>
  <si>
    <t>R04172</t>
  </si>
  <si>
    <t>R04173</t>
  </si>
  <si>
    <t>R04174</t>
  </si>
  <si>
    <t>R04175</t>
  </si>
  <si>
    <t>R04176</t>
  </si>
  <si>
    <t>R04177</t>
  </si>
  <si>
    <t>R04178</t>
  </si>
  <si>
    <t>R04179</t>
  </si>
  <si>
    <t>R04180</t>
  </si>
  <si>
    <t>R04181</t>
  </si>
  <si>
    <t>R04182</t>
  </si>
  <si>
    <t>R04183</t>
  </si>
  <si>
    <t>R04184</t>
  </si>
  <si>
    <t>R04185</t>
  </si>
  <si>
    <t>R04186</t>
  </si>
  <si>
    <t>R04187</t>
  </si>
  <si>
    <t>R04188</t>
  </si>
  <si>
    <t>R04189</t>
  </si>
  <si>
    <t>R04190</t>
  </si>
  <si>
    <t>R04191</t>
  </si>
  <si>
    <t>R04192</t>
  </si>
  <si>
    <t>R04193</t>
  </si>
  <si>
    <t>R04194</t>
  </si>
  <si>
    <t>R04195</t>
  </si>
  <si>
    <t>R04196</t>
  </si>
  <si>
    <t>R04197</t>
  </si>
  <si>
    <t>R04198</t>
  </si>
  <si>
    <t>R04199</t>
  </si>
  <si>
    <t>R04200</t>
  </si>
  <si>
    <t>R04201</t>
  </si>
  <si>
    <t>R04202</t>
  </si>
  <si>
    <t>R04203</t>
  </si>
  <si>
    <t>R04204</t>
  </si>
  <si>
    <t>R04205</t>
  </si>
  <si>
    <t>R04206</t>
  </si>
  <si>
    <t>R04207</t>
  </si>
  <si>
    <t>R04208</t>
  </si>
  <si>
    <t>R04209</t>
  </si>
  <si>
    <t>R04210</t>
  </si>
  <si>
    <t>R04211</t>
  </si>
  <si>
    <t>R04212</t>
  </si>
  <si>
    <t>R04213</t>
  </si>
  <si>
    <t>R04214</t>
  </si>
  <si>
    <t>R04215</t>
  </si>
  <si>
    <t>R04216</t>
  </si>
  <si>
    <t>R04217</t>
  </si>
  <si>
    <t>R04218</t>
  </si>
  <si>
    <t>R04219</t>
  </si>
  <si>
    <t>R04220</t>
  </si>
  <si>
    <t>R04221</t>
  </si>
  <si>
    <t>R04222</t>
  </si>
  <si>
    <t>R04223</t>
  </si>
  <si>
    <t>R04224</t>
  </si>
  <si>
    <t>R04225</t>
  </si>
  <si>
    <t>R04226</t>
  </si>
  <si>
    <t>R04227</t>
  </si>
  <si>
    <t>R04228</t>
  </si>
  <si>
    <t>R04229</t>
  </si>
  <si>
    <t>R04230</t>
  </si>
  <si>
    <t>R04231</t>
  </si>
  <si>
    <t>R04232</t>
  </si>
  <si>
    <t>R04233</t>
  </si>
  <si>
    <t>R04234</t>
  </si>
  <si>
    <t>R04235</t>
  </si>
  <si>
    <t>R04236</t>
  </si>
  <si>
    <t>R04237</t>
  </si>
  <si>
    <t>R04238</t>
  </si>
  <si>
    <t>R04239</t>
  </si>
  <si>
    <t>R04240</t>
  </si>
  <si>
    <t>R04241</t>
  </si>
  <si>
    <t>R04242</t>
  </si>
  <si>
    <t>R04243</t>
  </si>
  <si>
    <t>R04244</t>
  </si>
  <si>
    <t>R04245</t>
  </si>
  <si>
    <t>R04246</t>
  </si>
  <si>
    <t>R04247</t>
  </si>
  <si>
    <t>R04248</t>
  </si>
  <si>
    <t>R04249</t>
  </si>
  <si>
    <t>R04250</t>
  </si>
  <si>
    <t>R04251</t>
  </si>
  <si>
    <t>R04252</t>
  </si>
  <si>
    <t>R04253</t>
  </si>
  <si>
    <t>R04254</t>
  </si>
  <si>
    <t>R04255</t>
  </si>
  <si>
    <t>R04256</t>
  </si>
  <si>
    <t>R04257</t>
  </si>
  <si>
    <t>R04258</t>
  </si>
  <si>
    <t>R04259</t>
  </si>
  <si>
    <t>R04260</t>
  </si>
  <si>
    <t>R04261</t>
  </si>
  <si>
    <t>R04262</t>
  </si>
  <si>
    <t>R04263</t>
  </si>
  <si>
    <t>R04264</t>
  </si>
  <si>
    <t>R04265</t>
  </si>
  <si>
    <t>R04266</t>
  </si>
  <si>
    <t>R04267</t>
  </si>
  <si>
    <t>R04268</t>
  </si>
  <si>
    <t>R04269</t>
  </si>
  <si>
    <t>R04270</t>
  </si>
  <si>
    <t>R04271</t>
  </si>
  <si>
    <t>R04272</t>
  </si>
  <si>
    <t>R04273</t>
  </si>
  <si>
    <t>R04274</t>
  </si>
  <si>
    <t>R04275</t>
  </si>
  <si>
    <t>R04276</t>
  </si>
  <si>
    <t>R04277</t>
  </si>
  <si>
    <t>R04278</t>
  </si>
  <si>
    <t>R04279</t>
  </si>
  <si>
    <t>R04280</t>
  </si>
  <si>
    <t>R04281</t>
  </si>
  <si>
    <t>R04282</t>
  </si>
  <si>
    <t>R04283</t>
  </si>
  <si>
    <t>R04284</t>
  </si>
  <si>
    <t>R04285</t>
  </si>
  <si>
    <t>R04286</t>
  </si>
  <si>
    <t>R04287</t>
  </si>
  <si>
    <t>R04288</t>
  </si>
  <si>
    <t>R04289</t>
  </si>
  <si>
    <t>R04290</t>
  </si>
  <si>
    <t>R04291</t>
  </si>
  <si>
    <t>R04292</t>
  </si>
  <si>
    <t>R04293</t>
  </si>
  <si>
    <t>R04294</t>
  </si>
  <si>
    <t>R04295</t>
  </si>
  <si>
    <t>R04296</t>
  </si>
  <si>
    <t>R04297</t>
  </si>
  <si>
    <t>R04298</t>
  </si>
  <si>
    <t>R04299</t>
  </si>
  <si>
    <t>R04300</t>
  </si>
  <si>
    <t>R04301</t>
  </si>
  <si>
    <t>R04302</t>
  </si>
  <si>
    <t>R04303</t>
  </si>
  <si>
    <t>R04304</t>
  </si>
  <si>
    <t>R04305</t>
  </si>
  <si>
    <t>R04306</t>
  </si>
  <si>
    <t>R04307</t>
  </si>
  <si>
    <t>R04308</t>
  </si>
  <si>
    <t>R04309</t>
  </si>
  <si>
    <t>R04310</t>
  </si>
  <si>
    <t>R04311</t>
  </si>
  <si>
    <t>R04312</t>
  </si>
  <si>
    <t>R04313</t>
  </si>
  <si>
    <t>R04314</t>
  </si>
  <si>
    <t>R04315</t>
  </si>
  <si>
    <t>R04316</t>
  </si>
  <si>
    <t>R04317</t>
  </si>
  <si>
    <t>R04318</t>
  </si>
  <si>
    <t>R04319</t>
  </si>
  <si>
    <t>R04320</t>
  </si>
  <si>
    <t>R04321</t>
  </si>
  <si>
    <t>R04322</t>
  </si>
  <si>
    <t>R04323</t>
  </si>
  <si>
    <t>R04324</t>
  </si>
  <si>
    <t>R04325</t>
  </si>
  <si>
    <t>R04326</t>
  </si>
  <si>
    <t>R04327</t>
  </si>
  <si>
    <t>R04328</t>
  </si>
  <si>
    <t>R04329</t>
  </si>
  <si>
    <t>R04330</t>
  </si>
  <si>
    <t>R04331</t>
  </si>
  <si>
    <t>R04332</t>
  </si>
  <si>
    <t>R04333</t>
  </si>
  <si>
    <t>R04334</t>
  </si>
  <si>
    <t>R04335</t>
  </si>
  <si>
    <t>R04336</t>
  </si>
  <si>
    <t>R04337</t>
  </si>
  <si>
    <t>R04338</t>
  </si>
  <si>
    <t>R04339</t>
  </si>
  <si>
    <t>R04340</t>
  </si>
  <si>
    <t>R04341</t>
  </si>
  <si>
    <t>R04342</t>
  </si>
  <si>
    <t>R04343</t>
  </si>
  <si>
    <t>R04344</t>
  </si>
  <si>
    <t>R04345</t>
  </si>
  <si>
    <t>R04346</t>
  </si>
  <si>
    <t>R04347</t>
  </si>
  <si>
    <t>R04348</t>
  </si>
  <si>
    <t>R04349</t>
  </si>
  <si>
    <t>R04350</t>
  </si>
  <si>
    <t>R04351</t>
  </si>
  <si>
    <t>R04352</t>
  </si>
  <si>
    <t>R04353</t>
  </si>
  <si>
    <t>R04354</t>
  </si>
  <si>
    <t>R04355</t>
  </si>
  <si>
    <t>R04356</t>
  </si>
  <si>
    <t>R04357</t>
  </si>
  <si>
    <t>R04358</t>
  </si>
  <si>
    <t>R04359</t>
  </si>
  <si>
    <t>R04360</t>
  </si>
  <si>
    <t>R04361</t>
  </si>
  <si>
    <t>R04362</t>
  </si>
  <si>
    <t>R04363</t>
  </si>
  <si>
    <t>R04364</t>
  </si>
  <si>
    <t>R04365</t>
  </si>
  <si>
    <t>R04366</t>
  </si>
  <si>
    <t>R04367</t>
  </si>
  <si>
    <t>R04368</t>
  </si>
  <si>
    <t>R04369</t>
  </si>
  <si>
    <t>R04370</t>
  </si>
  <si>
    <t>R04371</t>
  </si>
  <si>
    <t>R04372</t>
  </si>
  <si>
    <t>R04373</t>
  </si>
  <si>
    <t>R04374</t>
  </si>
  <si>
    <t>R04375</t>
  </si>
  <si>
    <t>R04376</t>
  </si>
  <si>
    <t>R04377</t>
  </si>
  <si>
    <t>R04378</t>
  </si>
  <si>
    <t>R04379</t>
  </si>
  <si>
    <t>R04380</t>
  </si>
  <si>
    <t>R04381</t>
  </si>
  <si>
    <t>R04382</t>
  </si>
  <si>
    <t>R04383</t>
  </si>
  <si>
    <t>R04384</t>
  </si>
  <si>
    <t>R04385</t>
  </si>
  <si>
    <t>R04386</t>
  </si>
  <si>
    <t>R04387</t>
  </si>
  <si>
    <t>R04388</t>
  </si>
  <si>
    <t>LEG-013</t>
  </si>
  <si>
    <t>R04389</t>
  </si>
  <si>
    <t>R04390</t>
  </si>
  <si>
    <t>R04391</t>
  </si>
  <si>
    <t>R04392</t>
  </si>
  <si>
    <t>R04393</t>
  </si>
  <si>
    <t>R04394</t>
  </si>
  <si>
    <t>R04395</t>
  </si>
  <si>
    <t>R04396</t>
  </si>
  <si>
    <t>R04397</t>
  </si>
  <si>
    <t>R04398</t>
  </si>
  <si>
    <t>R04399</t>
  </si>
  <si>
    <t>R04400</t>
  </si>
  <si>
    <t>R04401</t>
  </si>
  <si>
    <t>R04402</t>
  </si>
  <si>
    <t>R04403</t>
  </si>
  <si>
    <t>R04404</t>
  </si>
  <si>
    <t>R04405</t>
  </si>
  <si>
    <t>R04406</t>
  </si>
  <si>
    <t>R04407</t>
  </si>
  <si>
    <t>R04408</t>
  </si>
  <si>
    <t>R04409</t>
  </si>
  <si>
    <t>R04410</t>
  </si>
  <si>
    <t>R04411</t>
  </si>
  <si>
    <t>R04412</t>
  </si>
  <si>
    <t>R04413</t>
  </si>
  <si>
    <t>R04414</t>
  </si>
  <si>
    <t>R04415</t>
  </si>
  <si>
    <t>R04416</t>
  </si>
  <si>
    <t>R04417</t>
  </si>
  <si>
    <t>R04418</t>
  </si>
  <si>
    <t>R04419</t>
  </si>
  <si>
    <t>R04420</t>
  </si>
  <si>
    <t>R04421</t>
  </si>
  <si>
    <t>R04422</t>
  </si>
  <si>
    <t>R04423</t>
  </si>
  <si>
    <t>R04424</t>
  </si>
  <si>
    <t>R04425</t>
  </si>
  <si>
    <t>R04426</t>
  </si>
  <si>
    <t>R04427</t>
  </si>
  <si>
    <t>R04428</t>
  </si>
  <si>
    <t>R04429</t>
  </si>
  <si>
    <t>R04430</t>
  </si>
  <si>
    <t>R04431</t>
  </si>
  <si>
    <t>R04432</t>
  </si>
  <si>
    <t>R04433</t>
  </si>
  <si>
    <t>R04434</t>
  </si>
  <si>
    <t>R04435</t>
  </si>
  <si>
    <t>R04436</t>
  </si>
  <si>
    <t>R04437</t>
  </si>
  <si>
    <t>R04438</t>
  </si>
  <si>
    <t>R04439</t>
  </si>
  <si>
    <t>R04440</t>
  </si>
  <si>
    <t>R04441</t>
  </si>
  <si>
    <t>R04442</t>
  </si>
  <si>
    <t>R04443</t>
  </si>
  <si>
    <t>R04444</t>
  </si>
  <si>
    <t>R04445</t>
  </si>
  <si>
    <t>R04446</t>
  </si>
  <si>
    <t>R04447</t>
  </si>
  <si>
    <t>R04448</t>
  </si>
  <si>
    <t>R04449</t>
  </si>
  <si>
    <t>R04450</t>
  </si>
  <si>
    <t>R04451</t>
  </si>
  <si>
    <t>R04452</t>
  </si>
  <si>
    <t>R04453</t>
  </si>
  <si>
    <t>R04454</t>
  </si>
  <si>
    <t>R04455</t>
  </si>
  <si>
    <t>R04456</t>
  </si>
  <si>
    <t>R04457</t>
  </si>
  <si>
    <t>R04458</t>
  </si>
  <si>
    <t>R04459</t>
  </si>
  <si>
    <t>R04460</t>
  </si>
  <si>
    <t>R04461</t>
  </si>
  <si>
    <t>R04462</t>
  </si>
  <si>
    <t>R04463</t>
  </si>
  <si>
    <t>R04464</t>
  </si>
  <si>
    <t>R04465</t>
  </si>
  <si>
    <t>R04466</t>
  </si>
  <si>
    <t>R04467</t>
  </si>
  <si>
    <t>R04468</t>
  </si>
  <si>
    <t>R04469</t>
  </si>
  <si>
    <t>R04470</t>
  </si>
  <si>
    <t>R04471</t>
  </si>
  <si>
    <t>R04472</t>
  </si>
  <si>
    <t>R04473</t>
  </si>
  <si>
    <t>R04474</t>
  </si>
  <si>
    <t>R04475</t>
  </si>
  <si>
    <t>R04476</t>
  </si>
  <si>
    <t>R04477</t>
  </si>
  <si>
    <t>R04478</t>
  </si>
  <si>
    <t>R04479</t>
  </si>
  <si>
    <t>R04480</t>
  </si>
  <si>
    <t>R04481</t>
  </si>
  <si>
    <t>R04482</t>
  </si>
  <si>
    <t>R04483</t>
  </si>
  <si>
    <t>R04484</t>
  </si>
  <si>
    <t>R04485</t>
  </si>
  <si>
    <t>R04486</t>
  </si>
  <si>
    <t>R04487</t>
  </si>
  <si>
    <t>R04488</t>
  </si>
  <si>
    <t>R04489</t>
  </si>
  <si>
    <t>R04490</t>
  </si>
  <si>
    <t>R04491</t>
  </si>
  <si>
    <t>R04492</t>
  </si>
  <si>
    <t>R04493</t>
  </si>
  <si>
    <t>R04494</t>
  </si>
  <si>
    <t>R04495</t>
  </si>
  <si>
    <t>R04496</t>
  </si>
  <si>
    <t>R04497</t>
  </si>
  <si>
    <t>R04498</t>
  </si>
  <si>
    <t>R04499</t>
  </si>
  <si>
    <t>R04500</t>
  </si>
  <si>
    <t>R04501</t>
  </si>
  <si>
    <t>R04502</t>
  </si>
  <si>
    <t>R04503</t>
  </si>
  <si>
    <t>R04504</t>
  </si>
  <si>
    <t>R04505</t>
  </si>
  <si>
    <t>R04506</t>
  </si>
  <si>
    <t>R04507</t>
  </si>
  <si>
    <t>R04508</t>
  </si>
  <si>
    <t>R04509</t>
  </si>
  <si>
    <t>R04510</t>
  </si>
  <si>
    <t>R04511</t>
  </si>
  <si>
    <t>R04512</t>
  </si>
  <si>
    <t>R04513</t>
  </si>
  <si>
    <t>R04514</t>
  </si>
  <si>
    <t>R04515</t>
  </si>
  <si>
    <t>R04516</t>
  </si>
  <si>
    <t>R04517</t>
  </si>
  <si>
    <t>R04518</t>
  </si>
  <si>
    <t>R04519</t>
  </si>
  <si>
    <t>R04520</t>
  </si>
  <si>
    <t>R04521</t>
  </si>
  <si>
    <t>R04522</t>
  </si>
  <si>
    <t>R04523</t>
  </si>
  <si>
    <t>R04524</t>
  </si>
  <si>
    <t>R04525</t>
  </si>
  <si>
    <t>R04526</t>
  </si>
  <si>
    <t>R04527</t>
  </si>
  <si>
    <t>R04528</t>
  </si>
  <si>
    <t>R04529</t>
  </si>
  <si>
    <t>R04530</t>
  </si>
  <si>
    <t>R04531</t>
  </si>
  <si>
    <t>R04532</t>
  </si>
  <si>
    <t>R04533</t>
  </si>
  <si>
    <t>R04534</t>
  </si>
  <si>
    <t>R04535</t>
  </si>
  <si>
    <t>R04536</t>
  </si>
  <si>
    <t>R04537</t>
  </si>
  <si>
    <t>R04538</t>
  </si>
  <si>
    <t>R04539</t>
  </si>
  <si>
    <t>R04540</t>
  </si>
  <si>
    <t>R04541</t>
  </si>
  <si>
    <t>R04542</t>
  </si>
  <si>
    <t>R04543</t>
  </si>
  <si>
    <t>R04544</t>
  </si>
  <si>
    <t>R04545</t>
  </si>
  <si>
    <t>R04546</t>
  </si>
  <si>
    <t>R04547</t>
  </si>
  <si>
    <t>R04548</t>
  </si>
  <si>
    <t>R04549</t>
  </si>
  <si>
    <t>R04550</t>
  </si>
  <si>
    <t>R04551</t>
  </si>
  <si>
    <t>R04552</t>
  </si>
  <si>
    <t>R04553</t>
  </si>
  <si>
    <t>R04554</t>
  </si>
  <si>
    <t>R04555</t>
  </si>
  <si>
    <t>R04556</t>
  </si>
  <si>
    <t>R04557</t>
  </si>
  <si>
    <t>R04558</t>
  </si>
  <si>
    <t>R04559</t>
  </si>
  <si>
    <t>R04560</t>
  </si>
  <si>
    <t>R04561</t>
  </si>
  <si>
    <t>R04562</t>
  </si>
  <si>
    <t>R04563</t>
  </si>
  <si>
    <t>R04564</t>
  </si>
  <si>
    <t>R04565</t>
  </si>
  <si>
    <t>R04566</t>
  </si>
  <si>
    <t>R04567</t>
  </si>
  <si>
    <t>R04568</t>
  </si>
  <si>
    <t>R04569</t>
  </si>
  <si>
    <t>R04570</t>
  </si>
  <si>
    <t>R04571</t>
  </si>
  <si>
    <t>R04572</t>
  </si>
  <si>
    <t>R04573</t>
  </si>
  <si>
    <t>R04574</t>
  </si>
  <si>
    <t>R04575</t>
  </si>
  <si>
    <t>R04576</t>
  </si>
  <si>
    <t>R04577</t>
  </si>
  <si>
    <t>R04578</t>
  </si>
  <si>
    <t>R04579</t>
  </si>
  <si>
    <t>R04580</t>
  </si>
  <si>
    <t>R04581</t>
  </si>
  <si>
    <t>R04582</t>
  </si>
  <si>
    <t>R04583</t>
  </si>
  <si>
    <t>R04584</t>
  </si>
  <si>
    <t>R04585</t>
  </si>
  <si>
    <t>R04586</t>
  </si>
  <si>
    <t>R04587</t>
  </si>
  <si>
    <t>R04588</t>
  </si>
  <si>
    <t>R04589</t>
  </si>
  <si>
    <t>R04590</t>
  </si>
  <si>
    <t>R04591</t>
  </si>
  <si>
    <t>R04592</t>
  </si>
  <si>
    <t>R04593</t>
  </si>
  <si>
    <t>R04594</t>
  </si>
  <si>
    <t>R04595</t>
  </si>
  <si>
    <t>R04596</t>
  </si>
  <si>
    <t>R04597</t>
  </si>
  <si>
    <t>R04598</t>
  </si>
  <si>
    <t>R04599</t>
  </si>
  <si>
    <t>R04600</t>
  </si>
  <si>
    <t>R04601</t>
  </si>
  <si>
    <t>R04602</t>
  </si>
  <si>
    <t>R04603</t>
  </si>
  <si>
    <t>R04604</t>
  </si>
  <si>
    <t>R04605</t>
  </si>
  <si>
    <t>R04606</t>
  </si>
  <si>
    <t>R04607</t>
  </si>
  <si>
    <t>R04608</t>
  </si>
  <si>
    <t>R04609</t>
  </si>
  <si>
    <t>R04610</t>
  </si>
  <si>
    <t>R04611</t>
  </si>
  <si>
    <t>R04612</t>
  </si>
  <si>
    <t>R04613</t>
  </si>
  <si>
    <t>R04614</t>
  </si>
  <si>
    <t>R04615</t>
  </si>
  <si>
    <t>R04616</t>
  </si>
  <si>
    <t>R04617</t>
  </si>
  <si>
    <t>R04618</t>
  </si>
  <si>
    <t>R04619</t>
  </si>
  <si>
    <t>R04620</t>
  </si>
  <si>
    <t>R04621</t>
  </si>
  <si>
    <t>R04622</t>
  </si>
  <si>
    <t>R04623</t>
  </si>
  <si>
    <t>R04624</t>
  </si>
  <si>
    <t>R04625</t>
  </si>
  <si>
    <t>R04626</t>
  </si>
  <si>
    <t>R04627</t>
  </si>
  <si>
    <t>R04628</t>
  </si>
  <si>
    <t>R04629</t>
  </si>
  <si>
    <t>R04630</t>
  </si>
  <si>
    <t>R04631</t>
  </si>
  <si>
    <t>R04632</t>
  </si>
  <si>
    <t>R04633</t>
  </si>
  <si>
    <t>R04634</t>
  </si>
  <si>
    <t>R04635</t>
  </si>
  <si>
    <t>R04636</t>
  </si>
  <si>
    <t>R04637</t>
  </si>
  <si>
    <t>R04638</t>
  </si>
  <si>
    <t>R04639</t>
  </si>
  <si>
    <t>R04640</t>
  </si>
  <si>
    <t>R04641</t>
  </si>
  <si>
    <t>R04642</t>
  </si>
  <si>
    <t>R04643</t>
  </si>
  <si>
    <t>R04644</t>
  </si>
  <si>
    <t>R04645</t>
  </si>
  <si>
    <t>R04646</t>
  </si>
  <si>
    <t>R04647</t>
  </si>
  <si>
    <t>R04648</t>
  </si>
  <si>
    <t>R04649</t>
  </si>
  <si>
    <t>R04650</t>
  </si>
  <si>
    <t>R04651</t>
  </si>
  <si>
    <t>R04652</t>
  </si>
  <si>
    <t>R04653</t>
  </si>
  <si>
    <t>R04654</t>
  </si>
  <si>
    <t>R04655</t>
  </si>
  <si>
    <t>R04656</t>
  </si>
  <si>
    <t>R04657</t>
  </si>
  <si>
    <t>R04658</t>
  </si>
  <si>
    <t>R04659</t>
  </si>
  <si>
    <t>R04660</t>
  </si>
  <si>
    <t>R04661</t>
  </si>
  <si>
    <t>R04662</t>
  </si>
  <si>
    <t>R04663</t>
  </si>
  <si>
    <t>R04664</t>
  </si>
  <si>
    <t>R04665</t>
  </si>
  <si>
    <t>R04666</t>
  </si>
  <si>
    <t>R04667</t>
  </si>
  <si>
    <t>R04668</t>
  </si>
  <si>
    <t>R04669</t>
  </si>
  <si>
    <t>R04670</t>
  </si>
  <si>
    <t>R04671</t>
  </si>
  <si>
    <t>R04672</t>
  </si>
  <si>
    <t>R04673</t>
  </si>
  <si>
    <t>R04674</t>
  </si>
  <si>
    <t>R04675</t>
  </si>
  <si>
    <t>R04676</t>
  </si>
  <si>
    <t>R04677</t>
  </si>
  <si>
    <t>R04678</t>
  </si>
  <si>
    <t>R04679</t>
  </si>
  <si>
    <t>R04680</t>
  </si>
  <si>
    <t>R04681</t>
  </si>
  <si>
    <t>R04682</t>
  </si>
  <si>
    <t>R04683</t>
  </si>
  <si>
    <t>R04684</t>
  </si>
  <si>
    <t>R04685</t>
  </si>
  <si>
    <t>R04686</t>
  </si>
  <si>
    <t>R04687</t>
  </si>
  <si>
    <t>R04688</t>
  </si>
  <si>
    <t>R04689</t>
  </si>
  <si>
    <t>R04690</t>
  </si>
  <si>
    <t>R04691</t>
  </si>
  <si>
    <t>R04692</t>
  </si>
  <si>
    <t>R04693</t>
  </si>
  <si>
    <t>R04694</t>
  </si>
  <si>
    <t>R04695</t>
  </si>
  <si>
    <t>R04696</t>
  </si>
  <si>
    <t>R04697</t>
  </si>
  <si>
    <t>R04698</t>
  </si>
  <si>
    <t>R04699</t>
  </si>
  <si>
    <t>R04700</t>
  </si>
  <si>
    <t>R04701</t>
  </si>
  <si>
    <t>R04702</t>
  </si>
  <si>
    <t>R04703</t>
  </si>
  <si>
    <t>R04704</t>
  </si>
  <si>
    <t>R04705</t>
  </si>
  <si>
    <t>R04706</t>
  </si>
  <si>
    <t>R04707</t>
  </si>
  <si>
    <t>R04708</t>
  </si>
  <si>
    <t>R04709</t>
  </si>
  <si>
    <t>R04710</t>
  </si>
  <si>
    <t>R04711</t>
  </si>
  <si>
    <t>R04712</t>
  </si>
  <si>
    <t>R04713</t>
  </si>
  <si>
    <t>R04714</t>
  </si>
  <si>
    <t>R04715</t>
  </si>
  <si>
    <t>R04716</t>
  </si>
  <si>
    <t>R04717</t>
  </si>
  <si>
    <t>R04718</t>
  </si>
  <si>
    <t>R04719</t>
  </si>
  <si>
    <t>R04720</t>
  </si>
  <si>
    <t>R04721</t>
  </si>
  <si>
    <t>R04722</t>
  </si>
  <si>
    <t>R04723</t>
  </si>
  <si>
    <t>R04724</t>
  </si>
  <si>
    <t>R04725</t>
  </si>
  <si>
    <t>R04726</t>
  </si>
  <si>
    <t>R04727</t>
  </si>
  <si>
    <t>R04728</t>
  </si>
  <si>
    <t>R04729</t>
  </si>
  <si>
    <t>R04730</t>
  </si>
  <si>
    <t>R04731</t>
  </si>
  <si>
    <t>R04732</t>
  </si>
  <si>
    <t>R04733</t>
  </si>
  <si>
    <t>R04734</t>
  </si>
  <si>
    <t>R04735</t>
  </si>
  <si>
    <t>R04736</t>
  </si>
  <si>
    <t>R04737</t>
  </si>
  <si>
    <t>R04738</t>
  </si>
  <si>
    <t>R04739</t>
  </si>
  <si>
    <t>R04740</t>
  </si>
  <si>
    <t>R04741</t>
  </si>
  <si>
    <t>R04742</t>
  </si>
  <si>
    <t>R04743</t>
  </si>
  <si>
    <t>R04744</t>
  </si>
  <si>
    <t>R04745</t>
  </si>
  <si>
    <t>R04746</t>
  </si>
  <si>
    <t>R04747</t>
  </si>
  <si>
    <t>R04748</t>
  </si>
  <si>
    <t>R04749</t>
  </si>
  <si>
    <t>R04750</t>
  </si>
  <si>
    <t>R04751</t>
  </si>
  <si>
    <t>R04752</t>
  </si>
  <si>
    <t>R04753</t>
  </si>
  <si>
    <t>R04754</t>
  </si>
  <si>
    <t>R04755</t>
  </si>
  <si>
    <t>R04756</t>
  </si>
  <si>
    <t>R04757</t>
  </si>
  <si>
    <t>LEG-014</t>
  </si>
  <si>
    <t>R04758</t>
  </si>
  <si>
    <t>R04759</t>
  </si>
  <si>
    <t>R04760</t>
  </si>
  <si>
    <t>R04761</t>
  </si>
  <si>
    <t>R04762</t>
  </si>
  <si>
    <t>R04763</t>
  </si>
  <si>
    <t>R04764</t>
  </si>
  <si>
    <t>R04765</t>
  </si>
  <si>
    <t>R04766</t>
  </si>
  <si>
    <t>R04767</t>
  </si>
  <si>
    <t>R04768</t>
  </si>
  <si>
    <t>R04769</t>
  </si>
  <si>
    <t>R04770</t>
  </si>
  <si>
    <t>R04771</t>
  </si>
  <si>
    <t>R04772</t>
  </si>
  <si>
    <t>R04773</t>
  </si>
  <si>
    <t>R04774</t>
  </si>
  <si>
    <t>R04775</t>
  </si>
  <si>
    <t>R04776</t>
  </si>
  <si>
    <t>R04777</t>
  </si>
  <si>
    <t>R04778</t>
  </si>
  <si>
    <t>R04779</t>
  </si>
  <si>
    <t>R04780</t>
  </si>
  <si>
    <t>R04781</t>
  </si>
  <si>
    <t>R04782</t>
  </si>
  <si>
    <t>R04783</t>
  </si>
  <si>
    <t>R04784</t>
  </si>
  <si>
    <t>R04785</t>
  </si>
  <si>
    <t>R04786</t>
  </si>
  <si>
    <t>R04787</t>
  </si>
  <si>
    <t>R04788</t>
  </si>
  <si>
    <t>R04789</t>
  </si>
  <si>
    <t>R04790</t>
  </si>
  <si>
    <t>R04791</t>
  </si>
  <si>
    <t>R04792</t>
  </si>
  <si>
    <t>R04793</t>
  </si>
  <si>
    <t>R04794</t>
  </si>
  <si>
    <t>R04795</t>
  </si>
  <si>
    <t>R04796</t>
  </si>
  <si>
    <t>R04797</t>
  </si>
  <si>
    <t>R04798</t>
  </si>
  <si>
    <t>R04799</t>
  </si>
  <si>
    <t>R04800</t>
  </si>
  <si>
    <t>R04801</t>
  </si>
  <si>
    <t>R04802</t>
  </si>
  <si>
    <t>R04803</t>
  </si>
  <si>
    <t>R04804</t>
  </si>
  <si>
    <t>R04805</t>
  </si>
  <si>
    <t>R04806</t>
  </si>
  <si>
    <t>R04807</t>
  </si>
  <si>
    <t>R04808</t>
  </si>
  <si>
    <t>R04809</t>
  </si>
  <si>
    <t>R04810</t>
  </si>
  <si>
    <t>R04811</t>
  </si>
  <si>
    <t>R04812</t>
  </si>
  <si>
    <t>R04813</t>
  </si>
  <si>
    <t>R04814</t>
  </si>
  <si>
    <t>R04815</t>
  </si>
  <si>
    <t>R04816</t>
  </si>
  <si>
    <t>R04817</t>
  </si>
  <si>
    <t>R04818</t>
  </si>
  <si>
    <t>R04819</t>
  </si>
  <si>
    <t>R04820</t>
  </si>
  <si>
    <t>R04821</t>
  </si>
  <si>
    <t>R04822</t>
  </si>
  <si>
    <t>R04823</t>
  </si>
  <si>
    <t>R04824</t>
  </si>
  <si>
    <t>R04825</t>
  </si>
  <si>
    <t>R04826</t>
  </si>
  <si>
    <t>R04827</t>
  </si>
  <si>
    <t>R04828</t>
  </si>
  <si>
    <t>R04829</t>
  </si>
  <si>
    <t>R04830</t>
  </si>
  <si>
    <t>R04831</t>
  </si>
  <si>
    <t>R04832</t>
  </si>
  <si>
    <t>R04833</t>
  </si>
  <si>
    <t>R04834</t>
  </si>
  <si>
    <t>R04835</t>
  </si>
  <si>
    <t>R04836</t>
  </si>
  <si>
    <t>R04837</t>
  </si>
  <si>
    <t>R04838</t>
  </si>
  <si>
    <t>R04839</t>
  </si>
  <si>
    <t>R04840</t>
  </si>
  <si>
    <t>R04841</t>
  </si>
  <si>
    <t>R04842</t>
  </si>
  <si>
    <t>R04843</t>
  </si>
  <si>
    <t>R04844</t>
  </si>
  <si>
    <t>R04845</t>
  </si>
  <si>
    <t>R04846</t>
  </si>
  <si>
    <t>R04847</t>
  </si>
  <si>
    <t>R04848</t>
  </si>
  <si>
    <t>R04849</t>
  </si>
  <si>
    <t>R04850</t>
  </si>
  <si>
    <t>R04851</t>
  </si>
  <si>
    <t>R04852</t>
  </si>
  <si>
    <t>R04853</t>
  </si>
  <si>
    <t>R04854</t>
  </si>
  <si>
    <t>R04855</t>
  </si>
  <si>
    <t>R04856</t>
  </si>
  <si>
    <t>R04857</t>
  </si>
  <si>
    <t>R04858</t>
  </si>
  <si>
    <t>R04859</t>
  </si>
  <si>
    <t>R04860</t>
  </si>
  <si>
    <t>R04861</t>
  </si>
  <si>
    <t>R04862</t>
  </si>
  <si>
    <t>R04863</t>
  </si>
  <si>
    <t>R04864</t>
  </si>
  <si>
    <t>R04865</t>
  </si>
  <si>
    <t>R04866</t>
  </si>
  <si>
    <t>R04867</t>
  </si>
  <si>
    <t>R04868</t>
  </si>
  <si>
    <t>R04869</t>
  </si>
  <si>
    <t>R04870</t>
  </si>
  <si>
    <t>R04871</t>
  </si>
  <si>
    <t>R04872</t>
  </si>
  <si>
    <t>R04873</t>
  </si>
  <si>
    <t>R04874</t>
  </si>
  <si>
    <t>R04875</t>
  </si>
  <si>
    <t>R04876</t>
  </si>
  <si>
    <t>R04877</t>
  </si>
  <si>
    <t>R04878</t>
  </si>
  <si>
    <t>R04879</t>
  </si>
  <si>
    <t>R04880</t>
  </si>
  <si>
    <t>R04881</t>
  </si>
  <si>
    <t>R04882</t>
  </si>
  <si>
    <t>R04883</t>
  </si>
  <si>
    <t>R04884</t>
  </si>
  <si>
    <t>R04885</t>
  </si>
  <si>
    <t>R04886</t>
  </si>
  <si>
    <t>R04887</t>
  </si>
  <si>
    <t>R04888</t>
  </si>
  <si>
    <t>R04889</t>
  </si>
  <si>
    <t>R04890</t>
  </si>
  <si>
    <t>R04891</t>
  </si>
  <si>
    <t>R04892</t>
  </si>
  <si>
    <t>R04893</t>
  </si>
  <si>
    <t>R04894</t>
  </si>
  <si>
    <t>R04895</t>
  </si>
  <si>
    <t>R04896</t>
  </si>
  <si>
    <t>R04897</t>
  </si>
  <si>
    <t>R04898</t>
  </si>
  <si>
    <t>R04899</t>
  </si>
  <si>
    <t>R04900</t>
  </si>
  <si>
    <t>R04901</t>
  </si>
  <si>
    <t>R04902</t>
  </si>
  <si>
    <t>R04903</t>
  </si>
  <si>
    <t>R04904</t>
  </si>
  <si>
    <t>R04905</t>
  </si>
  <si>
    <t>R04906</t>
  </si>
  <si>
    <t>R04907</t>
  </si>
  <si>
    <t>R04908</t>
  </si>
  <si>
    <t>R04909</t>
  </si>
  <si>
    <t>R04910</t>
  </si>
  <si>
    <t>R04911</t>
  </si>
  <si>
    <t>R04912</t>
  </si>
  <si>
    <t>R04913</t>
  </si>
  <si>
    <t>R04914</t>
  </si>
  <si>
    <t>R04915</t>
  </si>
  <si>
    <t>R04916</t>
  </si>
  <si>
    <t>R04917</t>
  </si>
  <si>
    <t>R04918</t>
  </si>
  <si>
    <t>R04919</t>
  </si>
  <si>
    <t>R04920</t>
  </si>
  <si>
    <t>R04921</t>
  </si>
  <si>
    <t>R04922</t>
  </si>
  <si>
    <t>R04923</t>
  </si>
  <si>
    <t>R04924</t>
  </si>
  <si>
    <t>R04925</t>
  </si>
  <si>
    <t>R04926</t>
  </si>
  <si>
    <t>R04927</t>
  </si>
  <si>
    <t>R04928</t>
  </si>
  <si>
    <t>R04929</t>
  </si>
  <si>
    <t>R04930</t>
  </si>
  <si>
    <t>R04931</t>
  </si>
  <si>
    <t>R04932</t>
  </si>
  <si>
    <t>R04933</t>
  </si>
  <si>
    <t>R04934</t>
  </si>
  <si>
    <t>R04935</t>
  </si>
  <si>
    <t>R04936</t>
  </si>
  <si>
    <t>R04937</t>
  </si>
  <si>
    <t>R04938</t>
  </si>
  <si>
    <t>R04939</t>
  </si>
  <si>
    <t>R04940</t>
  </si>
  <si>
    <t>R04941</t>
  </si>
  <si>
    <t>R04942</t>
  </si>
  <si>
    <t>R04943</t>
  </si>
  <si>
    <t>R04944</t>
  </si>
  <si>
    <t>R04945</t>
  </si>
  <si>
    <t>R04946</t>
  </si>
  <si>
    <t>R04947</t>
  </si>
  <si>
    <t>R04948</t>
  </si>
  <si>
    <t>R04949</t>
  </si>
  <si>
    <t>R04950</t>
  </si>
  <si>
    <t>R04951</t>
  </si>
  <si>
    <t>R04952</t>
  </si>
  <si>
    <t>R04953</t>
  </si>
  <si>
    <t>R04954</t>
  </si>
  <si>
    <t>R04955</t>
  </si>
  <si>
    <t>R04956</t>
  </si>
  <si>
    <t>R04957</t>
  </si>
  <si>
    <t>R04958</t>
  </si>
  <si>
    <t>R04959</t>
  </si>
  <si>
    <t>R04960</t>
  </si>
  <si>
    <t>R04961</t>
  </si>
  <si>
    <t>R04962</t>
  </si>
  <si>
    <t>R04963</t>
  </si>
  <si>
    <t>R04964</t>
  </si>
  <si>
    <t>R04965</t>
  </si>
  <si>
    <t>R04966</t>
  </si>
  <si>
    <t>R04967</t>
  </si>
  <si>
    <t>R04968</t>
  </si>
  <si>
    <t>R04969</t>
  </si>
  <si>
    <t>R04970</t>
  </si>
  <si>
    <t>R04971</t>
  </si>
  <si>
    <t>R04972</t>
  </si>
  <si>
    <t>R04973</t>
  </si>
  <si>
    <t>R04974</t>
  </si>
  <si>
    <t>R04975</t>
  </si>
  <si>
    <t>R04976</t>
  </si>
  <si>
    <t>R04977</t>
  </si>
  <si>
    <t>R04978</t>
  </si>
  <si>
    <t>R04979</t>
  </si>
  <si>
    <t>R04980</t>
  </si>
  <si>
    <t>R04981</t>
  </si>
  <si>
    <t>R04982</t>
  </si>
  <si>
    <t>R04983</t>
  </si>
  <si>
    <t>R04984</t>
  </si>
  <si>
    <t>R04985</t>
  </si>
  <si>
    <t>R04986</t>
  </si>
  <si>
    <t>R04987</t>
  </si>
  <si>
    <t>R04988</t>
  </si>
  <si>
    <t>R04989</t>
  </si>
  <si>
    <t>R04990</t>
  </si>
  <si>
    <t>R04991</t>
  </si>
  <si>
    <t>R04992</t>
  </si>
  <si>
    <t>R04993</t>
  </si>
  <si>
    <t>R04994</t>
  </si>
  <si>
    <t>R04995</t>
  </si>
  <si>
    <t>R04996</t>
  </si>
  <si>
    <t>R04997</t>
  </si>
  <si>
    <t>R04998</t>
  </si>
  <si>
    <t>R04999</t>
  </si>
  <si>
    <t>R05000</t>
  </si>
  <si>
    <t>R05001</t>
  </si>
  <si>
    <t>R05002</t>
  </si>
  <si>
    <t>R05003</t>
  </si>
  <si>
    <t>R05004</t>
  </si>
  <si>
    <t>R05005</t>
  </si>
  <si>
    <t>R05006</t>
  </si>
  <si>
    <t>R05007</t>
  </si>
  <si>
    <t>R05008</t>
  </si>
  <si>
    <t>R05009</t>
  </si>
  <si>
    <t>R05010</t>
  </si>
  <si>
    <t>R05011</t>
  </si>
  <si>
    <t>R05012</t>
  </si>
  <si>
    <t>R05013</t>
  </si>
  <si>
    <t>R05014</t>
  </si>
  <si>
    <t>R05015</t>
  </si>
  <si>
    <t>R05016</t>
  </si>
  <si>
    <t>R05017</t>
  </si>
  <si>
    <t>R05018</t>
  </si>
  <si>
    <t>R05019</t>
  </si>
  <si>
    <t>R05020</t>
  </si>
  <si>
    <t>R05021</t>
  </si>
  <si>
    <t>R05022</t>
  </si>
  <si>
    <t>R05023</t>
  </si>
  <si>
    <t>R05024</t>
  </si>
  <si>
    <t>R05025</t>
  </si>
  <si>
    <t>R05026</t>
  </si>
  <si>
    <t>R05027</t>
  </si>
  <si>
    <t>R05028</t>
  </si>
  <si>
    <t>R05029</t>
  </si>
  <si>
    <t>R05030</t>
  </si>
  <si>
    <t>R05031</t>
  </si>
  <si>
    <t>R05032</t>
  </si>
  <si>
    <t>R05033</t>
  </si>
  <si>
    <t>R05034</t>
  </si>
  <si>
    <t>R05035</t>
  </si>
  <si>
    <t>R05036</t>
  </si>
  <si>
    <t>R05037</t>
  </si>
  <si>
    <t>R05038</t>
  </si>
  <si>
    <t>R05039</t>
  </si>
  <si>
    <t>R05040</t>
  </si>
  <si>
    <t>R05041</t>
  </si>
  <si>
    <t>R05042</t>
  </si>
  <si>
    <t>R05043</t>
  </si>
  <si>
    <t>R05044</t>
  </si>
  <si>
    <t>R05045</t>
  </si>
  <si>
    <t>R05046</t>
  </si>
  <si>
    <t>R05047</t>
  </si>
  <si>
    <t>R05048</t>
  </si>
  <si>
    <t>R05049</t>
  </si>
  <si>
    <t>R05050</t>
  </si>
  <si>
    <t>R05051</t>
  </si>
  <si>
    <t>R05052</t>
  </si>
  <si>
    <t>R05053</t>
  </si>
  <si>
    <t>R05054</t>
  </si>
  <si>
    <t>R05055</t>
  </si>
  <si>
    <t>R05056</t>
  </si>
  <si>
    <t>R05057</t>
  </si>
  <si>
    <t>R05058</t>
  </si>
  <si>
    <t>R05059</t>
  </si>
  <si>
    <t>R05060</t>
  </si>
  <si>
    <t>R05061</t>
  </si>
  <si>
    <t>R05062</t>
  </si>
  <si>
    <t>R05063</t>
  </si>
  <si>
    <t>R05064</t>
  </si>
  <si>
    <t>R05065</t>
  </si>
  <si>
    <t>R05066</t>
  </si>
  <si>
    <t>R05067</t>
  </si>
  <si>
    <t>R05068</t>
  </si>
  <si>
    <t>R05069</t>
  </si>
  <si>
    <t>R05070</t>
  </si>
  <si>
    <t>R05071</t>
  </si>
  <si>
    <t>R05072</t>
  </si>
  <si>
    <t>R05073</t>
  </si>
  <si>
    <t>R05074</t>
  </si>
  <si>
    <t>R05075</t>
  </si>
  <si>
    <t>R05076</t>
  </si>
  <si>
    <t>R05077</t>
  </si>
  <si>
    <t>R05078</t>
  </si>
  <si>
    <t>R05079</t>
  </si>
  <si>
    <t>R05080</t>
  </si>
  <si>
    <t>R05081</t>
  </si>
  <si>
    <t>R05082</t>
  </si>
  <si>
    <t>R05083</t>
  </si>
  <si>
    <t>R05084</t>
  </si>
  <si>
    <t>R05085</t>
  </si>
  <si>
    <t>R05086</t>
  </si>
  <si>
    <t>R05087</t>
  </si>
  <si>
    <t>R05088</t>
  </si>
  <si>
    <t>R05089</t>
  </si>
  <si>
    <t>R05090</t>
  </si>
  <si>
    <t>R05091</t>
  </si>
  <si>
    <t>R05092</t>
  </si>
  <si>
    <t>R05093</t>
  </si>
  <si>
    <t>R05094</t>
  </si>
  <si>
    <t>R05095</t>
  </si>
  <si>
    <t>R05096</t>
  </si>
  <si>
    <t>R05097</t>
  </si>
  <si>
    <t>R05098</t>
  </si>
  <si>
    <t>R05099</t>
  </si>
  <si>
    <t>R05100</t>
  </si>
  <si>
    <t>R05101</t>
  </si>
  <si>
    <t>R05102</t>
  </si>
  <si>
    <t>R05103</t>
  </si>
  <si>
    <t>R05104</t>
  </si>
  <si>
    <t>R05105</t>
  </si>
  <si>
    <t>R05106</t>
  </si>
  <si>
    <t>R05107</t>
  </si>
  <si>
    <t>R05108</t>
  </si>
  <si>
    <t>R05109</t>
  </si>
  <si>
    <t>R05110</t>
  </si>
  <si>
    <t>R05111</t>
  </si>
  <si>
    <t>R05112</t>
  </si>
  <si>
    <t>R05113</t>
  </si>
  <si>
    <t>R05114</t>
  </si>
  <si>
    <t>R05115</t>
  </si>
  <si>
    <t>R05116</t>
  </si>
  <si>
    <t>R05117</t>
  </si>
  <si>
    <t>R05118</t>
  </si>
  <si>
    <t>R05119</t>
  </si>
  <si>
    <t>R05120</t>
  </si>
  <si>
    <t>R05121</t>
  </si>
  <si>
    <t>R05122</t>
  </si>
  <si>
    <t>R05123</t>
  </si>
  <si>
    <t>R05124</t>
  </si>
  <si>
    <t>R05125</t>
  </si>
  <si>
    <t>R05126</t>
  </si>
  <si>
    <t>LEG-015</t>
  </si>
  <si>
    <t>R05127</t>
  </si>
  <si>
    <t>R05128</t>
  </si>
  <si>
    <t>R05129</t>
  </si>
  <si>
    <t>R05130</t>
  </si>
  <si>
    <t>R05131</t>
  </si>
  <si>
    <t>R05132</t>
  </si>
  <si>
    <t>R05133</t>
  </si>
  <si>
    <t>R05134</t>
  </si>
  <si>
    <t>R05135</t>
  </si>
  <si>
    <t>R05136</t>
  </si>
  <si>
    <t>R05137</t>
  </si>
  <si>
    <t>R05138</t>
  </si>
  <si>
    <t>R05139</t>
  </si>
  <si>
    <t>R05140</t>
  </si>
  <si>
    <t>R05141</t>
  </si>
  <si>
    <t>R05142</t>
  </si>
  <si>
    <t>R05143</t>
  </si>
  <si>
    <t>R05144</t>
  </si>
  <si>
    <t>R05145</t>
  </si>
  <si>
    <t>R05146</t>
  </si>
  <si>
    <t>R05147</t>
  </si>
  <si>
    <t>R05148</t>
  </si>
  <si>
    <t>R05149</t>
  </si>
  <si>
    <t>R05150</t>
  </si>
  <si>
    <t>R05151</t>
  </si>
  <si>
    <t>R05152</t>
  </si>
  <si>
    <t>R05153</t>
  </si>
  <si>
    <t>R05154</t>
  </si>
  <si>
    <t>R05155</t>
  </si>
  <si>
    <t>R05156</t>
  </si>
  <si>
    <t>R05157</t>
  </si>
  <si>
    <t>R05158</t>
  </si>
  <si>
    <t>R05159</t>
  </si>
  <si>
    <t>R05160</t>
  </si>
  <si>
    <t>R05161</t>
  </si>
  <si>
    <t>R05162</t>
  </si>
  <si>
    <t>R05163</t>
  </si>
  <si>
    <t>R05164</t>
  </si>
  <si>
    <t>R05165</t>
  </si>
  <si>
    <t>R05166</t>
  </si>
  <si>
    <t>R05167</t>
  </si>
  <si>
    <t>R05168</t>
  </si>
  <si>
    <t>R05169</t>
  </si>
  <si>
    <t>R05170</t>
  </si>
  <si>
    <t>R05171</t>
  </si>
  <si>
    <t>R05172</t>
  </si>
  <si>
    <t>R05173</t>
  </si>
  <si>
    <t>R05174</t>
  </si>
  <si>
    <t>R05175</t>
  </si>
  <si>
    <t>R05176</t>
  </si>
  <si>
    <t>R05177</t>
  </si>
  <si>
    <t>R05178</t>
  </si>
  <si>
    <t>R05179</t>
  </si>
  <si>
    <t>R05180</t>
  </si>
  <si>
    <t>R05181</t>
  </si>
  <si>
    <t>R05182</t>
  </si>
  <si>
    <t>R05183</t>
  </si>
  <si>
    <t>R05184</t>
  </si>
  <si>
    <t>R05185</t>
  </si>
  <si>
    <t>R05186</t>
  </si>
  <si>
    <t>R05187</t>
  </si>
  <si>
    <t>R05188</t>
  </si>
  <si>
    <t>R05189</t>
  </si>
  <si>
    <t>R05190</t>
  </si>
  <si>
    <t>R05191</t>
  </si>
  <si>
    <t>R05192</t>
  </si>
  <si>
    <t>R05193</t>
  </si>
  <si>
    <t>R05194</t>
  </si>
  <si>
    <t>R05195</t>
  </si>
  <si>
    <t>R05196</t>
  </si>
  <si>
    <t>R05197</t>
  </si>
  <si>
    <t>R05198</t>
  </si>
  <si>
    <t>R05199</t>
  </si>
  <si>
    <t>R05200</t>
  </si>
  <si>
    <t>R05201</t>
  </si>
  <si>
    <t>R05202</t>
  </si>
  <si>
    <t>R05203</t>
  </si>
  <si>
    <t>R05204</t>
  </si>
  <si>
    <t>R05205</t>
  </si>
  <si>
    <t>R05206</t>
  </si>
  <si>
    <t>R05207</t>
  </si>
  <si>
    <t>R05208</t>
  </si>
  <si>
    <t>R05209</t>
  </si>
  <si>
    <t>R05210</t>
  </si>
  <si>
    <t>R05211</t>
  </si>
  <si>
    <t>R05212</t>
  </si>
  <si>
    <t>R05213</t>
  </si>
  <si>
    <t>R05214</t>
  </si>
  <si>
    <t>R05215</t>
  </si>
  <si>
    <t>R05216</t>
  </si>
  <si>
    <t>R05217</t>
  </si>
  <si>
    <t>R05218</t>
  </si>
  <si>
    <t>R05219</t>
  </si>
  <si>
    <t>R05220</t>
  </si>
  <si>
    <t>R05221</t>
  </si>
  <si>
    <t>R05222</t>
  </si>
  <si>
    <t>R05223</t>
  </si>
  <si>
    <t>R05224</t>
  </si>
  <si>
    <t>R05225</t>
  </si>
  <si>
    <t>R05226</t>
  </si>
  <si>
    <t>R05227</t>
  </si>
  <si>
    <t>R05228</t>
  </si>
  <si>
    <t>R05229</t>
  </si>
  <si>
    <t>R05230</t>
  </si>
  <si>
    <t>R05231</t>
  </si>
  <si>
    <t>R05232</t>
  </si>
  <si>
    <t>R05233</t>
  </si>
  <si>
    <t>R05234</t>
  </si>
  <si>
    <t>R05235</t>
  </si>
  <si>
    <t>R05236</t>
  </si>
  <si>
    <t>R05237</t>
  </si>
  <si>
    <t>R05238</t>
  </si>
  <si>
    <t>R05239</t>
  </si>
  <si>
    <t>R05240</t>
  </si>
  <si>
    <t>R05241</t>
  </si>
  <si>
    <t>R05242</t>
  </si>
  <si>
    <t>R05243</t>
  </si>
  <si>
    <t>R05244</t>
  </si>
  <si>
    <t>R05245</t>
  </si>
  <si>
    <t>R05246</t>
  </si>
  <si>
    <t>R05247</t>
  </si>
  <si>
    <t>R05248</t>
  </si>
  <si>
    <t>R05249</t>
  </si>
  <si>
    <t>R05250</t>
  </si>
  <si>
    <t>R05251</t>
  </si>
  <si>
    <t>R05252</t>
  </si>
  <si>
    <t>R05253</t>
  </si>
  <si>
    <t>R05254</t>
  </si>
  <si>
    <t>R05255</t>
  </si>
  <si>
    <t>R05256</t>
  </si>
  <si>
    <t>R05257</t>
  </si>
  <si>
    <t>R05258</t>
  </si>
  <si>
    <t>R05259</t>
  </si>
  <si>
    <t>R05260</t>
  </si>
  <si>
    <t>R05261</t>
  </si>
  <si>
    <t>R05262</t>
  </si>
  <si>
    <t>R05263</t>
  </si>
  <si>
    <t>R05264</t>
  </si>
  <si>
    <t>R05265</t>
  </si>
  <si>
    <t>R05266</t>
  </si>
  <si>
    <t>R05267</t>
  </si>
  <si>
    <t>R05268</t>
  </si>
  <si>
    <t>R05269</t>
  </si>
  <si>
    <t>R05270</t>
  </si>
  <si>
    <t>R05271</t>
  </si>
  <si>
    <t>R05272</t>
  </si>
  <si>
    <t>R05273</t>
  </si>
  <si>
    <t>R05274</t>
  </si>
  <si>
    <t>R05275</t>
  </si>
  <si>
    <t>R05276</t>
  </si>
  <si>
    <t>R05277</t>
  </si>
  <si>
    <t>R05278</t>
  </si>
  <si>
    <t>R05279</t>
  </si>
  <si>
    <t>R05280</t>
  </si>
  <si>
    <t>R05281</t>
  </si>
  <si>
    <t>R05282</t>
  </si>
  <si>
    <t>R05283</t>
  </si>
  <si>
    <t>R05284</t>
  </si>
  <si>
    <t>R05285</t>
  </si>
  <si>
    <t>R05286</t>
  </si>
  <si>
    <t>R05287</t>
  </si>
  <si>
    <t>R05288</t>
  </si>
  <si>
    <t>R05289</t>
  </si>
  <si>
    <t>R05290</t>
  </si>
  <si>
    <t>R05291</t>
  </si>
  <si>
    <t>R05292</t>
  </si>
  <si>
    <t>R05293</t>
  </si>
  <si>
    <t>R05294</t>
  </si>
  <si>
    <t>R05295</t>
  </si>
  <si>
    <t>R05296</t>
  </si>
  <si>
    <t>R05297</t>
  </si>
  <si>
    <t>R05298</t>
  </si>
  <si>
    <t>R05299</t>
  </si>
  <si>
    <t>R05300</t>
  </si>
  <si>
    <t>R05301</t>
  </si>
  <si>
    <t>R05302</t>
  </si>
  <si>
    <t>R05303</t>
  </si>
  <si>
    <t>R05304</t>
  </si>
  <si>
    <t>R05305</t>
  </si>
  <si>
    <t>R05306</t>
  </si>
  <si>
    <t>R05307</t>
  </si>
  <si>
    <t>R05308</t>
  </si>
  <si>
    <t>R05309</t>
  </si>
  <si>
    <t>R05310</t>
  </si>
  <si>
    <t>R05311</t>
  </si>
  <si>
    <t>R05312</t>
  </si>
  <si>
    <t>R05313</t>
  </si>
  <si>
    <t>R05314</t>
  </si>
  <si>
    <t>R05315</t>
  </si>
  <si>
    <t>R05316</t>
  </si>
  <si>
    <t>R05317</t>
  </si>
  <si>
    <t>R05318</t>
  </si>
  <si>
    <t>R05319</t>
  </si>
  <si>
    <t>R05320</t>
  </si>
  <si>
    <t>R05321</t>
  </si>
  <si>
    <t>R05322</t>
  </si>
  <si>
    <t>R05323</t>
  </si>
  <si>
    <t>R05324</t>
  </si>
  <si>
    <t>R05325</t>
  </si>
  <si>
    <t>R05326</t>
  </si>
  <si>
    <t>R05327</t>
  </si>
  <si>
    <t>R05328</t>
  </si>
  <si>
    <t>R05329</t>
  </si>
  <si>
    <t>R05330</t>
  </si>
  <si>
    <t>R05331</t>
  </si>
  <si>
    <t>R05332</t>
  </si>
  <si>
    <t>R05333</t>
  </si>
  <si>
    <t>R05334</t>
  </si>
  <si>
    <t>R05335</t>
  </si>
  <si>
    <t>R05336</t>
  </si>
  <si>
    <t>R05337</t>
  </si>
  <si>
    <t>R05338</t>
  </si>
  <si>
    <t>R05339</t>
  </si>
  <si>
    <t>R05340</t>
  </si>
  <si>
    <t>R05341</t>
  </si>
  <si>
    <t>R05342</t>
  </si>
  <si>
    <t>R05343</t>
  </si>
  <si>
    <t>R05344</t>
  </si>
  <si>
    <t>R05345</t>
  </si>
  <si>
    <t>R05346</t>
  </si>
  <si>
    <t>R05347</t>
  </si>
  <si>
    <t>R05348</t>
  </si>
  <si>
    <t>R05349</t>
  </si>
  <si>
    <t>R05350</t>
  </si>
  <si>
    <t>R05351</t>
  </si>
  <si>
    <t>R05352</t>
  </si>
  <si>
    <t>R05353</t>
  </si>
  <si>
    <t>R05354</t>
  </si>
  <si>
    <t>R05355</t>
  </si>
  <si>
    <t>R05356</t>
  </si>
  <si>
    <t>R05357</t>
  </si>
  <si>
    <t>R05358</t>
  </si>
  <si>
    <t>R05359</t>
  </si>
  <si>
    <t>R05360</t>
  </si>
  <si>
    <t>R05361</t>
  </si>
  <si>
    <t>R05362</t>
  </si>
  <si>
    <t>R05363</t>
  </si>
  <si>
    <t>R05364</t>
  </si>
  <si>
    <t>R05365</t>
  </si>
  <si>
    <t>R05366</t>
  </si>
  <si>
    <t>R05367</t>
  </si>
  <si>
    <t>R05368</t>
  </si>
  <si>
    <t>R05369</t>
  </si>
  <si>
    <t>R05370</t>
  </si>
  <si>
    <t>R05371</t>
  </si>
  <si>
    <t>R05372</t>
  </si>
  <si>
    <t>R05373</t>
  </si>
  <si>
    <t>R05374</t>
  </si>
  <si>
    <t>R05375</t>
  </si>
  <si>
    <t>R05376</t>
  </si>
  <si>
    <t>R05377</t>
  </si>
  <si>
    <t>R05378</t>
  </si>
  <si>
    <t>R05379</t>
  </si>
  <si>
    <t>R05380</t>
  </si>
  <si>
    <t>R05381</t>
  </si>
  <si>
    <t>R05382</t>
  </si>
  <si>
    <t>R05383</t>
  </si>
  <si>
    <t>R05384</t>
  </si>
  <si>
    <t>R05385</t>
  </si>
  <si>
    <t>R05386</t>
  </si>
  <si>
    <t>R05387</t>
  </si>
  <si>
    <t>R05388</t>
  </si>
  <si>
    <t>R05389</t>
  </si>
  <si>
    <t>R05390</t>
  </si>
  <si>
    <t>R05391</t>
  </si>
  <si>
    <t>R05392</t>
  </si>
  <si>
    <t>R05393</t>
  </si>
  <si>
    <t>R05394</t>
  </si>
  <si>
    <t>R05395</t>
  </si>
  <si>
    <t>R05396</t>
  </si>
  <si>
    <t>R05397</t>
  </si>
  <si>
    <t>R05398</t>
  </si>
  <si>
    <t>R05399</t>
  </si>
  <si>
    <t>R05400</t>
  </si>
  <si>
    <t>R05401</t>
  </si>
  <si>
    <t>R05402</t>
  </si>
  <si>
    <t>R05403</t>
  </si>
  <si>
    <t>R05404</t>
  </si>
  <si>
    <t>R05405</t>
  </si>
  <si>
    <t>R05406</t>
  </si>
  <si>
    <t>R05407</t>
  </si>
  <si>
    <t>R05408</t>
  </si>
  <si>
    <t>R05409</t>
  </si>
  <si>
    <t>R05410</t>
  </si>
  <si>
    <t>R05411</t>
  </si>
  <si>
    <t>R05412</t>
  </si>
  <si>
    <t>R05413</t>
  </si>
  <si>
    <t>R05414</t>
  </si>
  <si>
    <t>R05415</t>
  </si>
  <si>
    <t>R05416</t>
  </si>
  <si>
    <t>R05417</t>
  </si>
  <si>
    <t>R05418</t>
  </si>
  <si>
    <t>R05419</t>
  </si>
  <si>
    <t>R05420</t>
  </si>
  <si>
    <t>R05421</t>
  </si>
  <si>
    <t>R05422</t>
  </si>
  <si>
    <t>R05423</t>
  </si>
  <si>
    <t>R05424</t>
  </si>
  <si>
    <t>R05425</t>
  </si>
  <si>
    <t>R05426</t>
  </si>
  <si>
    <t>R05427</t>
  </si>
  <si>
    <t>R05428</t>
  </si>
  <si>
    <t>R05429</t>
  </si>
  <si>
    <t>R05430</t>
  </si>
  <si>
    <t>R05431</t>
  </si>
  <si>
    <t>R05432</t>
  </si>
  <si>
    <t>R05433</t>
  </si>
  <si>
    <t>R05434</t>
  </si>
  <si>
    <t>R05435</t>
  </si>
  <si>
    <t>R05436</t>
  </si>
  <si>
    <t>R05437</t>
  </si>
  <si>
    <t>R05438</t>
  </si>
  <si>
    <t>R05439</t>
  </si>
  <si>
    <t>R05440</t>
  </si>
  <si>
    <t>R05441</t>
  </si>
  <si>
    <t>R05442</t>
  </si>
  <si>
    <t>R05443</t>
  </si>
  <si>
    <t>R05444</t>
  </si>
  <si>
    <t>R05445</t>
  </si>
  <si>
    <t>R05446</t>
  </si>
  <si>
    <t>R05447</t>
  </si>
  <si>
    <t>R05448</t>
  </si>
  <si>
    <t>R05449</t>
  </si>
  <si>
    <t>R05450</t>
  </si>
  <si>
    <t>R05451</t>
  </si>
  <si>
    <t>R05452</t>
  </si>
  <si>
    <t>R05453</t>
  </si>
  <si>
    <t>R05454</t>
  </si>
  <si>
    <t>R05455</t>
  </si>
  <si>
    <t>R05456</t>
  </si>
  <si>
    <t>R05457</t>
  </si>
  <si>
    <t>R05458</t>
  </si>
  <si>
    <t>R05459</t>
  </si>
  <si>
    <t>R05460</t>
  </si>
  <si>
    <t>R05461</t>
  </si>
  <si>
    <t>R05462</t>
  </si>
  <si>
    <t>R05463</t>
  </si>
  <si>
    <t>R05464</t>
  </si>
  <si>
    <t>R05465</t>
  </si>
  <si>
    <t>R05466</t>
  </si>
  <si>
    <t>R05467</t>
  </si>
  <si>
    <t>R05468</t>
  </si>
  <si>
    <t>R05469</t>
  </si>
  <si>
    <t>R05470</t>
  </si>
  <si>
    <t>R05471</t>
  </si>
  <si>
    <t>R05472</t>
  </si>
  <si>
    <t>R05473</t>
  </si>
  <si>
    <t>R05474</t>
  </si>
  <si>
    <t>R05475</t>
  </si>
  <si>
    <t>R05476</t>
  </si>
  <si>
    <t>R05477</t>
  </si>
  <si>
    <t>R05478</t>
  </si>
  <si>
    <t>R05479</t>
  </si>
  <si>
    <t>R05480</t>
  </si>
  <si>
    <t>R05481</t>
  </si>
  <si>
    <t>R05482</t>
  </si>
  <si>
    <t>R05483</t>
  </si>
  <si>
    <t>R05484</t>
  </si>
  <si>
    <t>R05485</t>
  </si>
  <si>
    <t>R05486</t>
  </si>
  <si>
    <t>R05487</t>
  </si>
  <si>
    <t>R05488</t>
  </si>
  <si>
    <t>R05489</t>
  </si>
  <si>
    <t>R05490</t>
  </si>
  <si>
    <t>R05491</t>
  </si>
  <si>
    <t>R05492</t>
  </si>
  <si>
    <t>R05493</t>
  </si>
  <si>
    <t>R05494</t>
  </si>
  <si>
    <t>R05495</t>
  </si>
  <si>
    <t>LEG-016</t>
  </si>
  <si>
    <t>R05496</t>
  </si>
  <si>
    <t>R05497</t>
  </si>
  <si>
    <t>R05498</t>
  </si>
  <si>
    <t>R05499</t>
  </si>
  <si>
    <t>R05500</t>
  </si>
  <si>
    <t>R05501</t>
  </si>
  <si>
    <t>R05502</t>
  </si>
  <si>
    <t>R05503</t>
  </si>
  <si>
    <t>R05504</t>
  </si>
  <si>
    <t>R05505</t>
  </si>
  <si>
    <t>R05506</t>
  </si>
  <si>
    <t>R05507</t>
  </si>
  <si>
    <t>R05508</t>
  </si>
  <si>
    <t>R05509</t>
  </si>
  <si>
    <t>R05510</t>
  </si>
  <si>
    <t>R05511</t>
  </si>
  <si>
    <t>R05512</t>
  </si>
  <si>
    <t>R05513</t>
  </si>
  <si>
    <t>R05514</t>
  </si>
  <si>
    <t>R05515</t>
  </si>
  <si>
    <t>R05516</t>
  </si>
  <si>
    <t>R05517</t>
  </si>
  <si>
    <t>R05518</t>
  </si>
  <si>
    <t>R05519</t>
  </si>
  <si>
    <t>R05520</t>
  </si>
  <si>
    <t>R05521</t>
  </si>
  <si>
    <t>R05522</t>
  </si>
  <si>
    <t>R05523</t>
  </si>
  <si>
    <t>R05524</t>
  </si>
  <si>
    <t>R05525</t>
  </si>
  <si>
    <t>R05526</t>
  </si>
  <si>
    <t>R05527</t>
  </si>
  <si>
    <t>R05528</t>
  </si>
  <si>
    <t>R05529</t>
  </si>
  <si>
    <t>R05530</t>
  </si>
  <si>
    <t>R05531</t>
  </si>
  <si>
    <t>R05532</t>
  </si>
  <si>
    <t>R05533</t>
  </si>
  <si>
    <t>R05534</t>
  </si>
  <si>
    <t>R05535</t>
  </si>
  <si>
    <t>R05536</t>
  </si>
  <si>
    <t>R05537</t>
  </si>
  <si>
    <t>R05538</t>
  </si>
  <si>
    <t>R05539</t>
  </si>
  <si>
    <t>R05540</t>
  </si>
  <si>
    <t>R05541</t>
  </si>
  <si>
    <t>R05542</t>
  </si>
  <si>
    <t>R05543</t>
  </si>
  <si>
    <t>R05544</t>
  </si>
  <si>
    <t>R05545</t>
  </si>
  <si>
    <t>R05546</t>
  </si>
  <si>
    <t>R05547</t>
  </si>
  <si>
    <t>R05548</t>
  </si>
  <si>
    <t>R05549</t>
  </si>
  <si>
    <t>R05550</t>
  </si>
  <si>
    <t>R05551</t>
  </si>
  <si>
    <t>R05552</t>
  </si>
  <si>
    <t>R05553</t>
  </si>
  <si>
    <t>R05554</t>
  </si>
  <si>
    <t>R05555</t>
  </si>
  <si>
    <t>R05556</t>
  </si>
  <si>
    <t>R05557</t>
  </si>
  <si>
    <t>R05558</t>
  </si>
  <si>
    <t>R05559</t>
  </si>
  <si>
    <t>R05560</t>
  </si>
  <si>
    <t>R05561</t>
  </si>
  <si>
    <t>R05562</t>
  </si>
  <si>
    <t>R05563</t>
  </si>
  <si>
    <t>R05564</t>
  </si>
  <si>
    <t>R05565</t>
  </si>
  <si>
    <t>R05566</t>
  </si>
  <si>
    <t>R05567</t>
  </si>
  <si>
    <t>R05568</t>
  </si>
  <si>
    <t>R05569</t>
  </si>
  <si>
    <t>R05570</t>
  </si>
  <si>
    <t>R05571</t>
  </si>
  <si>
    <t>R05572</t>
  </si>
  <si>
    <t>R05573</t>
  </si>
  <si>
    <t>R05574</t>
  </si>
  <si>
    <t>R05575</t>
  </si>
  <si>
    <t>R05576</t>
  </si>
  <si>
    <t>R05577</t>
  </si>
  <si>
    <t>R05578</t>
  </si>
  <si>
    <t>R05579</t>
  </si>
  <si>
    <t>R05580</t>
  </si>
  <si>
    <t>R05581</t>
  </si>
  <si>
    <t>R05582</t>
  </si>
  <si>
    <t>R05583</t>
  </si>
  <si>
    <t>R05584</t>
  </si>
  <si>
    <t>R05585</t>
  </si>
  <si>
    <t>R05586</t>
  </si>
  <si>
    <t>R05587</t>
  </si>
  <si>
    <t>R05588</t>
  </si>
  <si>
    <t>R05589</t>
  </si>
  <si>
    <t>R05590</t>
  </si>
  <si>
    <t>R05591</t>
  </si>
  <si>
    <t>R05592</t>
  </si>
  <si>
    <t>R05593</t>
  </si>
  <si>
    <t>R05594</t>
  </si>
  <si>
    <t>R05595</t>
  </si>
  <si>
    <t>R05596</t>
  </si>
  <si>
    <t>R05597</t>
  </si>
  <si>
    <t>R05598</t>
  </si>
  <si>
    <t>R05599</t>
  </si>
  <si>
    <t>R05600</t>
  </si>
  <si>
    <t>R05601</t>
  </si>
  <si>
    <t>R05602</t>
  </si>
  <si>
    <t>R05603</t>
  </si>
  <si>
    <t>R05604</t>
  </si>
  <si>
    <t>R05605</t>
  </si>
  <si>
    <t>R05606</t>
  </si>
  <si>
    <t>R05607</t>
  </si>
  <si>
    <t>R05608</t>
  </si>
  <si>
    <t>R05609</t>
  </si>
  <si>
    <t>R05610</t>
  </si>
  <si>
    <t>R05611</t>
  </si>
  <si>
    <t>R05612</t>
  </si>
  <si>
    <t>R05613</t>
  </si>
  <si>
    <t>R05614</t>
  </si>
  <si>
    <t>R05615</t>
  </si>
  <si>
    <t>R05616</t>
  </si>
  <si>
    <t>R05617</t>
  </si>
  <si>
    <t>R05618</t>
  </si>
  <si>
    <t>R05619</t>
  </si>
  <si>
    <t>R05620</t>
  </si>
  <si>
    <t>R05621</t>
  </si>
  <si>
    <t>R05622</t>
  </si>
  <si>
    <t>R05623</t>
  </si>
  <si>
    <t>R05624</t>
  </si>
  <si>
    <t>R05625</t>
  </si>
  <si>
    <t>R05626</t>
  </si>
  <si>
    <t>R05627</t>
  </si>
  <si>
    <t>R05628</t>
  </si>
  <si>
    <t>R05629</t>
  </si>
  <si>
    <t>R05630</t>
  </si>
  <si>
    <t>R05631</t>
  </si>
  <si>
    <t>R05632</t>
  </si>
  <si>
    <t>R05633</t>
  </si>
  <si>
    <t>R05634</t>
  </si>
  <si>
    <t>R05635</t>
  </si>
  <si>
    <t>R05636</t>
  </si>
  <si>
    <t>R05637</t>
  </si>
  <si>
    <t>R05638</t>
  </si>
  <si>
    <t>R05639</t>
  </si>
  <si>
    <t>R05640</t>
  </si>
  <si>
    <t>R05641</t>
  </si>
  <si>
    <t>R05642</t>
  </si>
  <si>
    <t>R05643</t>
  </si>
  <si>
    <t>R05644</t>
  </si>
  <si>
    <t>R05645</t>
  </si>
  <si>
    <t>R05646</t>
  </si>
  <si>
    <t>R05647</t>
  </si>
  <si>
    <t>R05648</t>
  </si>
  <si>
    <t>R05649</t>
  </si>
  <si>
    <t>R05650</t>
  </si>
  <si>
    <t>R05651</t>
  </si>
  <si>
    <t>R05652</t>
  </si>
  <si>
    <t>R05653</t>
  </si>
  <si>
    <t>R05654</t>
  </si>
  <si>
    <t>R05655</t>
  </si>
  <si>
    <t>R05656</t>
  </si>
  <si>
    <t>R05657</t>
  </si>
  <si>
    <t>R05658</t>
  </si>
  <si>
    <t>R05659</t>
  </si>
  <si>
    <t>R05660</t>
  </si>
  <si>
    <t>R05661</t>
  </si>
  <si>
    <t>R05662</t>
  </si>
  <si>
    <t>R05663</t>
  </si>
  <si>
    <t>R05664</t>
  </si>
  <si>
    <t>R05665</t>
  </si>
  <si>
    <t>R05666</t>
  </si>
  <si>
    <t>R05667</t>
  </si>
  <si>
    <t>R05668</t>
  </si>
  <si>
    <t>R05669</t>
  </si>
  <si>
    <t>R05670</t>
  </si>
  <si>
    <t>R05671</t>
  </si>
  <si>
    <t>R05672</t>
  </si>
  <si>
    <t>R05673</t>
  </si>
  <si>
    <t>R05674</t>
  </si>
  <si>
    <t>R05675</t>
  </si>
  <si>
    <t>R05676</t>
  </si>
  <si>
    <t>R05677</t>
  </si>
  <si>
    <t>R05678</t>
  </si>
  <si>
    <t>R05679</t>
  </si>
  <si>
    <t>R05680</t>
  </si>
  <si>
    <t>R05681</t>
  </si>
  <si>
    <t>R05682</t>
  </si>
  <si>
    <t>R05683</t>
  </si>
  <si>
    <t>R05684</t>
  </si>
  <si>
    <t>R05685</t>
  </si>
  <si>
    <t>R05686</t>
  </si>
  <si>
    <t>R05687</t>
  </si>
  <si>
    <t>R05688</t>
  </si>
  <si>
    <t>R05689</t>
  </si>
  <si>
    <t>R05690</t>
  </si>
  <si>
    <t>R05691</t>
  </si>
  <si>
    <t>R05692</t>
  </si>
  <si>
    <t>R05693</t>
  </si>
  <si>
    <t>R05694</t>
  </si>
  <si>
    <t>R05695</t>
  </si>
  <si>
    <t>R05696</t>
  </si>
  <si>
    <t>R05697</t>
  </si>
  <si>
    <t>R05698</t>
  </si>
  <si>
    <t>R05699</t>
  </si>
  <si>
    <t>R05700</t>
  </si>
  <si>
    <t>R05701</t>
  </si>
  <si>
    <t>R05702</t>
  </si>
  <si>
    <t>R05703</t>
  </si>
  <si>
    <t>R05704</t>
  </si>
  <si>
    <t>R05705</t>
  </si>
  <si>
    <t>R05706</t>
  </si>
  <si>
    <t>R05707</t>
  </si>
  <si>
    <t>R05708</t>
  </si>
  <si>
    <t>R05709</t>
  </si>
  <si>
    <t>R05710</t>
  </si>
  <si>
    <t>R05711</t>
  </si>
  <si>
    <t>R05712</t>
  </si>
  <si>
    <t>R05713</t>
  </si>
  <si>
    <t>R05714</t>
  </si>
  <si>
    <t>R05715</t>
  </si>
  <si>
    <t>R05716</t>
  </si>
  <si>
    <t>R05717</t>
  </si>
  <si>
    <t>R05718</t>
  </si>
  <si>
    <t>R05719</t>
  </si>
  <si>
    <t>R05720</t>
  </si>
  <si>
    <t>R05721</t>
  </si>
  <si>
    <t>R05722</t>
  </si>
  <si>
    <t>R05723</t>
  </si>
  <si>
    <t>R05724</t>
  </si>
  <si>
    <t>R05725</t>
  </si>
  <si>
    <t>R05726</t>
  </si>
  <si>
    <t>R05727</t>
  </si>
  <si>
    <t>R05728</t>
  </si>
  <si>
    <t>R05729</t>
  </si>
  <si>
    <t>R05730</t>
  </si>
  <si>
    <t>R05731</t>
  </si>
  <si>
    <t>R05732</t>
  </si>
  <si>
    <t>R05733</t>
  </si>
  <si>
    <t>R05734</t>
  </si>
  <si>
    <t>R05735</t>
  </si>
  <si>
    <t>R05736</t>
  </si>
  <si>
    <t>R05737</t>
  </si>
  <si>
    <t>R05738</t>
  </si>
  <si>
    <t>R05739</t>
  </si>
  <si>
    <t>R05740</t>
  </si>
  <si>
    <t>R05741</t>
  </si>
  <si>
    <t>R05742</t>
  </si>
  <si>
    <t>R05743</t>
  </si>
  <si>
    <t>R05744</t>
  </si>
  <si>
    <t>R05745</t>
  </si>
  <si>
    <t>R05746</t>
  </si>
  <si>
    <t>R05747</t>
  </si>
  <si>
    <t>R05748</t>
  </si>
  <si>
    <t>R05749</t>
  </si>
  <si>
    <t>R05750</t>
  </si>
  <si>
    <t>R05751</t>
  </si>
  <si>
    <t>R05752</t>
  </si>
  <si>
    <t>R05753</t>
  </si>
  <si>
    <t>R05754</t>
  </si>
  <si>
    <t>R05755</t>
  </si>
  <si>
    <t>R05756</t>
  </si>
  <si>
    <t>R05757</t>
  </si>
  <si>
    <t>R05758</t>
  </si>
  <si>
    <t>R05759</t>
  </si>
  <si>
    <t>R05760</t>
  </si>
  <si>
    <t>R05761</t>
  </si>
  <si>
    <t>R05762</t>
  </si>
  <si>
    <t>R05763</t>
  </si>
  <si>
    <t>R05764</t>
  </si>
  <si>
    <t>R05765</t>
  </si>
  <si>
    <t>R05766</t>
  </si>
  <si>
    <t>R05767</t>
  </si>
  <si>
    <t>R05768</t>
  </si>
  <si>
    <t>R05769</t>
  </si>
  <si>
    <t>R05770</t>
  </si>
  <si>
    <t>R05771</t>
  </si>
  <si>
    <t>R05772</t>
  </si>
  <si>
    <t>R05773</t>
  </si>
  <si>
    <t>R05774</t>
  </si>
  <si>
    <t>R05775</t>
  </si>
  <si>
    <t>R05776</t>
  </si>
  <si>
    <t>R05777</t>
  </si>
  <si>
    <t>R05778</t>
  </si>
  <si>
    <t>R05779</t>
  </si>
  <si>
    <t>R05780</t>
  </si>
  <si>
    <t>R05781</t>
  </si>
  <si>
    <t>R05782</t>
  </si>
  <si>
    <t>R05783</t>
  </si>
  <si>
    <t>R05784</t>
  </si>
  <si>
    <t>R05785</t>
  </si>
  <si>
    <t>R05786</t>
  </si>
  <si>
    <t>R05787</t>
  </si>
  <si>
    <t>R05788</t>
  </si>
  <si>
    <t>R05789</t>
  </si>
  <si>
    <t>R05790</t>
  </si>
  <si>
    <t>R05791</t>
  </si>
  <si>
    <t>R05792</t>
  </si>
  <si>
    <t>R05793</t>
  </si>
  <si>
    <t>R05794</t>
  </si>
  <si>
    <t>R05795</t>
  </si>
  <si>
    <t>R05796</t>
  </si>
  <si>
    <t>R05797</t>
  </si>
  <si>
    <t>R05798</t>
  </si>
  <si>
    <t>R05799</t>
  </si>
  <si>
    <t>R05800</t>
  </si>
  <si>
    <t>R05801</t>
  </si>
  <si>
    <t>R05802</t>
  </si>
  <si>
    <t>R05803</t>
  </si>
  <si>
    <t>R05804</t>
  </si>
  <si>
    <t>R05805</t>
  </si>
  <si>
    <t>R05806</t>
  </si>
  <si>
    <t>R05807</t>
  </si>
  <si>
    <t>R05808</t>
  </si>
  <si>
    <t>R05809</t>
  </si>
  <si>
    <t>R05810</t>
  </si>
  <si>
    <t>R05811</t>
  </si>
  <si>
    <t>R05812</t>
  </si>
  <si>
    <t>R05813</t>
  </si>
  <si>
    <t>R05814</t>
  </si>
  <si>
    <t>R05815</t>
  </si>
  <si>
    <t>R05816</t>
  </si>
  <si>
    <t>R05817</t>
  </si>
  <si>
    <t>R05818</t>
  </si>
  <si>
    <t>R05819</t>
  </si>
  <si>
    <t>R05820</t>
  </si>
  <si>
    <t>R05821</t>
  </si>
  <si>
    <t>R05822</t>
  </si>
  <si>
    <t>R05823</t>
  </si>
  <si>
    <t>R05824</t>
  </si>
  <si>
    <t>R05825</t>
  </si>
  <si>
    <t>R05826</t>
  </si>
  <si>
    <t>R05827</t>
  </si>
  <si>
    <t>R05828</t>
  </si>
  <si>
    <t>R05829</t>
  </si>
  <si>
    <t>R05830</t>
  </si>
  <si>
    <t>R05831</t>
  </si>
  <si>
    <t>R05832</t>
  </si>
  <si>
    <t>R05833</t>
  </si>
  <si>
    <t>R05834</t>
  </si>
  <si>
    <t>R05835</t>
  </si>
  <si>
    <t>R05836</t>
  </si>
  <si>
    <t>R05837</t>
  </si>
  <si>
    <t>R05838</t>
  </si>
  <si>
    <t>R05839</t>
  </si>
  <si>
    <t>R05840</t>
  </si>
  <si>
    <t>R05841</t>
  </si>
  <si>
    <t>R05842</t>
  </si>
  <si>
    <t>R05843</t>
  </si>
  <si>
    <t>R05844</t>
  </si>
  <si>
    <t>R05845</t>
  </si>
  <si>
    <t>R05846</t>
  </si>
  <si>
    <t>R05847</t>
  </si>
  <si>
    <t>R05848</t>
  </si>
  <si>
    <t>R05849</t>
  </si>
  <si>
    <t>R05850</t>
  </si>
  <si>
    <t>R05851</t>
  </si>
  <si>
    <t>R05852</t>
  </si>
  <si>
    <t>R05853</t>
  </si>
  <si>
    <t>R05854</t>
  </si>
  <si>
    <t>R05855</t>
  </si>
  <si>
    <t>R05856</t>
  </si>
  <si>
    <t>R05857</t>
  </si>
  <si>
    <t>R05858</t>
  </si>
  <si>
    <t>R05859</t>
  </si>
  <si>
    <t>R05860</t>
  </si>
  <si>
    <t>R05861</t>
  </si>
  <si>
    <t>R05862</t>
  </si>
  <si>
    <t>R05863</t>
  </si>
  <si>
    <t>R05864</t>
  </si>
  <si>
    <t>LEG-017</t>
  </si>
  <si>
    <t>R05865</t>
  </si>
  <si>
    <t>R05866</t>
  </si>
  <si>
    <t>R05867</t>
  </si>
  <si>
    <t>R05868</t>
  </si>
  <si>
    <t>R05869</t>
  </si>
  <si>
    <t>R05870</t>
  </si>
  <si>
    <t>R05871</t>
  </si>
  <si>
    <t>R05872</t>
  </si>
  <si>
    <t>R05873</t>
  </si>
  <si>
    <t>R05874</t>
  </si>
  <si>
    <t>R05875</t>
  </si>
  <si>
    <t>R05876</t>
  </si>
  <si>
    <t>R05877</t>
  </si>
  <si>
    <t>R05878</t>
  </si>
  <si>
    <t>R05879</t>
  </si>
  <si>
    <t>R05880</t>
  </si>
  <si>
    <t>R05881</t>
  </si>
  <si>
    <t>R05882</t>
  </si>
  <si>
    <t>R05883</t>
  </si>
  <si>
    <t>R05884</t>
  </si>
  <si>
    <t>R05885</t>
  </si>
  <si>
    <t>R05886</t>
  </si>
  <si>
    <t>R05887</t>
  </si>
  <si>
    <t>R05888</t>
  </si>
  <si>
    <t>R05889</t>
  </si>
  <si>
    <t>R05890</t>
  </si>
  <si>
    <t>R05891</t>
  </si>
  <si>
    <t>R05892</t>
  </si>
  <si>
    <t>R05893</t>
  </si>
  <si>
    <t>R05894</t>
  </si>
  <si>
    <t>R05895</t>
  </si>
  <si>
    <t>R05896</t>
  </si>
  <si>
    <t>R05897</t>
  </si>
  <si>
    <t>R05898</t>
  </si>
  <si>
    <t>R05899</t>
  </si>
  <si>
    <t>R05900</t>
  </si>
  <si>
    <t>R05901</t>
  </si>
  <si>
    <t>R05902</t>
  </si>
  <si>
    <t>R05903</t>
  </si>
  <si>
    <t>R05904</t>
  </si>
  <si>
    <t>R05905</t>
  </si>
  <si>
    <t>R05906</t>
  </si>
  <si>
    <t>R05907</t>
  </si>
  <si>
    <t>R05908</t>
  </si>
  <si>
    <t>R05909</t>
  </si>
  <si>
    <t>R05910</t>
  </si>
  <si>
    <t>R05911</t>
  </si>
  <si>
    <t>R05912</t>
  </si>
  <si>
    <t>R05913</t>
  </si>
  <si>
    <t>R05914</t>
  </si>
  <si>
    <t>R05915</t>
  </si>
  <si>
    <t>R05916</t>
  </si>
  <si>
    <t>R05917</t>
  </si>
  <si>
    <t>R05918</t>
  </si>
  <si>
    <t>R05919</t>
  </si>
  <si>
    <t>R05920</t>
  </si>
  <si>
    <t>R05921</t>
  </si>
  <si>
    <t>R05922</t>
  </si>
  <si>
    <t>R05923</t>
  </si>
  <si>
    <t>R05924</t>
  </si>
  <si>
    <t>R05925</t>
  </si>
  <si>
    <t>R05926</t>
  </si>
  <si>
    <t>R05927</t>
  </si>
  <si>
    <t>R05928</t>
  </si>
  <si>
    <t>R05929</t>
  </si>
  <si>
    <t>R05930</t>
  </si>
  <si>
    <t>R05931</t>
  </si>
  <si>
    <t>R05932</t>
  </si>
  <si>
    <t>R05933</t>
  </si>
  <si>
    <t>R05934</t>
  </si>
  <si>
    <t>R05935</t>
  </si>
  <si>
    <t>R05936</t>
  </si>
  <si>
    <t>R05937</t>
  </si>
  <si>
    <t>R05938</t>
  </si>
  <si>
    <t>R05939</t>
  </si>
  <si>
    <t>R05940</t>
  </si>
  <si>
    <t>R05941</t>
  </si>
  <si>
    <t>R05942</t>
  </si>
  <si>
    <t>R05943</t>
  </si>
  <si>
    <t>R05944</t>
  </si>
  <si>
    <t>R05945</t>
  </si>
  <si>
    <t>R05946</t>
  </si>
  <si>
    <t>R05947</t>
  </si>
  <si>
    <t>R05948</t>
  </si>
  <si>
    <t>R05949</t>
  </si>
  <si>
    <t>R05950</t>
  </si>
  <si>
    <t>R05951</t>
  </si>
  <si>
    <t>R05952</t>
  </si>
  <si>
    <t>R05953</t>
  </si>
  <si>
    <t>R05954</t>
  </si>
  <si>
    <t>R05955</t>
  </si>
  <si>
    <t>R05956</t>
  </si>
  <si>
    <t>R05957</t>
  </si>
  <si>
    <t>R05958</t>
  </si>
  <si>
    <t>R05959</t>
  </si>
  <si>
    <t>R05960</t>
  </si>
  <si>
    <t>R05961</t>
  </si>
  <si>
    <t>R05962</t>
  </si>
  <si>
    <t>R05963</t>
  </si>
  <si>
    <t>R05964</t>
  </si>
  <si>
    <t>R05965</t>
  </si>
  <si>
    <t>R05966</t>
  </si>
  <si>
    <t>R05967</t>
  </si>
  <si>
    <t>R05968</t>
  </si>
  <si>
    <t>R05969</t>
  </si>
  <si>
    <t>R05970</t>
  </si>
  <si>
    <t>R05971</t>
  </si>
  <si>
    <t>R05972</t>
  </si>
  <si>
    <t>R05973</t>
  </si>
  <si>
    <t>R05974</t>
  </si>
  <si>
    <t>R05975</t>
  </si>
  <si>
    <t>R05976</t>
  </si>
  <si>
    <t>R05977</t>
  </si>
  <si>
    <t>R05978</t>
  </si>
  <si>
    <t>R05979</t>
  </si>
  <si>
    <t>R05980</t>
  </si>
  <si>
    <t>R05981</t>
  </si>
  <si>
    <t>R05982</t>
  </si>
  <si>
    <t>R05983</t>
  </si>
  <si>
    <t>R05984</t>
  </si>
  <si>
    <t>R05985</t>
  </si>
  <si>
    <t>R05986</t>
  </si>
  <si>
    <t>R05987</t>
  </si>
  <si>
    <t>R05988</t>
  </si>
  <si>
    <t>R05989</t>
  </si>
  <si>
    <t>R05990</t>
  </si>
  <si>
    <t>R05991</t>
  </si>
  <si>
    <t>R05992</t>
  </si>
  <si>
    <t>R05993</t>
  </si>
  <si>
    <t>R05994</t>
  </si>
  <si>
    <t>R05995</t>
  </si>
  <si>
    <t>R05996</t>
  </si>
  <si>
    <t>R05997</t>
  </si>
  <si>
    <t>R05998</t>
  </si>
  <si>
    <t>R05999</t>
  </si>
  <si>
    <t>R06000</t>
  </si>
  <si>
    <t>R06001</t>
  </si>
  <si>
    <t>R06002</t>
  </si>
  <si>
    <t>R06003</t>
  </si>
  <si>
    <t>R06004</t>
  </si>
  <si>
    <t>R06005</t>
  </si>
  <si>
    <t>R06006</t>
  </si>
  <si>
    <t>R06007</t>
  </si>
  <si>
    <t>R06008</t>
  </si>
  <si>
    <t>R06009</t>
  </si>
  <si>
    <t>R06010</t>
  </si>
  <si>
    <t>R06011</t>
  </si>
  <si>
    <t>R06012</t>
  </si>
  <si>
    <t>R06013</t>
  </si>
  <si>
    <t>R06014</t>
  </si>
  <si>
    <t>R06015</t>
  </si>
  <si>
    <t>R06016</t>
  </si>
  <si>
    <t>R06017</t>
  </si>
  <si>
    <t>R06018</t>
  </si>
  <si>
    <t>R06019</t>
  </si>
  <si>
    <t>R06020</t>
  </si>
  <si>
    <t>R06021</t>
  </si>
  <si>
    <t>R06022</t>
  </si>
  <si>
    <t>R06023</t>
  </si>
  <si>
    <t>R06024</t>
  </si>
  <si>
    <t>R06025</t>
  </si>
  <si>
    <t>R06026</t>
  </si>
  <si>
    <t>R06027</t>
  </si>
  <si>
    <t>R06028</t>
  </si>
  <si>
    <t>R06029</t>
  </si>
  <si>
    <t>R06030</t>
  </si>
  <si>
    <t>R06031</t>
  </si>
  <si>
    <t>R06032</t>
  </si>
  <si>
    <t>R06033</t>
  </si>
  <si>
    <t>R06034</t>
  </si>
  <si>
    <t>R06035</t>
  </si>
  <si>
    <t>R06036</t>
  </si>
  <si>
    <t>R06037</t>
  </si>
  <si>
    <t>R06038</t>
  </si>
  <si>
    <t>R06039</t>
  </si>
  <si>
    <t>R06040</t>
  </si>
  <si>
    <t>R06041</t>
  </si>
  <si>
    <t>R06042</t>
  </si>
  <si>
    <t>R06043</t>
  </si>
  <si>
    <t>R06044</t>
  </si>
  <si>
    <t>R06045</t>
  </si>
  <si>
    <t>R06046</t>
  </si>
  <si>
    <t>R06047</t>
  </si>
  <si>
    <t>R06048</t>
  </si>
  <si>
    <t>R06049</t>
  </si>
  <si>
    <t>R06050</t>
  </si>
  <si>
    <t>R06051</t>
  </si>
  <si>
    <t>R06052</t>
  </si>
  <si>
    <t>R06053</t>
  </si>
  <si>
    <t>R06054</t>
  </si>
  <si>
    <t>R06055</t>
  </si>
  <si>
    <t>R06056</t>
  </si>
  <si>
    <t>R06057</t>
  </si>
  <si>
    <t>R06058</t>
  </si>
  <si>
    <t>R06059</t>
  </si>
  <si>
    <t>R06060</t>
  </si>
  <si>
    <t>R06061</t>
  </si>
  <si>
    <t>R06062</t>
  </si>
  <si>
    <t>R06063</t>
  </si>
  <si>
    <t>R06064</t>
  </si>
  <si>
    <t>R06065</t>
  </si>
  <si>
    <t>R06066</t>
  </si>
  <si>
    <t>R06067</t>
  </si>
  <si>
    <t>R06068</t>
  </si>
  <si>
    <t>R06069</t>
  </si>
  <si>
    <t>R06070</t>
  </si>
  <si>
    <t>R06071</t>
  </si>
  <si>
    <t>R06072</t>
  </si>
  <si>
    <t>R06073</t>
  </si>
  <si>
    <t>R06074</t>
  </si>
  <si>
    <t>R06075</t>
  </si>
  <si>
    <t>R06076</t>
  </si>
  <si>
    <t>R06077</t>
  </si>
  <si>
    <t>R06078</t>
  </si>
  <si>
    <t>R06079</t>
  </si>
  <si>
    <t>R06080</t>
  </si>
  <si>
    <t>R06081</t>
  </si>
  <si>
    <t>R06082</t>
  </si>
  <si>
    <t>R06083</t>
  </si>
  <si>
    <t>R06084</t>
  </si>
  <si>
    <t>R06085</t>
  </si>
  <si>
    <t>R06086</t>
  </si>
  <si>
    <t>R06087</t>
  </si>
  <si>
    <t>R06088</t>
  </si>
  <si>
    <t>R06089</t>
  </si>
  <si>
    <t>R06090</t>
  </si>
  <si>
    <t>R06091</t>
  </si>
  <si>
    <t>R06092</t>
  </si>
  <si>
    <t>R06093</t>
  </si>
  <si>
    <t>R06094</t>
  </si>
  <si>
    <t>R06095</t>
  </si>
  <si>
    <t>R06096</t>
  </si>
  <si>
    <t>R06097</t>
  </si>
  <si>
    <t>R06098</t>
  </si>
  <si>
    <t>R06099</t>
  </si>
  <si>
    <t>R06100</t>
  </si>
  <si>
    <t>R06101</t>
  </si>
  <si>
    <t>R06102</t>
  </si>
  <si>
    <t>R06103</t>
  </si>
  <si>
    <t>R06104</t>
  </si>
  <si>
    <t>R06105</t>
  </si>
  <si>
    <t>R06106</t>
  </si>
  <si>
    <t>R06107</t>
  </si>
  <si>
    <t>R06108</t>
  </si>
  <si>
    <t>R06109</t>
  </si>
  <si>
    <t>R06110</t>
  </si>
  <si>
    <t>R06111</t>
  </si>
  <si>
    <t>R06112</t>
  </si>
  <si>
    <t>R06113</t>
  </si>
  <si>
    <t>R06114</t>
  </si>
  <si>
    <t>R06115</t>
  </si>
  <si>
    <t>R06116</t>
  </si>
  <si>
    <t>R06117</t>
  </si>
  <si>
    <t>R06118</t>
  </si>
  <si>
    <t>R06119</t>
  </si>
  <si>
    <t>R06120</t>
  </si>
  <si>
    <t>R06121</t>
  </si>
  <si>
    <t>R06122</t>
  </si>
  <si>
    <t>R06123</t>
  </si>
  <si>
    <t>R06124</t>
  </si>
  <si>
    <t>R06125</t>
  </si>
  <si>
    <t>R06126</t>
  </si>
  <si>
    <t>R06127</t>
  </si>
  <si>
    <t>R06128</t>
  </si>
  <si>
    <t>R06129</t>
  </si>
  <si>
    <t>R06130</t>
  </si>
  <si>
    <t>R06131</t>
  </si>
  <si>
    <t>R06132</t>
  </si>
  <si>
    <t>R06133</t>
  </si>
  <si>
    <t>R06134</t>
  </si>
  <si>
    <t>R06135</t>
  </si>
  <si>
    <t>R06136</t>
  </si>
  <si>
    <t>R06137</t>
  </si>
  <si>
    <t>R06138</t>
  </si>
  <si>
    <t>R06139</t>
  </si>
  <si>
    <t>R06140</t>
  </si>
  <si>
    <t>R06141</t>
  </si>
  <si>
    <t>R06142</t>
  </si>
  <si>
    <t>R06143</t>
  </si>
  <si>
    <t>R06144</t>
  </si>
  <si>
    <t>R06145</t>
  </si>
  <si>
    <t>R06146</t>
  </si>
  <si>
    <t>R06147</t>
  </si>
  <si>
    <t>R06148</t>
  </si>
  <si>
    <t>R06149</t>
  </si>
  <si>
    <t>R06150</t>
  </si>
  <si>
    <t>R06151</t>
  </si>
  <si>
    <t>R06152</t>
  </si>
  <si>
    <t>R06153</t>
  </si>
  <si>
    <t>R06154</t>
  </si>
  <si>
    <t>R06155</t>
  </si>
  <si>
    <t>R06156</t>
  </si>
  <si>
    <t>R06157</t>
  </si>
  <si>
    <t>R06158</t>
  </si>
  <si>
    <t>R06159</t>
  </si>
  <si>
    <t>R06160</t>
  </si>
  <si>
    <t>R06161</t>
  </si>
  <si>
    <t>R06162</t>
  </si>
  <si>
    <t>R06163</t>
  </si>
  <si>
    <t>R06164</t>
  </si>
  <si>
    <t>R06165</t>
  </si>
  <si>
    <t>R06166</t>
  </si>
  <si>
    <t>R06167</t>
  </si>
  <si>
    <t>R06168</t>
  </si>
  <si>
    <t>R06169</t>
  </si>
  <si>
    <t>R06170</t>
  </si>
  <si>
    <t>R06171</t>
  </si>
  <si>
    <t>R06172</t>
  </si>
  <si>
    <t>R06173</t>
  </si>
  <si>
    <t>R06174</t>
  </si>
  <si>
    <t>R06175</t>
  </si>
  <si>
    <t>R06176</t>
  </si>
  <si>
    <t>R06177</t>
  </si>
  <si>
    <t>R06178</t>
  </si>
  <si>
    <t>R06179</t>
  </si>
  <si>
    <t>R06180</t>
  </si>
  <si>
    <t>R06181</t>
  </si>
  <si>
    <t>R06182</t>
  </si>
  <si>
    <t>R06183</t>
  </si>
  <si>
    <t>R06184</t>
  </si>
  <si>
    <t>R06185</t>
  </si>
  <si>
    <t>R06186</t>
  </si>
  <si>
    <t>R06187</t>
  </si>
  <si>
    <t>R06188</t>
  </si>
  <si>
    <t>R06189</t>
  </si>
  <si>
    <t>R06190</t>
  </si>
  <si>
    <t>R06191</t>
  </si>
  <si>
    <t>R06192</t>
  </si>
  <si>
    <t>R06193</t>
  </si>
  <si>
    <t>R06194</t>
  </si>
  <si>
    <t>R06195</t>
  </si>
  <si>
    <t>R06196</t>
  </si>
  <si>
    <t>R06197</t>
  </si>
  <si>
    <t>R06198</t>
  </si>
  <si>
    <t>R06199</t>
  </si>
  <si>
    <t>R06200</t>
  </si>
  <si>
    <t>R06201</t>
  </si>
  <si>
    <t>R06202</t>
  </si>
  <si>
    <t>R06203</t>
  </si>
  <si>
    <t>R06204</t>
  </si>
  <si>
    <t>R06205</t>
  </si>
  <si>
    <t>R06206</t>
  </si>
  <si>
    <t>R06207</t>
  </si>
  <si>
    <t>R06208</t>
  </si>
  <si>
    <t>R06209</t>
  </si>
  <si>
    <t>R06210</t>
  </si>
  <si>
    <t>R06211</t>
  </si>
  <si>
    <t>R06212</t>
  </si>
  <si>
    <t>R06213</t>
  </si>
  <si>
    <t>R06214</t>
  </si>
  <si>
    <t>R06215</t>
  </si>
  <si>
    <t>R06216</t>
  </si>
  <si>
    <t>R06217</t>
  </si>
  <si>
    <t>R06218</t>
  </si>
  <si>
    <t>R06219</t>
  </si>
  <si>
    <t>R06220</t>
  </si>
  <si>
    <t>R06221</t>
  </si>
  <si>
    <t>R06222</t>
  </si>
  <si>
    <t>R06223</t>
  </si>
  <si>
    <t>R06224</t>
  </si>
  <si>
    <t>R06225</t>
  </si>
  <si>
    <t>R06226</t>
  </si>
  <si>
    <t>R06227</t>
  </si>
  <si>
    <t>R06228</t>
  </si>
  <si>
    <t>R06229</t>
  </si>
  <si>
    <t>R06230</t>
  </si>
  <si>
    <t>R06231</t>
  </si>
  <si>
    <t>R06232</t>
  </si>
  <si>
    <t>R06233</t>
  </si>
  <si>
    <t>LEG-018</t>
  </si>
  <si>
    <t>R06234</t>
  </si>
  <si>
    <t>R06235</t>
  </si>
  <si>
    <t>R06236</t>
  </si>
  <si>
    <t>R06237</t>
  </si>
  <si>
    <t>R06238</t>
  </si>
  <si>
    <t>R06239</t>
  </si>
  <si>
    <t>R06240</t>
  </si>
  <si>
    <t>R06241</t>
  </si>
  <si>
    <t>R06242</t>
  </si>
  <si>
    <t>R06243</t>
  </si>
  <si>
    <t>R06244</t>
  </si>
  <si>
    <t>R06245</t>
  </si>
  <si>
    <t>R06246</t>
  </si>
  <si>
    <t>R06247</t>
  </si>
  <si>
    <t>R06248</t>
  </si>
  <si>
    <t>R06249</t>
  </si>
  <si>
    <t>R06250</t>
  </si>
  <si>
    <t>R06251</t>
  </si>
  <si>
    <t>R06252</t>
  </si>
  <si>
    <t>R06253</t>
  </si>
  <si>
    <t>R06254</t>
  </si>
  <si>
    <t>R06255</t>
  </si>
  <si>
    <t>R06256</t>
  </si>
  <si>
    <t>R06257</t>
  </si>
  <si>
    <t>R06258</t>
  </si>
  <si>
    <t>R06259</t>
  </si>
  <si>
    <t>R06260</t>
  </si>
  <si>
    <t>R06261</t>
  </si>
  <si>
    <t>R06262</t>
  </si>
  <si>
    <t>R06263</t>
  </si>
  <si>
    <t>R06264</t>
  </si>
  <si>
    <t>R06265</t>
  </si>
  <si>
    <t>R06266</t>
  </si>
  <si>
    <t>R06267</t>
  </si>
  <si>
    <t>R06268</t>
  </si>
  <si>
    <t>R06269</t>
  </si>
  <si>
    <t>R06270</t>
  </si>
  <si>
    <t>R06271</t>
  </si>
  <si>
    <t>R06272</t>
  </si>
  <si>
    <t>R06273</t>
  </si>
  <si>
    <t>R06274</t>
  </si>
  <si>
    <t>R06275</t>
  </si>
  <si>
    <t>R06276</t>
  </si>
  <si>
    <t>R06277</t>
  </si>
  <si>
    <t>R06278</t>
  </si>
  <si>
    <t>R06279</t>
  </si>
  <si>
    <t>R06280</t>
  </si>
  <si>
    <t>R06281</t>
  </si>
  <si>
    <t>R06282</t>
  </si>
  <si>
    <t>R06283</t>
  </si>
  <si>
    <t>R06284</t>
  </si>
  <si>
    <t>R06285</t>
  </si>
  <si>
    <t>R06286</t>
  </si>
  <si>
    <t>R06287</t>
  </si>
  <si>
    <t>R06288</t>
  </si>
  <si>
    <t>R06289</t>
  </si>
  <si>
    <t>R06290</t>
  </si>
  <si>
    <t>R06291</t>
  </si>
  <si>
    <t>R06292</t>
  </si>
  <si>
    <t>R06293</t>
  </si>
  <si>
    <t>R06294</t>
  </si>
  <si>
    <t>R06295</t>
  </si>
  <si>
    <t>R06296</t>
  </si>
  <si>
    <t>R06297</t>
  </si>
  <si>
    <t>R06298</t>
  </si>
  <si>
    <t>R06299</t>
  </si>
  <si>
    <t>R06300</t>
  </si>
  <si>
    <t>R06301</t>
  </si>
  <si>
    <t>R06302</t>
  </si>
  <si>
    <t>R06303</t>
  </si>
  <si>
    <t>R06304</t>
  </si>
  <si>
    <t>R06305</t>
  </si>
  <si>
    <t>R06306</t>
  </si>
  <si>
    <t>R06307</t>
  </si>
  <si>
    <t>R06308</t>
  </si>
  <si>
    <t>R06309</t>
  </si>
  <si>
    <t>R06310</t>
  </si>
  <si>
    <t>R06311</t>
  </si>
  <si>
    <t>R06312</t>
  </si>
  <si>
    <t>R06313</t>
  </si>
  <si>
    <t>R06314</t>
  </si>
  <si>
    <t>R06315</t>
  </si>
  <si>
    <t>R06316</t>
  </si>
  <si>
    <t>R06317</t>
  </si>
  <si>
    <t>R06318</t>
  </si>
  <si>
    <t>R06319</t>
  </si>
  <si>
    <t>R06320</t>
  </si>
  <si>
    <t>R06321</t>
  </si>
  <si>
    <t>R06322</t>
  </si>
  <si>
    <t>R06323</t>
  </si>
  <si>
    <t>R06324</t>
  </si>
  <si>
    <t>R06325</t>
  </si>
  <si>
    <t>R06326</t>
  </si>
  <si>
    <t>R06327</t>
  </si>
  <si>
    <t>R06328</t>
  </si>
  <si>
    <t>R06329</t>
  </si>
  <si>
    <t>R06330</t>
  </si>
  <si>
    <t>R06331</t>
  </si>
  <si>
    <t>R06332</t>
  </si>
  <si>
    <t>R06333</t>
  </si>
  <si>
    <t>R06334</t>
  </si>
  <si>
    <t>R06335</t>
  </si>
  <si>
    <t>R06336</t>
  </si>
  <si>
    <t>R06337</t>
  </si>
  <si>
    <t>R06338</t>
  </si>
  <si>
    <t>R06339</t>
  </si>
  <si>
    <t>R06340</t>
  </si>
  <si>
    <t>R06341</t>
  </si>
  <si>
    <t>R06342</t>
  </si>
  <si>
    <t>R06343</t>
  </si>
  <si>
    <t>R06344</t>
  </si>
  <si>
    <t>R06345</t>
  </si>
  <si>
    <t>R06346</t>
  </si>
  <si>
    <t>R06347</t>
  </si>
  <si>
    <t>R06348</t>
  </si>
  <si>
    <t>R06349</t>
  </si>
  <si>
    <t>R06350</t>
  </si>
  <si>
    <t>R06351</t>
  </si>
  <si>
    <t>R06352</t>
  </si>
  <si>
    <t>R06353</t>
  </si>
  <si>
    <t>R06354</t>
  </si>
  <si>
    <t>R06355</t>
  </si>
  <si>
    <t>R06356</t>
  </si>
  <si>
    <t>R06357</t>
  </si>
  <si>
    <t>R06358</t>
  </si>
  <si>
    <t>R06359</t>
  </si>
  <si>
    <t>R06360</t>
  </si>
  <si>
    <t>R06361</t>
  </si>
  <si>
    <t>R06362</t>
  </si>
  <si>
    <t>R06363</t>
  </si>
  <si>
    <t>R06364</t>
  </si>
  <si>
    <t>R06365</t>
  </si>
  <si>
    <t>R06366</t>
  </si>
  <si>
    <t>R06367</t>
  </si>
  <si>
    <t>R06368</t>
  </si>
  <si>
    <t>R06369</t>
  </si>
  <si>
    <t>R06370</t>
  </si>
  <si>
    <t>R06371</t>
  </si>
  <si>
    <t>R06372</t>
  </si>
  <si>
    <t>R06373</t>
  </si>
  <si>
    <t>R06374</t>
  </si>
  <si>
    <t>R06375</t>
  </si>
  <si>
    <t>R06376</t>
  </si>
  <si>
    <t>R06377</t>
  </si>
  <si>
    <t>R06378</t>
  </si>
  <si>
    <t>R06379</t>
  </si>
  <si>
    <t>R06380</t>
  </si>
  <si>
    <t>R06381</t>
  </si>
  <si>
    <t>R06382</t>
  </si>
  <si>
    <t>R06383</t>
  </si>
  <si>
    <t>R06384</t>
  </si>
  <si>
    <t>R06385</t>
  </si>
  <si>
    <t>R06386</t>
  </si>
  <si>
    <t>R06387</t>
  </si>
  <si>
    <t>R06388</t>
  </si>
  <si>
    <t>R06389</t>
  </si>
  <si>
    <t>R06390</t>
  </si>
  <si>
    <t>R06391</t>
  </si>
  <si>
    <t>R06392</t>
  </si>
  <si>
    <t>R06393</t>
  </si>
  <si>
    <t>R06394</t>
  </si>
  <si>
    <t>R06395</t>
  </si>
  <si>
    <t>R06396</t>
  </si>
  <si>
    <t>R06397</t>
  </si>
  <si>
    <t>R06398</t>
  </si>
  <si>
    <t>R06399</t>
  </si>
  <si>
    <t>R06400</t>
  </si>
  <si>
    <t>R06401</t>
  </si>
  <si>
    <t>R06402</t>
  </si>
  <si>
    <t>R06403</t>
  </si>
  <si>
    <t>R06404</t>
  </si>
  <si>
    <t>R06405</t>
  </si>
  <si>
    <t>R06406</t>
  </si>
  <si>
    <t>R06407</t>
  </si>
  <si>
    <t>R06408</t>
  </si>
  <si>
    <t>R06409</t>
  </si>
  <si>
    <t>R06410</t>
  </si>
  <si>
    <t>R06411</t>
  </si>
  <si>
    <t>R06412</t>
  </si>
  <si>
    <t>R06413</t>
  </si>
  <si>
    <t>R06414</t>
  </si>
  <si>
    <t>R06415</t>
  </si>
  <si>
    <t>R06416</t>
  </si>
  <si>
    <t>R06417</t>
  </si>
  <si>
    <t>R06418</t>
  </si>
  <si>
    <t>R06419</t>
  </si>
  <si>
    <t>R06420</t>
  </si>
  <si>
    <t>R06421</t>
  </si>
  <si>
    <t>R06422</t>
  </si>
  <si>
    <t>R06423</t>
  </si>
  <si>
    <t>R06424</t>
  </si>
  <si>
    <t>R06425</t>
  </si>
  <si>
    <t>R06426</t>
  </si>
  <si>
    <t>R06427</t>
  </si>
  <si>
    <t>R06428</t>
  </si>
  <si>
    <t>R06429</t>
  </si>
  <si>
    <t>R06430</t>
  </si>
  <si>
    <t>R06431</t>
  </si>
  <si>
    <t>R06432</t>
  </si>
  <si>
    <t>R06433</t>
  </si>
  <si>
    <t>R06434</t>
  </si>
  <si>
    <t>R06435</t>
  </si>
  <si>
    <t>R06436</t>
  </si>
  <si>
    <t>R06437</t>
  </si>
  <si>
    <t>R06438</t>
  </si>
  <si>
    <t>R06439</t>
  </si>
  <si>
    <t>R06440</t>
  </si>
  <si>
    <t>R06441</t>
  </si>
  <si>
    <t>R06442</t>
  </si>
  <si>
    <t>R06443</t>
  </si>
  <si>
    <t>R06444</t>
  </si>
  <si>
    <t>R06445</t>
  </si>
  <si>
    <t>R06446</t>
  </si>
  <si>
    <t>R06447</t>
  </si>
  <si>
    <t>R06448</t>
  </si>
  <si>
    <t>R06449</t>
  </si>
  <si>
    <t>R06450</t>
  </si>
  <si>
    <t>R06451</t>
  </si>
  <si>
    <t>R06452</t>
  </si>
  <si>
    <t>R06453</t>
  </si>
  <si>
    <t>R06454</t>
  </si>
  <si>
    <t>R06455</t>
  </si>
  <si>
    <t>R06456</t>
  </si>
  <si>
    <t>R06457</t>
  </si>
  <si>
    <t>R06458</t>
  </si>
  <si>
    <t>R06459</t>
  </si>
  <si>
    <t>R06460</t>
  </si>
  <si>
    <t>R06461</t>
  </si>
  <si>
    <t>R06462</t>
  </si>
  <si>
    <t>R06463</t>
  </si>
  <si>
    <t>R06464</t>
  </si>
  <si>
    <t>R06465</t>
  </si>
  <si>
    <t>R06466</t>
  </si>
  <si>
    <t>R06467</t>
  </si>
  <si>
    <t>R06468</t>
  </si>
  <si>
    <t>R06469</t>
  </si>
  <si>
    <t>R06470</t>
  </si>
  <si>
    <t>R06471</t>
  </si>
  <si>
    <t>R06472</t>
  </si>
  <si>
    <t>R06473</t>
  </si>
  <si>
    <t>R06474</t>
  </si>
  <si>
    <t>R06475</t>
  </si>
  <si>
    <t>R06476</t>
  </si>
  <si>
    <t>R06477</t>
  </si>
  <si>
    <t>R06478</t>
  </si>
  <si>
    <t>R06479</t>
  </si>
  <si>
    <t>R06480</t>
  </si>
  <si>
    <t>R06481</t>
  </si>
  <si>
    <t>R06482</t>
  </si>
  <si>
    <t>R06483</t>
  </si>
  <si>
    <t>R06484</t>
  </si>
  <si>
    <t>R06485</t>
  </si>
  <si>
    <t>R06486</t>
  </si>
  <si>
    <t>R06487</t>
  </si>
  <si>
    <t>R06488</t>
  </si>
  <si>
    <t>R06489</t>
  </si>
  <si>
    <t>R06490</t>
  </si>
  <si>
    <t>R06491</t>
  </si>
  <si>
    <t>R06492</t>
  </si>
  <si>
    <t>R06493</t>
  </si>
  <si>
    <t>R06494</t>
  </si>
  <si>
    <t>R06495</t>
  </si>
  <si>
    <t>R06496</t>
  </si>
  <si>
    <t>R06497</t>
  </si>
  <si>
    <t>R06498</t>
  </si>
  <si>
    <t>R06499</t>
  </si>
  <si>
    <t>R06500</t>
  </si>
  <si>
    <t>R06501</t>
  </si>
  <si>
    <t>R06502</t>
  </si>
  <si>
    <t>R06503</t>
  </si>
  <si>
    <t>R06504</t>
  </si>
  <si>
    <t>R06505</t>
  </si>
  <si>
    <t>R06506</t>
  </si>
  <si>
    <t>R06507</t>
  </si>
  <si>
    <t>R06508</t>
  </si>
  <si>
    <t>R06509</t>
  </si>
  <si>
    <t>R06510</t>
  </si>
  <si>
    <t>R06511</t>
  </si>
  <si>
    <t>R06512</t>
  </si>
  <si>
    <t>R06513</t>
  </si>
  <si>
    <t>R06514</t>
  </si>
  <si>
    <t>R06515</t>
  </si>
  <si>
    <t>R06516</t>
  </si>
  <si>
    <t>R06517</t>
  </si>
  <si>
    <t>R06518</t>
  </si>
  <si>
    <t>R06519</t>
  </si>
  <si>
    <t>R06520</t>
  </si>
  <si>
    <t>R06521</t>
  </si>
  <si>
    <t>R06522</t>
  </si>
  <si>
    <t>R06523</t>
  </si>
  <si>
    <t>R06524</t>
  </si>
  <si>
    <t>R06525</t>
  </si>
  <si>
    <t>R06526</t>
  </si>
  <si>
    <t>R06527</t>
  </si>
  <si>
    <t>R06528</t>
  </si>
  <si>
    <t>R06529</t>
  </si>
  <si>
    <t>R06530</t>
  </si>
  <si>
    <t>R06531</t>
  </si>
  <si>
    <t>R06532</t>
  </si>
  <si>
    <t>R06533</t>
  </si>
  <si>
    <t>R06534</t>
  </si>
  <si>
    <t>R06535</t>
  </si>
  <si>
    <t>R06536</t>
  </si>
  <si>
    <t>R06537</t>
  </si>
  <si>
    <t>R06538</t>
  </si>
  <si>
    <t>R06539</t>
  </si>
  <si>
    <t>R06540</t>
  </si>
  <si>
    <t>R06541</t>
  </si>
  <si>
    <t>R06542</t>
  </si>
  <si>
    <t>R06543</t>
  </si>
  <si>
    <t>R06544</t>
  </si>
  <si>
    <t>R06545</t>
  </si>
  <si>
    <t>R06546</t>
  </si>
  <si>
    <t>R06547</t>
  </si>
  <si>
    <t>R06548</t>
  </si>
  <si>
    <t>R06549</t>
  </si>
  <si>
    <t>R06550</t>
  </si>
  <si>
    <t>R06551</t>
  </si>
  <si>
    <t>R06552</t>
  </si>
  <si>
    <t>R06553</t>
  </si>
  <si>
    <t>R06554</t>
  </si>
  <si>
    <t>R06555</t>
  </si>
  <si>
    <t>R06556</t>
  </si>
  <si>
    <t>R06557</t>
  </si>
  <si>
    <t>R06558</t>
  </si>
  <si>
    <t>R06559</t>
  </si>
  <si>
    <t>R06560</t>
  </si>
  <si>
    <t>R06561</t>
  </si>
  <si>
    <t>R06562</t>
  </si>
  <si>
    <t>R06563</t>
  </si>
  <si>
    <t>R06564</t>
  </si>
  <si>
    <t>R06565</t>
  </si>
  <si>
    <t>R06566</t>
  </si>
  <si>
    <t>R06567</t>
  </si>
  <si>
    <t>R06568</t>
  </si>
  <si>
    <t>R06569</t>
  </si>
  <si>
    <t>R06570</t>
  </si>
  <si>
    <t>option_id</t>
  </si>
  <si>
    <t>option_name</t>
  </si>
  <si>
    <t>billing_unit</t>
  </si>
  <si>
    <t>setup_usd</t>
  </si>
  <si>
    <t>annual_usd</t>
  </si>
  <si>
    <t>lead_months</t>
  </si>
  <si>
    <t>install_person_hours</t>
  </si>
  <si>
    <t>applicable_types</t>
  </si>
  <si>
    <t>prerequisite</t>
  </si>
  <si>
    <t>benefit_rule</t>
  </si>
  <si>
    <t>eligible_causes</t>
  </si>
  <si>
    <t>detect_low</t>
  </si>
  <si>
    <t>detect_base</t>
  </si>
  <si>
    <t>detect_high</t>
  </si>
  <si>
    <t>dispatch_low</t>
  </si>
  <si>
    <t>dispatch_base</t>
  </si>
  <si>
    <t>dispatch_high</t>
  </si>
  <si>
    <t>parts_wait_low</t>
  </si>
  <si>
    <t>parts_wait_base</t>
  </si>
  <si>
    <t>parts_wait_high</t>
  </si>
  <si>
    <t>repair_low</t>
  </si>
  <si>
    <t>repair_base</t>
  </si>
  <si>
    <t>repair_high</t>
  </si>
  <si>
    <t>restart_low</t>
  </si>
  <si>
    <t>restart_base</t>
  </si>
  <si>
    <t>restart_high</t>
  </si>
  <si>
    <t>O1</t>
  </si>
  <si>
    <t>Condition monitoring</t>
  </si>
  <si>
    <t>Asset</t>
  </si>
  <si>
    <t>All</t>
  </si>
  <si>
    <t>O2 platform; site cleanup; edge buffering if network uptime below 97%</t>
  </si>
  <si>
    <t>Only mechanical causes; detection and repair stages</t>
  </si>
  <si>
    <t>Bearing wear; Seal leak</t>
  </si>
  <si>
    <t>O2</t>
  </si>
  <si>
    <t>Data integration and alert platform</t>
  </si>
  <si>
    <t>Organization</t>
  </si>
  <si>
    <t>Required for O1; does not reduce downtime by itself</t>
  </si>
  <si>
    <t>No standalone downtime reduction</t>
  </si>
  <si>
    <t>None</t>
  </si>
  <si>
    <t>O3</t>
  </si>
  <si>
    <t>Work order workflow</t>
  </si>
  <si>
    <t>Site cleanup and technician training</t>
  </si>
  <si>
    <t>Detection and dispatch stages; all unplanned causes</t>
  </si>
  <si>
    <t>All unplanned</t>
  </si>
  <si>
    <t>O4</t>
  </si>
  <si>
    <t>Critical spare parts program</t>
  </si>
  <si>
    <t>Inventory audit included; annual replenishment included</t>
  </si>
  <si>
    <t>Parts waiting stage; all unplanned causes</t>
  </si>
  <si>
    <t>O5</t>
  </si>
  <si>
    <t>Mechanical refurbishment</t>
  </si>
  <si>
    <t>Transfer pump; Lift pump</t>
  </si>
  <si>
    <t>Six extra planned outage hours per treated asset in year one</t>
  </si>
  <si>
    <t>Bearing and seal repair stages only</t>
  </si>
  <si>
    <t>O6</t>
  </si>
  <si>
    <t>Digital training</t>
  </si>
  <si>
    <t>Technician hours = technicians times training_hours_per_person</t>
  </si>
  <si>
    <t>Required for O1 or O3; no standalone modeled reduction</t>
  </si>
  <si>
    <t>hse_id</t>
  </si>
  <si>
    <t>hazard</t>
  </si>
  <si>
    <t>outcome</t>
  </si>
  <si>
    <t>potential_severity</t>
  </si>
  <si>
    <t>likelihood_band</t>
  </si>
  <si>
    <t>control_gap</t>
  </si>
  <si>
    <t>action_owner</t>
  </si>
  <si>
    <t>due_date</t>
  </si>
  <si>
    <t>closed_date</t>
  </si>
  <si>
    <t>action_status</t>
  </si>
  <si>
    <t>action_setup_usd</t>
  </si>
  <si>
    <t>action_annual_usd</t>
  </si>
  <si>
    <t>action_person_hours</t>
  </si>
  <si>
    <t>spilled_oil_bbl</t>
  </si>
  <si>
    <t>recovered_spill_bbl</t>
  </si>
  <si>
    <t>status_as_of</t>
  </si>
  <si>
    <t>H001</t>
  </si>
  <si>
    <t>H2S monitoring</t>
  </si>
  <si>
    <t>Control observation</t>
  </si>
  <si>
    <t>Gas monitoring readiness review</t>
  </si>
  <si>
    <t>Site HSE supervisor</t>
  </si>
  <si>
    <t>Closed</t>
  </si>
  <si>
    <t>H002</t>
  </si>
  <si>
    <t>Energy isolation / LOTO</t>
  </si>
  <si>
    <t>Near miss</t>
  </si>
  <si>
    <t>Verify isolation and stored-energy controls</t>
  </si>
  <si>
    <t>H003</t>
  </si>
  <si>
    <t>Pressurized line / line of fire</t>
  </si>
  <si>
    <t>Pressure isolation and exclusion-zone review</t>
  </si>
  <si>
    <t>H004</t>
  </si>
  <si>
    <t>Tank vapor exposure</t>
  </si>
  <si>
    <t>Review closed gauging and exposure controls</t>
  </si>
  <si>
    <t>H005</t>
  </si>
  <si>
    <t>Hydrocarbon containment</t>
  </si>
  <si>
    <t>Contained spill</t>
  </si>
  <si>
    <t>Inspect and repair secondary containment</t>
  </si>
  <si>
    <t>Open</t>
  </si>
  <si>
    <t>H006</t>
  </si>
  <si>
    <t>Lifting / dropped objects</t>
  </si>
  <si>
    <t>Lift-plan and exclusion-zone review</t>
  </si>
  <si>
    <t>H007</t>
  </si>
  <si>
    <t>H008</t>
  </si>
  <si>
    <t>H009</t>
  </si>
  <si>
    <t>H010</t>
  </si>
  <si>
    <t>H011</t>
  </si>
  <si>
    <t>H012</t>
  </si>
  <si>
    <t>H013</t>
  </si>
  <si>
    <t>H014</t>
  </si>
  <si>
    <t>H015</t>
  </si>
  <si>
    <t>H016</t>
  </si>
  <si>
    <t>H017</t>
  </si>
  <si>
    <t>H018</t>
  </si>
  <si>
    <t>H019</t>
  </si>
  <si>
    <t>H020</t>
  </si>
  <si>
    <t>H021</t>
  </si>
  <si>
    <t>H022</t>
  </si>
  <si>
    <t>H023</t>
  </si>
  <si>
    <t>H024</t>
  </si>
  <si>
    <t>H025</t>
  </si>
  <si>
    <t>H026</t>
  </si>
  <si>
    <t>H027</t>
  </si>
  <si>
    <t>H028</t>
  </si>
  <si>
    <t>H029</t>
  </si>
  <si>
    <t>H030</t>
  </si>
  <si>
    <t>H031</t>
  </si>
  <si>
    <t>H032</t>
  </si>
  <si>
    <t>H033</t>
  </si>
  <si>
    <t>H034</t>
  </si>
  <si>
    <t>H035</t>
  </si>
  <si>
    <t>H036</t>
  </si>
  <si>
    <t>Topic</t>
  </si>
  <si>
    <t>Instructions</t>
  </si>
  <si>
    <t>Release</t>
  </si>
  <si>
    <t>Revision 5 / October 21, 2026. Simplified challenge: one practical recommendation and a required functional prototype. Six data tabs plus ReadMe and Dictionary; exports remain intentionally dirty.</t>
  </si>
  <si>
    <t>Scope</t>
  </si>
  <si>
    <t>Fictional Lone Mesa Energy. 2025 full year; 6 sites; 18 independent affected oil streams. No gas sales modeled.</t>
  </si>
  <si>
    <t>Start here</t>
  </si>
  <si>
    <t>Identify one priority problem, clean the relevant data, recommend one improvement and demonstrate it in a working prototype. Sites are included in Assets; maintenance orders in Events; mapped IDs in Readings; intervention costs and effects in Solutions.</t>
  </si>
  <si>
    <t>Keys</t>
  </si>
  <si>
    <t>Assets: asset_id. Events: event_id. Production: asset_id + month. Readings: reading_id. Solutions: option_id. HSE: hse_id. Normalize IDs and remove verified export copies first.</t>
  </si>
  <si>
    <t>Join warning</t>
  </si>
  <si>
    <t>Aggregate each fact table before joining on asset_id. HSE.event_id links to one outage; multiple HSE observations could link to the same event in future. Do not sum event losses after a many-to-many join.</t>
  </si>
  <si>
    <t>Site resources</t>
  </si>
  <si>
    <t>Site fields repeat on three Assets rows. Read staffing, site costs and available project hours once per site. Use these estimates to explain resources and training; identify any additional help and its assumed cost.</t>
  </si>
  <si>
    <t>Cost estimates</t>
  </si>
  <si>
    <t>Estimate upfront and annual costs for one recommendation, including prerequisites, training and open HSE actions in scope. There is no fixed spending cap or mandatory contingency percentage.</t>
  </si>
  <si>
    <t>Expected benefit</t>
  </si>
  <si>
    <t>Estimate annual unplanned downtime hours your recommendation could avoid and explain the assumptions. No fixed reduction target, multiple-plan comparison, ROI, payback or multiple financial scenarios are required.</t>
  </si>
  <si>
    <t>potential=calendar_hours*capacity; gross deferred=sum(all event lost_oil_bbl); recovered=round(sum(lost_oil_bbl*recoverable_fraction),2); produced=potential-gross+recovered per asset-month.</t>
  </si>
  <si>
    <t>Contribution</t>
  </si>
  <si>
    <t>Event loss=lost_oil_bbl*(1-recoverable_fraction)*(matching asset-month price-variable_cost). Do not add monthly production shortfall again.</t>
  </si>
  <si>
    <t>Maintenance</t>
  </si>
  <si>
    <t>Known cost=labor_hours*labor_rate+parts_usd+contractor_usd. Pending parts invoices stay unknown, not zero. Historical maintenance is not automatically avoided by intervention.</t>
  </si>
  <si>
    <t>Choose one improvement</t>
  </si>
  <si>
    <t>Select one primary improvement and include any required supporting options. Use its eligible causes and base stage-reduction fractions to estimate annual avoided hours; low/high fractions are optional reference values.</t>
  </si>
  <si>
    <t>Overlap and safety</t>
  </si>
  <si>
    <t>remaining repair=protected_repair_hours+(repair_hours-protected_repair_hours)*product(1-reductions). Other stages: original*product(1-reductions). Protected time is already inside repair, never additional downtime. No proposed reduction can remove required safety controls.</t>
  </si>
  <si>
    <t>Dependencies</t>
  </si>
  <si>
    <t>O1: O2 once/org; O6 + cleanup/site; edge below 97% network uptime. O3: O6 + cleanup/site. O5 pumps only, +6 planned outage hours per treated asset in year one. Pay shared prerequisites once.</t>
  </si>
  <si>
    <t>Implementation and training</t>
  </si>
  <si>
    <t>Use lead_months for a practical twelve-month roadmap. Annual avoided hours describe full implementation; explain that first-year results may be lower. Training effort = technicians × training_hours_per_person, once per site.</t>
  </si>
  <si>
    <t>Raw quality</t>
  </si>
  <si>
    <t>Some IDs contain whitespace/lowercase, capacities include units, temperatures have explicit F suffix, and derived values are missing. Recover durations from five stages; potential from capacity*calendar hours. Retain raw copy and cleaning log.</t>
  </si>
  <si>
    <t>Sensor limitations</t>
  </si>
  <si>
    <t>Missing readings, suspect flags, delayed ingestion and legacy raw tags remain. Provided asset_id is a mapping aid, not a measured value. Missing original measurements cannot be restored. Split evaluation chronologically and use only received data.</t>
  </si>
  <si>
    <t>HSE grain</t>
  </si>
  <si>
    <t>One linked observation and corrective action per row. Snapshot 2026-10-01; historical event association is context, not proof that the HSE issue caused downtime. No complete exposure or injury census is supplied.</t>
  </si>
  <si>
    <t>HSE decision gate</t>
  </si>
  <si>
    <t>Open actions with potential_severity=5 block the affected site pilot until the site HSE supervisor verifies closure. Include relevant scoped HSE actions, costs and hours; recommendations cannot bypass safety controls.</t>
  </si>
  <si>
    <t>HSE measures</t>
  </si>
  <si>
    <t>Use overdue critical action count, verified closure, repeated hazard observations, and spilled minus recovered volume. Severity and likelihood are ordinal scenario bands (1 low, 5 high), not probabilities or legal thresholds. No exposure denominator: do not report injury rates or claim incident prevention from these records.</t>
  </si>
  <si>
    <t>HSE costs and time</t>
  </si>
  <si>
    <t>Action costs and person-hours are incremental scenario estimates for open actions only. Add project hours to site workload; proposed HSE benefits are unquantified. Spill cleanup amounts are contained volumes separate from modeled production loss. Do not subtract them again.</t>
  </si>
  <si>
    <t>HSE scope</t>
  </si>
  <si>
    <t>H2S/gas monitoring, energy isolation, pressure release, tank vapors, containment and lifting. Detailed procedures and engineered alarm thresholds must be defined by qualified site staff; the dataset is not an operating instruction.</t>
  </si>
  <si>
    <t>Safety guidance / OSHA</t>
  </si>
  <si>
    <t>https://www.osha.gov/oil-and-gas-extraction/hazards ; https://www.osha.gov/oil-and-gas-extraction/health-hazards (accessed 2026-10-19).</t>
  </si>
  <si>
    <t>Safety guidance / NIOSH</t>
  </si>
  <si>
    <t>https://www.cdc.gov/niosh/docs/2016-108/ (tank gauging and sampling hazards; accessed 2026-10-19).</t>
  </si>
  <si>
    <t>Required prototype</t>
  </si>
  <si>
    <t>Submit and demonstrate a functional interactive spreadsheet, dashboard or application using the supplied data. Include useful outputs, employee review, HSE hold/authorization and a workflow or architecture visual. Static mockups alone are insufficient. AI is optional.</t>
  </si>
  <si>
    <t>Table</t>
  </si>
  <si>
    <t>Field</t>
  </si>
  <si>
    <t>Meaning</t>
  </si>
  <si>
    <t>Units</t>
  </si>
  <si>
    <t>Calculation or source</t>
  </si>
  <si>
    <t>Limitations</t>
  </si>
  <si>
    <t>Assets</t>
  </si>
  <si>
    <t>Primary key.</t>
  </si>
  <si>
    <t>identifier</t>
  </si>
  <si>
    <t>Assigned key or mapping in the fictional source system.</t>
  </si>
  <si>
    <t>Join using the stated key and grain; TagMap resolves source aliases.</t>
  </si>
  <si>
    <t>Site identifier shared by the site's assets; not unique in Assets.</t>
  </si>
  <si>
    <t>Provided scenario planning assumption.</t>
  </si>
  <si>
    <t>Use stated cost unit, capacity or dependency; do not infer market pricing.</t>
  </si>
  <si>
    <t>One independent production stream per asset; volumes do not overlap across assets.</t>
  </si>
  <si>
    <t>text/category</t>
  </si>
  <si>
    <t>Synthetic scenario input or fictional system record; see field meaning.</t>
  </si>
  <si>
    <t>Not a real ConocoPhillips measurement or vendor commitment.</t>
  </si>
  <si>
    <t>Age at 2025 year end.</t>
  </si>
  <si>
    <t>years</t>
  </si>
  <si>
    <t>Assumed capacity of the independent oil stream affected by this asset.</t>
  </si>
  <si>
    <t>bbl/hour</t>
  </si>
  <si>
    <t>Scenario input held constant throughout 2025; not derived from produced_oil_bbl.</t>
  </si>
  <si>
    <t>Actual monthly average is lower after unrecovered outage losses. Raw exports may need normalization; see ReadMe for units, categories and derived-value recovery.</t>
  </si>
  <si>
    <t>Operational priority, not an automatic financial ranking.</t>
  </si>
  <si>
    <t>Reference normal vibration.</t>
  </si>
  <si>
    <t>mm/s</t>
  </si>
  <si>
    <t>Reference normal temperature.</t>
  </si>
  <si>
    <t>degrees C</t>
  </si>
  <si>
    <t>Indicative complete replacement cost; no assigned effectiveness, teams must justify it.</t>
  </si>
  <si>
    <t>USD</t>
  </si>
  <si>
    <t>Fictional site name.</t>
  </si>
  <si>
    <t>Observed 2025 connectivity percent, not production availability.</t>
  </si>
  <si>
    <t>percent 0–100</t>
  </si>
  <si>
    <t>Existing maintenance technicians.</t>
  </si>
  <si>
    <t>count</t>
  </si>
  <si>
    <t>Percent of requested critical parts available locally.</t>
  </si>
  <si>
    <t>Required one-time digital training per technician.</t>
  </si>
  <si>
    <t>hours/person</t>
  </si>
  <si>
    <t>One-time site cost for offline buffering; required for monitoring below 97% network uptime.</t>
  </si>
  <si>
    <t>USD/site</t>
  </si>
  <si>
    <t>Recurring site cost for offline buffering.</t>
  </si>
  <si>
    <t>USD/year per site</t>
  </si>
  <si>
    <t>One-time cost to standardize asset IDs and integrate site records; required for workflow or monitoring.</t>
  </si>
  <si>
    <t>Existing technician hours available for implementation in year one. Use to explain resource needs and any additional staffing.</t>
  </si>
  <si>
    <t>person-hours in year one</t>
  </si>
  <si>
    <t>Foreign key to Events; exactly one work order per event.</t>
  </si>
  <si>
    <t>Foreign key to Assets; must agree with linked event.</t>
  </si>
  <si>
    <t>Join using the stated key and grain; TagMap resolves source aliases. Raw exports may need normalization; see ReadMe for units, categories and derived-value recovery.</t>
  </si>
  <si>
    <t>Outage start; UTC ISO timestamp.</t>
  </si>
  <si>
    <t>UTC timestamp</t>
  </si>
  <si>
    <t>Not a real ConocoPhillips measurement or vendor commitment. Raw exports may need normalization; see ReadMe for units, categories and derived-value recovery.</t>
  </si>
  <si>
    <t>Outage end; UTC ISO timestamp.</t>
  </si>
  <si>
    <t>Unplanned failure or Planned service. Estimate improvement benefits on Unplanned events; reconcile production using both types.</t>
  </si>
  <si>
    <t>Confirmed post-event cause; Unknown means investigation inconclusive. Never use future causes as a live predictor.</t>
  </si>
  <si>
    <t>Stopped time until detection.</t>
  </si>
  <si>
    <t>hours</t>
  </si>
  <si>
    <t>Stopped time from detection to technician arrival.</t>
  </si>
  <si>
    <t>Additional stopped time waiting for parts.</t>
  </si>
  <si>
    <t>Stopped time spent repairing or servicing.</t>
  </si>
  <si>
    <t>Stopped time spent restoring operations.</t>
  </si>
  <si>
    <t>Elapsed outage duration across five sequential stages.</t>
  </si>
  <si>
    <t>detect_hours + dispatch_hours + parts_wait_hours + repair_hours + restart_hours; equals (end_utc − start_utc) in hours.</t>
  </si>
  <si>
    <t>Asset-hours add across independent streams, not site clock-hours. Raw exports may need normalization; see ReadMe for units, categories and derived-value recovery.</t>
  </si>
  <si>
    <t>Gross volume deferred during this outage.</t>
  </si>
  <si>
    <t>bbl</t>
  </si>
  <si>
    <t>stopped_hours × asset modeled_capacity_bbl_hr; rounded to 2 decimals.</t>
  </si>
  <si>
    <t>Gross deferred volume before recovery; use unrecovered share for contribution loss.</t>
  </si>
  <si>
    <t>Assumed fraction of deferred volume later recovered.</t>
  </si>
  <si>
    <t>fraction 0–1</t>
  </si>
  <si>
    <t>Scenario assumption by event; Planned events use 0.25.</t>
  </si>
  <si>
    <t>Do not apply to downtime reduction target.</t>
  </si>
  <si>
    <t>Work-order creation after outage detection.</t>
  </si>
  <si>
    <t>Events.start_utc + Events.detect_hours.</t>
  </si>
  <si>
    <t>For Planned service detect_hours is zero.</t>
  </si>
  <si>
    <t>Work-order closure time.</t>
  </si>
  <si>
    <t>Equal to Events.end_utc for the linked event.</t>
  </si>
  <si>
    <t>Case simplification; not proof of actual maintenance-system latency.</t>
  </si>
  <si>
    <t>Corrective or Preventive.</t>
  </si>
  <si>
    <t>Paid internal person-hours on the linked event.</t>
  </si>
  <si>
    <t>person-hours</t>
  </si>
  <si>
    <t>repair_hours × crew size of 1 or 2 in the synthetic scenario.</t>
  </si>
  <si>
    <t>Person-hours differ from elapsed outage hours. Raw exports may need normalization; see ReadMe for units, categories and derived-value recovery.</t>
  </si>
  <si>
    <t>Fully loaded baseline rate.</t>
  </si>
  <si>
    <t>USD/person-hour</t>
  </si>
  <si>
    <t>Recorded parts expenditure for the event.</t>
  </si>
  <si>
    <t>Synthetic invoice amount; blank if cost_status is Parts invoice pending.</t>
  </si>
  <si>
    <t>Missing values are unknown and cannot be reconstructed from another table. Raw exports may need normalization; see ReadMe for units, categories and derived-value recovery.</t>
  </si>
  <si>
    <t>Additional outside contractor charges; excludes recorded internal labor.</t>
  </si>
  <si>
    <t>Complete or Parts invoice pending.</t>
  </si>
  <si>
    <t>Free text for prototype classification; notes are observations, not confirmed root cause.</t>
  </si>
  <si>
    <t>Non-reducible scenario allocation within recorded repair time.</t>
  </si>
  <si>
    <t>0.5 hours for selected HSE-linked events; 0 otherwise.</t>
  </si>
  <si>
    <t>Financial modeling floor, not sufficient time or a work procedure.</t>
  </si>
  <si>
    <t>Foreign key to Assets; unique together with month.</t>
  </si>
  <si>
    <t>First day of the 2025 production month.</t>
  </si>
  <si>
    <t>month start date</t>
  </si>
  <si>
    <t>Hours in the calendar month.</t>
  </si>
  <si>
    <t>Days in month × 24; January = 744.</t>
  </si>
  <si>
    <t>Continuous potential operation is assumed; planned outages are deducted through Events.</t>
  </si>
  <si>
    <t>Output if the affected stream operated at capacity for the month.</t>
  </si>
  <si>
    <t>calendar_hours × Assets.modeled_capacity_bbl_hr; A001 January = 744 × 22 = 16,368.</t>
  </si>
  <si>
    <t>Modeled potential, not observed output. Raw exports may need normalization; see ReadMe for units, categories and derived-value recovery.</t>
  </si>
  <si>
    <t>Modeled actual output after outage and recovery effects.</t>
  </si>
  <si>
    <t>potential_oil_bbl − gross_deferred_bbl + recovered_oil_bbl. A001 January = 16,016.30.</t>
  </si>
  <si>
    <t>Includes both planned and unplanned outage effects; no additional gas revenue. Raw exports may need normalization; see ReadMe for units, categories and derived-value recovery.</t>
  </si>
  <si>
    <t>Total output deferred by all outages in the asset-month.</t>
  </si>
  <si>
    <t>Sum Events.lost_oil_bbl for same asset and start month, including Planned and Unplanned.</t>
  </si>
  <si>
    <t>Already contains the event-level loss pool; do not add it again. Raw exports may need normalization; see ReadMe for units, categories and derived-value recovery.</t>
  </si>
  <si>
    <t>Deferred oil recovered and credited within the same month.</t>
  </si>
  <si>
    <t>Round(sum of event lost_oil_bbl × recoverable_fraction for asset-month), 2.</t>
  </si>
  <si>
    <t>Case simplification; not a separately observed later-month recovery.</t>
  </si>
  <si>
    <t>Synthetic monthly realized oil price.</t>
  </si>
  <si>
    <t>USD/bbl</t>
  </si>
  <si>
    <t>Avoidable production cost per barrel; use price minus variable cost for incremental margin.</t>
  </si>
  <si>
    <t>Readings</t>
  </si>
  <si>
    <t>Export record identifier; repeated rows may appear in raw export.</t>
  </si>
  <si>
    <t>Synthetic daily snapshot from the raw export.</t>
  </si>
  <si>
    <t>Daily sampling cannot establish production-grade predictive accuracy. Missing values are not zero.</t>
  </si>
  <si>
    <t>Raw source tag; standardize using TagMap before joining Assets.</t>
  </si>
  <si>
    <t>Daily sampling cannot establish production-grade predictive accuracy. Missing values are not zero. Raw exports may need normalization; see ReadMe for units, categories and derived-value recovery.</t>
  </si>
  <si>
    <t>Daily snapshot at 06:00 UTC; not continuous monitoring.</t>
  </si>
  <si>
    <t>Time the snapshot arrived at the central system.</t>
  </si>
  <si>
    <t>Synthetic receipt timestamp after observed_utc; outages can delay transmission.</t>
  </si>
  <si>
    <t>A delayed timestamp is not a corruption to overwrite. Raw exports may need normalization; see ReadMe for units, categories and derived-value recovery.</t>
  </si>
  <si>
    <t>Observed vibration; null means missing, zero while stopped can be valid.</t>
  </si>
  <si>
    <t>Observed temperature; null means missing.</t>
  </si>
  <si>
    <t>Running or Stopped at snapshot time.</t>
  </si>
  <si>
    <t>Source observation flag for the snapshot.</t>
  </si>
  <si>
    <t>category</t>
  </si>
  <si>
    <t>Valid, Missing or Suspect from the fictional export.</t>
  </si>
  <si>
    <t>Suspect is not a confirmed fault; zero while Stopped can be valid. Raw exports may need normalization; see ReadMe for units, categories and derived-value recovery.</t>
  </si>
  <si>
    <t>Nullable operator observation available at reading time.</t>
  </si>
  <si>
    <t>Canonical mapped asset ID; original asset_tag retained.</t>
  </si>
  <si>
    <t>Former TagMap lookup supplied for simpler joins.</t>
  </si>
  <si>
    <t>Mapping aid; normalize identifiers before joining.</t>
  </si>
  <si>
    <t>Fictional costed intervention.</t>
  </si>
  <si>
    <t>Asset, Site or Organization; multiply costs by deployed unit count.</t>
  </si>
  <si>
    <t>One-time cost per billing unit, excluding site prerequisites and any optional reserve.</t>
  </si>
  <si>
    <t>USD per billing unit</t>
  </si>
  <si>
    <t>Annual recurring cost per billing unit. Report separately from upfront setup costs.</t>
  </si>
  <si>
    <t>USD/year per billing unit</t>
  </si>
  <si>
    <t>Months from approval to commissioning; full steady-state benefit starts afterward.</t>
  </si>
  <si>
    <t>months</t>
  </si>
  <si>
    <t>Technician effort to implement one billing unit.</t>
  </si>
  <si>
    <t>person-hours/unit</t>
  </si>
  <si>
    <t>Scenario planning assumption; organization hours can be allocated across sites.</t>
  </si>
  <si>
    <t>O6 effort = Assets technician count × training_hours_per_person, once per site.</t>
  </si>
  <si>
    <t>Eligible asset types or All.</t>
  </si>
  <si>
    <t>Additional case requirement; do not treat dependencies as free.</t>
  </si>
  <si>
    <t>Use the base fractions in Solutions for affected downtime stages and eligible causes. Any repair-cost savings need separate evidence.</t>
  </si>
  <si>
    <t>Eligible causes or low/base/high reduction for named sequential stage.</t>
  </si>
  <si>
    <t>fraction 0–1 / category</t>
  </si>
  <si>
    <t>Flattened original cause-stage Effectiveness; identical across eligible causes.</t>
  </si>
  <si>
    <t>Zero for unlisted stage/cause. No causal evidence or HSE risk-reduction claim.</t>
  </si>
  <si>
    <t>Use base fractions for the required estimate; low/high values are optional. Apply only to eligible causes and scope.</t>
  </si>
  <si>
    <t>Unique observation and corrective-action key</t>
  </si>
  <si>
    <t>date / identifier / category</t>
  </si>
  <si>
    <t>Synthetic scenario assumption; see ReadMe HSE rules.</t>
  </si>
  <si>
    <t>Not complete incident reporting; no legal threshold, probability or proven avoided incident cost.</t>
  </si>
  <si>
    <t>Associated outage context; not a causal claim</t>
  </si>
  <si>
    <t>Affected asset</t>
  </si>
  <si>
    <t>Affected site</t>
  </si>
  <si>
    <t>Historical observation time</t>
  </si>
  <si>
    <t>Oil/gas hazard category</t>
  </si>
  <si>
    <t>Observation / near miss / contained spill; not injury classification</t>
  </si>
  <si>
    <t>Ordinal potential consequence band: 1 minor to 5 severe/fatal potential</t>
  </si>
  <si>
    <t>ordinal 1–5</t>
  </si>
  <si>
    <t>Ordinal review-priority band: 1 low to 5 high; not a probability</t>
  </si>
  <si>
    <t>Corrective review/control action requiring qualified approval</t>
  </si>
  <si>
    <t>Role responsible for verified closure</t>
  </si>
  <si>
    <t>Scenario action deadline</t>
  </si>
  <si>
    <t>Verified scenario closure date; null=open</t>
  </si>
  <si>
    <t>Status at stated snapshot</t>
  </si>
  <si>
    <t>Incremental remaining one-time remediation estimate; closed actions zero</t>
  </si>
  <si>
    <t>Incremental annual recurring estimate for open action</t>
  </si>
  <si>
    <t>Incremental remaining implementation hours. Include in the site resource estimate.</t>
  </si>
  <si>
    <t>Contained oil volume released during observation</t>
  </si>
  <si>
    <t>Volume recovered from containment, not saleable production</t>
  </si>
  <si>
    <t>Fixed date for evaluating overdue/open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</si>
</sst>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yyyy\-mm\-dd\ hh:mm"/>
    <numFmt numFmtId="165" formatCode="yyyy\-mm\-dd;@"/>
    <numFmt numFmtId="166" formatCode="#,##0.0"/>
    <numFmt numFmtId="167" formatCode="0.0"/>
  </numFmts>
  <fonts count="8">
    <font>
      <sz val="11"/>
      <color rgb="FF000000"/>
      <name val="Carlito"/>
      <scheme val="minor"/>
    </font>
    <font>
      <b/>
      <sz val="10"/>
      <color rgb="FFFFFFFF"/>
      <name val="Arial"/>
      <family val="2"/>
    </font>
    <font>
      <sz val="10"/>
      <color rgb="FF172B44"/>
      <name val="Arial"/>
      <family val="2"/>
    </font>
    <font>
      <sz val="8"/>
      <name val="Carlito"/>
      <scheme val="minor"/>
    </font>
    <font>
      <sz val="11"/>
      <color rgb="FF000000"/>
      <name val="Carlito"/>
      <scheme val="minor"/>
    </font>
    <font>
      <sz val="11"/>
      <color theme="1"/>
      <name val="Carlito"/>
    </font>
    <font>
      <sz val="11"/>
      <color theme="1"/>
      <name val="Carlito"/>
      <scheme val="minor"/>
    </font>
    <font>
      <b/>
      <sz val="10"/>
      <color rgb="FF172B4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73F73"/>
        <bgColor rgb="FF173F73"/>
      </patternFill>
    </fill>
    <fill>
      <patternFill patternType="solid">
        <fgColor rgb="FFC1E4F5"/>
        <bgColor rgb="FFC1E4F5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</borders>
  <cellStyleXfs count="2">
    <xf numFmtId="0" fontId="0" fillId="0" borderId="0"/>
    <xf numFmtId="0" fontId="4" fillId="0" borderId="1"/>
  </cellStyleXfs>
  <cellXfs count="28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2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 wrapText="1"/>
    </xf>
    <xf numFmtId="14" fontId="1" fillId="2" borderId="1" xfId="0" applyNumberFormat="1" applyFont="1" applyFill="1" applyBorder="1" applyAlignment="1">
      <alignment horizontal="left" vertical="center" wrapText="1"/>
    </xf>
    <xf numFmtId="0" fontId="2" fillId="0" borderId="0" xfId="0" applyFont="1"/>
    <xf numFmtId="49" fontId="2" fillId="0" borderId="0" xfId="0" applyNumberFormat="1" applyFont="1" applyAlignment="1">
      <alignment vertical="center"/>
    </xf>
    <xf numFmtId="49" fontId="0" fillId="0" borderId="0" xfId="0" applyNumberFormat="1"/>
    <xf numFmtId="165" fontId="1" fillId="2" borderId="1" xfId="0" applyNumberFormat="1" applyFont="1" applyFill="1" applyBorder="1" applyAlignment="1">
      <alignment horizontal="left" vertical="center" wrapText="1"/>
    </xf>
    <xf numFmtId="165" fontId="2" fillId="0" borderId="0" xfId="0" applyNumberFormat="1" applyFont="1" applyAlignment="1">
      <alignment vertical="center"/>
    </xf>
    <xf numFmtId="165" fontId="0" fillId="0" borderId="0" xfId="0" applyNumberFormat="1"/>
    <xf numFmtId="0" fontId="4" fillId="0" borderId="1" xfId="1"/>
    <xf numFmtId="166" fontId="5" fillId="0" borderId="1" xfId="1" applyNumberFormat="1" applyFont="1"/>
    <xf numFmtId="0" fontId="6" fillId="0" borderId="1" xfId="1" applyFont="1"/>
    <xf numFmtId="167" fontId="5" fillId="0" borderId="1" xfId="1" applyNumberFormat="1" applyFont="1"/>
    <xf numFmtId="4" fontId="5" fillId="0" borderId="1" xfId="1" applyNumberFormat="1" applyFont="1"/>
    <xf numFmtId="2" fontId="5" fillId="0" borderId="1" xfId="1" applyNumberFormat="1" applyFont="1"/>
    <xf numFmtId="0" fontId="7" fillId="0" borderId="0" xfId="0" applyFont="1" applyAlignment="1">
      <alignment vertical="center" wrapText="1"/>
    </xf>
    <xf numFmtId="14" fontId="0" fillId="0" borderId="0" xfId="0" applyNumberFormat="1"/>
    <xf numFmtId="0" fontId="0" fillId="0" borderId="0" xfId="0" applyAlignment="1">
      <alignment wrapText="1"/>
    </xf>
    <xf numFmtId="0" fontId="0" fillId="0" borderId="0" xfId="0" pivotButton="1"/>
    <xf numFmtId="2" fontId="0" fillId="0" borderId="0" xfId="0" applyNumberFormat="1"/>
    <xf numFmtId="164" fontId="2" fillId="3" borderId="2" xfId="0" applyNumberFormat="1" applyFont="1" applyFill="1" applyBorder="1" applyAlignment="1">
      <alignment vertical="center"/>
    </xf>
    <xf numFmtId="2" fontId="6" fillId="0" borderId="1" xfId="1" applyNumberFormat="1" applyFont="1"/>
    <xf numFmtId="49" fontId="1" fillId="2" borderId="1" xfId="0" applyNumberFormat="1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AB74D109-22B0-40B8-986B-A7EAB5ABEFC2}"/>
  </cellStyles>
  <dxfs count="43">
    <dxf>
      <numFmt numFmtId="165" formatCode="yyyy\-mm\-dd;@"/>
    </dxf>
    <dxf>
      <numFmt numFmtId="165" formatCode="yyyy\-mm\-dd;@"/>
    </dxf>
    <dxf>
      <numFmt numFmtId="165" formatCode="yyyy\-mm\-dd;@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30" formatCode="@"/>
    </dxf>
    <dxf>
      <numFmt numFmtId="2" formatCode="0.00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8">
    <tableStyle name="Assets-style" pivot="0" count="4" xr9:uid="{00000000-0011-0000-FFFF-FFFF00000000}">
      <tableStyleElement type="wholeTable" size="0" dxfId="42"/>
      <tableStyleElement type="headerRow" dxfId="41"/>
      <tableStyleElement type="firstRowStripe" dxfId="40"/>
      <tableStyleElement type="secondRowStripe" dxfId="39"/>
    </tableStyle>
    <tableStyle name="Events-style" pivot="0" count="4" xr9:uid="{00000000-0011-0000-FFFF-FFFF01000000}">
      <tableStyleElement type="wholeTable" size="0" dxfId="38"/>
      <tableStyleElement type="headerRow" dxfId="37"/>
      <tableStyleElement type="firstRowStripe" dxfId="36"/>
      <tableStyleElement type="secondRowStripe" dxfId="35"/>
    </tableStyle>
    <tableStyle name="Production-style" pivot="0" count="4" xr9:uid="{00000000-0011-0000-FFFF-FFFF02000000}">
      <tableStyleElement type="wholeTable" size="0" dxfId="34"/>
      <tableStyleElement type="headerRow" dxfId="33"/>
      <tableStyleElement type="firstRowStripe" dxfId="32"/>
      <tableStyleElement type="secondRowStripe" dxfId="31"/>
    </tableStyle>
    <tableStyle name="Readings-style" pivot="0" count="4" xr9:uid="{00000000-0011-0000-FFFF-FFFF03000000}">
      <tableStyleElement type="wholeTable" size="0" dxfId="30"/>
      <tableStyleElement type="headerRow" dxfId="29"/>
      <tableStyleElement type="firstRowStripe" dxfId="28"/>
      <tableStyleElement type="secondRowStripe" dxfId="27"/>
    </tableStyle>
    <tableStyle name="Solutions-style" pivot="0" count="4" xr9:uid="{00000000-0011-0000-FFFF-FFFF04000000}">
      <tableStyleElement type="wholeTable" size="0" dxfId="26"/>
      <tableStyleElement type="headerRow" dxfId="25"/>
      <tableStyleElement type="firstRowStripe" dxfId="24"/>
      <tableStyleElement type="secondRowStripe" dxfId="23"/>
    </tableStyle>
    <tableStyle name="HSE-style" pivot="0" count="4" xr9:uid="{00000000-0011-0000-FFFF-FFFF05000000}">
      <tableStyleElement type="wholeTable" size="0" dxfId="22"/>
      <tableStyleElement type="headerRow" dxfId="21"/>
      <tableStyleElement type="firstRowStripe" dxfId="20"/>
      <tableStyleElement type="secondRowStripe" dxfId="19"/>
    </tableStyle>
    <tableStyle name="ReadMe-style" pivot="0" count="4" xr9:uid="{00000000-0011-0000-FFFF-FFFF06000000}">
      <tableStyleElement type="wholeTable" size="0" dxfId="18"/>
      <tableStyleElement type="headerRow" dxfId="17"/>
      <tableStyleElement type="firstRowStripe" dxfId="16"/>
      <tableStyleElement type="secondRowStripe" dxfId="15"/>
    </tableStyle>
    <tableStyle name="Dictionary-style" pivot="0" count="4" xr9:uid="{00000000-0011-0000-FFFF-FFFF07000000}">
      <tableStyleElement type="wholeTable" size="0" dxfId="14"/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[CaseQuest2026Dataset­FINAL_.xlsx]Slide1!PivotTable1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Unplanned Downtime Cost by Site (2025)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C00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Slide1!$B$3</c:f>
              <c:strCache>
                <c:ptCount val="1"/>
                <c:pt idx="0">
                  <c:v>Sum of Loss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B80-4DE4-ABB3-908A9075E692}"/>
              </c:ext>
            </c:extLst>
          </c:dPt>
          <c:cat>
            <c:strRef>
              <c:f>Slide1!$A$4:$A$10</c:f>
              <c:strCache>
                <c:ptCount val="6"/>
                <c:pt idx="0">
                  <c:v>Arroyo</c:v>
                </c:pt>
                <c:pt idx="1">
                  <c:v>Canyon</c:v>
                </c:pt>
                <c:pt idx="2">
                  <c:v>Cedar</c:v>
                </c:pt>
                <c:pt idx="3">
                  <c:v>Juniper</c:v>
                </c:pt>
                <c:pt idx="4">
                  <c:v>Mesa</c:v>
                </c:pt>
                <c:pt idx="5">
                  <c:v>Prairie</c:v>
                </c:pt>
              </c:strCache>
            </c:strRef>
          </c:cat>
          <c:val>
            <c:numRef>
              <c:f>Slide1!$B$4:$B$10</c:f>
              <c:numCache>
                <c:formatCode>General</c:formatCode>
                <c:ptCount val="6"/>
                <c:pt idx="0">
                  <c:v>2017459.2348600004</c:v>
                </c:pt>
                <c:pt idx="1">
                  <c:v>594480.14688000001</c:v>
                </c:pt>
                <c:pt idx="2">
                  <c:v>615781.77919999999</c:v>
                </c:pt>
                <c:pt idx="3">
                  <c:v>506754.18139999988</c:v>
                </c:pt>
                <c:pt idx="4">
                  <c:v>1032194.76244</c:v>
                </c:pt>
                <c:pt idx="5">
                  <c:v>841719.50619999971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80-4DE4-ABB3-908A9075E6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02537224"/>
        <c:axId val="1875085320"/>
      </c:barChart>
      <c:lineChart>
        <c:grouping val="standard"/>
        <c:varyColors val="0"/>
        <c:ser>
          <c:idx val="1"/>
          <c:order val="1"/>
          <c:tx>
            <c:strRef>
              <c:f>Slide1!$C$3</c:f>
              <c:strCache>
                <c:ptCount val="1"/>
                <c:pt idx="0">
                  <c:v>Sum of stopped_hours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Slide1!$A$4:$A$10</c:f>
              <c:strCache>
                <c:ptCount val="6"/>
                <c:pt idx="0">
                  <c:v>Arroyo</c:v>
                </c:pt>
                <c:pt idx="1">
                  <c:v>Canyon</c:v>
                </c:pt>
                <c:pt idx="2">
                  <c:v>Cedar</c:v>
                </c:pt>
                <c:pt idx="3">
                  <c:v>Juniper</c:v>
                </c:pt>
                <c:pt idx="4">
                  <c:v>Mesa</c:v>
                </c:pt>
                <c:pt idx="5">
                  <c:v>Prairie</c:v>
                </c:pt>
              </c:strCache>
            </c:strRef>
          </c:cat>
          <c:val>
            <c:numRef>
              <c:f>Slide1!$C$4:$C$10</c:f>
              <c:numCache>
                <c:formatCode>0.00</c:formatCode>
                <c:ptCount val="6"/>
                <c:pt idx="0">
                  <c:v>1986.1200000000001</c:v>
                </c:pt>
                <c:pt idx="1">
                  <c:v>844.53999999999985</c:v>
                </c:pt>
                <c:pt idx="2">
                  <c:v>815.89</c:v>
                </c:pt>
                <c:pt idx="3">
                  <c:v>625.26999999999975</c:v>
                </c:pt>
                <c:pt idx="4">
                  <c:v>1246.3999999999999</c:v>
                </c:pt>
                <c:pt idx="5">
                  <c:v>1080.33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B80-4DE4-ABB3-908A9075E6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3312648"/>
        <c:axId val="1330881544"/>
      </c:lineChart>
      <c:catAx>
        <c:axId val="1502537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5085320"/>
        <c:crosses val="autoZero"/>
        <c:auto val="1"/>
        <c:lblAlgn val="ctr"/>
        <c:lblOffset val="100"/>
        <c:noMultiLvlLbl val="0"/>
      </c:catAx>
      <c:valAx>
        <c:axId val="1875085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2537224"/>
        <c:crosses val="autoZero"/>
        <c:crossBetween val="between"/>
      </c:valAx>
      <c:valAx>
        <c:axId val="133088154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312648"/>
        <c:crosses val="max"/>
        <c:crossBetween val="between"/>
      </c:valAx>
      <c:catAx>
        <c:axId val="18833126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308815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n-US" sz="1400" b="0" i="0">
                <a:solidFill>
                  <a:srgbClr val="757575"/>
                </a:solidFill>
                <a:latin typeface="Calibri"/>
              </a:rPr>
              <a:t>Estimated Financial Loss by Equipment Failure (2025)</a:t>
            </a:r>
          </a:p>
        </c:rich>
      </c:tx>
      <c:layout>
        <c:manualLayout>
          <c:xMode val="edge"/>
          <c:yMode val="edge"/>
          <c:x val="0.12965266841644793"/>
          <c:y val="3.7037037037037035E-2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Estimated Financial Loss ($)</c:v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'Downtime Analysis'!$D$2:$D$4</c:f>
              <c:strCache>
                <c:ptCount val="3"/>
                <c:pt idx="0">
                  <c:v>Bearing Wear</c:v>
                </c:pt>
                <c:pt idx="1">
                  <c:v>Seal Leak</c:v>
                </c:pt>
                <c:pt idx="2">
                  <c:v>Combined Mechanical</c:v>
                </c:pt>
              </c:strCache>
            </c:strRef>
          </c:cat>
          <c:val>
            <c:numRef>
              <c:f>'Downtime Analysis'!$E$2:$E$4</c:f>
              <c:numCache>
                <c:formatCode>#,##0.00</c:formatCode>
                <c:ptCount val="3"/>
                <c:pt idx="0">
                  <c:v>2296844.476139999</c:v>
                </c:pt>
                <c:pt idx="1">
                  <c:v>917931.73702</c:v>
                </c:pt>
                <c:pt idx="2">
                  <c:v>3214776.2131599989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07-4AE1-A73F-405DAF0076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6276147"/>
        <c:axId val="906430519"/>
      </c:barChart>
      <c:catAx>
        <c:axId val="4362761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06430519"/>
        <c:crosses val="autoZero"/>
        <c:auto val="1"/>
        <c:lblAlgn val="ctr"/>
        <c:lblOffset val="100"/>
        <c:noMultiLvlLbl val="1"/>
      </c:catAx>
      <c:valAx>
        <c:axId val="9064305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.0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3627614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n-US" sz="1400" b="0" i="0">
                <a:solidFill>
                  <a:srgbClr val="757575"/>
                </a:solidFill>
                <a:latin typeface="Calibri"/>
              </a:rPr>
              <a:t>Equipment Downtime by Failure Cause (2025)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Downtime (Hours)</c:v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F8FA-4457-9007-DA8974B2647A}"/>
              </c:ext>
            </c:extLst>
          </c:dPt>
          <c:dLbls>
            <c:dLbl>
              <c:idx val="0"/>
              <c:numFmt formatCode="#,##0.0" sourceLinked="0"/>
              <c:spPr/>
              <c:txPr>
                <a:bodyPr/>
                <a:lstStyle/>
                <a:p>
                  <a:pPr lvl="0">
                    <a:defRPr sz="900" b="0" i="0">
                      <a:latin typeface="Calibri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F8FA-4457-9007-DA8974B2647A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'Downtime Analysis'!$G$2:$G$4</c:f>
              <c:strCache>
                <c:ptCount val="3"/>
                <c:pt idx="0">
                  <c:v>Bearing Wear</c:v>
                </c:pt>
                <c:pt idx="1">
                  <c:v>Seal Leak</c:v>
                </c:pt>
                <c:pt idx="2">
                  <c:v>Combined Mechanical</c:v>
                </c:pt>
              </c:strCache>
            </c:strRef>
          </c:cat>
          <c:val>
            <c:numRef>
              <c:f>'Downtime Analysis'!$H$2:$H$4</c:f>
              <c:numCache>
                <c:formatCode>#,##0.0</c:formatCode>
                <c:ptCount val="3"/>
                <c:pt idx="0">
                  <c:v>2705.1899999999996</c:v>
                </c:pt>
                <c:pt idx="1">
                  <c:v>1096.1499999999999</c:v>
                </c:pt>
                <c:pt idx="2">
                  <c:v>3801.3399999999992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FA-4457-9007-DA8974B26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41563518"/>
        <c:axId val="410543843"/>
      </c:barChart>
      <c:catAx>
        <c:axId val="15415635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10543843"/>
        <c:crosses val="autoZero"/>
        <c:auto val="1"/>
        <c:lblAlgn val="ctr"/>
        <c:lblOffset val="100"/>
        <c:noMultiLvlLbl val="1"/>
      </c:catAx>
      <c:valAx>
        <c:axId val="4105438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.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541563518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n-US" sz="1400" b="0" i="0">
                <a:solidFill>
                  <a:srgbClr val="757575"/>
                </a:solidFill>
                <a:latin typeface="Calibri"/>
              </a:rPr>
              <a:t>Unrecovered Oil by Failure Cause (2025)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Unrecovered Oil (Barrels)</c:v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'Downtime Analysis'!$J$2:$J$4</c:f>
              <c:strCache>
                <c:ptCount val="3"/>
                <c:pt idx="0">
                  <c:v>Bearing Wear</c:v>
                </c:pt>
                <c:pt idx="1">
                  <c:v>Seal Leak</c:v>
                </c:pt>
                <c:pt idx="2">
                  <c:v>Combined Mechanical</c:v>
                </c:pt>
              </c:strCache>
            </c:strRef>
          </c:cat>
          <c:val>
            <c:numRef>
              <c:f>'Downtime Analysis'!$K$2:$K$4</c:f>
              <c:numCache>
                <c:formatCode>#,##0.00</c:formatCode>
                <c:ptCount val="3"/>
                <c:pt idx="0">
                  <c:v>55023.721600000012</c:v>
                </c:pt>
                <c:pt idx="1">
                  <c:v>21862.457400000007</c:v>
                </c:pt>
                <c:pt idx="2">
                  <c:v>76886.179000000018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12-47EB-81C1-B2666683A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12553891"/>
        <c:axId val="2106244906"/>
      </c:barChart>
      <c:catAx>
        <c:axId val="15125538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106244906"/>
        <c:crosses val="autoZero"/>
        <c:auto val="1"/>
        <c:lblAlgn val="ctr"/>
        <c:lblOffset val="100"/>
        <c:noMultiLvlLbl val="1"/>
      </c:catAx>
      <c:valAx>
        <c:axId val="21062449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.0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51255389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n-US" sz="1400" b="0" i="0">
                <a:solidFill>
                  <a:srgbClr val="757575"/>
                </a:solidFill>
                <a:latin typeface="Calibri"/>
              </a:rPr>
              <a:t>Unplanned Event Count by Failure Cause (2025)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Unplanned Event Count </c:v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'Downtime Analysis'!$M$2:$M$6</c:f>
              <c:strCache>
                <c:ptCount val="5"/>
                <c:pt idx="0">
                  <c:v>Bearing Wear</c:v>
                </c:pt>
                <c:pt idx="1">
                  <c:v>Seal Leak</c:v>
                </c:pt>
                <c:pt idx="2">
                  <c:v>Electrical Trip</c:v>
                </c:pt>
                <c:pt idx="3">
                  <c:v>Process Upset</c:v>
                </c:pt>
                <c:pt idx="4">
                  <c:v>Unknown</c:v>
                </c:pt>
              </c:strCache>
            </c:strRef>
          </c:cat>
          <c:val>
            <c:numRef>
              <c:f>'Downtime Analysis'!$N$2:$N$6</c:f>
              <c:numCache>
                <c:formatCode>General</c:formatCode>
                <c:ptCount val="5"/>
                <c:pt idx="0">
                  <c:v>115</c:v>
                </c:pt>
                <c:pt idx="1">
                  <c:v>57</c:v>
                </c:pt>
                <c:pt idx="2">
                  <c:v>53</c:v>
                </c:pt>
                <c:pt idx="3">
                  <c:v>52</c:v>
                </c:pt>
                <c:pt idx="4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08-4941-8BF7-828E698236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74922396"/>
        <c:axId val="592074351"/>
      </c:barChart>
      <c:catAx>
        <c:axId val="14749223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92074351"/>
        <c:crosses val="autoZero"/>
        <c:auto val="1"/>
        <c:lblAlgn val="ctr"/>
        <c:lblOffset val="100"/>
        <c:noMultiLvlLbl val="1"/>
      </c:catAx>
      <c:valAx>
        <c:axId val="5920743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474922396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n-US" sz="1400" b="0" i="0">
                <a:solidFill>
                  <a:srgbClr val="757575"/>
                </a:solidFill>
                <a:latin typeface="Calibri"/>
              </a:rPr>
              <a:t>Unplanned Downtime by Failure Cause (2025)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Downtime (Hours)</c:v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'Downtime Analysis'!$G$2:$G$7</c:f>
              <c:strCache>
                <c:ptCount val="6"/>
                <c:pt idx="0">
                  <c:v>Bearing Wear</c:v>
                </c:pt>
                <c:pt idx="1">
                  <c:v>Seal Leak</c:v>
                </c:pt>
                <c:pt idx="2">
                  <c:v>Combined Mechanical</c:v>
                </c:pt>
                <c:pt idx="3">
                  <c:v>Electrical Trip</c:v>
                </c:pt>
                <c:pt idx="4">
                  <c:v>Process Upset </c:v>
                </c:pt>
                <c:pt idx="5">
                  <c:v>Unknown</c:v>
                </c:pt>
              </c:strCache>
            </c:strRef>
          </c:cat>
          <c:val>
            <c:numRef>
              <c:f>'Downtime Analysis'!$H$2:$H$7</c:f>
              <c:numCache>
                <c:formatCode>#,##0.0</c:formatCode>
                <c:ptCount val="6"/>
                <c:pt idx="0">
                  <c:v>2705.1899999999996</c:v>
                </c:pt>
                <c:pt idx="1">
                  <c:v>1096.1499999999999</c:v>
                </c:pt>
                <c:pt idx="2">
                  <c:v>3801.3399999999992</c:v>
                </c:pt>
                <c:pt idx="3" formatCode="General">
                  <c:v>1011.8000000000001</c:v>
                </c:pt>
                <c:pt idx="4" formatCode="0.0">
                  <c:v>1010.2099999999998</c:v>
                </c:pt>
                <c:pt idx="5" formatCode="General">
                  <c:v>775.2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5E-4FF2-AC58-4AFDCAA64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443492"/>
        <c:axId val="1967377876"/>
      </c:barChart>
      <c:catAx>
        <c:axId val="544434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967377876"/>
        <c:crosses val="autoZero"/>
        <c:auto val="1"/>
        <c:lblAlgn val="ctr"/>
        <c:lblOffset val="100"/>
        <c:noMultiLvlLbl val="1"/>
      </c:catAx>
      <c:valAx>
        <c:axId val="19673778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.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444349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323850</xdr:colOff>
      <xdr:row>2</xdr:row>
      <xdr:rowOff>95250</xdr:rowOff>
    </xdr:from>
    <xdr:to>
      <xdr:col>10</xdr:col>
      <xdr:colOff>95250</xdr:colOff>
      <xdr:row>17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0847A6-9F0B-117A-3BAE-09A07D6484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66675</xdr:colOff>
      <xdr:row>6</xdr:row>
      <xdr:rowOff>0</xdr:rowOff>
    </xdr:from>
    <xdr:ext cx="3190875" cy="21812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BBA7BB-F809-4AF2-ABA2-E2E8F79ED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0</xdr:col>
      <xdr:colOff>0</xdr:colOff>
      <xdr:row>19</xdr:row>
      <xdr:rowOff>19050</xdr:rowOff>
    </xdr:from>
    <xdr:ext cx="4467225" cy="2009775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5F0D299-D61F-4A83-96ED-9103A8403824}"/>
            </a:ext>
            <a:ext uri="{147F2762-F138-4A5C-976F-8EAC2B608ADB}">
              <a16:predDERef xmlns:a16="http://schemas.microsoft.com/office/drawing/2014/main" pred="{27BBA7BB-F809-4AF2-ABA2-E2E8F79ED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466725</xdr:colOff>
      <xdr:row>5</xdr:row>
      <xdr:rowOff>0</xdr:rowOff>
    </xdr:from>
    <xdr:ext cx="2771775" cy="23241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487C485-A546-4336-8C96-EEEAB1646654}"/>
            </a:ext>
            <a:ext uri="{147F2762-F138-4A5C-976F-8EAC2B608ADB}">
              <a16:predDERef xmlns:a16="http://schemas.microsoft.com/office/drawing/2014/main" pred="{45F0D299-D61F-4A83-96ED-9103A84038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7</xdr:col>
      <xdr:colOff>219075</xdr:colOff>
      <xdr:row>22</xdr:row>
      <xdr:rowOff>47625</xdr:rowOff>
    </xdr:from>
    <xdr:ext cx="5495925" cy="2771775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0B1722-2EC2-4095-A18B-ADF2520C5238}"/>
            </a:ext>
            <a:ext uri="{147F2762-F138-4A5C-976F-8EAC2B608ADB}">
              <a16:predDERef xmlns:a16="http://schemas.microsoft.com/office/drawing/2014/main" pred="{C487C485-A546-4336-8C96-EEEAB16466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3</xdr:col>
      <xdr:colOff>261470</xdr:colOff>
      <xdr:row>22</xdr:row>
      <xdr:rowOff>107203</xdr:rowOff>
    </xdr:from>
    <xdr:ext cx="5321487" cy="321721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0CE35AB-BDCA-4D1E-B042-233C1C4C7D4F}"/>
            </a:ext>
            <a:ext uri="{147F2762-F138-4A5C-976F-8EAC2B608ADB}">
              <a16:predDERef xmlns:a16="http://schemas.microsoft.com/office/drawing/2014/main" pred="{EA0B1722-2EC2-4095-A18B-ADF2520C52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19.615941898148" createdVersion="8" refreshedVersion="8" minRefreshableVersion="3" recordCount="385" xr:uid="{8B322C44-E4DE-4690-BBA9-BF784411F44A}">
  <cacheSource type="worksheet">
    <worksheetSource name="TEvents"/>
  </cacheSource>
  <cacheFields count="30">
    <cacheField name="event_id" numFmtId="0">
      <sharedItems/>
    </cacheField>
    <cacheField name="asset_id" numFmtId="49">
      <sharedItems/>
    </cacheField>
    <cacheField name="start_utc" numFmtId="14">
      <sharedItems containsSemiMixedTypes="0" containsNonDate="0" containsDate="1" containsString="0" minDate="2025-01-04T12:00:00" maxDate="2025-12-22T12:00:00"/>
    </cacheField>
    <cacheField name="end_utc" numFmtId="164">
      <sharedItems containsSemiMixedTypes="0" containsNonDate="0" containsDate="1" containsString="0" minDate="2025-01-05T03:43:48" maxDate="2025-12-24T10:26:24"/>
    </cacheField>
    <cacheField name="event_type" numFmtId="0">
      <sharedItems count="2">
        <s v="Unplanned"/>
        <s v="Planned"/>
      </sharedItems>
    </cacheField>
    <cacheField name="cause" numFmtId="0">
      <sharedItems/>
    </cacheField>
    <cacheField name="detect_hours" numFmtId="2">
      <sharedItems containsSemiMixedTypes="0" containsString="0" containsNumber="1" minValue="0" maxValue="8.49"/>
    </cacheField>
    <cacheField name="dispatch_hours" numFmtId="2">
      <sharedItems containsSemiMixedTypes="0" containsString="0" containsNumber="1" minValue="0" maxValue="10.41"/>
    </cacheField>
    <cacheField name="parts_wait_hours" numFmtId="2">
      <sharedItems containsSemiMixedTypes="0" containsString="0" containsNumber="1" minValue="0" maxValue="25.9"/>
    </cacheField>
    <cacheField name="repair_hours" numFmtId="2">
      <sharedItems containsSemiMixedTypes="0" containsString="0" containsNumber="1" minValue="2.14" maxValue="12.98"/>
    </cacheField>
    <cacheField name="restart_hours" numFmtId="2">
      <sharedItems containsSemiMixedTypes="0" containsString="0" containsNumber="1" minValue="0" maxValue="2.5"/>
    </cacheField>
    <cacheField name="stopped_hours" numFmtId="2">
      <sharedItems containsSemiMixedTypes="0" containsString="0" containsNumber="1" minValue="3.04" maxValue="51.45"/>
    </cacheField>
    <cacheField name="lost_oil_bbl" numFmtId="2">
      <sharedItems containsSemiMixedTypes="0" containsString="0" containsNumber="1" minValue="55.52" maxValue="1618.75"/>
    </cacheField>
    <cacheField name="recoverable_fraction" numFmtId="2">
      <sharedItems containsSemiMixedTypes="0" containsString="0" containsNumber="1" minValue="0.08" maxValue="0.3"/>
    </cacheField>
    <cacheField name="work_order_id" numFmtId="0">
      <sharedItems/>
    </cacheField>
    <cacheField name="opened_utc" numFmtId="164">
      <sharedItems containsSemiMixedTypes="0" containsNonDate="0" containsDate="1" containsString="0" minDate="2025-01-04T12:53:24" maxDate="2025-12-22T20:09:00"/>
    </cacheField>
    <cacheField name="closed_utc" numFmtId="164">
      <sharedItems containsSemiMixedTypes="0" containsNonDate="0" containsDate="1" containsString="0" minDate="2025-01-05T03:43:48" maxDate="2025-12-24T10:26:24"/>
    </cacheField>
    <cacheField name="work_type" numFmtId="0">
      <sharedItems/>
    </cacheField>
    <cacheField name="labor_hours" numFmtId="2">
      <sharedItems containsSemiMixedTypes="0" containsString="0" containsNumber="1" minValue="2.2599999999999998" maxValue="25.82"/>
    </cacheField>
    <cacheField name="labor_rate_usd_hr" numFmtId="0">
      <sharedItems containsSemiMixedTypes="0" containsString="0" containsNumber="1" containsInteger="1" minValue="85" maxValue="85"/>
    </cacheField>
    <cacheField name="parts_usd" numFmtId="2">
      <sharedItems containsString="0" containsBlank="1" containsNumber="1" containsInteger="1" minValue="466" maxValue="9659"/>
    </cacheField>
    <cacheField name="contractor_usd" numFmtId="2">
      <sharedItems containsSemiMixedTypes="0" containsString="0" containsNumber="1" containsInteger="1" minValue="0" maxValue="4796"/>
    </cacheField>
    <cacheField name="cost_status" numFmtId="0">
      <sharedItems/>
    </cacheField>
    <cacheField name="technician_note" numFmtId="0">
      <sharedItems/>
    </cacheField>
    <cacheField name="protected_repair_hours" numFmtId="2">
      <sharedItems containsSemiMixedTypes="0" containsString="0" containsNumber="1" minValue="0" maxValue="0.5"/>
    </cacheField>
    <cacheField name="Site" numFmtId="0">
      <sharedItems count="6">
        <s v="Cedar"/>
        <s v="Mesa"/>
        <s v="Juniper"/>
        <s v="Arroyo"/>
        <s v="Canyon"/>
        <s v="Prairie"/>
      </sharedItems>
    </cacheField>
    <cacheField name="Unrecovered bbl" numFmtId="0">
      <sharedItems containsSemiMixedTypes="0" containsString="0" containsNumber="1" minValue="41.64" maxValue="1440.6875"/>
    </cacheField>
    <cacheField name="Month" numFmtId="14">
      <sharedItems containsSemiMixedTypes="0" containsNonDate="0" containsDate="1" containsString="0" minDate="2025-01-01T00:00:00" maxDate="2025-12-02T00:00:00"/>
    </cacheField>
    <cacheField name="Margin" numFmtId="0">
      <sharedItems containsSemiMixedTypes="0" containsString="0" containsNumber="1" minValue="36" maxValue="50"/>
    </cacheField>
    <cacheField name="Loss" numFmtId="0">
      <sharedItems containsSemiMixedTypes="0" containsString="0" containsNumber="1" minValue="1832.16" maxValue="55610.537499999999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5">
  <r>
    <s v="E0001"/>
    <s v="A001"/>
    <d v="2025-01-06T12:00:00"/>
    <d v="2025-01-07T01:16:48"/>
    <x v="0"/>
    <s v="Process upset"/>
    <n v="1.24"/>
    <n v="3.25"/>
    <n v="0"/>
    <n v="6.55"/>
    <n v="2.2400000000000002"/>
    <n v="13.28"/>
    <n v="292.16000000000003"/>
    <n v="0.2"/>
    <s v="W0001"/>
    <d v="2025-01-06T13:14:24"/>
    <d v="2025-01-07T01:16:48"/>
    <s v="Corrective"/>
    <n v="6.55"/>
    <n v="85"/>
    <m/>
    <n v="1484"/>
    <s v="Parts invoice pending"/>
    <s v="Feed conditions changed; equipment restarted"/>
    <n v="0.5"/>
    <x v="0"/>
    <n v="233.72800000000004"/>
    <d v="2025-01-01T00:00:00"/>
    <n v="50"/>
    <n v="11686.400000000001"/>
  </r>
  <r>
    <s v="E0002"/>
    <s v="A001"/>
    <d v="2025-01-28T12:00:00"/>
    <d v="2025-01-28T19:09:00"/>
    <x v="1"/>
    <s v="Scheduled service"/>
    <n v="0"/>
    <n v="0"/>
    <n v="0"/>
    <n v="7.15"/>
    <n v="0"/>
    <n v="7.15"/>
    <n v="157.30000000000001"/>
    <n v="0.25"/>
    <s v="W0002"/>
    <d v="2025-01-28T12:00:00"/>
    <d v="2025-01-28T19:09:00"/>
    <s v="Preventive"/>
    <n v="7.15"/>
    <n v="85"/>
    <n v="1724"/>
    <n v="0"/>
    <s v="Complete"/>
    <s v="Scheduled inspection and service"/>
    <n v="0"/>
    <x v="0"/>
    <n v="117.97500000000001"/>
    <d v="2025-01-01T00:00:00"/>
    <n v="50"/>
    <n v="5898.75"/>
  </r>
  <r>
    <s v="E0003"/>
    <s v="A001"/>
    <d v="2025-02-10T12:00:00"/>
    <d v="2025-02-11T01:24:36"/>
    <x v="0"/>
    <s v="Electrical trip"/>
    <n v="3.32"/>
    <n v="1.44"/>
    <n v="0"/>
    <n v="7.8"/>
    <n v="0.85"/>
    <n v="13.41"/>
    <n v="295.02"/>
    <n v="0.3"/>
    <s v="W0003"/>
    <d v="2025-02-10T15:19:12"/>
    <d v="2025-02-11T01:24:36"/>
    <s v="Corrective"/>
    <n v="15.6"/>
    <n v="85"/>
    <n v="2702"/>
    <n v="0"/>
    <s v="Complete"/>
    <s v="Protective trip; reviewed electrical panel"/>
    <n v="0"/>
    <x v="0"/>
    <n v="206.51399999999998"/>
    <d v="2025-02-01T00:00:00"/>
    <n v="48"/>
    <n v="9912.6719999999987"/>
  </r>
  <r>
    <s v="E0004"/>
    <s v="A001"/>
    <d v="2025-03-09T12:00:00"/>
    <d v="2025-03-10T02:21:00"/>
    <x v="0"/>
    <s v="Seal leak"/>
    <n v="2.36"/>
    <n v="2.58"/>
    <n v="0"/>
    <n v="8.86"/>
    <n v="0.55000000000000004"/>
    <n v="14.35"/>
    <n v="315.7"/>
    <n v="0.17"/>
    <s v="W0004"/>
    <d v="2025-03-09T14:21:36"/>
    <d v="2025-03-10T02:21:00"/>
    <s v="Corrective"/>
    <n v="17.72"/>
    <n v="85"/>
    <n v="3008"/>
    <n v="0"/>
    <s v="Complete"/>
    <s v="Visible leak reported during inspection"/>
    <n v="0"/>
    <x v="0"/>
    <n v="262.03100000000001"/>
    <d v="2025-03-01T00:00:00"/>
    <n v="46"/>
    <n v="12053.425999999999"/>
  </r>
  <r>
    <s v="E0005"/>
    <s v="A001"/>
    <d v="2025-04-09T12:00:00"/>
    <d v="2025-04-10T00:12:36"/>
    <x v="0"/>
    <s v="Electrical trip"/>
    <n v="3.66"/>
    <n v="2.9"/>
    <n v="0"/>
    <n v="4.59"/>
    <n v="1.06"/>
    <n v="12.21"/>
    <n v="268.62"/>
    <n v="0.28999999999999998"/>
    <s v="W0005"/>
    <d v="2025-04-09T15:39:36"/>
    <d v="2025-04-10T00:12:36"/>
    <s v="Corrective"/>
    <n v="4.59"/>
    <n v="85"/>
    <n v="1264"/>
    <n v="0"/>
    <s v="Complete"/>
    <s v="Protective trip; reviewed electrical panel"/>
    <n v="0.5"/>
    <x v="0"/>
    <n v="190.72020000000001"/>
    <d v="2025-04-01T00:00:00"/>
    <n v="44"/>
    <n v="8391.6887999999999"/>
  </r>
  <r>
    <s v="E0006"/>
    <s v="A001"/>
    <d v="2025-04-28T12:00:00"/>
    <d v="2025-04-28T18:19:12"/>
    <x v="1"/>
    <s v="Scheduled service"/>
    <n v="0"/>
    <n v="0"/>
    <n v="0"/>
    <n v="6.32"/>
    <n v="0"/>
    <n v="6.32"/>
    <n v="139.04"/>
    <n v="0.25"/>
    <s v="W0006"/>
    <d v="2025-04-28T12:00:00"/>
    <d v="2025-04-28T18:19:12"/>
    <s v="Preventive"/>
    <n v="6.32"/>
    <n v="85"/>
    <n v="593"/>
    <n v="0"/>
    <s v="Complete"/>
    <s v="Scheduled inspection and service"/>
    <n v="0"/>
    <x v="0"/>
    <n v="104.28"/>
    <d v="2025-04-01T00:00:00"/>
    <n v="44"/>
    <n v="4588.32"/>
  </r>
  <r>
    <s v="E0007"/>
    <s v="A001"/>
    <d v="2025-05-05T12:00:00"/>
    <d v="2025-05-05T22:16:48"/>
    <x v="0"/>
    <s v="Process upset"/>
    <n v="3.59"/>
    <n v="1.2"/>
    <n v="0"/>
    <n v="4.25"/>
    <n v="1.24"/>
    <n v="10.28"/>
    <n v="226.16"/>
    <n v="0.3"/>
    <s v="W0007"/>
    <d v="2025-05-05T15:35:24"/>
    <d v="2025-05-05T22:16:48"/>
    <s v="Corrective"/>
    <n v="4.25"/>
    <n v="85"/>
    <n v="9047"/>
    <n v="0"/>
    <s v="Complete"/>
    <s v="Feed conditions changed; equipment restarted"/>
    <n v="0"/>
    <x v="0"/>
    <n v="158.31199999999998"/>
    <d v="2025-05-01T00:00:00"/>
    <n v="42"/>
    <n v="6649.1039999999994"/>
  </r>
  <r>
    <s v="E0008"/>
    <s v="A001"/>
    <d v="2025-05-20T12:00:00"/>
    <d v="2025-05-21T00:06:36"/>
    <x v="0"/>
    <s v="Process upset"/>
    <n v="4.01"/>
    <n v="1.38"/>
    <n v="0"/>
    <n v="5.52"/>
    <n v="1.2"/>
    <n v="12.11"/>
    <n v="266.42"/>
    <n v="0.17"/>
    <s v="W0008"/>
    <d v="2025-05-20T16:00:36"/>
    <d v="2025-05-21T00:06:36"/>
    <s v="Corrective"/>
    <n v="5.52"/>
    <n v="85"/>
    <n v="8495"/>
    <n v="3240"/>
    <s v="Complete"/>
    <s v="Feed conditions changed; equipment restarted"/>
    <n v="0"/>
    <x v="0"/>
    <n v="221.12860000000001"/>
    <d v="2025-05-01T00:00:00"/>
    <n v="42"/>
    <n v="9287.4012000000002"/>
  </r>
  <r>
    <s v="E0009"/>
    <s v="A001"/>
    <d v="2025-06-10T12:00:00"/>
    <d v="2025-06-11T00:51:00"/>
    <x v="0"/>
    <s v="Seal leak"/>
    <n v="3.19"/>
    <n v="4.3"/>
    <n v="0"/>
    <n v="3.93"/>
    <n v="1.43"/>
    <n v="12.85"/>
    <n v="282.7"/>
    <n v="0.13"/>
    <s v="W0009"/>
    <d v="2025-06-10T15:11:24"/>
    <d v="2025-06-11T00:51:00"/>
    <s v="Corrective"/>
    <n v="7.86"/>
    <n v="85"/>
    <n v="9110"/>
    <n v="0"/>
    <s v="Complete"/>
    <s v="Visible leak reported during inspection"/>
    <n v="0.5"/>
    <x v="0"/>
    <n v="245.94899999999998"/>
    <d v="2025-06-01T00:00:00"/>
    <n v="43"/>
    <n v="10575.806999999999"/>
  </r>
  <r>
    <s v="E0010"/>
    <s v="A001"/>
    <d v="2025-06-20T12:00:00"/>
    <d v="2025-06-21T01:21:00"/>
    <x v="0"/>
    <s v="Unknown"/>
    <n v="3.86"/>
    <n v="1.98"/>
    <n v="0"/>
    <n v="5.32"/>
    <n v="2.19"/>
    <n v="13.35"/>
    <n v="293.7"/>
    <n v="0.14000000000000001"/>
    <s v="W0010"/>
    <d v="2025-06-20T15:51:36"/>
    <d v="2025-06-21T01:21:00"/>
    <s v="Corrective"/>
    <n v="10.64"/>
    <n v="85"/>
    <n v="6120"/>
    <n v="2421"/>
    <s v="Complete"/>
    <s v="Cause not confirmed; follow-up needed"/>
    <n v="0"/>
    <x v="0"/>
    <n v="252.58199999999999"/>
    <d v="2025-06-01T00:00:00"/>
    <n v="43"/>
    <n v="10861.026"/>
  </r>
  <r>
    <s v="E0011"/>
    <s v="A001"/>
    <d v="2025-07-05T12:00:00"/>
    <d v="2025-07-06T15:56:24"/>
    <x v="0"/>
    <s v="Bearing wear"/>
    <n v="1.75"/>
    <n v="2.88"/>
    <n v="9.5299999999999994"/>
    <n v="12.16"/>
    <n v="1.62"/>
    <n v="27.94"/>
    <n v="614.67999999999995"/>
    <n v="0.23"/>
    <s v="W0011"/>
    <d v="2025-07-05T13:45:00"/>
    <d v="2025-07-06T15:56:24"/>
    <s v="Corrective"/>
    <n v="24.32"/>
    <n v="85"/>
    <n v="9401"/>
    <n v="0"/>
    <s v="Complete"/>
    <s v="Noise and vibration increased before stop"/>
    <n v="0"/>
    <x v="0"/>
    <n v="473.30359999999996"/>
    <d v="2025-07-01T00:00:00"/>
    <n v="45"/>
    <n v="21298.661999999997"/>
  </r>
  <r>
    <s v="E0012"/>
    <s v="A001"/>
    <d v="2025-07-28T12:00:00"/>
    <d v="2025-07-28T16:49:12"/>
    <x v="1"/>
    <s v="Scheduled service"/>
    <n v="0"/>
    <n v="0"/>
    <n v="0"/>
    <n v="4.82"/>
    <n v="0"/>
    <n v="4.82"/>
    <n v="106.04"/>
    <n v="0.25"/>
    <s v="W0012"/>
    <d v="2025-07-28T12:00:00"/>
    <d v="2025-07-28T16:49:12"/>
    <s v="Preventive"/>
    <n v="4.82"/>
    <n v="85"/>
    <n v="1417"/>
    <n v="0"/>
    <s v="Complete"/>
    <s v="Scheduled inspection and service"/>
    <n v="0"/>
    <x v="0"/>
    <n v="79.53"/>
    <d v="2025-07-01T00:00:00"/>
    <n v="45"/>
    <n v="3578.85"/>
  </r>
  <r>
    <s v="E0013"/>
    <s v="A001"/>
    <d v="2025-08-09T12:00:00"/>
    <d v="2025-08-10T03:39:00"/>
    <x v="0"/>
    <s v="Electrical trip"/>
    <n v="4.0599999999999996"/>
    <n v="4.74"/>
    <n v="0"/>
    <n v="5.71"/>
    <n v="1.1399999999999999"/>
    <n v="15.65"/>
    <n v="344.3"/>
    <n v="0.3"/>
    <s v="W0013"/>
    <d v="2025-08-09T16:03:36"/>
    <d v="2025-08-10T03:39:00"/>
    <s v="Corrective"/>
    <n v="11.42"/>
    <n v="85"/>
    <n v="7654"/>
    <n v="0"/>
    <s v="Complete"/>
    <s v="Protective trip; reviewed electrical panel"/>
    <n v="0"/>
    <x v="0"/>
    <n v="241.01"/>
    <d v="2025-08-01T00:00:00"/>
    <n v="44"/>
    <n v="10604.439999999999"/>
  </r>
  <r>
    <s v="E0014"/>
    <s v="A001"/>
    <d v="2025-09-08T12:00:00"/>
    <d v="2025-09-09T04:20:24"/>
    <x v="0"/>
    <s v="Seal leak"/>
    <n v="3.83"/>
    <n v="1.76"/>
    <n v="0"/>
    <n v="8.4499999999999993"/>
    <n v="2.2999999999999998"/>
    <n v="16.34"/>
    <n v="359.48"/>
    <n v="0.13"/>
    <s v="W0014"/>
    <d v="2025-09-08T15:49:48"/>
    <d v="2025-09-09T04:20:24"/>
    <s v="Corrective"/>
    <n v="8.4499999999999993"/>
    <n v="85"/>
    <n v="8438"/>
    <n v="0"/>
    <s v="Complete"/>
    <s v="Visible leak reported during inspection"/>
    <n v="0"/>
    <x v="0"/>
    <n v="312.74760000000003"/>
    <d v="2025-09-01T00:00:00"/>
    <n v="41"/>
    <n v="12822.651600000001"/>
  </r>
  <r>
    <s v="E0015"/>
    <s v="A001"/>
    <d v="2025-09-21T12:00:00"/>
    <d v="2025-09-22T02:58:48"/>
    <x v="0"/>
    <s v="Bearing wear"/>
    <n v="1.1100000000000001"/>
    <n v="1.93"/>
    <n v="0"/>
    <n v="10.130000000000001"/>
    <n v="1.81"/>
    <n v="14.98"/>
    <n v="329.56"/>
    <n v="0.15"/>
    <s v="W0015"/>
    <d v="2025-09-21T13:06:36"/>
    <d v="2025-09-22T02:58:48"/>
    <s v="Corrective"/>
    <n v="10.130000000000001"/>
    <n v="85"/>
    <n v="4828"/>
    <n v="0"/>
    <s v="Complete"/>
    <s v="Noise and vibration increased before stop"/>
    <n v="0"/>
    <x v="0"/>
    <n v="280.12599999999998"/>
    <d v="2025-09-01T00:00:00"/>
    <n v="41"/>
    <n v="11485.165999999999"/>
  </r>
  <r>
    <s v="E0016"/>
    <s v="A001"/>
    <d v="2025-10-04T12:00:00"/>
    <d v="2025-10-05T04:31:48"/>
    <x v="0"/>
    <s v="Process upset"/>
    <n v="1.3"/>
    <n v="3.29"/>
    <n v="0"/>
    <n v="9.5399999999999991"/>
    <n v="2.4"/>
    <n v="16.53"/>
    <n v="363.66"/>
    <n v="0.28999999999999998"/>
    <s v="W0016"/>
    <d v="2025-10-04T13:18:00"/>
    <d v="2025-10-05T04:31:48"/>
    <s v="Corrective"/>
    <n v="9.5399999999999991"/>
    <n v="85"/>
    <n v="1279"/>
    <n v="0"/>
    <s v="Complete"/>
    <s v="Feed conditions changed; equipment restarted"/>
    <n v="0"/>
    <x v="0"/>
    <n v="258.1986"/>
    <d v="2025-10-01T00:00:00"/>
    <n v="40"/>
    <n v="10327.944"/>
  </r>
  <r>
    <s v="E0017"/>
    <s v="A001"/>
    <d v="2025-10-20T12:00:00"/>
    <d v="2025-10-21T05:33:00"/>
    <x v="0"/>
    <s v="Seal leak"/>
    <n v="3.62"/>
    <n v="3.4"/>
    <n v="0"/>
    <n v="8.98"/>
    <n v="1.55"/>
    <n v="17.55"/>
    <n v="386.1"/>
    <n v="0.18"/>
    <s v="W0017"/>
    <d v="2025-10-20T15:37:12"/>
    <d v="2025-10-21T05:33:00"/>
    <s v="Corrective"/>
    <n v="17.96"/>
    <n v="85"/>
    <n v="9533"/>
    <n v="0"/>
    <s v="Complete"/>
    <s v="Visible leak reported during inspection"/>
    <n v="0"/>
    <x v="0"/>
    <n v="316.60200000000003"/>
    <d v="2025-10-01T00:00:00"/>
    <n v="40"/>
    <n v="12664.080000000002"/>
  </r>
  <r>
    <s v="E0018"/>
    <s v="A001"/>
    <d v="2025-10-28T12:00:00"/>
    <d v="2025-10-28T15:13:12"/>
    <x v="1"/>
    <s v="Scheduled service"/>
    <n v="0"/>
    <n v="0"/>
    <n v="0"/>
    <n v="3.22"/>
    <n v="0"/>
    <n v="3.22"/>
    <n v="70.84"/>
    <n v="0.25"/>
    <s v="W0018"/>
    <d v="2025-10-28T12:00:00"/>
    <d v="2025-10-28T15:13:12"/>
    <s v="Preventive"/>
    <n v="3.22"/>
    <n v="85"/>
    <n v="1554"/>
    <n v="0"/>
    <s v="Complete"/>
    <s v="Scheduled inspection and service"/>
    <n v="0"/>
    <x v="0"/>
    <n v="53.13"/>
    <d v="2025-10-01T00:00:00"/>
    <n v="40"/>
    <n v="2125.2000000000003"/>
  </r>
  <r>
    <s v="E0019"/>
    <s v="A001"/>
    <d v="2025-11-05T12:00:00"/>
    <d v="2025-11-06T01:46:48"/>
    <x v="0"/>
    <s v="Electrical trip"/>
    <n v="1.37"/>
    <n v="1.62"/>
    <n v="0"/>
    <n v="8.99"/>
    <n v="1.8"/>
    <n v="13.78"/>
    <n v="303.16000000000003"/>
    <n v="0.11"/>
    <s v="W0019"/>
    <d v="2025-11-05T13:22:12"/>
    <d v="2025-11-06T01:46:48"/>
    <s v="Corrective"/>
    <n v="17.98"/>
    <n v="85"/>
    <n v="7810"/>
    <n v="3565"/>
    <s v="Complete"/>
    <s v="Protective trip; reviewed electrical panel"/>
    <n v="0"/>
    <x v="0"/>
    <n v="269.81240000000003"/>
    <d v="2025-11-01T00:00:00"/>
    <n v="42"/>
    <n v="11332.120800000001"/>
  </r>
  <r>
    <s v="E0020"/>
    <s v="A001"/>
    <d v="2025-11-19T12:00:00"/>
    <d v="2025-11-19T23:08:24"/>
    <x v="0"/>
    <s v="Seal leak"/>
    <n v="3.78"/>
    <n v="2.41"/>
    <n v="0"/>
    <n v="3.09"/>
    <n v="1.86"/>
    <n v="11.14"/>
    <n v="245.08"/>
    <n v="0.27"/>
    <s v="W0020"/>
    <d v="2025-11-19T15:46:48"/>
    <d v="2025-11-19T23:08:24"/>
    <s v="Corrective"/>
    <n v="3.09"/>
    <n v="85"/>
    <n v="3654"/>
    <n v="0"/>
    <s v="Complete"/>
    <s v="Visible leak reported during inspection"/>
    <n v="0"/>
    <x v="0"/>
    <n v="178.9084"/>
    <d v="2025-11-01T00:00:00"/>
    <n v="42"/>
    <n v="7514.1527999999998"/>
  </r>
  <r>
    <s v="E0021"/>
    <s v="A001"/>
    <d v="2025-12-08T12:00:00"/>
    <d v="2025-12-10T04:00:36"/>
    <x v="0"/>
    <s v="Bearing wear"/>
    <n v="1.6"/>
    <n v="2.29"/>
    <n v="24.36"/>
    <n v="10.54"/>
    <n v="1.22"/>
    <n v="40.01"/>
    <n v="880.22"/>
    <n v="0.17"/>
    <s v="W0021"/>
    <d v="2025-12-08T13:36:00"/>
    <d v="2025-12-10T04:00:36"/>
    <s v="Corrective"/>
    <n v="10.54"/>
    <n v="85"/>
    <n v="2554"/>
    <n v="4256"/>
    <s v="Complete"/>
    <s v="Noise and vibration increased before stop"/>
    <n v="0"/>
    <x v="0"/>
    <n v="730.58259999999996"/>
    <d v="2025-12-01T00:00:00"/>
    <n v="43"/>
    <n v="31415.051799999997"/>
  </r>
  <r>
    <s v="E0022"/>
    <s v="A002"/>
    <d v="2025-01-10T12:00:00"/>
    <d v="2025-01-11T03:44:24"/>
    <x v="0"/>
    <s v="Electrical trip"/>
    <n v="4.62"/>
    <n v="2.89"/>
    <n v="0"/>
    <n v="7.46"/>
    <n v="0.77"/>
    <n v="15.74"/>
    <n v="251.84"/>
    <n v="0.2"/>
    <s v="W0022"/>
    <d v="2025-01-10T16:37:12"/>
    <d v="2025-01-11T03:44:24"/>
    <s v="Corrective"/>
    <n v="7.46"/>
    <n v="85"/>
    <n v="7583"/>
    <n v="0"/>
    <s v="Complete"/>
    <s v="Protective trip; reviewed electrical panel"/>
    <n v="0"/>
    <x v="0"/>
    <n v="201.47200000000001"/>
    <d v="2025-01-01T00:00:00"/>
    <n v="50"/>
    <n v="10073.6"/>
  </r>
  <r>
    <s v="E0023"/>
    <s v="A002"/>
    <d v="2025-01-28T12:00:00"/>
    <d v="2025-01-28T19:39:00"/>
    <x v="1"/>
    <s v="Scheduled service"/>
    <n v="0"/>
    <n v="0"/>
    <n v="0"/>
    <n v="7.65"/>
    <n v="0"/>
    <n v="7.65"/>
    <n v="122.4"/>
    <n v="0.25"/>
    <s v="W0023"/>
    <d v="2025-01-28T12:00:00"/>
    <d v="2025-01-28T19:39:00"/>
    <s v="Preventive"/>
    <n v="7.65"/>
    <n v="85"/>
    <n v="1735"/>
    <n v="4307"/>
    <s v="Complete"/>
    <s v="Scheduled inspection and service"/>
    <n v="0"/>
    <x v="0"/>
    <n v="91.800000000000011"/>
    <d v="2025-01-01T00:00:00"/>
    <n v="50"/>
    <n v="4590.0000000000009"/>
  </r>
  <r>
    <s v="E0024"/>
    <s v="A002"/>
    <d v="2025-02-10T12:00:00"/>
    <d v="2025-02-12T00:25:12"/>
    <x v="0"/>
    <s v="Bearing wear"/>
    <n v="1.27"/>
    <n v="2.7"/>
    <n v="19.84"/>
    <n v="11.57"/>
    <n v="1.04"/>
    <n v="36.42"/>
    <n v="582.72"/>
    <n v="0.28000000000000003"/>
    <s v="W0024"/>
    <d v="2025-02-10T13:16:12"/>
    <d v="2025-02-12T00:25:12"/>
    <s v="Corrective"/>
    <n v="11.57"/>
    <n v="85"/>
    <n v="4717"/>
    <n v="0"/>
    <s v="Complete"/>
    <s v="Noise and vibration increased before stop"/>
    <n v="0"/>
    <x v="0"/>
    <n v="419.55840000000001"/>
    <d v="2025-02-01T00:00:00"/>
    <n v="48"/>
    <n v="20138.803200000002"/>
  </r>
  <r>
    <s v="E0025"/>
    <s v="A002"/>
    <d v="2025-02-19T12:00:00"/>
    <d v="2025-02-20T01:09:36"/>
    <x v="0"/>
    <s v="Bearing wear"/>
    <n v="1.05"/>
    <n v="2.16"/>
    <n v="0"/>
    <n v="8.57"/>
    <n v="1.38"/>
    <n v="13.16"/>
    <n v="210.56"/>
    <n v="0.21"/>
    <s v="W0025"/>
    <d v="2025-02-19T13:03:00"/>
    <d v="2025-02-20T01:09:36"/>
    <s v="Corrective"/>
    <n v="17.14"/>
    <n v="85"/>
    <n v="3379"/>
    <n v="4125"/>
    <s v="Complete"/>
    <s v="Noise and vibration increased before stop"/>
    <n v="0"/>
    <x v="0"/>
    <n v="166.3424"/>
    <d v="2025-02-01T00:00:00"/>
    <n v="48"/>
    <n v="7984.4351999999999"/>
  </r>
  <r>
    <s v="E0026"/>
    <s v="A002"/>
    <d v="2025-03-07T12:00:00"/>
    <d v="2025-03-08T02:54:36"/>
    <x v="0"/>
    <s v="Unknown"/>
    <n v="1.94"/>
    <n v="3.28"/>
    <n v="0"/>
    <n v="7.73"/>
    <n v="1.96"/>
    <n v="14.91"/>
    <n v="238.56"/>
    <n v="0.25"/>
    <s v="W0026"/>
    <d v="2025-03-07T13:56:24"/>
    <d v="2025-03-08T02:54:36"/>
    <s v="Corrective"/>
    <n v="15.46"/>
    <n v="85"/>
    <n v="1871"/>
    <n v="0"/>
    <s v="Complete"/>
    <s v="Cause not confirmed; follow-up needed"/>
    <n v="0"/>
    <x v="0"/>
    <n v="178.92000000000002"/>
    <d v="2025-03-01T00:00:00"/>
    <n v="46"/>
    <n v="8230.3200000000015"/>
  </r>
  <r>
    <s v="E0027"/>
    <s v="A002"/>
    <d v="2025-03-19T12:00:00"/>
    <d v="2025-03-20T03:46:12"/>
    <x v="0"/>
    <s v="Seal leak"/>
    <n v="3.9"/>
    <n v="4.3600000000000003"/>
    <n v="0"/>
    <n v="5.63"/>
    <n v="1.88"/>
    <n v="15.77"/>
    <n v="252.32"/>
    <n v="0.19"/>
    <s v="W0027"/>
    <d v="2025-03-19T15:54:00"/>
    <d v="2025-03-20T03:46:12"/>
    <s v="Corrective"/>
    <n v="11.26"/>
    <n v="85"/>
    <n v="2409"/>
    <n v="0"/>
    <s v="Complete"/>
    <s v="Visible leak reported during inspection"/>
    <n v="0"/>
    <x v="0"/>
    <n v="204.3792"/>
    <d v="2025-03-01T00:00:00"/>
    <n v="46"/>
    <n v="9401.4431999999997"/>
  </r>
  <r>
    <s v="E0028"/>
    <s v="A002"/>
    <d v="2025-04-07T12:00:00"/>
    <d v="2025-04-08T00:38:24"/>
    <x v="0"/>
    <s v="Bearing wear"/>
    <n v="2.0499999999999998"/>
    <n v="1.26"/>
    <n v="0"/>
    <n v="7.66"/>
    <n v="1.67"/>
    <n v="12.64"/>
    <n v="202.24"/>
    <n v="0.28999999999999998"/>
    <s v="W0028"/>
    <d v="2025-04-07T14:03:00"/>
    <d v="2025-04-08T00:38:24"/>
    <s v="Corrective"/>
    <n v="7.66"/>
    <n v="85"/>
    <n v="3229"/>
    <n v="0"/>
    <s v="Complete"/>
    <s v="Noise and vibration increased before stop"/>
    <n v="0"/>
    <x v="0"/>
    <n v="143.59039999999999"/>
    <d v="2025-04-01T00:00:00"/>
    <n v="44"/>
    <n v="6317.9775999999993"/>
  </r>
  <r>
    <s v="E0029"/>
    <s v="A002"/>
    <d v="2025-04-28T12:00:00"/>
    <d v="2025-04-28T15:28:12"/>
    <x v="1"/>
    <s v="Scheduled service"/>
    <n v="0"/>
    <n v="0"/>
    <n v="0"/>
    <n v="3.47"/>
    <n v="0"/>
    <n v="3.47"/>
    <n v="55.52"/>
    <n v="0.25"/>
    <s v="W0029"/>
    <d v="2025-04-28T12:00:00"/>
    <d v="2025-04-28T15:28:12"/>
    <s v="Preventive"/>
    <n v="3.47"/>
    <n v="85"/>
    <n v="1407"/>
    <n v="0"/>
    <s v="Complete"/>
    <s v="Scheduled inspection and service"/>
    <n v="0"/>
    <x v="0"/>
    <n v="41.64"/>
    <d v="2025-04-01T00:00:00"/>
    <n v="44"/>
    <n v="1832.16"/>
  </r>
  <r>
    <s v="E0030"/>
    <s v="A002"/>
    <d v="2025-05-05T12:00:00"/>
    <d v="2025-05-05T21:09:36"/>
    <x v="0"/>
    <s v="Process upset"/>
    <n v="1.03"/>
    <n v="4.03"/>
    <n v="0"/>
    <n v="3.57"/>
    <n v="0.53"/>
    <n v="9.16"/>
    <n v="146.56"/>
    <n v="0.21"/>
    <s v="W0030"/>
    <d v="2025-05-05T13:01:48"/>
    <d v="2025-05-05T21:09:36"/>
    <s v="Corrective"/>
    <n v="3.57"/>
    <n v="85"/>
    <m/>
    <n v="0"/>
    <s v="Parts invoice pending"/>
    <s v="Feed conditions changed; equipment restarted"/>
    <n v="0"/>
    <x v="0"/>
    <n v="115.78240000000001"/>
    <d v="2025-05-01T00:00:00"/>
    <n v="42"/>
    <n v="4862.8608000000004"/>
  </r>
  <r>
    <s v="E0031"/>
    <s v="A002"/>
    <d v="2025-06-06T12:00:00"/>
    <d v="2025-06-07T04:40:48"/>
    <x v="0"/>
    <s v="Seal leak"/>
    <n v="2.8"/>
    <n v="4.21"/>
    <n v="0"/>
    <n v="8.1999999999999993"/>
    <n v="1.47"/>
    <n v="16.68"/>
    <n v="266.88"/>
    <n v="0.28999999999999998"/>
    <s v="W0031"/>
    <d v="2025-06-06T14:48:00"/>
    <d v="2025-06-07T04:40:48"/>
    <s v="Corrective"/>
    <n v="8.1999999999999993"/>
    <n v="85"/>
    <n v="2946"/>
    <n v="0"/>
    <s v="Complete"/>
    <s v="Visible leak reported during inspection"/>
    <n v="0"/>
    <x v="0"/>
    <n v="189.48479999999998"/>
    <d v="2025-06-01T00:00:00"/>
    <n v="43"/>
    <n v="8147.8463999999994"/>
  </r>
  <r>
    <s v="E0032"/>
    <s v="A002"/>
    <d v="2025-07-05T12:00:00"/>
    <d v="2025-07-06T10:28:12"/>
    <x v="0"/>
    <s v="Bearing wear"/>
    <n v="4.09"/>
    <n v="4.8099999999999996"/>
    <n v="0"/>
    <n v="12.64"/>
    <n v="0.93"/>
    <n v="22.47"/>
    <n v="359.52"/>
    <n v="0.21"/>
    <s v="W0032"/>
    <d v="2025-07-05T16:05:24"/>
    <d v="2025-07-06T10:28:12"/>
    <s v="Corrective"/>
    <n v="12.64"/>
    <n v="85"/>
    <n v="8918"/>
    <n v="0"/>
    <s v="Complete"/>
    <s v="Noise and vibration increased before stop"/>
    <n v="0"/>
    <x v="0"/>
    <n v="284.02080000000001"/>
    <d v="2025-07-01T00:00:00"/>
    <n v="45"/>
    <n v="12780.936"/>
  </r>
  <r>
    <s v="E0033"/>
    <s v="A002"/>
    <d v="2025-07-28T12:00:00"/>
    <d v="2025-07-28T16:54:00"/>
    <x v="1"/>
    <s v="Scheduled service"/>
    <n v="0"/>
    <n v="0"/>
    <n v="0"/>
    <n v="4.9000000000000004"/>
    <n v="0"/>
    <n v="4.9000000000000004"/>
    <n v="78.400000000000006"/>
    <n v="0.25"/>
    <s v="W0033"/>
    <d v="2025-07-28T12:00:00"/>
    <d v="2025-07-28T16:54:00"/>
    <s v="Preventive"/>
    <n v="4.9000000000000004"/>
    <n v="85"/>
    <n v="1415"/>
    <n v="4293"/>
    <s v="Complete"/>
    <s v="Scheduled inspection and service"/>
    <n v="0"/>
    <x v="0"/>
    <n v="58.800000000000004"/>
    <d v="2025-07-01T00:00:00"/>
    <n v="45"/>
    <n v="2646"/>
  </r>
  <r>
    <s v="E0034"/>
    <s v="A002"/>
    <d v="2025-08-05T12:00:00"/>
    <d v="2025-08-06T02:00:00"/>
    <x v="0"/>
    <s v="Process upset"/>
    <n v="1.57"/>
    <n v="3.98"/>
    <n v="0"/>
    <n v="7.69"/>
    <n v="0.76"/>
    <n v="14"/>
    <n v="224"/>
    <n v="0.19"/>
    <s v="W0034"/>
    <d v="2025-08-05T13:34:12"/>
    <d v="2025-08-06T02:00:00"/>
    <s v="Corrective"/>
    <n v="7.69"/>
    <n v="85"/>
    <n v="8821"/>
    <n v="0"/>
    <s v="Complete"/>
    <s v="Feed conditions changed; equipment restarted"/>
    <n v="0"/>
    <x v="0"/>
    <n v="181.44"/>
    <d v="2025-08-01T00:00:00"/>
    <n v="44"/>
    <n v="7983.36"/>
  </r>
  <r>
    <s v="E0035"/>
    <s v="A002"/>
    <d v="2025-09-07T12:00:00"/>
    <d v="2025-09-08T18:03:36"/>
    <x v="0"/>
    <s v="Electrical trip"/>
    <n v="3.02"/>
    <n v="2.94"/>
    <n v="20.16"/>
    <n v="2.9"/>
    <n v="1.04"/>
    <n v="30.06"/>
    <n v="480.96"/>
    <n v="0.09"/>
    <s v="W0035"/>
    <d v="2025-09-07T15:01:12"/>
    <d v="2025-09-08T18:03:36"/>
    <s v="Corrective"/>
    <n v="5.8"/>
    <n v="85"/>
    <n v="3508"/>
    <n v="4432"/>
    <s v="Complete"/>
    <s v="Protective trip; reviewed electrical panel"/>
    <n v="0"/>
    <x v="0"/>
    <n v="437.67360000000002"/>
    <d v="2025-09-01T00:00:00"/>
    <n v="41"/>
    <n v="17944.617600000001"/>
  </r>
  <r>
    <s v="E0036"/>
    <s v="A002"/>
    <d v="2025-09-20T12:00:00"/>
    <d v="2025-09-21T05:49:12"/>
    <x v="0"/>
    <s v="Seal leak"/>
    <n v="4.57"/>
    <n v="4.42"/>
    <n v="0"/>
    <n v="7.88"/>
    <n v="0.95"/>
    <n v="17.82"/>
    <n v="285.12"/>
    <n v="0.19"/>
    <s v="W0036"/>
    <d v="2025-09-20T16:34:12"/>
    <d v="2025-09-21T05:49:12"/>
    <s v="Corrective"/>
    <n v="7.88"/>
    <n v="85"/>
    <n v="9560"/>
    <n v="0"/>
    <s v="Complete"/>
    <s v="Visible leak reported during inspection"/>
    <n v="0"/>
    <x v="0"/>
    <n v="230.94720000000001"/>
    <d v="2025-09-01T00:00:00"/>
    <n v="41"/>
    <n v="9468.8351999999995"/>
  </r>
  <r>
    <s v="E0037"/>
    <s v="A002"/>
    <d v="2025-10-05T12:00:00"/>
    <d v="2025-10-06T04:28:48"/>
    <x v="0"/>
    <s v="Seal leak"/>
    <n v="2.75"/>
    <n v="3.45"/>
    <n v="0"/>
    <n v="7.93"/>
    <n v="2.35"/>
    <n v="16.48"/>
    <n v="263.68"/>
    <n v="0.1"/>
    <s v="W0037"/>
    <d v="2025-10-05T14:45:00"/>
    <d v="2025-10-06T04:28:48"/>
    <s v="Corrective"/>
    <n v="7.93"/>
    <n v="85"/>
    <n v="4237"/>
    <n v="0"/>
    <s v="Complete"/>
    <s v="Visible leak reported during inspection"/>
    <n v="0"/>
    <x v="0"/>
    <n v="237.31200000000001"/>
    <d v="2025-10-01T00:00:00"/>
    <n v="40"/>
    <n v="9492.48"/>
  </r>
  <r>
    <s v="E0038"/>
    <s v="A002"/>
    <d v="2025-10-28T12:00:00"/>
    <d v="2025-10-28T17:35:24"/>
    <x v="1"/>
    <s v="Scheduled service"/>
    <n v="0"/>
    <n v="0"/>
    <n v="0"/>
    <n v="5.59"/>
    <n v="0"/>
    <n v="5.59"/>
    <n v="89.44"/>
    <n v="0.25"/>
    <s v="W0038"/>
    <d v="2025-10-28T12:00:00"/>
    <d v="2025-10-28T17:35:24"/>
    <s v="Preventive"/>
    <n v="11.18"/>
    <n v="85"/>
    <n v="1659"/>
    <n v="0"/>
    <s v="Complete"/>
    <s v="Scheduled inspection and service"/>
    <n v="0"/>
    <x v="0"/>
    <n v="67.08"/>
    <d v="2025-10-01T00:00:00"/>
    <n v="40"/>
    <n v="2683.2"/>
  </r>
  <r>
    <s v="E0039"/>
    <s v="A002"/>
    <d v="2025-11-05T12:00:00"/>
    <d v="2025-11-06T00:20:24"/>
    <x v="0"/>
    <s v="Process upset"/>
    <n v="1.83"/>
    <n v="3.99"/>
    <n v="0"/>
    <n v="5.49"/>
    <n v="1.03"/>
    <n v="12.34"/>
    <n v="197.44"/>
    <n v="0.13"/>
    <s v="W0039"/>
    <d v="2025-11-05T13:49:48"/>
    <d v="2025-11-06T00:20:24"/>
    <s v="Corrective"/>
    <n v="5.49"/>
    <n v="85"/>
    <n v="2905"/>
    <n v="1266"/>
    <s v="Complete"/>
    <s v="Feed conditions changed; equipment restarted"/>
    <n v="0"/>
    <x v="0"/>
    <n v="171.77279999999999"/>
    <d v="2025-11-01T00:00:00"/>
    <n v="42"/>
    <n v="7214.4575999999997"/>
  </r>
  <r>
    <s v="E0040"/>
    <s v="A002"/>
    <d v="2025-11-19T12:00:00"/>
    <d v="2025-11-20T02:41:24"/>
    <x v="0"/>
    <s v="Seal leak"/>
    <n v="3.01"/>
    <n v="3.77"/>
    <n v="0"/>
    <n v="6.36"/>
    <n v="1.55"/>
    <n v="14.69"/>
    <n v="235.04"/>
    <n v="0.26"/>
    <s v="W0040"/>
    <d v="2025-11-19T15:00:36"/>
    <d v="2025-11-20T02:41:24"/>
    <s v="Corrective"/>
    <n v="6.36"/>
    <n v="85"/>
    <n v="9454"/>
    <n v="3204"/>
    <s v="Complete"/>
    <s v="Visible leak reported during inspection"/>
    <n v="0"/>
    <x v="0"/>
    <n v="173.92959999999999"/>
    <d v="2025-11-01T00:00:00"/>
    <n v="42"/>
    <n v="7305.0432000000001"/>
  </r>
  <r>
    <s v="E0041"/>
    <s v="A002"/>
    <d v="2025-12-04T12:00:00"/>
    <d v="2025-12-05T00:13:12"/>
    <x v="0"/>
    <s v="Electrical trip"/>
    <n v="0.88"/>
    <n v="2.71"/>
    <n v="0"/>
    <n v="6.79"/>
    <n v="1.84"/>
    <n v="12.22"/>
    <n v="195.52"/>
    <n v="0.14000000000000001"/>
    <s v="W0041"/>
    <d v="2025-12-04T12:52:48"/>
    <d v="2025-12-05T00:13:12"/>
    <s v="Corrective"/>
    <n v="6.79"/>
    <n v="85"/>
    <n v="4113"/>
    <n v="0"/>
    <s v="Complete"/>
    <s v="Protective trip; reviewed electrical panel"/>
    <n v="0"/>
    <x v="0"/>
    <n v="168.1472"/>
    <d v="2025-12-01T00:00:00"/>
    <n v="43"/>
    <n v="7230.3296"/>
  </r>
  <r>
    <s v="E0042"/>
    <s v="A002"/>
    <d v="2025-12-19T12:00:00"/>
    <d v="2025-12-20T07:39:00"/>
    <x v="0"/>
    <s v="Bearing wear"/>
    <n v="4.63"/>
    <n v="1.0900000000000001"/>
    <n v="0"/>
    <n v="12.82"/>
    <n v="1.1100000000000001"/>
    <n v="19.649999999999999"/>
    <n v="314.39999999999998"/>
    <n v="0.19"/>
    <s v="W0042"/>
    <d v="2025-12-19T16:37:48"/>
    <d v="2025-12-20T07:39:00"/>
    <s v="Corrective"/>
    <n v="12.82"/>
    <n v="85"/>
    <n v="8893"/>
    <n v="0"/>
    <s v="Complete"/>
    <s v="Noise and vibration increased before stop"/>
    <n v="0"/>
    <x v="0"/>
    <n v="254.66399999999999"/>
    <d v="2025-12-01T00:00:00"/>
    <n v="43"/>
    <n v="10950.552"/>
  </r>
  <r>
    <s v="E0043"/>
    <s v="A003"/>
    <d v="2025-01-05T12:00:00"/>
    <d v="2025-01-06T03:25:48"/>
    <x v="0"/>
    <s v="Electrical trip"/>
    <n v="2.96"/>
    <n v="2.02"/>
    <n v="0"/>
    <n v="8.73"/>
    <n v="1.72"/>
    <n v="15.43"/>
    <n v="432.04"/>
    <n v="0.25"/>
    <s v="W0043"/>
    <d v="2025-01-05T14:57:36"/>
    <d v="2025-01-06T03:25:48"/>
    <s v="Corrective"/>
    <n v="17.46"/>
    <n v="85"/>
    <n v="1810"/>
    <n v="0"/>
    <s v="Complete"/>
    <s v="Protective trip; reviewed electrical panel"/>
    <n v="0"/>
    <x v="0"/>
    <n v="324.03000000000003"/>
    <d v="2025-01-01T00:00:00"/>
    <n v="50"/>
    <n v="16201.500000000002"/>
  </r>
  <r>
    <s v="E0044"/>
    <s v="A003"/>
    <d v="2025-01-28T12:00:00"/>
    <d v="2025-01-28T19:45:36"/>
    <x v="1"/>
    <s v="Scheduled service"/>
    <n v="0"/>
    <n v="0"/>
    <n v="0"/>
    <n v="7.76"/>
    <n v="0"/>
    <n v="7.76"/>
    <n v="217.28"/>
    <n v="0.25"/>
    <s v="W0044"/>
    <d v="2025-01-28T12:00:00"/>
    <d v="2025-01-28T19:45:36"/>
    <s v="Preventive"/>
    <n v="7.76"/>
    <n v="85"/>
    <n v="1105"/>
    <n v="0"/>
    <s v="Complete"/>
    <s v="Scheduled inspection and service"/>
    <n v="0"/>
    <x v="0"/>
    <n v="162.96"/>
    <d v="2025-01-01T00:00:00"/>
    <n v="50"/>
    <n v="8148"/>
  </r>
  <r>
    <s v="E0045"/>
    <s v="A003"/>
    <d v="2025-02-08T12:00:00"/>
    <d v="2025-02-09T13:31:48"/>
    <x v="0"/>
    <s v="Process upset"/>
    <n v="2.92"/>
    <n v="4.12"/>
    <n v="13.34"/>
    <n v="3"/>
    <n v="2.15"/>
    <n v="25.53"/>
    <n v="714.84"/>
    <n v="0.24"/>
    <s v="W0045"/>
    <d v="2025-02-08T14:55:12"/>
    <d v="2025-02-09T13:31:48"/>
    <s v="Corrective"/>
    <n v="3"/>
    <n v="85"/>
    <n v="8678"/>
    <n v="0"/>
    <s v="Complete"/>
    <s v="Feed conditions changed; equipment restarted"/>
    <n v="0"/>
    <x v="0"/>
    <n v="543.27840000000003"/>
    <d v="2025-02-01T00:00:00"/>
    <n v="48"/>
    <n v="26077.3632"/>
  </r>
  <r>
    <s v="E0046"/>
    <s v="A003"/>
    <d v="2025-03-05T12:00:00"/>
    <d v="2025-03-06T04:47:24"/>
    <x v="0"/>
    <s v="Bearing wear"/>
    <n v="4.71"/>
    <n v="2.23"/>
    <n v="0"/>
    <n v="7.76"/>
    <n v="2.09"/>
    <n v="16.79"/>
    <n v="470.12"/>
    <n v="0.25"/>
    <s v="W0046"/>
    <d v="2025-03-05T16:42:36"/>
    <d v="2025-03-06T04:47:24"/>
    <s v="Corrective"/>
    <n v="15.52"/>
    <n v="85"/>
    <n v="2141"/>
    <n v="4357"/>
    <s v="Complete"/>
    <s v="Noise and vibration increased before stop"/>
    <n v="0"/>
    <x v="0"/>
    <n v="352.59000000000003"/>
    <d v="2025-03-01T00:00:00"/>
    <n v="46"/>
    <n v="16219.140000000001"/>
  </r>
  <r>
    <s v="E0047"/>
    <s v="A003"/>
    <d v="2025-04-10T12:00:00"/>
    <d v="2025-04-11T03:43:12"/>
    <x v="0"/>
    <s v="Unknown"/>
    <n v="3.57"/>
    <n v="1.94"/>
    <n v="0"/>
    <n v="8.61"/>
    <n v="1.6"/>
    <n v="15.72"/>
    <n v="440.16"/>
    <n v="0.27"/>
    <s v="W0047"/>
    <d v="2025-04-10T15:34:12"/>
    <d v="2025-04-11T03:43:12"/>
    <s v="Corrective"/>
    <n v="8.61"/>
    <n v="85"/>
    <n v="3055"/>
    <n v="0"/>
    <s v="Complete"/>
    <s v="Cause not confirmed; follow-up needed"/>
    <n v="0"/>
    <x v="0"/>
    <n v="321.3168"/>
    <d v="2025-04-01T00:00:00"/>
    <n v="44"/>
    <n v="14137.939200000001"/>
  </r>
  <r>
    <s v="E0048"/>
    <s v="A003"/>
    <d v="2025-04-28T12:00:00"/>
    <d v="2025-04-28T18:22:12"/>
    <x v="1"/>
    <s v="Scheduled service"/>
    <n v="0"/>
    <n v="0"/>
    <n v="0"/>
    <n v="6.37"/>
    <n v="0"/>
    <n v="6.37"/>
    <n v="178.36"/>
    <n v="0.25"/>
    <s v="W0048"/>
    <d v="2025-04-28T12:00:00"/>
    <d v="2025-04-28T18:22:12"/>
    <s v="Preventive"/>
    <n v="12.74"/>
    <n v="85"/>
    <n v="590"/>
    <n v="0"/>
    <s v="Complete"/>
    <s v="Scheduled inspection and service"/>
    <n v="0"/>
    <x v="0"/>
    <n v="133.77000000000001"/>
    <d v="2025-04-01T00:00:00"/>
    <n v="44"/>
    <n v="5885.88"/>
  </r>
  <r>
    <s v="E0049"/>
    <s v="A003"/>
    <d v="2025-05-06T12:00:00"/>
    <d v="2025-05-07T04:26:24"/>
    <x v="0"/>
    <s v="Electrical trip"/>
    <n v="3.39"/>
    <n v="2.71"/>
    <n v="0"/>
    <n v="9.75"/>
    <n v="0.59"/>
    <n v="16.440000000000001"/>
    <n v="460.32"/>
    <n v="0.13"/>
    <s v="W0049"/>
    <d v="2025-05-06T15:23:24"/>
    <d v="2025-05-07T04:26:24"/>
    <s v="Corrective"/>
    <n v="9.75"/>
    <n v="85"/>
    <n v="6594"/>
    <n v="0"/>
    <s v="Complete"/>
    <s v="Protective trip; reviewed electrical panel"/>
    <n v="0"/>
    <x v="0"/>
    <n v="400.47839999999997"/>
    <d v="2025-05-01T00:00:00"/>
    <n v="42"/>
    <n v="16820.092799999999"/>
  </r>
  <r>
    <s v="E0050"/>
    <s v="A003"/>
    <d v="2025-06-05T12:00:00"/>
    <d v="2025-06-06T03:18:36"/>
    <x v="0"/>
    <s v="Electrical trip"/>
    <n v="3.34"/>
    <n v="3.84"/>
    <n v="0"/>
    <n v="7.15"/>
    <n v="0.98"/>
    <n v="15.31"/>
    <n v="428.68"/>
    <n v="0.22"/>
    <s v="W0050"/>
    <d v="2025-06-05T15:20:24"/>
    <d v="2025-06-06T03:18:36"/>
    <s v="Corrective"/>
    <n v="7.15"/>
    <n v="85"/>
    <n v="8935"/>
    <n v="0"/>
    <s v="Complete"/>
    <s v="Protective trip; reviewed electrical panel"/>
    <n v="0"/>
    <x v="0"/>
    <n v="334.37040000000002"/>
    <d v="2025-06-01T00:00:00"/>
    <n v="43"/>
    <n v="14377.9272"/>
  </r>
  <r>
    <s v="E0051"/>
    <s v="A003"/>
    <d v="2025-07-05T12:00:00"/>
    <d v="2025-07-06T22:57:36"/>
    <x v="0"/>
    <s v="Electrical trip"/>
    <n v="4.08"/>
    <n v="2.11"/>
    <n v="23.22"/>
    <n v="3.71"/>
    <n v="1.84"/>
    <n v="34.96"/>
    <n v="978.88"/>
    <n v="0.09"/>
    <s v="W0051"/>
    <d v="2025-07-05T16:04:48"/>
    <d v="2025-07-06T22:57:36"/>
    <s v="Corrective"/>
    <n v="3.71"/>
    <n v="85"/>
    <n v="8477"/>
    <n v="0"/>
    <s v="Complete"/>
    <s v="Protective trip; reviewed electrical panel"/>
    <n v="0"/>
    <x v="0"/>
    <n v="890.7808"/>
    <d v="2025-07-01T00:00:00"/>
    <n v="45"/>
    <n v="40085.135999999999"/>
  </r>
  <r>
    <s v="E0052"/>
    <s v="A003"/>
    <d v="2025-07-28T12:00:00"/>
    <d v="2025-07-28T18:47:24"/>
    <x v="1"/>
    <s v="Scheduled service"/>
    <n v="0"/>
    <n v="0"/>
    <n v="0"/>
    <n v="6.79"/>
    <n v="0"/>
    <n v="6.79"/>
    <n v="190.12"/>
    <n v="0.25"/>
    <s v="W0052"/>
    <d v="2025-07-28T12:00:00"/>
    <d v="2025-07-28T18:47:24"/>
    <s v="Preventive"/>
    <n v="13.58"/>
    <n v="85"/>
    <n v="1128"/>
    <n v="2726"/>
    <s v="Complete"/>
    <s v="Scheduled inspection and service"/>
    <n v="0"/>
    <x v="0"/>
    <n v="142.59"/>
    <d v="2025-07-01T00:00:00"/>
    <n v="45"/>
    <n v="6416.55"/>
  </r>
  <r>
    <s v="E0053"/>
    <s v="A003"/>
    <d v="2025-08-06T12:00:00"/>
    <d v="2025-08-06T23:27:36"/>
    <x v="0"/>
    <s v="Seal leak"/>
    <n v="2.33"/>
    <n v="3.51"/>
    <n v="0"/>
    <n v="4.93"/>
    <n v="0.69"/>
    <n v="11.46"/>
    <n v="320.88"/>
    <n v="0.23"/>
    <s v="W0053"/>
    <d v="2025-08-06T14:19:48"/>
    <d v="2025-08-06T23:27:36"/>
    <s v="Corrective"/>
    <n v="4.93"/>
    <n v="85"/>
    <n v="5334"/>
    <n v="0"/>
    <s v="Complete"/>
    <s v="Visible leak reported during inspection"/>
    <n v="0"/>
    <x v="0"/>
    <n v="247.07759999999999"/>
    <d v="2025-08-01T00:00:00"/>
    <n v="44"/>
    <n v="10871.4144"/>
  </r>
  <r>
    <s v="E0054"/>
    <s v="A003"/>
    <d v="2025-08-21T12:00:00"/>
    <d v="2025-08-22T03:40:48"/>
    <x v="0"/>
    <s v="Unknown"/>
    <n v="4.18"/>
    <n v="2.71"/>
    <n v="0"/>
    <n v="6.75"/>
    <n v="2.04"/>
    <n v="15.68"/>
    <n v="439.04"/>
    <n v="0.28000000000000003"/>
    <s v="W0054"/>
    <d v="2025-08-21T16:10:48"/>
    <d v="2025-08-22T03:40:48"/>
    <s v="Corrective"/>
    <n v="6.75"/>
    <n v="85"/>
    <n v="7693"/>
    <n v="0"/>
    <s v="Complete"/>
    <s v="Cause not confirmed; follow-up needed"/>
    <n v="0"/>
    <x v="0"/>
    <n v="316.10880000000003"/>
    <d v="2025-08-01T00:00:00"/>
    <n v="44"/>
    <n v="13908.787200000001"/>
  </r>
  <r>
    <s v="E0055"/>
    <s v="A003"/>
    <d v="2025-09-08T12:00:00"/>
    <d v="2025-09-09T05:22:48"/>
    <x v="0"/>
    <s v="Bearing wear"/>
    <n v="3.5"/>
    <n v="1.92"/>
    <n v="0"/>
    <n v="11.44"/>
    <n v="0.52"/>
    <n v="17.38"/>
    <n v="486.64"/>
    <n v="0.14000000000000001"/>
    <s v="W0055"/>
    <d v="2025-09-08T15:30:00"/>
    <d v="2025-09-09T05:22:48"/>
    <s v="Corrective"/>
    <n v="22.88"/>
    <n v="85"/>
    <n v="7945"/>
    <n v="0"/>
    <s v="Complete"/>
    <s v="Noise and vibration increased before stop"/>
    <n v="0"/>
    <x v="0"/>
    <n v="418.5104"/>
    <d v="2025-09-01T00:00:00"/>
    <n v="41"/>
    <n v="17158.9264"/>
  </r>
  <r>
    <s v="E0056"/>
    <s v="A003"/>
    <d v="2025-09-22T12:00:00"/>
    <d v="2025-09-22T22:03:00"/>
    <x v="0"/>
    <s v="Seal leak"/>
    <n v="0.89"/>
    <n v="3.48"/>
    <n v="0"/>
    <n v="4.1399999999999997"/>
    <n v="1.54"/>
    <n v="10.050000000000001"/>
    <n v="281.39999999999998"/>
    <n v="0.09"/>
    <s v="W0056"/>
    <d v="2025-09-22T12:53:24"/>
    <d v="2025-09-22T22:03:00"/>
    <s v="Corrective"/>
    <n v="8.2799999999999994"/>
    <n v="85"/>
    <n v="5881"/>
    <n v="0"/>
    <s v="Complete"/>
    <s v="Visible leak reported during inspection"/>
    <n v="0"/>
    <x v="0"/>
    <n v="256.07400000000001"/>
    <d v="2025-09-01T00:00:00"/>
    <n v="41"/>
    <n v="10499.034"/>
  </r>
  <r>
    <s v="E0057"/>
    <s v="A003"/>
    <d v="2025-10-06T12:00:00"/>
    <d v="2025-10-07T02:00:36"/>
    <x v="0"/>
    <s v="Electrical trip"/>
    <n v="1.92"/>
    <n v="2.68"/>
    <n v="0"/>
    <n v="7.31"/>
    <n v="2.1"/>
    <n v="14.01"/>
    <n v="392.28"/>
    <n v="0.27"/>
    <s v="W0057"/>
    <d v="2025-10-06T13:55:12"/>
    <d v="2025-10-07T02:00:36"/>
    <s v="Corrective"/>
    <n v="7.31"/>
    <n v="85"/>
    <n v="5038"/>
    <n v="0"/>
    <s v="Complete"/>
    <s v="Protective trip; reviewed electrical panel"/>
    <n v="0"/>
    <x v="0"/>
    <n v="286.36439999999999"/>
    <d v="2025-10-01T00:00:00"/>
    <n v="40"/>
    <n v="11454.575999999999"/>
  </r>
  <r>
    <s v="E0058"/>
    <s v="A003"/>
    <d v="2025-10-28T12:00:00"/>
    <d v="2025-10-28T19:39:00"/>
    <x v="1"/>
    <s v="Scheduled service"/>
    <n v="0"/>
    <n v="0"/>
    <n v="0"/>
    <n v="7.65"/>
    <n v="0"/>
    <n v="7.65"/>
    <n v="214.2"/>
    <n v="0.25"/>
    <s v="W0058"/>
    <d v="2025-10-28T12:00:00"/>
    <d v="2025-10-28T19:39:00"/>
    <s v="Preventive"/>
    <n v="7.65"/>
    <n v="85"/>
    <n v="562"/>
    <n v="3095"/>
    <s v="Complete"/>
    <s v="Scheduled inspection and service"/>
    <n v="0"/>
    <x v="0"/>
    <n v="160.64999999999998"/>
    <d v="2025-10-01T00:00:00"/>
    <n v="40"/>
    <n v="6425.9999999999991"/>
  </r>
  <r>
    <s v="E0059"/>
    <s v="A003"/>
    <d v="2025-11-07T12:00:00"/>
    <d v="2025-11-08T05:10:48"/>
    <x v="0"/>
    <s v="Seal leak"/>
    <n v="4.49"/>
    <n v="1.59"/>
    <n v="0"/>
    <n v="9.99"/>
    <n v="1.1100000000000001"/>
    <n v="17.18"/>
    <n v="481.04"/>
    <n v="0.22"/>
    <s v="W0059"/>
    <d v="2025-11-07T16:29:24"/>
    <d v="2025-11-08T05:10:48"/>
    <s v="Corrective"/>
    <n v="19.98"/>
    <n v="85"/>
    <m/>
    <n v="1048"/>
    <s v="Parts invoice pending"/>
    <s v="Visible leak reported during inspection"/>
    <n v="0"/>
    <x v="0"/>
    <n v="375.21120000000002"/>
    <d v="2025-11-01T00:00:00"/>
    <n v="42"/>
    <n v="15758.870400000002"/>
  </r>
  <r>
    <s v="E0060"/>
    <s v="A003"/>
    <d v="2025-12-04T12:00:00"/>
    <d v="2025-12-05T07:58:48"/>
    <x v="0"/>
    <s v="Bearing wear"/>
    <n v="4.18"/>
    <n v="1.74"/>
    <n v="0"/>
    <n v="12.98"/>
    <n v="1.08"/>
    <n v="19.98"/>
    <n v="559.44000000000005"/>
    <n v="0.26"/>
    <s v="W0060"/>
    <d v="2025-12-04T16:10:48"/>
    <d v="2025-12-05T07:58:48"/>
    <s v="Corrective"/>
    <n v="12.98"/>
    <n v="85"/>
    <n v="5363"/>
    <n v="0"/>
    <s v="Complete"/>
    <s v="Noise and vibration increased before stop"/>
    <n v="0"/>
    <x v="0"/>
    <n v="413.98560000000003"/>
    <d v="2025-12-01T00:00:00"/>
    <n v="43"/>
    <n v="17801.380800000003"/>
  </r>
  <r>
    <s v="E0061"/>
    <s v="A004"/>
    <d v="2025-01-07T12:00:00"/>
    <d v="2025-01-08T18:01:48"/>
    <x v="0"/>
    <s v="Bearing wear"/>
    <n v="2.2400000000000002"/>
    <n v="6.45"/>
    <n v="10.08"/>
    <n v="9.81"/>
    <n v="1.45"/>
    <n v="30.03"/>
    <n v="900.9"/>
    <n v="0.28999999999999998"/>
    <s v="W0061"/>
    <d v="2025-01-07T14:14:24"/>
    <d v="2025-01-08T18:01:48"/>
    <s v="Corrective"/>
    <n v="9.81"/>
    <n v="85"/>
    <n v="2191"/>
    <n v="0"/>
    <s v="Complete"/>
    <s v="Noise and vibration increased before stop"/>
    <n v="0.5"/>
    <x v="1"/>
    <n v="639.6389999999999"/>
    <d v="2025-01-01T00:00:00"/>
    <n v="49.2"/>
    <n v="31470.238799999996"/>
  </r>
  <r>
    <s v="E0062"/>
    <s v="A004"/>
    <d v="2025-01-28T12:00:00"/>
    <d v="2025-01-28T15:08:24"/>
    <x v="1"/>
    <s v="Scheduled service"/>
    <n v="0"/>
    <n v="0"/>
    <n v="0"/>
    <n v="3.14"/>
    <n v="0"/>
    <n v="3.14"/>
    <n v="94.2"/>
    <n v="0.25"/>
    <s v="W0062"/>
    <d v="2025-01-28T12:00:00"/>
    <d v="2025-01-28T15:08:24"/>
    <s v="Preventive"/>
    <n v="6.28"/>
    <n v="85"/>
    <n v="863"/>
    <n v="0"/>
    <s v="Complete"/>
    <s v="Scheduled inspection and service"/>
    <n v="0"/>
    <x v="1"/>
    <n v="70.650000000000006"/>
    <d v="2025-01-01T00:00:00"/>
    <n v="49.2"/>
    <n v="3475.9800000000005"/>
  </r>
  <r>
    <s v="E0063"/>
    <s v="A004"/>
    <d v="2025-02-05T12:00:00"/>
    <d v="2025-02-06T16:52:12"/>
    <x v="0"/>
    <s v="Seal leak"/>
    <n v="3.41"/>
    <n v="5.48"/>
    <n v="11.23"/>
    <n v="7.08"/>
    <n v="1.67"/>
    <n v="28.87"/>
    <n v="866.1"/>
    <n v="0.16"/>
    <s v="W0063"/>
    <d v="2025-02-05T15:24:36"/>
    <d v="2025-02-06T16:52:12"/>
    <s v="Corrective"/>
    <n v="14.16"/>
    <n v="85"/>
    <n v="3552"/>
    <n v="0"/>
    <s v="Complete"/>
    <s v="Visible leak reported during inspection"/>
    <n v="0"/>
    <x v="1"/>
    <n v="727.524"/>
    <d v="2025-02-01T00:00:00"/>
    <n v="47.2"/>
    <n v="34339.132799999999"/>
  </r>
  <r>
    <s v="E0064"/>
    <s v="A004"/>
    <d v="2025-02-22T12:00:00"/>
    <d v="2025-02-23T07:41:24"/>
    <x v="0"/>
    <s v="Seal leak"/>
    <n v="3.99"/>
    <n v="6.96"/>
    <n v="0"/>
    <n v="8"/>
    <n v="0.74"/>
    <n v="19.690000000000001"/>
    <n v="590.70000000000005"/>
    <n v="0.16"/>
    <s v="W0064"/>
    <d v="2025-02-22T15:59:24"/>
    <d v="2025-02-23T07:41:24"/>
    <s v="Corrective"/>
    <n v="8"/>
    <n v="85"/>
    <n v="3697"/>
    <n v="0"/>
    <s v="Complete"/>
    <s v="Visible leak reported during inspection"/>
    <n v="0"/>
    <x v="1"/>
    <n v="496.18800000000005"/>
    <d v="2025-02-01T00:00:00"/>
    <n v="47.2"/>
    <n v="23420.073600000003"/>
  </r>
  <r>
    <s v="E0065"/>
    <s v="A004"/>
    <d v="2025-03-06T12:00:00"/>
    <d v="2025-03-07T04:42:36"/>
    <x v="0"/>
    <s v="Electrical trip"/>
    <n v="4.22"/>
    <n v="2.0099999999999998"/>
    <n v="0"/>
    <n v="8.3699999999999992"/>
    <n v="2.11"/>
    <n v="16.71"/>
    <n v="501.3"/>
    <n v="0.17"/>
    <s v="W0065"/>
    <d v="2025-03-06T16:13:12"/>
    <d v="2025-03-07T04:42:36"/>
    <s v="Corrective"/>
    <n v="16.739999999999998"/>
    <n v="85"/>
    <n v="9553"/>
    <n v="0"/>
    <s v="Complete"/>
    <s v="Protective trip; reviewed electrical panel"/>
    <n v="0.5"/>
    <x v="1"/>
    <n v="416.07900000000001"/>
    <d v="2025-03-01T00:00:00"/>
    <n v="45.2"/>
    <n v="18806.770800000002"/>
  </r>
  <r>
    <s v="E0066"/>
    <s v="A004"/>
    <d v="2025-04-08T12:00:00"/>
    <d v="2025-04-10T01:50:24"/>
    <x v="0"/>
    <s v="Bearing wear"/>
    <n v="1.1299999999999999"/>
    <n v="3.98"/>
    <n v="20.36"/>
    <n v="11.38"/>
    <n v="0.99"/>
    <n v="37.840000000000003"/>
    <n v="1135.2"/>
    <n v="0.14000000000000001"/>
    <s v="W0066"/>
    <d v="2025-04-08T13:07:48"/>
    <d v="2025-04-10T01:50:24"/>
    <s v="Corrective"/>
    <n v="11.38"/>
    <n v="85"/>
    <n v="8404"/>
    <n v="0"/>
    <s v="Complete"/>
    <s v="Noise and vibration increased before stop"/>
    <n v="0"/>
    <x v="1"/>
    <n v="976.27200000000005"/>
    <d v="2025-04-01T00:00:00"/>
    <n v="43.2"/>
    <n v="42174.950400000002"/>
  </r>
  <r>
    <s v="E0067"/>
    <s v="A004"/>
    <d v="2025-04-28T12:00:00"/>
    <d v="2025-04-28T18:42:00"/>
    <x v="1"/>
    <s v="Scheduled service"/>
    <n v="0"/>
    <n v="0"/>
    <n v="0"/>
    <n v="6.7"/>
    <n v="0"/>
    <n v="6.7"/>
    <n v="201"/>
    <n v="0.25"/>
    <s v="W0067"/>
    <d v="2025-04-28T12:00:00"/>
    <d v="2025-04-28T18:42:00"/>
    <s v="Preventive"/>
    <n v="6.7"/>
    <n v="85"/>
    <n v="1595"/>
    <n v="0"/>
    <s v="Complete"/>
    <s v="Scheduled inspection and service"/>
    <n v="0"/>
    <x v="1"/>
    <n v="150.75"/>
    <d v="2025-04-01T00:00:00"/>
    <n v="43.2"/>
    <n v="6512.4000000000005"/>
  </r>
  <r>
    <s v="E0068"/>
    <s v="A004"/>
    <d v="2025-05-04T12:00:00"/>
    <d v="2025-05-05T10:41:24"/>
    <x v="0"/>
    <s v="Bearing wear"/>
    <n v="4.2"/>
    <n v="4.09"/>
    <n v="0"/>
    <n v="12.14"/>
    <n v="2.2599999999999998"/>
    <n v="22.69"/>
    <n v="680.7"/>
    <n v="0.11"/>
    <s v="W0068"/>
    <d v="2025-05-04T16:12:00"/>
    <d v="2025-05-05T10:41:24"/>
    <s v="Corrective"/>
    <n v="12.14"/>
    <n v="85"/>
    <n v="6620"/>
    <n v="1262"/>
    <s v="Complete"/>
    <s v="Noise and vibration increased before stop"/>
    <n v="0"/>
    <x v="1"/>
    <n v="605.82300000000009"/>
    <d v="2025-05-01T00:00:00"/>
    <n v="41.2"/>
    <n v="24959.907600000006"/>
  </r>
  <r>
    <s v="E0069"/>
    <s v="A004"/>
    <d v="2025-06-07T12:00:00"/>
    <d v="2025-06-08T04:47:24"/>
    <x v="0"/>
    <s v="Electrical trip"/>
    <n v="2.71"/>
    <n v="7.06"/>
    <n v="0"/>
    <n v="5.34"/>
    <n v="1.68"/>
    <n v="16.79"/>
    <n v="503.7"/>
    <n v="0.21"/>
    <s v="W0069"/>
    <d v="2025-06-07T14:42:36"/>
    <d v="2025-06-08T04:47:24"/>
    <s v="Corrective"/>
    <n v="5.34"/>
    <n v="85"/>
    <n v="2903"/>
    <n v="0"/>
    <s v="Complete"/>
    <s v="Protective trip; reviewed electrical panel"/>
    <n v="0.5"/>
    <x v="1"/>
    <n v="397.923"/>
    <d v="2025-06-01T00:00:00"/>
    <n v="42.2"/>
    <n v="16792.350600000002"/>
  </r>
  <r>
    <s v="E0070"/>
    <s v="A004"/>
    <d v="2025-06-21T12:00:00"/>
    <d v="2025-06-22T21:06:36"/>
    <x v="0"/>
    <s v="Bearing wear"/>
    <n v="1.3"/>
    <n v="3.64"/>
    <n v="14.75"/>
    <n v="12.06"/>
    <n v="1.36"/>
    <n v="33.11"/>
    <n v="993.3"/>
    <n v="0.28000000000000003"/>
    <s v="W0070"/>
    <d v="2025-06-21T13:18:00"/>
    <d v="2025-06-22T21:06:36"/>
    <s v="Corrective"/>
    <n v="12.06"/>
    <n v="85"/>
    <n v="1321"/>
    <n v="0"/>
    <s v="Complete"/>
    <s v="Noise and vibration increased before stop"/>
    <n v="0"/>
    <x v="1"/>
    <n v="715.17599999999993"/>
    <d v="2025-06-01T00:00:00"/>
    <n v="42.2"/>
    <n v="30180.427199999998"/>
  </r>
  <r>
    <s v="E0071"/>
    <s v="A004"/>
    <d v="2025-07-09T12:00:00"/>
    <d v="2025-07-10T03:08:24"/>
    <x v="0"/>
    <s v="Bearing wear"/>
    <n v="1.99"/>
    <n v="1.74"/>
    <n v="0"/>
    <n v="10.58"/>
    <n v="0.83"/>
    <n v="15.14"/>
    <n v="454.2"/>
    <n v="0.11"/>
    <s v="W0071"/>
    <d v="2025-07-09T13:59:24"/>
    <d v="2025-07-10T03:08:24"/>
    <s v="Corrective"/>
    <n v="21.16"/>
    <n v="85"/>
    <n v="7056"/>
    <n v="0"/>
    <s v="Complete"/>
    <s v="Noise and vibration increased before stop"/>
    <n v="0"/>
    <x v="1"/>
    <n v="404.238"/>
    <d v="2025-07-01T00:00:00"/>
    <n v="44.2"/>
    <n v="17867.319600000003"/>
  </r>
  <r>
    <s v="E0072"/>
    <s v="A004"/>
    <d v="2025-07-28T12:00:00"/>
    <d v="2025-07-28T16:02:24"/>
    <x v="1"/>
    <s v="Scheduled service"/>
    <n v="0"/>
    <n v="0"/>
    <n v="0"/>
    <n v="4.04"/>
    <n v="0"/>
    <n v="4.04"/>
    <n v="121.2"/>
    <n v="0.25"/>
    <s v="W0072"/>
    <d v="2025-07-28T12:00:00"/>
    <d v="2025-07-28T16:02:24"/>
    <s v="Preventive"/>
    <n v="4.04"/>
    <n v="85"/>
    <n v="473"/>
    <n v="0"/>
    <s v="Complete"/>
    <s v="Scheduled inspection and service"/>
    <n v="0"/>
    <x v="1"/>
    <n v="90.9"/>
    <d v="2025-07-01T00:00:00"/>
    <n v="44.2"/>
    <n v="4017.7800000000007"/>
  </r>
  <r>
    <s v="E0073"/>
    <s v="A004"/>
    <d v="2025-08-05T12:00:00"/>
    <d v="2025-08-06T21:36:36"/>
    <x v="0"/>
    <s v="Seal leak"/>
    <n v="2.77"/>
    <n v="3.1"/>
    <n v="23.35"/>
    <n v="2.57"/>
    <n v="1.82"/>
    <n v="33.61"/>
    <n v="1008.3"/>
    <n v="0.21"/>
    <s v="W0073"/>
    <d v="2025-08-05T14:46:12"/>
    <d v="2025-08-06T21:36:36"/>
    <s v="Corrective"/>
    <n v="2.57"/>
    <n v="85"/>
    <n v="2254"/>
    <n v="0"/>
    <s v="Complete"/>
    <s v="Visible leak reported during inspection"/>
    <n v="0"/>
    <x v="1"/>
    <n v="796.55700000000002"/>
    <d v="2025-08-01T00:00:00"/>
    <n v="43.2"/>
    <n v="34411.2624"/>
  </r>
  <r>
    <s v="E0074"/>
    <s v="A004"/>
    <d v="2025-08-21T12:00:00"/>
    <d v="2025-08-22T14:03:00"/>
    <x v="0"/>
    <s v="Bearing wear"/>
    <n v="4.6500000000000004"/>
    <n v="3.3"/>
    <n v="9.44"/>
    <n v="6.5"/>
    <n v="2.16"/>
    <n v="26.05"/>
    <n v="781.5"/>
    <n v="0.23"/>
    <s v="W0074"/>
    <d v="2025-08-21T16:39:00"/>
    <d v="2025-08-22T14:03:00"/>
    <s v="Corrective"/>
    <n v="6.5"/>
    <n v="85"/>
    <n v="2448"/>
    <n v="1200"/>
    <s v="Complete"/>
    <s v="Noise and vibration increased before stop"/>
    <n v="0"/>
    <x v="1"/>
    <n v="601.755"/>
    <d v="2025-08-01T00:00:00"/>
    <n v="43.2"/>
    <n v="25995.816000000003"/>
  </r>
  <r>
    <s v="E0075"/>
    <s v="A004"/>
    <d v="2025-09-08T12:00:00"/>
    <d v="2025-09-09T03:03:00"/>
    <x v="0"/>
    <s v="Process upset"/>
    <n v="1.89"/>
    <n v="4.7699999999999996"/>
    <n v="0"/>
    <n v="6.11"/>
    <n v="2.2799999999999998"/>
    <n v="15.05"/>
    <n v="451.5"/>
    <n v="0.16"/>
    <s v="W0075"/>
    <d v="2025-09-08T13:53:24"/>
    <d v="2025-09-09T03:03:00"/>
    <s v="Corrective"/>
    <n v="12.22"/>
    <n v="85"/>
    <n v="1264"/>
    <n v="0"/>
    <s v="Complete"/>
    <s v="Feed conditions changed; equipment restarted"/>
    <n v="0"/>
    <x v="1"/>
    <n v="379.26"/>
    <d v="2025-09-01T00:00:00"/>
    <n v="40.200000000000003"/>
    <n v="15246.252"/>
  </r>
  <r>
    <s v="E0076"/>
    <s v="A004"/>
    <d v="2025-09-19T12:00:00"/>
    <d v="2025-09-20T01:45:00"/>
    <x v="0"/>
    <s v="Seal leak"/>
    <n v="3.04"/>
    <n v="6.65"/>
    <n v="0"/>
    <n v="3.35"/>
    <n v="0.71"/>
    <n v="13.75"/>
    <n v="412.5"/>
    <n v="0.19"/>
    <s v="W0076"/>
    <d v="2025-09-19T15:02:24"/>
    <d v="2025-09-20T01:45:00"/>
    <s v="Corrective"/>
    <n v="3.35"/>
    <n v="85"/>
    <n v="2692"/>
    <n v="0"/>
    <s v="Complete"/>
    <s v="Visible leak reported during inspection"/>
    <n v="0"/>
    <x v="1"/>
    <n v="334.125"/>
    <d v="2025-09-01T00:00:00"/>
    <n v="40.200000000000003"/>
    <n v="13431.825000000001"/>
  </r>
  <r>
    <s v="E0077"/>
    <s v="A004"/>
    <d v="2025-10-05T12:00:00"/>
    <d v="2025-10-06T02:16:48"/>
    <x v="0"/>
    <s v="Seal leak"/>
    <n v="1.02"/>
    <n v="5.04"/>
    <n v="0"/>
    <n v="6.19"/>
    <n v="2.0299999999999998"/>
    <n v="14.28"/>
    <n v="428.4"/>
    <n v="0.17"/>
    <s v="W0077"/>
    <d v="2025-10-05T13:01:12"/>
    <d v="2025-10-06T02:16:48"/>
    <s v="Corrective"/>
    <n v="6.19"/>
    <n v="85"/>
    <n v="5363"/>
    <n v="0"/>
    <s v="Complete"/>
    <s v="Visible leak reported during inspection"/>
    <n v="0"/>
    <x v="1"/>
    <n v="355.57199999999995"/>
    <d v="2025-10-01T00:00:00"/>
    <n v="39.200000000000003"/>
    <n v="13938.422399999999"/>
  </r>
  <r>
    <s v="E0078"/>
    <s v="A004"/>
    <d v="2025-10-21T12:00:00"/>
    <d v="2025-10-22T08:07:48"/>
    <x v="0"/>
    <s v="Unknown"/>
    <n v="2.57"/>
    <n v="5.85"/>
    <n v="0"/>
    <n v="9.6199999999999992"/>
    <n v="2.09"/>
    <n v="20.13"/>
    <n v="603.9"/>
    <n v="0.2"/>
    <s v="W0078"/>
    <d v="2025-10-21T14:34:12"/>
    <d v="2025-10-22T08:07:48"/>
    <s v="Corrective"/>
    <n v="9.6199999999999992"/>
    <n v="85"/>
    <n v="4175"/>
    <n v="0"/>
    <s v="Complete"/>
    <s v="Cause not confirmed; follow-up needed"/>
    <n v="0"/>
    <x v="1"/>
    <n v="483.12"/>
    <d v="2025-10-01T00:00:00"/>
    <n v="39.200000000000003"/>
    <n v="18938.304"/>
  </r>
  <r>
    <s v="E0079"/>
    <s v="A004"/>
    <d v="2025-10-28T12:00:00"/>
    <d v="2025-10-28T15:02:24"/>
    <x v="1"/>
    <s v="Scheduled service"/>
    <n v="0"/>
    <n v="0"/>
    <n v="0"/>
    <n v="3.04"/>
    <n v="0"/>
    <n v="3.04"/>
    <n v="91.2"/>
    <n v="0.25"/>
    <s v="W0079"/>
    <d v="2025-10-28T12:00:00"/>
    <d v="2025-10-28T15:02:24"/>
    <s v="Preventive"/>
    <n v="6.08"/>
    <n v="85"/>
    <n v="622"/>
    <n v="0"/>
    <s v="Complete"/>
    <s v="Scheduled inspection and service"/>
    <n v="0"/>
    <x v="1"/>
    <n v="68.400000000000006"/>
    <d v="2025-10-01T00:00:00"/>
    <n v="39.200000000000003"/>
    <n v="2681.28"/>
  </r>
  <r>
    <s v="E0080"/>
    <s v="A004"/>
    <d v="2025-11-06T12:00:00"/>
    <d v="2025-11-07T16:45:00"/>
    <x v="0"/>
    <s v="Process upset"/>
    <n v="1.8"/>
    <n v="4.7300000000000004"/>
    <n v="11.85"/>
    <n v="7.98"/>
    <n v="2.39"/>
    <n v="28.75"/>
    <n v="862.5"/>
    <n v="0.21"/>
    <s v="W0080"/>
    <d v="2025-11-06T13:48:00"/>
    <d v="2025-11-07T16:45:00"/>
    <s v="Corrective"/>
    <n v="15.96"/>
    <n v="85"/>
    <n v="5005"/>
    <n v="0"/>
    <s v="Complete"/>
    <s v="Feed conditions changed; equipment restarted"/>
    <n v="0"/>
    <x v="1"/>
    <n v="681.375"/>
    <d v="2025-11-01T00:00:00"/>
    <n v="41.2"/>
    <n v="28072.65"/>
  </r>
  <r>
    <s v="E0081"/>
    <s v="A004"/>
    <d v="2025-12-06T12:00:00"/>
    <d v="2025-12-07T06:01:48"/>
    <x v="0"/>
    <s v="Process upset"/>
    <n v="4.5"/>
    <n v="1.95"/>
    <n v="0"/>
    <n v="9.4600000000000009"/>
    <n v="2.12"/>
    <n v="18.03"/>
    <n v="540.9"/>
    <n v="0.28000000000000003"/>
    <s v="W0081"/>
    <d v="2025-12-06T16:30:00"/>
    <d v="2025-12-07T06:01:48"/>
    <s v="Corrective"/>
    <n v="18.920000000000002"/>
    <n v="85"/>
    <n v="7805"/>
    <n v="0"/>
    <s v="Complete"/>
    <s v="Feed conditions changed; equipment restarted"/>
    <n v="0"/>
    <x v="1"/>
    <n v="389.44799999999998"/>
    <d v="2025-12-01T00:00:00"/>
    <n v="42.2"/>
    <n v="16434.705600000001"/>
  </r>
  <r>
    <s v="E0082"/>
    <s v="A005"/>
    <d v="2025-01-04T12:00:00"/>
    <d v="2025-01-05T03:43:48"/>
    <x v="0"/>
    <s v="Bearing wear"/>
    <n v="0.89"/>
    <n v="1.51"/>
    <n v="0"/>
    <n v="12.28"/>
    <n v="1.05"/>
    <n v="15.73"/>
    <n v="346.06"/>
    <n v="0.16"/>
    <s v="W0082"/>
    <d v="2025-01-04T12:53:24"/>
    <d v="2025-01-05T03:43:48"/>
    <s v="Corrective"/>
    <n v="24.56"/>
    <n v="85"/>
    <n v="7080"/>
    <n v="0"/>
    <s v="Complete"/>
    <s v="Noise and vibration increased before stop"/>
    <n v="0"/>
    <x v="1"/>
    <n v="290.69040000000001"/>
    <d v="2025-01-01T00:00:00"/>
    <n v="49.2"/>
    <n v="14301.967680000002"/>
  </r>
  <r>
    <s v="E0083"/>
    <s v="A005"/>
    <d v="2025-01-22T12:00:00"/>
    <d v="2025-01-22T22:36:00"/>
    <x v="0"/>
    <s v="Unknown"/>
    <n v="3.48"/>
    <n v="2.35"/>
    <n v="0"/>
    <n v="3.02"/>
    <n v="1.75"/>
    <n v="10.6"/>
    <n v="233.2"/>
    <n v="0.19"/>
    <s v="W0083"/>
    <d v="2025-01-22T15:28:48"/>
    <d v="2025-01-22T22:36:00"/>
    <s v="Corrective"/>
    <n v="3.02"/>
    <n v="85"/>
    <n v="8491"/>
    <n v="0"/>
    <s v="Complete"/>
    <s v="Cause not confirmed; follow-up needed"/>
    <n v="0"/>
    <x v="1"/>
    <n v="188.892"/>
    <d v="2025-01-01T00:00:00"/>
    <n v="49.2"/>
    <n v="9293.4863999999998"/>
  </r>
  <r>
    <s v="E0084"/>
    <s v="A005"/>
    <d v="2025-01-28T12:00:00"/>
    <d v="2025-01-28T17:47:24"/>
    <x v="1"/>
    <s v="Scheduled service"/>
    <n v="0"/>
    <n v="0"/>
    <n v="0"/>
    <n v="5.79"/>
    <n v="0"/>
    <n v="5.79"/>
    <n v="127.38"/>
    <n v="0.25"/>
    <s v="W0084"/>
    <d v="2025-01-28T12:00:00"/>
    <d v="2025-01-28T17:47:24"/>
    <s v="Preventive"/>
    <n v="5.79"/>
    <n v="85"/>
    <n v="1069"/>
    <n v="0"/>
    <s v="Complete"/>
    <s v="Scheduled inspection and service"/>
    <n v="0"/>
    <x v="1"/>
    <n v="95.534999999999997"/>
    <d v="2025-01-01T00:00:00"/>
    <n v="49.2"/>
    <n v="4700.3220000000001"/>
  </r>
  <r>
    <s v="E0085"/>
    <s v="A005"/>
    <d v="2025-02-09T12:00:00"/>
    <d v="2025-02-10T04:14:24"/>
    <x v="0"/>
    <s v="Bearing wear"/>
    <n v="3.78"/>
    <n v="1.91"/>
    <n v="0"/>
    <n v="8.83"/>
    <n v="1.72"/>
    <n v="16.239999999999998"/>
    <n v="357.28"/>
    <n v="0.15"/>
    <s v="W0085"/>
    <d v="2025-02-09T15:46:48"/>
    <d v="2025-02-10T04:14:24"/>
    <s v="Corrective"/>
    <n v="8.83"/>
    <n v="85"/>
    <n v="6668"/>
    <n v="0"/>
    <s v="Complete"/>
    <s v="Noise and vibration increased before stop"/>
    <n v="0"/>
    <x v="1"/>
    <n v="303.68799999999999"/>
    <d v="2025-02-01T00:00:00"/>
    <n v="47.2"/>
    <n v="14334.0736"/>
  </r>
  <r>
    <s v="E0086"/>
    <s v="A005"/>
    <d v="2025-02-19T12:00:00"/>
    <d v="2025-02-20T04:22:12"/>
    <x v="0"/>
    <s v="Electrical trip"/>
    <n v="1.01"/>
    <n v="5.95"/>
    <n v="0"/>
    <n v="8.64"/>
    <n v="0.77"/>
    <n v="16.37"/>
    <n v="360.14"/>
    <n v="0.13"/>
    <s v="W0086"/>
    <d v="2025-02-19T13:00:36"/>
    <d v="2025-02-20T04:22:12"/>
    <s v="Corrective"/>
    <n v="8.64"/>
    <n v="85"/>
    <n v="5807"/>
    <n v="0"/>
    <s v="Complete"/>
    <s v="Protective trip; reviewed electrical panel"/>
    <n v="0"/>
    <x v="1"/>
    <n v="313.3218"/>
    <d v="2025-02-01T00:00:00"/>
    <n v="47.2"/>
    <n v="14788.78896"/>
  </r>
  <r>
    <s v="E0087"/>
    <s v="A005"/>
    <d v="2025-03-04T12:00:00"/>
    <d v="2025-03-05T22:34:12"/>
    <x v="0"/>
    <s v="Seal leak"/>
    <n v="3.61"/>
    <n v="6.54"/>
    <n v="14.02"/>
    <n v="9.14"/>
    <n v="1.26"/>
    <n v="34.57"/>
    <n v="760.54"/>
    <n v="0.11"/>
    <s v="W0087"/>
    <d v="2025-03-04T15:36:36"/>
    <d v="2025-03-05T22:34:12"/>
    <s v="Corrective"/>
    <n v="18.28"/>
    <n v="85"/>
    <n v="8814"/>
    <n v="0"/>
    <s v="Complete"/>
    <s v="Visible leak reported during inspection"/>
    <n v="0"/>
    <x v="1"/>
    <n v="676.88059999999996"/>
    <d v="2025-03-01T00:00:00"/>
    <n v="45.2"/>
    <n v="30595.003120000001"/>
  </r>
  <r>
    <s v="E0088"/>
    <s v="A005"/>
    <d v="2025-03-19T12:00:00"/>
    <d v="2025-03-20T11:20:24"/>
    <x v="0"/>
    <s v="Bearing wear"/>
    <n v="2.5099999999999998"/>
    <n v="6.83"/>
    <n v="0"/>
    <n v="12.41"/>
    <n v="1.59"/>
    <n v="23.34"/>
    <n v="513.48"/>
    <n v="0.18"/>
    <s v="W0088"/>
    <d v="2025-03-19T14:30:36"/>
    <d v="2025-03-20T11:20:24"/>
    <s v="Corrective"/>
    <n v="12.41"/>
    <n v="85"/>
    <m/>
    <n v="0"/>
    <s v="Parts invoice pending"/>
    <s v="Noise and vibration increased before stop"/>
    <n v="0"/>
    <x v="1"/>
    <n v="421.05360000000007"/>
    <d v="2025-03-01T00:00:00"/>
    <n v="45.2"/>
    <n v="19031.622720000003"/>
  </r>
  <r>
    <s v="E0089"/>
    <s v="A005"/>
    <d v="2025-04-07T12:00:00"/>
    <d v="2025-04-09T04:33:00"/>
    <x v="0"/>
    <s v="Bearing wear"/>
    <n v="2.38"/>
    <n v="3.21"/>
    <n v="24.86"/>
    <n v="8.59"/>
    <n v="1.51"/>
    <n v="40.549999999999997"/>
    <n v="892.1"/>
    <n v="0.14000000000000001"/>
    <s v="W0089"/>
    <d v="2025-04-07T14:22:48"/>
    <d v="2025-04-09T04:33:00"/>
    <s v="Corrective"/>
    <n v="8.59"/>
    <n v="85"/>
    <n v="6464"/>
    <n v="0"/>
    <s v="Complete"/>
    <s v="Noise and vibration increased before stop"/>
    <n v="0"/>
    <x v="1"/>
    <n v="767.20600000000002"/>
    <d v="2025-04-01T00:00:00"/>
    <n v="43.2"/>
    <n v="33143.299200000001"/>
  </r>
  <r>
    <s v="E0090"/>
    <s v="A005"/>
    <d v="2025-04-28T12:00:00"/>
    <d v="2025-04-28T17:19:48"/>
    <x v="1"/>
    <s v="Scheduled service"/>
    <n v="0"/>
    <n v="0"/>
    <n v="0"/>
    <n v="5.33"/>
    <n v="0"/>
    <n v="5.33"/>
    <n v="117.26"/>
    <n v="0.25"/>
    <s v="W0090"/>
    <d v="2025-04-28T12:00:00"/>
    <d v="2025-04-28T17:19:48"/>
    <s v="Preventive"/>
    <n v="10.66"/>
    <n v="85"/>
    <n v="1125"/>
    <n v="0"/>
    <s v="Complete"/>
    <s v="Scheduled inspection and service"/>
    <n v="0"/>
    <x v="1"/>
    <n v="87.945000000000007"/>
    <d v="2025-04-01T00:00:00"/>
    <n v="43.2"/>
    <n v="3799.2240000000006"/>
  </r>
  <r>
    <s v="E0091"/>
    <s v="A005"/>
    <d v="2025-05-04T12:00:00"/>
    <d v="2025-05-05T01:33:00"/>
    <x v="0"/>
    <s v="Process upset"/>
    <n v="1.27"/>
    <n v="5.0999999999999996"/>
    <n v="0"/>
    <n v="6.41"/>
    <n v="0.77"/>
    <n v="13.55"/>
    <n v="298.10000000000002"/>
    <n v="0.28000000000000003"/>
    <s v="W0091"/>
    <d v="2025-05-04T13:16:12"/>
    <d v="2025-05-05T01:33:00"/>
    <s v="Corrective"/>
    <n v="6.41"/>
    <n v="85"/>
    <n v="2702"/>
    <n v="4513"/>
    <s v="Complete"/>
    <s v="Feed conditions changed; equipment restarted"/>
    <n v="0"/>
    <x v="1"/>
    <n v="214.63200000000001"/>
    <d v="2025-05-01T00:00:00"/>
    <n v="41.2"/>
    <n v="8842.8384000000005"/>
  </r>
  <r>
    <s v="E0092"/>
    <s v="A005"/>
    <d v="2025-05-21T12:00:00"/>
    <d v="2025-05-22T02:04:48"/>
    <x v="0"/>
    <s v="Seal leak"/>
    <n v="1.1100000000000001"/>
    <n v="3.27"/>
    <n v="0"/>
    <n v="7.99"/>
    <n v="1.71"/>
    <n v="14.08"/>
    <n v="309.76"/>
    <n v="0.23"/>
    <s v="W0092"/>
    <d v="2025-05-21T13:06:36"/>
    <d v="2025-05-22T02:04:48"/>
    <s v="Corrective"/>
    <n v="7.99"/>
    <n v="85"/>
    <n v="9588"/>
    <n v="3440"/>
    <s v="Complete"/>
    <s v="Visible leak reported during inspection"/>
    <n v="0"/>
    <x v="1"/>
    <n v="238.51519999999999"/>
    <d v="2025-05-01T00:00:00"/>
    <n v="41.2"/>
    <n v="9826.8262400000003"/>
  </r>
  <r>
    <s v="E0093"/>
    <s v="A005"/>
    <d v="2025-06-07T12:00:00"/>
    <d v="2025-06-08T03:25:48"/>
    <x v="0"/>
    <s v="Bearing wear"/>
    <n v="1.05"/>
    <n v="3.1"/>
    <n v="0"/>
    <n v="10.58"/>
    <n v="0.7"/>
    <n v="15.43"/>
    <n v="339.46"/>
    <n v="0.18"/>
    <s v="W0093"/>
    <d v="2025-06-07T13:03:00"/>
    <d v="2025-06-08T03:25:48"/>
    <s v="Corrective"/>
    <n v="10.58"/>
    <n v="85"/>
    <n v="4717"/>
    <n v="0"/>
    <s v="Complete"/>
    <s v="Noise and vibration increased before stop"/>
    <n v="0"/>
    <x v="1"/>
    <n v="278.35719999999998"/>
    <d v="2025-06-01T00:00:00"/>
    <n v="42.2"/>
    <n v="11746.673839999999"/>
  </r>
  <r>
    <s v="E0094"/>
    <s v="A005"/>
    <d v="2025-07-07T12:00:00"/>
    <d v="2025-07-08T17:39:00"/>
    <x v="0"/>
    <s v="Seal leak"/>
    <n v="1.19"/>
    <n v="6.35"/>
    <n v="15.02"/>
    <n v="5.73"/>
    <n v="1.36"/>
    <n v="29.65"/>
    <n v="652.29999999999995"/>
    <n v="0.28999999999999998"/>
    <s v="W0094"/>
    <d v="2025-07-07T13:11:24"/>
    <d v="2025-07-08T17:39:00"/>
    <s v="Corrective"/>
    <n v="5.73"/>
    <n v="85"/>
    <n v="8202"/>
    <n v="2509"/>
    <s v="Complete"/>
    <s v="Visible leak reported during inspection"/>
    <n v="0"/>
    <x v="1"/>
    <n v="463.13299999999992"/>
    <d v="2025-07-01T00:00:00"/>
    <n v="44.2"/>
    <n v="20470.478599999999"/>
  </r>
  <r>
    <s v="E0095"/>
    <s v="A005"/>
    <d v="2025-07-20T12:00:00"/>
    <d v="2025-07-21T07:30:00"/>
    <x v="0"/>
    <s v="Electrical trip"/>
    <n v="3.62"/>
    <n v="4.95"/>
    <n v="0"/>
    <n v="9.2100000000000009"/>
    <n v="1.72"/>
    <n v="19.5"/>
    <n v="429"/>
    <n v="0.1"/>
    <s v="W0095"/>
    <d v="2025-07-20T15:37:12"/>
    <d v="2025-07-21T07:30:00"/>
    <s v="Corrective"/>
    <n v="9.2100000000000009"/>
    <n v="85"/>
    <n v="1584"/>
    <n v="1321"/>
    <s v="Complete"/>
    <s v="Protective trip; reviewed electrical panel"/>
    <n v="0"/>
    <x v="1"/>
    <n v="386.1"/>
    <d v="2025-07-01T00:00:00"/>
    <n v="44.2"/>
    <n v="17065.620000000003"/>
  </r>
  <r>
    <s v="E0096"/>
    <s v="A005"/>
    <d v="2025-07-28T12:00:00"/>
    <d v="2025-07-28T16:52:12"/>
    <x v="1"/>
    <s v="Scheduled service"/>
    <n v="0"/>
    <n v="0"/>
    <n v="0"/>
    <n v="4.87"/>
    <n v="0"/>
    <n v="4.87"/>
    <n v="107.14"/>
    <n v="0.25"/>
    <s v="W0096"/>
    <d v="2025-07-28T12:00:00"/>
    <d v="2025-07-28T16:52:12"/>
    <s v="Preventive"/>
    <n v="9.74"/>
    <n v="85"/>
    <n v="1315"/>
    <n v="0"/>
    <s v="Complete"/>
    <s v="Scheduled inspection and service"/>
    <n v="0"/>
    <x v="1"/>
    <n v="80.355000000000004"/>
    <d v="2025-07-01T00:00:00"/>
    <n v="44.2"/>
    <n v="3551.6910000000003"/>
  </r>
  <r>
    <s v="E0097"/>
    <s v="A005"/>
    <d v="2025-08-10T12:00:00"/>
    <d v="2025-08-11T02:58:12"/>
    <x v="0"/>
    <s v="Process upset"/>
    <n v="4.13"/>
    <n v="4.6100000000000003"/>
    <n v="0"/>
    <n v="4.33"/>
    <n v="1.9"/>
    <n v="14.97"/>
    <n v="329.34"/>
    <n v="0.25"/>
    <s v="W0097"/>
    <d v="2025-08-10T16:07:48"/>
    <d v="2025-08-11T02:58:12"/>
    <s v="Corrective"/>
    <n v="8.66"/>
    <n v="85"/>
    <n v="9012"/>
    <n v="0"/>
    <s v="Complete"/>
    <s v="Feed conditions changed; equipment restarted"/>
    <n v="0"/>
    <x v="1"/>
    <n v="247.005"/>
    <d v="2025-08-01T00:00:00"/>
    <n v="43.2"/>
    <n v="10670.616"/>
  </r>
  <r>
    <s v="E0098"/>
    <s v="A005"/>
    <d v="2025-08-19T12:00:00"/>
    <d v="2025-08-21T10:09:00"/>
    <x v="0"/>
    <s v="Bearing wear"/>
    <n v="3.7"/>
    <n v="5.13"/>
    <n v="23.58"/>
    <n v="11.81"/>
    <n v="1.93"/>
    <n v="46.15"/>
    <n v="1015.3"/>
    <n v="0.26"/>
    <s v="W0098"/>
    <d v="2025-08-19T15:42:00"/>
    <d v="2025-08-21T10:09:00"/>
    <s v="Corrective"/>
    <n v="23.62"/>
    <n v="85"/>
    <n v="5868"/>
    <n v="0"/>
    <s v="Complete"/>
    <s v="Noise and vibration increased before stop"/>
    <n v="0"/>
    <x v="1"/>
    <n v="751.322"/>
    <d v="2025-08-01T00:00:00"/>
    <n v="43.2"/>
    <n v="32457.110400000001"/>
  </r>
  <r>
    <s v="E0099"/>
    <s v="A005"/>
    <d v="2025-09-09T12:00:00"/>
    <d v="2025-09-10T18:46:48"/>
    <x v="0"/>
    <s v="Bearing wear"/>
    <n v="2.86"/>
    <n v="5.49"/>
    <n v="8.9700000000000006"/>
    <n v="12.41"/>
    <n v="1.05"/>
    <n v="30.78"/>
    <n v="677.16"/>
    <n v="0.18"/>
    <s v="W0099"/>
    <d v="2025-09-09T14:51:36"/>
    <d v="2025-09-10T18:46:48"/>
    <s v="Corrective"/>
    <n v="24.82"/>
    <n v="85"/>
    <n v="2330"/>
    <n v="0"/>
    <s v="Complete"/>
    <s v="Noise and vibration increased before stop"/>
    <n v="0"/>
    <x v="1"/>
    <n v="555.27120000000002"/>
    <d v="2025-09-01T00:00:00"/>
    <n v="40.200000000000003"/>
    <n v="22321.902240000003"/>
  </r>
  <r>
    <s v="E0100"/>
    <s v="A005"/>
    <d v="2025-10-07T12:00:00"/>
    <d v="2025-10-08T05:36:36"/>
    <x v="0"/>
    <s v="Electrical trip"/>
    <n v="2.7"/>
    <n v="3.49"/>
    <n v="0"/>
    <n v="9.2200000000000006"/>
    <n v="2.2000000000000002"/>
    <n v="17.61"/>
    <n v="387.42"/>
    <n v="0.15"/>
    <s v="W0100"/>
    <d v="2025-10-07T14:42:00"/>
    <d v="2025-10-08T05:36:36"/>
    <s v="Corrective"/>
    <n v="9.2200000000000006"/>
    <n v="85"/>
    <n v="5124"/>
    <n v="0"/>
    <s v="Complete"/>
    <s v="Protective trip; reviewed electrical panel"/>
    <n v="0"/>
    <x v="1"/>
    <n v="329.30700000000002"/>
    <d v="2025-10-01T00:00:00"/>
    <n v="39.200000000000003"/>
    <n v="12908.834400000002"/>
  </r>
  <r>
    <s v="E0101"/>
    <s v="A005"/>
    <d v="2025-10-19T12:00:00"/>
    <d v="2025-10-20T16:20:24"/>
    <x v="0"/>
    <s v="Seal leak"/>
    <n v="1.42"/>
    <n v="2.95"/>
    <n v="15.09"/>
    <n v="6.41"/>
    <n v="2.4700000000000002"/>
    <n v="28.34"/>
    <n v="623.48"/>
    <n v="0.12"/>
    <s v="W0101"/>
    <d v="2025-10-19T13:25:12"/>
    <d v="2025-10-20T16:20:24"/>
    <s v="Corrective"/>
    <n v="12.82"/>
    <n v="85"/>
    <n v="1444"/>
    <n v="0"/>
    <s v="Complete"/>
    <s v="Visible leak reported during inspection"/>
    <n v="0"/>
    <x v="1"/>
    <n v="548.66240000000005"/>
    <d v="2025-10-01T00:00:00"/>
    <n v="39.200000000000003"/>
    <n v="21507.566080000004"/>
  </r>
  <r>
    <s v="E0102"/>
    <s v="A005"/>
    <d v="2025-10-28T12:00:00"/>
    <d v="2025-10-28T15:27:36"/>
    <x v="1"/>
    <s v="Scheduled service"/>
    <n v="0"/>
    <n v="0"/>
    <n v="0"/>
    <n v="3.46"/>
    <n v="0"/>
    <n v="3.46"/>
    <n v="76.12"/>
    <n v="0.25"/>
    <s v="W0102"/>
    <d v="2025-10-28T12:00:00"/>
    <d v="2025-10-28T15:27:36"/>
    <s v="Preventive"/>
    <n v="3.46"/>
    <n v="85"/>
    <n v="758"/>
    <n v="0"/>
    <s v="Complete"/>
    <s v="Scheduled inspection and service"/>
    <n v="0"/>
    <x v="1"/>
    <n v="57.09"/>
    <d v="2025-10-01T00:00:00"/>
    <n v="39.200000000000003"/>
    <n v="2237.9280000000003"/>
  </r>
  <r>
    <s v="E0103"/>
    <s v="A005"/>
    <d v="2025-11-06T12:00:00"/>
    <d v="2025-11-07T06:28:12"/>
    <x v="0"/>
    <s v="Process upset"/>
    <n v="1.39"/>
    <n v="5.67"/>
    <n v="0"/>
    <n v="9.84"/>
    <n v="1.57"/>
    <n v="18.47"/>
    <n v="406.34"/>
    <n v="0.28999999999999998"/>
    <s v="W0103"/>
    <d v="2025-11-06T13:23:24"/>
    <d v="2025-11-07T06:28:12"/>
    <s v="Corrective"/>
    <n v="9.84"/>
    <n v="85"/>
    <n v="8473"/>
    <n v="4224"/>
    <s v="Complete"/>
    <s v="Feed conditions changed; equipment restarted"/>
    <n v="0"/>
    <x v="1"/>
    <n v="288.50139999999999"/>
    <d v="2025-11-01T00:00:00"/>
    <n v="41.2"/>
    <n v="11886.257680000001"/>
  </r>
  <r>
    <s v="E0104"/>
    <s v="A005"/>
    <d v="2025-11-22T12:00:00"/>
    <d v="2025-11-23T16:12:00"/>
    <x v="0"/>
    <s v="Seal leak"/>
    <n v="1.01"/>
    <n v="4.12"/>
    <n v="19.399999999999999"/>
    <n v="2.96"/>
    <n v="0.71"/>
    <n v="28.2"/>
    <n v="620.4"/>
    <n v="0.24"/>
    <s v="W0104"/>
    <d v="2025-11-22T13:00:36"/>
    <d v="2025-11-23T16:12:00"/>
    <s v="Corrective"/>
    <n v="2.96"/>
    <n v="85"/>
    <n v="1874"/>
    <n v="0"/>
    <s v="Complete"/>
    <s v="Visible leak reported during inspection"/>
    <n v="0"/>
    <x v="1"/>
    <n v="471.50399999999996"/>
    <d v="2025-11-01T00:00:00"/>
    <n v="41.2"/>
    <n v="19425.964800000002"/>
  </r>
  <r>
    <s v="E0105"/>
    <s v="A005"/>
    <d v="2025-12-10T12:00:00"/>
    <d v="2025-12-11T06:08:24"/>
    <x v="0"/>
    <s v="Unknown"/>
    <n v="2.08"/>
    <n v="3.57"/>
    <n v="9.6199999999999992"/>
    <n v="2.2000000000000002"/>
    <n v="0.67"/>
    <n v="18.14"/>
    <n v="399.08"/>
    <n v="0.27"/>
    <s v="W0105"/>
    <d v="2025-12-10T14:04:48"/>
    <d v="2025-12-11T06:08:24"/>
    <s v="Corrective"/>
    <n v="4.4000000000000004"/>
    <n v="85"/>
    <n v="3196"/>
    <n v="0"/>
    <s v="Complete"/>
    <s v="Cause not confirmed; follow-up needed"/>
    <n v="0"/>
    <x v="1"/>
    <n v="291.32839999999999"/>
    <d v="2025-12-01T00:00:00"/>
    <n v="42.2"/>
    <n v="12294.05848"/>
  </r>
  <r>
    <s v="E0106"/>
    <s v="A006"/>
    <d v="2025-01-09T12:00:00"/>
    <d v="2025-01-10T00:57:36"/>
    <x v="0"/>
    <s v="Bearing wear"/>
    <n v="1.29"/>
    <n v="4.8099999999999996"/>
    <n v="0"/>
    <n v="6.04"/>
    <n v="0.82"/>
    <n v="12.96"/>
    <n v="259.2"/>
    <n v="0.1"/>
    <s v="W0106"/>
    <d v="2025-01-09T13:17:24"/>
    <d v="2025-01-10T00:57:36"/>
    <s v="Corrective"/>
    <n v="6.04"/>
    <n v="85"/>
    <n v="2834"/>
    <n v="0"/>
    <s v="Complete"/>
    <s v="Noise and vibration increased before stop"/>
    <n v="0"/>
    <x v="1"/>
    <n v="233.28"/>
    <d v="2025-01-01T00:00:00"/>
    <n v="49.2"/>
    <n v="11477.376"/>
  </r>
  <r>
    <s v="E0107"/>
    <s v="A006"/>
    <d v="2025-01-28T12:00:00"/>
    <d v="2025-01-28T15:15:00"/>
    <x v="1"/>
    <s v="Scheduled service"/>
    <n v="0"/>
    <n v="0"/>
    <n v="0"/>
    <n v="3.25"/>
    <n v="0"/>
    <n v="3.25"/>
    <n v="65"/>
    <n v="0.25"/>
    <s v="W0107"/>
    <d v="2025-01-28T12:00:00"/>
    <d v="2025-01-28T15:15:00"/>
    <s v="Preventive"/>
    <n v="6.5"/>
    <n v="85"/>
    <n v="1648"/>
    <n v="0"/>
    <s v="Complete"/>
    <s v="Scheduled inspection and service"/>
    <n v="0"/>
    <x v="1"/>
    <n v="48.75"/>
    <d v="2025-01-01T00:00:00"/>
    <n v="49.2"/>
    <n v="2398.5"/>
  </r>
  <r>
    <s v="E0108"/>
    <s v="A006"/>
    <d v="2025-02-06T12:00:00"/>
    <d v="2025-02-06T22:23:24"/>
    <x v="0"/>
    <s v="Seal leak"/>
    <n v="3.58"/>
    <n v="2.76"/>
    <n v="0"/>
    <n v="3.48"/>
    <n v="0.56999999999999995"/>
    <n v="10.39"/>
    <n v="207.8"/>
    <n v="0.26"/>
    <s v="W0108"/>
    <d v="2025-02-06T15:34:48"/>
    <d v="2025-02-06T22:23:24"/>
    <s v="Corrective"/>
    <n v="3.48"/>
    <n v="85"/>
    <n v="7035"/>
    <n v="0"/>
    <s v="Complete"/>
    <s v="Visible leak reported during inspection"/>
    <n v="0"/>
    <x v="1"/>
    <n v="153.77200000000002"/>
    <d v="2025-02-01T00:00:00"/>
    <n v="47.2"/>
    <n v="7258.0384000000013"/>
  </r>
  <r>
    <s v="E0109"/>
    <s v="A006"/>
    <d v="2025-03-05T12:00:00"/>
    <d v="2025-03-05T18:52:12"/>
    <x v="0"/>
    <s v="Unknown"/>
    <n v="1.49"/>
    <n v="2.5099999999999998"/>
    <n v="0"/>
    <n v="2.14"/>
    <n v="0.73"/>
    <n v="6.87"/>
    <n v="137.4"/>
    <n v="0.12"/>
    <s v="W0109"/>
    <d v="2025-03-05T13:29:24"/>
    <d v="2025-03-05T18:52:12"/>
    <s v="Corrective"/>
    <n v="4.28"/>
    <n v="85"/>
    <n v="8067"/>
    <n v="0"/>
    <s v="Complete"/>
    <s v="Cause not confirmed; follow-up needed"/>
    <n v="0"/>
    <x v="1"/>
    <n v="120.91200000000001"/>
    <d v="2025-03-01T00:00:00"/>
    <n v="45.2"/>
    <n v="5465.2224000000006"/>
  </r>
  <r>
    <s v="E0110"/>
    <s v="A006"/>
    <d v="2025-03-19T12:00:00"/>
    <d v="2025-03-20T05:03:00"/>
    <x v="0"/>
    <s v="Bearing wear"/>
    <n v="0.81"/>
    <n v="3.34"/>
    <n v="0"/>
    <n v="10.9"/>
    <n v="2"/>
    <n v="17.05"/>
    <n v="341"/>
    <n v="0.27"/>
    <s v="W0110"/>
    <d v="2025-03-19T12:48:36"/>
    <d v="2025-03-20T05:03:00"/>
    <s v="Corrective"/>
    <n v="10.9"/>
    <n v="85"/>
    <n v="5637"/>
    <n v="0"/>
    <s v="Complete"/>
    <s v="Noise and vibration increased before stop"/>
    <n v="0"/>
    <x v="1"/>
    <n v="248.93"/>
    <d v="2025-03-01T00:00:00"/>
    <n v="45.2"/>
    <n v="11251.636"/>
  </r>
  <r>
    <s v="E0111"/>
    <s v="A006"/>
    <d v="2025-04-09T12:00:00"/>
    <d v="2025-04-10T03:54:36"/>
    <x v="0"/>
    <s v="Seal leak"/>
    <n v="3.11"/>
    <n v="3.3"/>
    <n v="0"/>
    <n v="8.44"/>
    <n v="1.06"/>
    <n v="15.91"/>
    <n v="318.2"/>
    <n v="0.3"/>
    <s v="W0111"/>
    <d v="2025-04-09T15:06:36"/>
    <d v="2025-04-10T03:54:36"/>
    <s v="Corrective"/>
    <n v="8.44"/>
    <n v="85"/>
    <n v="4090"/>
    <n v="1200"/>
    <s v="Complete"/>
    <s v="Visible leak reported during inspection"/>
    <n v="0"/>
    <x v="1"/>
    <n v="222.73999999999998"/>
    <d v="2025-04-01T00:00:00"/>
    <n v="43.2"/>
    <n v="9622.3680000000004"/>
  </r>
  <r>
    <s v="E0112"/>
    <s v="A006"/>
    <d v="2025-04-19T12:00:00"/>
    <d v="2025-04-20T06:23:24"/>
    <x v="0"/>
    <s v="Bearing wear"/>
    <n v="3.37"/>
    <n v="1.89"/>
    <n v="0"/>
    <n v="12.25"/>
    <n v="0.88"/>
    <n v="18.39"/>
    <n v="367.8"/>
    <n v="0.28000000000000003"/>
    <s v="W0112"/>
    <d v="2025-04-19T15:22:12"/>
    <d v="2025-04-20T06:23:24"/>
    <s v="Corrective"/>
    <n v="24.5"/>
    <n v="85"/>
    <n v="5898"/>
    <n v="0"/>
    <s v="Complete"/>
    <s v="Noise and vibration increased before stop"/>
    <n v="0"/>
    <x v="1"/>
    <n v="264.81599999999997"/>
    <d v="2025-04-01T00:00:00"/>
    <n v="43.2"/>
    <n v="11440.0512"/>
  </r>
  <r>
    <s v="E0113"/>
    <s v="A006"/>
    <d v="2025-04-28T12:00:00"/>
    <d v="2025-04-28T17:17:24"/>
    <x v="1"/>
    <s v="Scheduled service"/>
    <n v="0"/>
    <n v="0"/>
    <n v="0"/>
    <n v="5.29"/>
    <n v="0"/>
    <n v="5.29"/>
    <n v="105.8"/>
    <n v="0.25"/>
    <s v="W0113"/>
    <d v="2025-04-28T12:00:00"/>
    <d v="2025-04-28T17:17:24"/>
    <s v="Preventive"/>
    <n v="5.29"/>
    <n v="85"/>
    <n v="1649"/>
    <n v="0"/>
    <s v="Complete"/>
    <s v="Scheduled inspection and service"/>
    <n v="0"/>
    <x v="1"/>
    <n v="79.349999999999994"/>
    <d v="2025-04-01T00:00:00"/>
    <n v="43.2"/>
    <n v="3427.92"/>
  </r>
  <r>
    <s v="E0114"/>
    <s v="A006"/>
    <d v="2025-05-04T12:00:00"/>
    <d v="2025-05-05T06:46:12"/>
    <x v="0"/>
    <s v="Bearing wear"/>
    <n v="1.99"/>
    <n v="5.64"/>
    <n v="0"/>
    <n v="9.1300000000000008"/>
    <n v="2.0099999999999998"/>
    <n v="18.77"/>
    <n v="375.4"/>
    <n v="0.1"/>
    <s v="W0114"/>
    <d v="2025-05-04T13:59:24"/>
    <d v="2025-05-05T06:46:12"/>
    <s v="Corrective"/>
    <n v="9.1300000000000008"/>
    <n v="85"/>
    <n v="8354"/>
    <n v="0"/>
    <s v="Complete"/>
    <s v="Noise and vibration increased before stop"/>
    <n v="0"/>
    <x v="1"/>
    <n v="337.86"/>
    <d v="2025-05-01T00:00:00"/>
    <n v="41.2"/>
    <n v="13919.832000000002"/>
  </r>
  <r>
    <s v="E0115"/>
    <s v="A006"/>
    <d v="2025-05-19T12:00:00"/>
    <d v="2025-05-21T05:07:48"/>
    <x v="0"/>
    <s v="Bearing wear"/>
    <n v="4.05"/>
    <n v="3.56"/>
    <n v="20.82"/>
    <n v="12.05"/>
    <n v="0.65"/>
    <n v="41.13"/>
    <n v="822.6"/>
    <n v="0.13"/>
    <s v="W0115"/>
    <d v="2025-05-19T16:03:00"/>
    <d v="2025-05-21T05:07:48"/>
    <s v="Corrective"/>
    <n v="12.05"/>
    <n v="85"/>
    <n v="7318"/>
    <n v="0"/>
    <s v="Complete"/>
    <s v="Noise and vibration increased before stop"/>
    <n v="0"/>
    <x v="1"/>
    <n v="715.66200000000003"/>
    <d v="2025-05-01T00:00:00"/>
    <n v="41.2"/>
    <n v="29485.274400000002"/>
  </r>
  <r>
    <s v="E0116"/>
    <s v="A006"/>
    <d v="2025-06-07T12:00:00"/>
    <d v="2025-06-08T06:39:36"/>
    <x v="0"/>
    <s v="Bearing wear"/>
    <n v="0.98"/>
    <n v="4.37"/>
    <n v="0"/>
    <n v="11.59"/>
    <n v="1.72"/>
    <n v="18.66"/>
    <n v="373.2"/>
    <n v="0.21"/>
    <s v="W0116"/>
    <d v="2025-06-07T12:58:48"/>
    <d v="2025-06-08T06:39:36"/>
    <s v="Corrective"/>
    <n v="11.59"/>
    <n v="85"/>
    <n v="5400"/>
    <n v="2515"/>
    <s v="Complete"/>
    <s v="Noise and vibration increased before stop"/>
    <n v="0"/>
    <x v="1"/>
    <n v="294.82800000000003"/>
    <d v="2025-06-01T00:00:00"/>
    <n v="42.2"/>
    <n v="12441.741600000003"/>
  </r>
  <r>
    <s v="E0117"/>
    <s v="A006"/>
    <d v="2025-06-21T12:00:00"/>
    <d v="2025-06-21T23:07:12"/>
    <x v="0"/>
    <s v="Seal leak"/>
    <n v="1.06"/>
    <n v="1.89"/>
    <n v="0"/>
    <n v="7.06"/>
    <n v="1.1100000000000001"/>
    <n v="11.12"/>
    <n v="222.4"/>
    <n v="0.14000000000000001"/>
    <s v="W0117"/>
    <d v="2025-06-21T13:03:36"/>
    <d v="2025-06-21T23:07:12"/>
    <s v="Corrective"/>
    <n v="14.12"/>
    <n v="85"/>
    <m/>
    <n v="0"/>
    <s v="Parts invoice pending"/>
    <s v="Visible leak reported during inspection"/>
    <n v="0"/>
    <x v="1"/>
    <n v="191.26400000000001"/>
    <d v="2025-06-01T00:00:00"/>
    <n v="42.2"/>
    <n v="8071.3408000000009"/>
  </r>
  <r>
    <s v="E0118"/>
    <s v="A006"/>
    <d v="2025-07-08T12:00:00"/>
    <d v="2025-07-09T16:24:00"/>
    <x v="0"/>
    <s v="Bearing wear"/>
    <n v="3.96"/>
    <n v="3.03"/>
    <n v="12.41"/>
    <n v="7.42"/>
    <n v="1.58"/>
    <n v="28.4"/>
    <n v="568"/>
    <n v="0.25"/>
    <s v="W0118"/>
    <d v="2025-07-08T15:57:36"/>
    <d v="2025-07-09T16:24:00"/>
    <s v="Corrective"/>
    <n v="14.84"/>
    <n v="85"/>
    <n v="8994"/>
    <n v="1715"/>
    <s v="Complete"/>
    <s v="Noise and vibration increased before stop"/>
    <n v="0"/>
    <x v="1"/>
    <n v="426"/>
    <d v="2025-07-01T00:00:00"/>
    <n v="44.2"/>
    <n v="18829.2"/>
  </r>
  <r>
    <s v="E0119"/>
    <s v="A006"/>
    <d v="2025-07-22T12:00:00"/>
    <d v="2025-07-23T14:19:48"/>
    <x v="0"/>
    <s v="Seal leak"/>
    <n v="3.37"/>
    <n v="5.68"/>
    <n v="8.1999999999999993"/>
    <n v="8.4600000000000009"/>
    <n v="0.62"/>
    <n v="26.33"/>
    <n v="526.6"/>
    <n v="0.24"/>
    <s v="W0119"/>
    <d v="2025-07-22T15:22:12"/>
    <d v="2025-07-23T14:19:48"/>
    <s v="Corrective"/>
    <n v="16.920000000000002"/>
    <n v="85"/>
    <n v="7618"/>
    <n v="0"/>
    <s v="Complete"/>
    <s v="Visible leak reported during inspection"/>
    <n v="0"/>
    <x v="1"/>
    <n v="400.21600000000001"/>
    <d v="2025-07-01T00:00:00"/>
    <n v="44.2"/>
    <n v="17689.547200000001"/>
  </r>
  <r>
    <s v="E0120"/>
    <s v="A006"/>
    <d v="2025-07-28T12:00:00"/>
    <d v="2025-07-28T15:15:36"/>
    <x v="1"/>
    <s v="Scheduled service"/>
    <n v="0"/>
    <n v="0"/>
    <n v="0"/>
    <n v="3.26"/>
    <n v="0"/>
    <n v="3.26"/>
    <n v="65.2"/>
    <n v="0.25"/>
    <s v="W0120"/>
    <d v="2025-07-28T12:00:00"/>
    <d v="2025-07-28T15:15:36"/>
    <s v="Preventive"/>
    <n v="3.26"/>
    <n v="85"/>
    <n v="1787"/>
    <n v="2423"/>
    <s v="Complete"/>
    <s v="Scheduled inspection and service"/>
    <n v="0"/>
    <x v="1"/>
    <n v="48.900000000000006"/>
    <d v="2025-07-01T00:00:00"/>
    <n v="44.2"/>
    <n v="2161.3800000000006"/>
  </r>
  <r>
    <s v="E0121"/>
    <s v="A006"/>
    <d v="2025-08-10T12:00:00"/>
    <d v="2025-08-10T23:23:24"/>
    <x v="0"/>
    <s v="Unknown"/>
    <n v="2.5299999999999998"/>
    <n v="3.07"/>
    <n v="0"/>
    <n v="3.96"/>
    <n v="1.83"/>
    <n v="11.39"/>
    <n v="227.8"/>
    <n v="0.12"/>
    <s v="W0121"/>
    <d v="2025-08-10T14:31:48"/>
    <d v="2025-08-10T23:23:24"/>
    <s v="Corrective"/>
    <n v="3.96"/>
    <n v="85"/>
    <n v="1500"/>
    <n v="0"/>
    <s v="Complete"/>
    <s v="Cause not confirmed; follow-up needed"/>
    <n v="0"/>
    <x v="1"/>
    <n v="200.464"/>
    <d v="2025-08-01T00:00:00"/>
    <n v="43.2"/>
    <n v="8660.0447999999997"/>
  </r>
  <r>
    <s v="E0122"/>
    <s v="A006"/>
    <d v="2025-08-20T12:00:00"/>
    <d v="2025-08-21T06:00:00"/>
    <x v="0"/>
    <s v="Process upset"/>
    <n v="2.4700000000000002"/>
    <n v="5.91"/>
    <n v="0"/>
    <n v="8.9"/>
    <n v="0.72"/>
    <n v="18"/>
    <n v="360"/>
    <n v="0.12"/>
    <s v="W0122"/>
    <d v="2025-08-20T14:28:12"/>
    <d v="2025-08-21T06:00:00"/>
    <s v="Corrective"/>
    <n v="8.9"/>
    <n v="85"/>
    <n v="1508"/>
    <n v="0"/>
    <s v="Complete"/>
    <s v="Feed conditions changed; equipment restarted"/>
    <n v="0"/>
    <x v="1"/>
    <n v="316.8"/>
    <d v="2025-08-01T00:00:00"/>
    <n v="43.2"/>
    <n v="13685.760000000002"/>
  </r>
  <r>
    <s v="E0123"/>
    <s v="A006"/>
    <d v="2025-09-07T12:00:00"/>
    <d v="2025-09-08T06:55:12"/>
    <x v="0"/>
    <s v="Bearing wear"/>
    <n v="2.15"/>
    <n v="4.51"/>
    <n v="0"/>
    <n v="11"/>
    <n v="1.26"/>
    <n v="18.920000000000002"/>
    <n v="378.4"/>
    <n v="0.26"/>
    <s v="W0123"/>
    <d v="2025-09-07T14:09:00"/>
    <d v="2025-09-08T06:55:12"/>
    <s v="Corrective"/>
    <n v="22"/>
    <n v="85"/>
    <n v="1454"/>
    <n v="0"/>
    <s v="Complete"/>
    <s v="Noise and vibration increased before stop"/>
    <n v="0"/>
    <x v="1"/>
    <n v="280.01599999999996"/>
    <d v="2025-09-01T00:00:00"/>
    <n v="40.200000000000003"/>
    <n v="11256.643199999999"/>
  </r>
  <r>
    <s v="E0124"/>
    <s v="A006"/>
    <d v="2025-10-07T12:00:00"/>
    <d v="2025-10-08T08:46:12"/>
    <x v="0"/>
    <s v="Bearing wear"/>
    <n v="3.03"/>
    <n v="7.29"/>
    <n v="0"/>
    <n v="9.07"/>
    <n v="1.38"/>
    <n v="20.77"/>
    <n v="415.4"/>
    <n v="0.09"/>
    <s v="W0124"/>
    <d v="2025-10-07T15:01:48"/>
    <d v="2025-10-08T08:46:12"/>
    <s v="Corrective"/>
    <n v="18.14"/>
    <n v="85"/>
    <n v="6073"/>
    <n v="0"/>
    <s v="Complete"/>
    <s v="Noise and vibration increased before stop"/>
    <n v="0"/>
    <x v="1"/>
    <n v="378.01400000000001"/>
    <d v="2025-10-01T00:00:00"/>
    <n v="39.200000000000003"/>
    <n v="14818.148800000001"/>
  </r>
  <r>
    <s v="E0125"/>
    <s v="A006"/>
    <d v="2025-10-20T12:00:00"/>
    <d v="2025-10-22T01:46:12"/>
    <x v="0"/>
    <s v="Bearing wear"/>
    <n v="3.21"/>
    <n v="5.9"/>
    <n v="18.64"/>
    <n v="8.58"/>
    <n v="1.44"/>
    <n v="37.770000000000003"/>
    <n v="755.4"/>
    <n v="0.13"/>
    <s v="W0125"/>
    <d v="2025-10-20T15:12:36"/>
    <d v="2025-10-22T01:46:12"/>
    <s v="Corrective"/>
    <n v="17.16"/>
    <n v="85"/>
    <n v="1219"/>
    <n v="0"/>
    <s v="Complete"/>
    <s v="Noise and vibration increased before stop"/>
    <n v="0"/>
    <x v="1"/>
    <n v="657.19799999999998"/>
    <d v="2025-10-01T00:00:00"/>
    <n v="39.200000000000003"/>
    <n v="25762.161599999999"/>
  </r>
  <r>
    <s v="E0126"/>
    <s v="A006"/>
    <d v="2025-10-28T12:00:00"/>
    <d v="2025-10-28T16:22:48"/>
    <x v="1"/>
    <s v="Scheduled service"/>
    <n v="0"/>
    <n v="0"/>
    <n v="0"/>
    <n v="4.38"/>
    <n v="0"/>
    <n v="4.38"/>
    <n v="87.6"/>
    <n v="0.25"/>
    <s v="W0126"/>
    <d v="2025-10-28T12:00:00"/>
    <d v="2025-10-28T16:22:48"/>
    <s v="Preventive"/>
    <n v="4.38"/>
    <n v="85"/>
    <n v="1740"/>
    <n v="0"/>
    <s v="Complete"/>
    <s v="Scheduled inspection and service"/>
    <n v="0"/>
    <x v="1"/>
    <n v="65.699999999999989"/>
    <d v="2025-10-01T00:00:00"/>
    <n v="39.200000000000003"/>
    <n v="2575.4399999999996"/>
  </r>
  <r>
    <s v="E0127"/>
    <s v="A006"/>
    <d v="2025-11-04T12:00:00"/>
    <d v="2025-11-06T03:18:36"/>
    <x v="0"/>
    <s v="Electrical trip"/>
    <n v="3.89"/>
    <n v="3.65"/>
    <n v="24.22"/>
    <n v="5.67"/>
    <n v="1.88"/>
    <n v="39.31"/>
    <n v="786.2"/>
    <n v="0.25"/>
    <s v="W0127"/>
    <d v="2025-11-04T15:53:24"/>
    <d v="2025-11-06T03:18:36"/>
    <s v="Corrective"/>
    <n v="5.67"/>
    <n v="85"/>
    <n v="4418"/>
    <n v="3689"/>
    <s v="Complete"/>
    <s v="Protective trip; reviewed electrical panel"/>
    <n v="0"/>
    <x v="1"/>
    <n v="589.65000000000009"/>
    <d v="2025-11-01T00:00:00"/>
    <n v="41.2"/>
    <n v="24293.580000000005"/>
  </r>
  <r>
    <s v="E0128"/>
    <s v="A006"/>
    <d v="2025-12-07T12:00:00"/>
    <d v="2025-12-08T19:28:12"/>
    <x v="0"/>
    <s v="Unknown"/>
    <n v="3.66"/>
    <n v="6.8"/>
    <n v="10.7"/>
    <n v="7.81"/>
    <n v="2.5"/>
    <n v="31.47"/>
    <n v="629.4"/>
    <n v="0.12"/>
    <s v="W0128"/>
    <d v="2025-12-07T15:39:36"/>
    <d v="2025-12-08T19:28:12"/>
    <s v="Corrective"/>
    <n v="7.81"/>
    <n v="85"/>
    <n v="2776"/>
    <n v="0"/>
    <s v="Complete"/>
    <s v="Cause not confirmed; follow-up needed"/>
    <n v="0"/>
    <x v="1"/>
    <n v="553.87199999999996"/>
    <d v="2025-12-01T00:00:00"/>
    <n v="42.2"/>
    <n v="23373.398399999998"/>
  </r>
  <r>
    <s v="E0129"/>
    <s v="A007"/>
    <d v="2025-01-10T12:00:00"/>
    <d v="2025-01-11T02:01:48"/>
    <x v="0"/>
    <s v="Bearing wear"/>
    <n v="2.27"/>
    <n v="1.25"/>
    <n v="0"/>
    <n v="8.65"/>
    <n v="1.86"/>
    <n v="14.03"/>
    <n v="336.72"/>
    <n v="0.13"/>
    <s v="W0129"/>
    <d v="2025-01-10T14:16:12"/>
    <d v="2025-01-11T02:01:48"/>
    <s v="Corrective"/>
    <n v="17.3"/>
    <n v="85"/>
    <n v="5432"/>
    <n v="0"/>
    <s v="Complete"/>
    <s v="Noise and vibration increased before stop"/>
    <n v="0.5"/>
    <x v="2"/>
    <n v="292.94640000000004"/>
    <d v="2025-01-01T00:00:00"/>
    <n v="48.4"/>
    <n v="14178.605760000002"/>
  </r>
  <r>
    <s v="E0130"/>
    <s v="A007"/>
    <d v="2025-01-28T12:00:00"/>
    <d v="2025-01-28T18:43:12"/>
    <x v="1"/>
    <s v="Scheduled service"/>
    <n v="0"/>
    <n v="0"/>
    <n v="0"/>
    <n v="6.72"/>
    <n v="0"/>
    <n v="6.72"/>
    <n v="161.28"/>
    <n v="0.25"/>
    <s v="W0130"/>
    <d v="2025-01-28T12:00:00"/>
    <d v="2025-01-28T18:43:12"/>
    <s v="Preventive"/>
    <n v="13.44"/>
    <n v="85"/>
    <n v="761"/>
    <n v="0"/>
    <s v="Complete"/>
    <s v="Scheduled inspection and service"/>
    <n v="0"/>
    <x v="2"/>
    <n v="120.96000000000001"/>
    <d v="2025-01-01T00:00:00"/>
    <n v="48.4"/>
    <n v="5854.4639999999999"/>
  </r>
  <r>
    <s v="E0131"/>
    <s v="A007"/>
    <d v="2025-02-05T12:00:00"/>
    <d v="2025-02-06T00:50:24"/>
    <x v="0"/>
    <s v="Process upset"/>
    <n v="2.2000000000000002"/>
    <n v="1.44"/>
    <n v="0"/>
    <n v="7.26"/>
    <n v="1.94"/>
    <n v="12.84"/>
    <n v="308.16000000000003"/>
    <n v="0.23"/>
    <s v="W0131"/>
    <d v="2025-02-05T14:12:00"/>
    <d v="2025-02-06T00:50:24"/>
    <s v="Corrective"/>
    <n v="7.26"/>
    <n v="85"/>
    <n v="9474"/>
    <n v="0"/>
    <s v="Complete"/>
    <s v="Feed conditions changed; equipment restarted"/>
    <n v="0"/>
    <x v="2"/>
    <n v="237.28320000000002"/>
    <d v="2025-02-01T00:00:00"/>
    <n v="46.4"/>
    <n v="11009.940480000001"/>
  </r>
  <r>
    <s v="E0132"/>
    <s v="A007"/>
    <d v="2025-03-06T12:00:00"/>
    <d v="2025-03-07T03:16:12"/>
    <x v="0"/>
    <s v="Bearing wear"/>
    <n v="2.12"/>
    <n v="2.37"/>
    <n v="0"/>
    <n v="8.8800000000000008"/>
    <n v="1.9"/>
    <n v="15.27"/>
    <n v="366.48"/>
    <n v="0.15"/>
    <s v="W0132"/>
    <d v="2025-03-06T14:07:12"/>
    <d v="2025-03-07T03:16:12"/>
    <s v="Corrective"/>
    <n v="17.760000000000002"/>
    <n v="85"/>
    <n v="4756"/>
    <n v="0"/>
    <s v="Complete"/>
    <s v="Noise and vibration increased before stop"/>
    <n v="0"/>
    <x v="2"/>
    <n v="311.50799999999998"/>
    <d v="2025-03-01T00:00:00"/>
    <n v="44.4"/>
    <n v="13830.955199999999"/>
  </r>
  <r>
    <s v="E0133"/>
    <s v="A007"/>
    <d v="2025-04-07T12:00:00"/>
    <d v="2025-04-08T00:01:12"/>
    <x v="0"/>
    <s v="Process upset"/>
    <n v="0.94"/>
    <n v="3.45"/>
    <n v="0"/>
    <n v="6.03"/>
    <n v="1.6"/>
    <n v="12.02"/>
    <n v="288.48"/>
    <n v="0.3"/>
    <s v="W0133"/>
    <d v="2025-04-07T12:56:24"/>
    <d v="2025-04-08T00:01:12"/>
    <s v="Corrective"/>
    <n v="12.06"/>
    <n v="85"/>
    <n v="4483"/>
    <n v="0"/>
    <s v="Complete"/>
    <s v="Feed conditions changed; equipment restarted"/>
    <n v="0.5"/>
    <x v="2"/>
    <n v="201.93600000000001"/>
    <d v="2025-04-01T00:00:00"/>
    <n v="42.4"/>
    <n v="8562.0864000000001"/>
  </r>
  <r>
    <s v="E0134"/>
    <s v="A007"/>
    <d v="2025-04-28T12:00:00"/>
    <d v="2025-04-28T17:01:48"/>
    <x v="1"/>
    <s v="Scheduled service"/>
    <n v="0"/>
    <n v="0"/>
    <n v="0"/>
    <n v="5.03"/>
    <n v="0"/>
    <n v="5.03"/>
    <n v="120.72"/>
    <n v="0.25"/>
    <s v="W0134"/>
    <d v="2025-04-28T12:00:00"/>
    <d v="2025-04-28T17:01:48"/>
    <s v="Preventive"/>
    <n v="10.06"/>
    <n v="85"/>
    <n v="1261"/>
    <n v="0"/>
    <s v="Complete"/>
    <s v="Scheduled inspection and service"/>
    <n v="0"/>
    <x v="2"/>
    <n v="90.539999999999992"/>
    <d v="2025-04-01T00:00:00"/>
    <n v="42.4"/>
    <n v="3838.8959999999997"/>
  </r>
  <r>
    <s v="E0135"/>
    <s v="A007"/>
    <d v="2025-05-05T12:00:00"/>
    <d v="2025-05-06T03:42:00"/>
    <x v="0"/>
    <s v="Bearing wear"/>
    <n v="1.04"/>
    <n v="2.5299999999999998"/>
    <n v="0"/>
    <n v="10.59"/>
    <n v="1.54"/>
    <n v="15.7"/>
    <n v="376.8"/>
    <n v="0.3"/>
    <s v="W0135"/>
    <d v="2025-05-05T13:02:24"/>
    <d v="2025-05-06T03:42:00"/>
    <s v="Corrective"/>
    <n v="10.59"/>
    <n v="85"/>
    <n v="9375"/>
    <n v="0"/>
    <s v="Complete"/>
    <s v="Noise and vibration increased before stop"/>
    <n v="0"/>
    <x v="2"/>
    <n v="263.76"/>
    <d v="2025-05-01T00:00:00"/>
    <n v="40.4"/>
    <n v="10655.903999999999"/>
  </r>
  <r>
    <s v="E0136"/>
    <s v="A007"/>
    <d v="2025-06-07T12:00:00"/>
    <d v="2025-06-08T06:38:24"/>
    <x v="0"/>
    <s v="Electrical trip"/>
    <n v="4.5199999999999996"/>
    <n v="2.97"/>
    <n v="0"/>
    <n v="9.5500000000000007"/>
    <n v="1.6"/>
    <n v="18.64"/>
    <n v="447.36"/>
    <n v="0.12"/>
    <s v="W0136"/>
    <d v="2025-06-07T16:31:12"/>
    <d v="2025-06-08T06:38:24"/>
    <s v="Corrective"/>
    <n v="9.5500000000000007"/>
    <n v="85"/>
    <n v="4128"/>
    <n v="0"/>
    <s v="Complete"/>
    <s v="Protective trip; reviewed electrical panel"/>
    <n v="0"/>
    <x v="2"/>
    <n v="393.67680000000001"/>
    <d v="2025-06-01T00:00:00"/>
    <n v="41.4"/>
    <n v="16298.219520000001"/>
  </r>
  <r>
    <s v="E0137"/>
    <s v="A007"/>
    <d v="2025-07-08T12:00:00"/>
    <d v="2025-07-09T06:35:24"/>
    <x v="0"/>
    <s v="Bearing wear"/>
    <n v="2.17"/>
    <n v="2.76"/>
    <n v="0"/>
    <n v="12.12"/>
    <n v="1.54"/>
    <n v="18.59"/>
    <n v="446.16"/>
    <n v="0.14000000000000001"/>
    <s v="W0137"/>
    <d v="2025-07-08T14:10:12"/>
    <d v="2025-07-09T06:35:24"/>
    <s v="Corrective"/>
    <n v="12.12"/>
    <n v="85"/>
    <n v="3307"/>
    <n v="1328"/>
    <s v="Complete"/>
    <s v="Noise and vibration increased before stop"/>
    <n v="0.5"/>
    <x v="2"/>
    <n v="383.69760000000002"/>
    <d v="2025-07-01T00:00:00"/>
    <n v="43.4"/>
    <n v="16652.475839999999"/>
  </r>
  <r>
    <s v="E0138"/>
    <s v="A007"/>
    <d v="2025-07-28T12:00:00"/>
    <d v="2025-07-28T17:51:00"/>
    <x v="1"/>
    <s v="Scheduled service"/>
    <n v="0"/>
    <n v="0"/>
    <n v="0"/>
    <n v="5.85"/>
    <n v="0"/>
    <n v="5.85"/>
    <n v="140.4"/>
    <n v="0.25"/>
    <s v="W0138"/>
    <d v="2025-07-28T12:00:00"/>
    <d v="2025-07-28T17:51:00"/>
    <s v="Preventive"/>
    <n v="5.85"/>
    <n v="85"/>
    <n v="802"/>
    <n v="0"/>
    <s v="Complete"/>
    <s v="Scheduled inspection and service"/>
    <n v="0"/>
    <x v="2"/>
    <n v="105.30000000000001"/>
    <d v="2025-07-01T00:00:00"/>
    <n v="43.4"/>
    <n v="4570.0200000000004"/>
  </r>
  <r>
    <s v="E0139"/>
    <s v="A007"/>
    <d v="2025-08-06T12:00:00"/>
    <d v="2025-08-07T00:36:00"/>
    <x v="0"/>
    <s v="Bearing wear"/>
    <n v="2.2400000000000002"/>
    <n v="2.4900000000000002"/>
    <n v="0"/>
    <n v="7.19"/>
    <n v="0.68"/>
    <n v="12.6"/>
    <n v="302.39999999999998"/>
    <n v="0.13"/>
    <s v="W0139"/>
    <d v="2025-08-06T14:14:24"/>
    <d v="2025-08-07T00:36:00"/>
    <s v="Corrective"/>
    <n v="7.19"/>
    <n v="85"/>
    <n v="7091"/>
    <n v="0"/>
    <s v="Complete"/>
    <s v="Noise and vibration increased before stop"/>
    <n v="0"/>
    <x v="2"/>
    <n v="263.08799999999997"/>
    <d v="2025-08-01T00:00:00"/>
    <n v="42.4"/>
    <n v="11154.931199999997"/>
  </r>
  <r>
    <s v="E0140"/>
    <s v="A007"/>
    <d v="2025-09-08T12:00:00"/>
    <d v="2025-09-09T04:37:12"/>
    <x v="0"/>
    <s v="Bearing wear"/>
    <n v="3.21"/>
    <n v="1.77"/>
    <n v="0"/>
    <n v="10.74"/>
    <n v="0.9"/>
    <n v="16.62"/>
    <n v="398.88"/>
    <n v="0.23"/>
    <s v="W0140"/>
    <d v="2025-09-08T15:12:36"/>
    <d v="2025-09-09T04:37:12"/>
    <s v="Corrective"/>
    <n v="21.48"/>
    <n v="85"/>
    <n v="3436"/>
    <n v="1975"/>
    <s v="Complete"/>
    <s v="Noise and vibration increased before stop"/>
    <n v="0"/>
    <x v="2"/>
    <n v="307.13760000000002"/>
    <d v="2025-09-01T00:00:00"/>
    <n v="39.4"/>
    <n v="12101.221440000001"/>
  </r>
  <r>
    <s v="E0141"/>
    <s v="A007"/>
    <d v="2025-10-07T12:00:00"/>
    <d v="2025-10-08T03:49:48"/>
    <x v="0"/>
    <s v="Bearing wear"/>
    <n v="4.5199999999999996"/>
    <n v="1.84"/>
    <n v="0"/>
    <n v="7.73"/>
    <n v="1.74"/>
    <n v="15.83"/>
    <n v="379.92"/>
    <n v="0.28999999999999998"/>
    <s v="W0141"/>
    <d v="2025-10-07T16:31:12"/>
    <d v="2025-10-08T03:49:48"/>
    <s v="Corrective"/>
    <n v="7.73"/>
    <n v="85"/>
    <n v="7345"/>
    <n v="0"/>
    <s v="Complete"/>
    <s v="Noise and vibration increased before stop"/>
    <n v="0"/>
    <x v="2"/>
    <n v="269.7432"/>
    <d v="2025-10-01T00:00:00"/>
    <n v="38.4"/>
    <n v="10358.13888"/>
  </r>
  <r>
    <s v="E0142"/>
    <s v="A007"/>
    <d v="2025-10-28T12:00:00"/>
    <d v="2025-10-28T16:48:00"/>
    <x v="1"/>
    <s v="Scheduled service"/>
    <n v="0"/>
    <n v="0"/>
    <n v="0"/>
    <n v="4.8"/>
    <n v="0"/>
    <n v="4.8"/>
    <n v="115.2"/>
    <n v="0.25"/>
    <s v="W0142"/>
    <d v="2025-10-28T12:00:00"/>
    <d v="2025-10-28T16:48:00"/>
    <s v="Preventive"/>
    <n v="4.8"/>
    <n v="85"/>
    <n v="1048"/>
    <n v="0"/>
    <s v="Complete"/>
    <s v="Scheduled inspection and service"/>
    <n v="0"/>
    <x v="2"/>
    <n v="86.4"/>
    <d v="2025-10-01T00:00:00"/>
    <n v="38.4"/>
    <n v="3317.76"/>
  </r>
  <r>
    <s v="E0143"/>
    <s v="A007"/>
    <d v="2025-11-08T12:00:00"/>
    <d v="2025-11-09T12:52:48"/>
    <x v="0"/>
    <s v="Electrical trip"/>
    <n v="4.72"/>
    <n v="1.2"/>
    <n v="14.81"/>
    <n v="3.26"/>
    <n v="0.89"/>
    <n v="24.88"/>
    <n v="597.12"/>
    <n v="0.14000000000000001"/>
    <s v="W0143"/>
    <d v="2025-11-08T16:43:12"/>
    <d v="2025-11-09T12:52:48"/>
    <s v="Corrective"/>
    <n v="3.26"/>
    <n v="85"/>
    <n v="7817"/>
    <n v="0"/>
    <s v="Complete"/>
    <s v="Protective trip; reviewed electrical panel"/>
    <n v="0"/>
    <x v="2"/>
    <n v="513.52319999999997"/>
    <d v="2025-11-01T00:00:00"/>
    <n v="40.4"/>
    <n v="20746.33728"/>
  </r>
  <r>
    <s v="E0144"/>
    <s v="A007"/>
    <d v="2025-12-09T12:00:00"/>
    <d v="2025-12-10T03:42:36"/>
    <x v="0"/>
    <s v="Seal leak"/>
    <n v="3.66"/>
    <n v="2.76"/>
    <n v="0"/>
    <n v="7.99"/>
    <n v="1.3"/>
    <n v="15.71"/>
    <n v="377.04"/>
    <n v="0.24"/>
    <s v="W0144"/>
    <d v="2025-12-09T15:39:36"/>
    <d v="2025-12-10T03:42:36"/>
    <s v="Corrective"/>
    <n v="15.98"/>
    <n v="85"/>
    <n v="6272"/>
    <n v="3327"/>
    <s v="Complete"/>
    <s v="Visible leak reported during inspection"/>
    <n v="0"/>
    <x v="2"/>
    <n v="286.55040000000002"/>
    <d v="2025-12-01T00:00:00"/>
    <n v="41.4"/>
    <n v="11863.18656"/>
  </r>
  <r>
    <s v="E0145"/>
    <s v="A008"/>
    <d v="2025-01-05T12:00:00"/>
    <d v="2025-01-06T05:19:12"/>
    <x v="0"/>
    <s v="Bearing wear"/>
    <n v="4.1900000000000004"/>
    <n v="1.61"/>
    <n v="0"/>
    <n v="9.85"/>
    <n v="1.67"/>
    <n v="17.32"/>
    <n v="311.76"/>
    <n v="0.14000000000000001"/>
    <s v="W0145"/>
    <d v="2025-01-05T16:11:24"/>
    <d v="2025-01-06T05:19:12"/>
    <s v="Corrective"/>
    <n v="9.85"/>
    <n v="85"/>
    <n v="8833"/>
    <n v="0"/>
    <s v="Complete"/>
    <s v="Noise and vibration increased before stop"/>
    <n v="0"/>
    <x v="2"/>
    <n v="268.11359999999996"/>
    <d v="2025-01-01T00:00:00"/>
    <n v="48.4"/>
    <n v="12976.698239999998"/>
  </r>
  <r>
    <s v="E0146"/>
    <s v="A008"/>
    <d v="2025-01-21T12:00:00"/>
    <d v="2025-01-23T02:00:00"/>
    <x v="0"/>
    <s v="Process upset"/>
    <n v="3.69"/>
    <n v="2.52"/>
    <n v="24.77"/>
    <n v="5.84"/>
    <n v="1.18"/>
    <n v="38"/>
    <n v="684"/>
    <n v="0.21"/>
    <s v="W0146"/>
    <d v="2025-01-21T15:41:24"/>
    <d v="2025-01-23T02:00:00"/>
    <s v="Corrective"/>
    <n v="11.68"/>
    <n v="85"/>
    <m/>
    <n v="0"/>
    <s v="Parts invoice pending"/>
    <s v="Feed conditions changed; equipment restarted"/>
    <n v="0"/>
    <x v="2"/>
    <n v="540.36"/>
    <d v="2025-01-01T00:00:00"/>
    <n v="48.4"/>
    <n v="26153.423999999999"/>
  </r>
  <r>
    <s v="E0147"/>
    <s v="A008"/>
    <d v="2025-01-28T12:00:00"/>
    <d v="2025-01-28T19:48:00"/>
    <x v="1"/>
    <s v="Scheduled service"/>
    <n v="0"/>
    <n v="0"/>
    <n v="0"/>
    <n v="7.8"/>
    <n v="0"/>
    <n v="7.8"/>
    <n v="140.4"/>
    <n v="0.25"/>
    <s v="W0147"/>
    <d v="2025-01-28T12:00:00"/>
    <d v="2025-01-28T19:48:00"/>
    <s v="Preventive"/>
    <n v="15.6"/>
    <n v="85"/>
    <n v="1198"/>
    <n v="0"/>
    <s v="Complete"/>
    <s v="Scheduled inspection and service"/>
    <n v="0"/>
    <x v="2"/>
    <n v="105.30000000000001"/>
    <d v="2025-01-01T00:00:00"/>
    <n v="48.4"/>
    <n v="5096.5200000000004"/>
  </r>
  <r>
    <s v="E0148"/>
    <s v="A008"/>
    <d v="2025-02-07T12:00:00"/>
    <d v="2025-02-09T01:38:24"/>
    <x v="0"/>
    <s v="Process upset"/>
    <n v="3.79"/>
    <n v="1.43"/>
    <n v="25.89"/>
    <n v="5.33"/>
    <n v="1.2"/>
    <n v="37.64"/>
    <n v="677.52"/>
    <n v="0.09"/>
    <s v="W0148"/>
    <d v="2025-02-07T15:47:24"/>
    <d v="2025-02-09T01:38:24"/>
    <s v="Corrective"/>
    <n v="10.66"/>
    <n v="85"/>
    <n v="6507"/>
    <n v="0"/>
    <s v="Complete"/>
    <s v="Feed conditions changed; equipment restarted"/>
    <n v="0"/>
    <x v="2"/>
    <n v="616.54319999999996"/>
    <d v="2025-02-01T00:00:00"/>
    <n v="46.4"/>
    <n v="28607.604479999998"/>
  </r>
  <r>
    <s v="E0149"/>
    <s v="A008"/>
    <d v="2025-03-10T12:00:00"/>
    <d v="2025-03-10T21:31:48"/>
    <x v="0"/>
    <s v="Electrical trip"/>
    <n v="3.48"/>
    <n v="2.5299999999999998"/>
    <n v="0"/>
    <n v="2.92"/>
    <n v="0.6"/>
    <n v="9.5299999999999994"/>
    <n v="171.54"/>
    <n v="0.09"/>
    <s v="W0149"/>
    <d v="2025-03-10T15:28:48"/>
    <d v="2025-03-10T21:31:48"/>
    <s v="Corrective"/>
    <n v="2.92"/>
    <n v="85"/>
    <n v="5738"/>
    <n v="0"/>
    <s v="Complete"/>
    <s v="Protective trip; reviewed electrical panel"/>
    <n v="0"/>
    <x v="2"/>
    <n v="156.10139999999998"/>
    <d v="2025-03-01T00:00:00"/>
    <n v="44.4"/>
    <n v="6930.9021599999987"/>
  </r>
  <r>
    <s v="E0150"/>
    <s v="A008"/>
    <d v="2025-03-19T12:00:00"/>
    <d v="2025-03-20T01:31:12"/>
    <x v="0"/>
    <s v="Process upset"/>
    <n v="2.62"/>
    <n v="1.05"/>
    <n v="0"/>
    <n v="8.5"/>
    <n v="1.35"/>
    <n v="13.52"/>
    <n v="243.36"/>
    <n v="0.27"/>
    <s v="W0150"/>
    <d v="2025-03-19T14:37:12"/>
    <d v="2025-03-20T01:31:12"/>
    <s v="Corrective"/>
    <n v="8.5"/>
    <n v="85"/>
    <n v="2243"/>
    <n v="0"/>
    <s v="Complete"/>
    <s v="Feed conditions changed; equipment restarted"/>
    <n v="0"/>
    <x v="2"/>
    <n v="177.65280000000001"/>
    <d v="2025-03-01T00:00:00"/>
    <n v="44.4"/>
    <n v="7887.7843200000007"/>
  </r>
  <r>
    <s v="E0151"/>
    <s v="A008"/>
    <d v="2025-04-09T12:00:00"/>
    <d v="2025-04-10T01:57:00"/>
    <x v="0"/>
    <s v="Bearing wear"/>
    <n v="4.26"/>
    <n v="1.0900000000000001"/>
    <n v="0"/>
    <n v="7.5"/>
    <n v="1.1000000000000001"/>
    <n v="13.95"/>
    <n v="251.1"/>
    <n v="0.23"/>
    <s v="W0151"/>
    <d v="2025-04-09T16:15:36"/>
    <d v="2025-04-10T01:57:00"/>
    <s v="Corrective"/>
    <n v="7.5"/>
    <n v="85"/>
    <n v="2151"/>
    <n v="0"/>
    <s v="Complete"/>
    <s v="Noise and vibration increased before stop"/>
    <n v="0"/>
    <x v="2"/>
    <n v="193.34700000000001"/>
    <d v="2025-04-01T00:00:00"/>
    <n v="42.4"/>
    <n v="8197.9128000000001"/>
  </r>
  <r>
    <s v="E0152"/>
    <s v="A008"/>
    <d v="2025-04-28T12:00:00"/>
    <d v="2025-04-28T19:04:48"/>
    <x v="1"/>
    <s v="Scheduled service"/>
    <n v="0"/>
    <n v="0"/>
    <n v="0"/>
    <n v="7.08"/>
    <n v="0"/>
    <n v="7.08"/>
    <n v="127.44"/>
    <n v="0.25"/>
    <s v="W0152"/>
    <d v="2025-04-28T12:00:00"/>
    <d v="2025-04-28T19:04:48"/>
    <s v="Preventive"/>
    <n v="7.08"/>
    <n v="85"/>
    <n v="914"/>
    <n v="0"/>
    <s v="Complete"/>
    <s v="Scheduled inspection and service"/>
    <n v="0"/>
    <x v="2"/>
    <n v="95.58"/>
    <d v="2025-04-01T00:00:00"/>
    <n v="42.4"/>
    <n v="4052.5919999999996"/>
  </r>
  <r>
    <s v="E0153"/>
    <s v="A008"/>
    <d v="2025-05-10T12:00:00"/>
    <d v="2025-05-11T02:34:12"/>
    <x v="0"/>
    <s v="Bearing wear"/>
    <n v="1.38"/>
    <n v="2.38"/>
    <n v="0"/>
    <n v="8.91"/>
    <n v="1.9"/>
    <n v="14.57"/>
    <n v="262.26"/>
    <n v="0.12"/>
    <s v="W0153"/>
    <d v="2025-05-10T13:22:48"/>
    <d v="2025-05-11T02:34:12"/>
    <s v="Corrective"/>
    <n v="8.91"/>
    <n v="85"/>
    <n v="7209"/>
    <n v="0"/>
    <s v="Complete"/>
    <s v="Noise and vibration increased before stop"/>
    <n v="0"/>
    <x v="2"/>
    <n v="230.78879999999998"/>
    <d v="2025-05-01T00:00:00"/>
    <n v="40.4"/>
    <n v="9323.8675199999998"/>
  </r>
  <r>
    <s v="E0154"/>
    <s v="A008"/>
    <d v="2025-06-06T12:00:00"/>
    <d v="2025-06-07T04:54:36"/>
    <x v="0"/>
    <s v="Bearing wear"/>
    <n v="1.1100000000000001"/>
    <n v="3.42"/>
    <n v="0"/>
    <n v="11.15"/>
    <n v="1.23"/>
    <n v="16.91"/>
    <n v="304.38"/>
    <n v="0.25"/>
    <s v="W0154"/>
    <d v="2025-06-06T13:06:36"/>
    <d v="2025-06-07T04:54:36"/>
    <s v="Corrective"/>
    <n v="11.15"/>
    <n v="85"/>
    <n v="8345"/>
    <n v="0"/>
    <s v="Complete"/>
    <s v="Noise and vibration increased before stop"/>
    <n v="0"/>
    <x v="2"/>
    <n v="228.285"/>
    <d v="2025-06-01T00:00:00"/>
    <n v="41.4"/>
    <n v="9450.9989999999998"/>
  </r>
  <r>
    <s v="E0155"/>
    <s v="A008"/>
    <d v="2025-07-05T12:00:00"/>
    <d v="2025-07-06T23:14:24"/>
    <x v="0"/>
    <s v="Seal leak"/>
    <n v="0.95"/>
    <n v="1.62"/>
    <n v="22.96"/>
    <n v="8.2899999999999991"/>
    <n v="1.42"/>
    <n v="35.24"/>
    <n v="634.32000000000005"/>
    <n v="0.15"/>
    <s v="W0155"/>
    <d v="2025-07-05T12:57:00"/>
    <d v="2025-07-06T23:14:24"/>
    <s v="Corrective"/>
    <n v="8.2899999999999991"/>
    <n v="85"/>
    <n v="5670"/>
    <n v="4365"/>
    <s v="Complete"/>
    <s v="Visible leak reported during inspection"/>
    <n v="0"/>
    <x v="2"/>
    <n v="539.17200000000003"/>
    <d v="2025-07-01T00:00:00"/>
    <n v="43.4"/>
    <n v="23400.0648"/>
  </r>
  <r>
    <s v="E0156"/>
    <s v="A008"/>
    <d v="2025-07-28T12:00:00"/>
    <d v="2025-07-28T15:19:12"/>
    <x v="1"/>
    <s v="Scheduled service"/>
    <n v="0"/>
    <n v="0"/>
    <n v="0"/>
    <n v="3.32"/>
    <n v="0"/>
    <n v="3.32"/>
    <n v="59.76"/>
    <n v="0.25"/>
    <s v="W0156"/>
    <d v="2025-07-28T12:00:00"/>
    <d v="2025-07-28T15:19:12"/>
    <s v="Preventive"/>
    <n v="6.64"/>
    <n v="85"/>
    <n v="1434"/>
    <n v="2832"/>
    <s v="Complete"/>
    <s v="Scheduled inspection and service"/>
    <n v="0"/>
    <x v="2"/>
    <n v="44.82"/>
    <d v="2025-07-01T00:00:00"/>
    <n v="43.4"/>
    <n v="1945.1879999999999"/>
  </r>
  <r>
    <s v="E0157"/>
    <s v="A008"/>
    <d v="2025-08-05T12:00:00"/>
    <d v="2025-08-05T22:40:48"/>
    <x v="0"/>
    <s v="Bearing wear"/>
    <n v="1.59"/>
    <n v="1.75"/>
    <n v="0"/>
    <n v="5.45"/>
    <n v="1.89"/>
    <n v="10.68"/>
    <n v="192.24"/>
    <n v="0.22"/>
    <s v="W0157"/>
    <d v="2025-08-05T13:35:24"/>
    <d v="2025-08-05T22:40:48"/>
    <s v="Corrective"/>
    <n v="10.9"/>
    <n v="85"/>
    <n v="9572"/>
    <n v="0"/>
    <s v="Complete"/>
    <s v="Noise and vibration increased before stop"/>
    <n v="0"/>
    <x v="2"/>
    <n v="149.94720000000001"/>
    <d v="2025-08-01T00:00:00"/>
    <n v="42.4"/>
    <n v="6357.7612800000006"/>
  </r>
  <r>
    <s v="E0158"/>
    <s v="A008"/>
    <d v="2025-09-07T12:00:00"/>
    <d v="2025-09-08T04:29:24"/>
    <x v="0"/>
    <s v="Bearing wear"/>
    <n v="1.58"/>
    <n v="1.55"/>
    <n v="0"/>
    <n v="11.42"/>
    <n v="1.94"/>
    <n v="16.489999999999998"/>
    <n v="296.82"/>
    <n v="0.25"/>
    <s v="W0158"/>
    <d v="2025-09-07T13:34:48"/>
    <d v="2025-09-08T04:29:24"/>
    <s v="Corrective"/>
    <n v="11.42"/>
    <n v="85"/>
    <n v="3467"/>
    <n v="0"/>
    <s v="Complete"/>
    <s v="Noise and vibration increased before stop"/>
    <n v="0"/>
    <x v="2"/>
    <n v="222.61500000000001"/>
    <d v="2025-09-01T00:00:00"/>
    <n v="39.4"/>
    <n v="8771.0310000000009"/>
  </r>
  <r>
    <s v="E0159"/>
    <s v="A008"/>
    <d v="2025-10-09T12:00:00"/>
    <d v="2025-10-10T02:30:36"/>
    <x v="0"/>
    <s v="Unknown"/>
    <n v="3.89"/>
    <n v="1.82"/>
    <n v="0"/>
    <n v="7.37"/>
    <n v="1.43"/>
    <n v="14.51"/>
    <n v="261.18"/>
    <n v="0.11"/>
    <s v="W0159"/>
    <d v="2025-10-09T15:53:24"/>
    <d v="2025-10-10T02:30:36"/>
    <s v="Corrective"/>
    <n v="14.74"/>
    <n v="85"/>
    <n v="7017"/>
    <n v="0"/>
    <s v="Complete"/>
    <s v="Cause not confirmed; follow-up needed"/>
    <n v="0"/>
    <x v="2"/>
    <n v="232.45020000000002"/>
    <d v="2025-10-01T00:00:00"/>
    <n v="38.4"/>
    <n v="8926.0876800000005"/>
  </r>
  <r>
    <s v="E0160"/>
    <s v="A008"/>
    <d v="2025-10-19T12:00:00"/>
    <d v="2025-10-20T00:48:00"/>
    <x v="0"/>
    <s v="Bearing wear"/>
    <n v="3.3"/>
    <n v="2.5499999999999998"/>
    <n v="0"/>
    <n v="5.15"/>
    <n v="1.8"/>
    <n v="12.8"/>
    <n v="230.4"/>
    <n v="0.1"/>
    <s v="W0160"/>
    <d v="2025-10-19T15:18:00"/>
    <d v="2025-10-20T00:48:00"/>
    <s v="Corrective"/>
    <n v="5.15"/>
    <n v="85"/>
    <n v="8573"/>
    <n v="0"/>
    <s v="Complete"/>
    <s v="Noise and vibration increased before stop"/>
    <n v="0"/>
    <x v="2"/>
    <n v="207.36"/>
    <d v="2025-10-01T00:00:00"/>
    <n v="38.4"/>
    <n v="7962.6239999999998"/>
  </r>
  <r>
    <s v="E0161"/>
    <s v="A008"/>
    <d v="2025-10-28T12:00:00"/>
    <d v="2025-10-28T15:56:24"/>
    <x v="1"/>
    <s v="Scheduled service"/>
    <n v="0"/>
    <n v="0"/>
    <n v="0"/>
    <n v="3.94"/>
    <n v="0"/>
    <n v="3.94"/>
    <n v="70.92"/>
    <n v="0.25"/>
    <s v="W0161"/>
    <d v="2025-10-28T12:00:00"/>
    <d v="2025-10-28T15:56:24"/>
    <s v="Preventive"/>
    <n v="7.88"/>
    <n v="85"/>
    <n v="469"/>
    <n v="0"/>
    <s v="Complete"/>
    <s v="Scheduled inspection and service"/>
    <n v="0"/>
    <x v="2"/>
    <n v="53.19"/>
    <d v="2025-10-01T00:00:00"/>
    <n v="38.4"/>
    <n v="2042.4959999999999"/>
  </r>
  <r>
    <s v="E0162"/>
    <s v="A008"/>
    <d v="2025-11-08T12:00:00"/>
    <d v="2025-11-09T01:18:36"/>
    <x v="0"/>
    <s v="Bearing wear"/>
    <n v="4.76"/>
    <n v="2.31"/>
    <n v="0"/>
    <n v="5.42"/>
    <n v="0.82"/>
    <n v="13.31"/>
    <n v="239.58"/>
    <n v="0.21"/>
    <s v="W0162"/>
    <d v="2025-11-08T16:45:36"/>
    <d v="2025-11-09T01:18:36"/>
    <s v="Corrective"/>
    <n v="5.42"/>
    <n v="85"/>
    <n v="8540"/>
    <n v="0"/>
    <s v="Complete"/>
    <s v="Noise and vibration increased before stop"/>
    <n v="0"/>
    <x v="2"/>
    <n v="189.26820000000001"/>
    <d v="2025-11-01T00:00:00"/>
    <n v="40.4"/>
    <n v="7646.4352799999997"/>
  </r>
  <r>
    <s v="E0163"/>
    <s v="A008"/>
    <d v="2025-12-05T12:00:00"/>
    <d v="2025-12-06T02:36:36"/>
    <x v="0"/>
    <s v="Electrical trip"/>
    <n v="1.98"/>
    <n v="1.1100000000000001"/>
    <n v="0"/>
    <n v="9.32"/>
    <n v="2.2000000000000002"/>
    <n v="14.61"/>
    <n v="262.98"/>
    <n v="0.21"/>
    <s v="W0163"/>
    <d v="2025-12-05T13:58:48"/>
    <d v="2025-12-06T02:36:36"/>
    <s v="Corrective"/>
    <n v="9.32"/>
    <n v="85"/>
    <n v="3779"/>
    <n v="2595"/>
    <s v="Complete"/>
    <s v="Protective trip; reviewed electrical panel"/>
    <n v="0"/>
    <x v="2"/>
    <n v="207.75420000000003"/>
    <d v="2025-12-01T00:00:00"/>
    <n v="41.4"/>
    <n v="8601.0238800000006"/>
  </r>
  <r>
    <s v="E0164"/>
    <s v="A009"/>
    <d v="2025-01-06T12:00:00"/>
    <d v="2025-01-07T01:04:12"/>
    <x v="0"/>
    <s v="Electrical trip"/>
    <n v="4.3600000000000003"/>
    <n v="2.6"/>
    <n v="0"/>
    <n v="5.25"/>
    <n v="0.86"/>
    <n v="13.07"/>
    <n v="418.24"/>
    <n v="0.25"/>
    <s v="W0164"/>
    <d v="2025-01-06T16:21:36"/>
    <d v="2025-01-07T01:04:12"/>
    <s v="Corrective"/>
    <n v="5.25"/>
    <n v="85"/>
    <n v="5601"/>
    <n v="0"/>
    <s v="Complete"/>
    <s v="Protective trip; reviewed electrical panel"/>
    <n v="0"/>
    <x v="2"/>
    <n v="313.68"/>
    <d v="2025-01-01T00:00:00"/>
    <n v="48.4"/>
    <n v="15182.111999999999"/>
  </r>
  <r>
    <s v="E0165"/>
    <s v="A009"/>
    <d v="2025-01-28T12:00:00"/>
    <d v="2025-01-28T15:13:12"/>
    <x v="1"/>
    <s v="Scheduled service"/>
    <n v="0"/>
    <n v="0"/>
    <n v="0"/>
    <n v="3.22"/>
    <n v="0"/>
    <n v="3.22"/>
    <n v="103.04"/>
    <n v="0.25"/>
    <s v="W0165"/>
    <d v="2025-01-28T12:00:00"/>
    <d v="2025-01-28T15:13:12"/>
    <s v="Preventive"/>
    <n v="6.44"/>
    <n v="85"/>
    <n v="729"/>
    <n v="4428"/>
    <s v="Complete"/>
    <s v="Scheduled inspection and service"/>
    <n v="0"/>
    <x v="2"/>
    <n v="77.28"/>
    <d v="2025-01-01T00:00:00"/>
    <n v="48.4"/>
    <n v="3740.3519999999999"/>
  </r>
  <r>
    <s v="E0166"/>
    <s v="A009"/>
    <d v="2025-02-06T12:00:00"/>
    <d v="2025-02-06T20:16:48"/>
    <x v="0"/>
    <s v="Electrical trip"/>
    <n v="1.85"/>
    <n v="0.71"/>
    <n v="0"/>
    <n v="3.97"/>
    <n v="1.75"/>
    <n v="8.2799999999999994"/>
    <n v="264.95999999999998"/>
    <n v="0.26"/>
    <s v="W0166"/>
    <d v="2025-02-06T13:51:00"/>
    <d v="2025-02-06T20:16:48"/>
    <s v="Corrective"/>
    <n v="3.97"/>
    <n v="85"/>
    <n v="7762"/>
    <n v="0"/>
    <s v="Complete"/>
    <s v="Protective trip; reviewed electrical panel"/>
    <n v="0"/>
    <x v="2"/>
    <n v="196.07039999999998"/>
    <d v="2025-02-01T00:00:00"/>
    <n v="46.4"/>
    <n v="9097.6665599999978"/>
  </r>
  <r>
    <s v="E0167"/>
    <s v="A009"/>
    <d v="2025-03-09T12:00:00"/>
    <d v="2025-03-09T23:52:12"/>
    <x v="0"/>
    <s v="Seal leak"/>
    <n v="1.68"/>
    <n v="1.68"/>
    <n v="0"/>
    <n v="7.78"/>
    <n v="0.73"/>
    <n v="11.87"/>
    <n v="379.84"/>
    <n v="0.15"/>
    <s v="W0167"/>
    <d v="2025-03-09T13:40:48"/>
    <d v="2025-03-09T23:52:12"/>
    <s v="Corrective"/>
    <n v="15.56"/>
    <n v="85"/>
    <n v="1439"/>
    <n v="0"/>
    <s v="Complete"/>
    <s v="Visible leak reported during inspection"/>
    <n v="0"/>
    <x v="2"/>
    <n v="322.86399999999998"/>
    <d v="2025-03-01T00:00:00"/>
    <n v="44.4"/>
    <n v="14335.161599999998"/>
  </r>
  <r>
    <s v="E0168"/>
    <s v="A009"/>
    <d v="2025-04-09T12:00:00"/>
    <d v="2025-04-10T03:22:12"/>
    <x v="0"/>
    <s v="Bearing wear"/>
    <n v="1.06"/>
    <n v="1.4"/>
    <n v="0"/>
    <n v="12.28"/>
    <n v="0.63"/>
    <n v="15.37"/>
    <n v="491.84"/>
    <n v="0.22"/>
    <s v="W0168"/>
    <d v="2025-04-09T13:03:36"/>
    <d v="2025-04-10T03:22:12"/>
    <s v="Corrective"/>
    <n v="24.56"/>
    <n v="85"/>
    <n v="8953"/>
    <n v="1284"/>
    <s v="Complete"/>
    <s v="Noise and vibration increased before stop"/>
    <n v="0"/>
    <x v="2"/>
    <n v="383.6352"/>
    <d v="2025-04-01T00:00:00"/>
    <n v="42.4"/>
    <n v="16266.13248"/>
  </r>
  <r>
    <s v="E0169"/>
    <s v="A009"/>
    <d v="2025-04-28T12:00:00"/>
    <d v="2025-04-28T17:03:36"/>
    <x v="1"/>
    <s v="Scheduled service"/>
    <n v="0"/>
    <n v="0"/>
    <n v="0"/>
    <n v="5.0599999999999996"/>
    <n v="0"/>
    <n v="5.0599999999999996"/>
    <n v="161.91999999999999"/>
    <n v="0.25"/>
    <s v="W0169"/>
    <d v="2025-04-28T12:00:00"/>
    <d v="2025-04-28T17:03:36"/>
    <s v="Preventive"/>
    <n v="10.119999999999999"/>
    <n v="85"/>
    <n v="1062"/>
    <n v="0"/>
    <s v="Complete"/>
    <s v="Scheduled inspection and service"/>
    <n v="0"/>
    <x v="2"/>
    <n v="121.44"/>
    <d v="2025-04-01T00:00:00"/>
    <n v="42.4"/>
    <n v="5149.0559999999996"/>
  </r>
  <r>
    <s v="E0170"/>
    <s v="A009"/>
    <d v="2025-05-07T12:00:00"/>
    <d v="2025-05-08T00:10:12"/>
    <x v="0"/>
    <s v="Seal leak"/>
    <n v="2.34"/>
    <n v="2.34"/>
    <n v="0"/>
    <n v="5.94"/>
    <n v="1.55"/>
    <n v="12.17"/>
    <n v="389.44"/>
    <n v="0.13"/>
    <s v="W0170"/>
    <d v="2025-05-07T14:20:24"/>
    <d v="2025-05-08T00:10:12"/>
    <s v="Corrective"/>
    <n v="11.88"/>
    <n v="85"/>
    <n v="1271"/>
    <n v="0"/>
    <s v="Complete"/>
    <s v="Visible leak reported during inspection"/>
    <n v="0"/>
    <x v="2"/>
    <n v="338.81279999999998"/>
    <d v="2025-05-01T00:00:00"/>
    <n v="40.4"/>
    <n v="13688.037119999999"/>
  </r>
  <r>
    <s v="E0171"/>
    <s v="A009"/>
    <d v="2025-06-08T12:00:00"/>
    <d v="2025-06-09T01:25:48"/>
    <x v="0"/>
    <s v="Bearing wear"/>
    <n v="2.5"/>
    <n v="2.2000000000000002"/>
    <n v="0"/>
    <n v="7.04"/>
    <n v="1.69"/>
    <n v="13.43"/>
    <n v="429.76"/>
    <n v="0.23"/>
    <s v="W0171"/>
    <d v="2025-06-08T14:30:00"/>
    <d v="2025-06-09T01:25:48"/>
    <s v="Corrective"/>
    <n v="7.04"/>
    <n v="85"/>
    <n v="3512"/>
    <n v="0"/>
    <s v="Complete"/>
    <s v="Noise and vibration increased before stop"/>
    <n v="0"/>
    <x v="2"/>
    <n v="330.91520000000003"/>
    <d v="2025-06-01T00:00:00"/>
    <n v="41.4"/>
    <n v="13699.889280000001"/>
  </r>
  <r>
    <s v="E0172"/>
    <s v="A009"/>
    <d v="2025-07-07T12:00:00"/>
    <d v="2025-07-07T21:07:48"/>
    <x v="0"/>
    <s v="Unknown"/>
    <n v="2.98"/>
    <n v="1.21"/>
    <n v="0"/>
    <n v="2.92"/>
    <n v="2.02"/>
    <n v="9.1300000000000008"/>
    <n v="292.16000000000003"/>
    <n v="0.28000000000000003"/>
    <s v="W0172"/>
    <d v="2025-07-07T14:58:48"/>
    <d v="2025-07-07T21:07:48"/>
    <s v="Corrective"/>
    <n v="2.92"/>
    <n v="85"/>
    <n v="1893"/>
    <n v="0"/>
    <s v="Complete"/>
    <s v="Cause not confirmed; follow-up needed"/>
    <n v="0"/>
    <x v="2"/>
    <n v="210.3552"/>
    <d v="2025-07-01T00:00:00"/>
    <n v="43.4"/>
    <n v="9129.4156800000001"/>
  </r>
  <r>
    <s v="E0173"/>
    <s v="A009"/>
    <d v="2025-07-28T12:00:00"/>
    <d v="2025-07-28T18:02:24"/>
    <x v="1"/>
    <s v="Scheduled service"/>
    <n v="0"/>
    <n v="0"/>
    <n v="0"/>
    <n v="6.04"/>
    <n v="0"/>
    <n v="6.04"/>
    <n v="193.28"/>
    <n v="0.25"/>
    <s v="W0173"/>
    <d v="2025-07-28T12:00:00"/>
    <d v="2025-07-28T18:02:24"/>
    <s v="Preventive"/>
    <n v="6.04"/>
    <n v="85"/>
    <n v="1341"/>
    <n v="0"/>
    <s v="Complete"/>
    <s v="Scheduled inspection and service"/>
    <n v="0"/>
    <x v="2"/>
    <n v="144.96"/>
    <d v="2025-07-01T00:00:00"/>
    <n v="43.4"/>
    <n v="6291.2640000000001"/>
  </r>
  <r>
    <s v="E0174"/>
    <s v="A009"/>
    <d v="2025-08-04T12:00:00"/>
    <d v="2025-08-04T22:54:36"/>
    <x v="0"/>
    <s v="Seal leak"/>
    <n v="3.71"/>
    <n v="2.2000000000000002"/>
    <n v="0"/>
    <n v="2.58"/>
    <n v="2.42"/>
    <n v="10.91"/>
    <n v="349.12"/>
    <n v="0.1"/>
    <s v="W0174"/>
    <d v="2025-08-04T15:42:36"/>
    <d v="2025-08-04T22:54:36"/>
    <s v="Corrective"/>
    <n v="5.16"/>
    <n v="85"/>
    <n v="4667"/>
    <n v="0"/>
    <s v="Complete"/>
    <s v="Visible leak reported during inspection"/>
    <n v="0"/>
    <x v="2"/>
    <n v="314.20800000000003"/>
    <d v="2025-08-01T00:00:00"/>
    <n v="42.4"/>
    <n v="13322.4192"/>
  </r>
  <r>
    <s v="E0175"/>
    <s v="A009"/>
    <d v="2025-08-19T12:00:00"/>
    <d v="2025-08-20T04:43:12"/>
    <x v="0"/>
    <s v="Bearing wear"/>
    <n v="1.95"/>
    <n v="2.81"/>
    <n v="0"/>
    <n v="10.1"/>
    <n v="1.86"/>
    <n v="16.72"/>
    <n v="535.04"/>
    <n v="0.14000000000000001"/>
    <s v="W0175"/>
    <d v="2025-08-19T13:57:00"/>
    <d v="2025-08-20T04:43:12"/>
    <s v="Corrective"/>
    <n v="10.1"/>
    <n v="85"/>
    <m/>
    <n v="3183"/>
    <s v="Parts invoice pending"/>
    <s v="Noise and vibration increased before stop"/>
    <n v="0"/>
    <x v="2"/>
    <n v="460.13439999999997"/>
    <d v="2025-08-01T00:00:00"/>
    <n v="42.4"/>
    <n v="19509.698559999997"/>
  </r>
  <r>
    <s v="E0176"/>
    <s v="A009"/>
    <d v="2025-09-07T12:00:00"/>
    <d v="2025-09-07T20:25:12"/>
    <x v="0"/>
    <s v="Process upset"/>
    <n v="2.33"/>
    <n v="2.74"/>
    <n v="0"/>
    <n v="2.59"/>
    <n v="0.76"/>
    <n v="8.42"/>
    <n v="269.44"/>
    <n v="0.1"/>
    <s v="W0176"/>
    <d v="2025-09-07T14:19:48"/>
    <d v="2025-09-07T20:25:12"/>
    <s v="Corrective"/>
    <n v="2.59"/>
    <n v="85"/>
    <n v="3533"/>
    <n v="1759"/>
    <s v="Complete"/>
    <s v="Feed conditions changed; equipment restarted"/>
    <n v="0"/>
    <x v="2"/>
    <n v="242.49600000000001"/>
    <d v="2025-09-01T00:00:00"/>
    <n v="39.4"/>
    <n v="9554.3423999999995"/>
  </r>
  <r>
    <s v="E0177"/>
    <s v="A009"/>
    <d v="2025-10-06T12:00:00"/>
    <d v="2025-10-07T01:33:00"/>
    <x v="0"/>
    <s v="Unknown"/>
    <n v="3.01"/>
    <n v="1.1100000000000001"/>
    <n v="0"/>
    <n v="8.06"/>
    <n v="1.37"/>
    <n v="13.55"/>
    <n v="433.6"/>
    <n v="0.17"/>
    <s v="W0177"/>
    <d v="2025-10-06T15:00:36"/>
    <d v="2025-10-07T01:33:00"/>
    <s v="Corrective"/>
    <n v="8.06"/>
    <n v="85"/>
    <n v="5990"/>
    <n v="0"/>
    <s v="Complete"/>
    <s v="Cause not confirmed; follow-up needed"/>
    <n v="0"/>
    <x v="2"/>
    <n v="359.88799999999998"/>
    <d v="2025-10-01T00:00:00"/>
    <n v="38.4"/>
    <n v="13819.699199999999"/>
  </r>
  <r>
    <s v="E0178"/>
    <s v="A009"/>
    <d v="2025-10-28T12:00:00"/>
    <d v="2025-10-28T18:12:00"/>
    <x v="1"/>
    <s v="Scheduled service"/>
    <n v="0"/>
    <n v="0"/>
    <n v="0"/>
    <n v="6.2"/>
    <n v="0"/>
    <n v="6.2"/>
    <n v="198.4"/>
    <n v="0.25"/>
    <s v="W0178"/>
    <d v="2025-10-28T12:00:00"/>
    <d v="2025-10-28T18:12:00"/>
    <s v="Preventive"/>
    <n v="12.4"/>
    <n v="85"/>
    <n v="1580"/>
    <n v="0"/>
    <s v="Complete"/>
    <s v="Scheduled inspection and service"/>
    <n v="0"/>
    <x v="2"/>
    <n v="148.80000000000001"/>
    <d v="2025-10-01T00:00:00"/>
    <n v="38.4"/>
    <n v="5713.92"/>
  </r>
  <r>
    <s v="E0179"/>
    <s v="A009"/>
    <d v="2025-11-10T12:00:00"/>
    <d v="2025-11-11T00:03:00"/>
    <x v="0"/>
    <s v="Unknown"/>
    <n v="1.62"/>
    <n v="2.02"/>
    <n v="0"/>
    <n v="7.79"/>
    <n v="0.62"/>
    <n v="12.05"/>
    <n v="385.6"/>
    <n v="0.23"/>
    <s v="W0179"/>
    <d v="2025-11-10T13:37:12"/>
    <d v="2025-11-11T00:03:00"/>
    <s v="Corrective"/>
    <n v="7.79"/>
    <n v="85"/>
    <n v="5914"/>
    <n v="0"/>
    <s v="Complete"/>
    <s v="Cause not confirmed; follow-up needed"/>
    <n v="0"/>
    <x v="2"/>
    <n v="296.91200000000003"/>
    <d v="2025-11-01T00:00:00"/>
    <n v="40.4"/>
    <n v="11995.2448"/>
  </r>
  <r>
    <s v="E0180"/>
    <s v="A009"/>
    <d v="2025-12-06T12:00:00"/>
    <d v="2025-12-06T20:29:24"/>
    <x v="0"/>
    <s v="Electrical trip"/>
    <n v="1.42"/>
    <n v="3.43"/>
    <n v="0"/>
    <n v="2.35"/>
    <n v="1.29"/>
    <n v="8.49"/>
    <n v="271.68"/>
    <n v="0.24"/>
    <s v="W0180"/>
    <d v="2025-12-06T13:25:12"/>
    <d v="2025-12-06T20:29:24"/>
    <s v="Corrective"/>
    <n v="2.35"/>
    <n v="85"/>
    <n v="5967"/>
    <n v="0"/>
    <s v="Complete"/>
    <s v="Protective trip; reviewed electrical panel"/>
    <n v="0"/>
    <x v="2"/>
    <n v="206.4768"/>
    <d v="2025-12-01T00:00:00"/>
    <n v="41.4"/>
    <n v="8548.1395199999988"/>
  </r>
  <r>
    <s v="E0181"/>
    <s v="A010"/>
    <d v="2025-01-08T12:00:00"/>
    <d v="2025-01-09T21:41:24"/>
    <x v="0"/>
    <s v="Bearing wear"/>
    <n v="3.66"/>
    <n v="7.95"/>
    <n v="10.24"/>
    <n v="10.18"/>
    <n v="1.66"/>
    <n v="33.69"/>
    <n v="1179.1500000000001"/>
    <n v="0.15"/>
    <s v="W0181"/>
    <d v="2025-01-08T15:39:36"/>
    <d v="2025-01-09T21:41:24"/>
    <s v="Corrective"/>
    <n v="10.18"/>
    <n v="85"/>
    <n v="2554"/>
    <n v="0"/>
    <s v="Complete"/>
    <s v="Noise and vibration increased before stop"/>
    <n v="0.5"/>
    <x v="3"/>
    <n v="1002.2775"/>
    <d v="2025-01-01T00:00:00"/>
    <n v="47.6"/>
    <n v="47708.409"/>
  </r>
  <r>
    <s v="E0182"/>
    <s v="A010"/>
    <d v="2025-01-28T12:00:00"/>
    <d v="2025-01-28T17:27:36"/>
    <x v="1"/>
    <s v="Scheduled service"/>
    <n v="0"/>
    <n v="0"/>
    <n v="0"/>
    <n v="5.46"/>
    <n v="0"/>
    <n v="5.46"/>
    <n v="191.1"/>
    <n v="0.25"/>
    <s v="W0182"/>
    <d v="2025-01-28T12:00:00"/>
    <d v="2025-01-28T17:27:36"/>
    <s v="Preventive"/>
    <n v="10.92"/>
    <n v="85"/>
    <n v="640"/>
    <n v="0"/>
    <s v="Complete"/>
    <s v="Scheduled inspection and service"/>
    <n v="0"/>
    <x v="3"/>
    <n v="143.32499999999999"/>
    <d v="2025-01-01T00:00:00"/>
    <n v="47.6"/>
    <n v="6822.2699999999995"/>
  </r>
  <r>
    <s v="E0183"/>
    <s v="A010"/>
    <d v="2025-02-09T12:00:00"/>
    <d v="2025-02-10T17:49:48"/>
    <x v="0"/>
    <s v="Electrical trip"/>
    <n v="5.15"/>
    <n v="2.66"/>
    <n v="17.2"/>
    <n v="4.1500000000000004"/>
    <n v="0.67"/>
    <n v="29.83"/>
    <n v="1044.05"/>
    <n v="0.11"/>
    <s v="W0183"/>
    <d v="2025-02-09T17:09:00"/>
    <d v="2025-02-10T17:49:48"/>
    <s v="Corrective"/>
    <n v="8.3000000000000007"/>
    <n v="85"/>
    <n v="3346"/>
    <n v="0"/>
    <s v="Complete"/>
    <s v="Protective trip; reviewed electrical panel"/>
    <n v="0"/>
    <x v="3"/>
    <n v="929.20449999999994"/>
    <d v="2025-02-01T00:00:00"/>
    <n v="45.6"/>
    <n v="42371.725200000001"/>
  </r>
  <r>
    <s v="E0184"/>
    <s v="A010"/>
    <d v="2025-02-21T12:00:00"/>
    <d v="2025-02-22T04:49:12"/>
    <x v="0"/>
    <s v="Process upset"/>
    <n v="2.92"/>
    <n v="3.79"/>
    <n v="0"/>
    <n v="8.39"/>
    <n v="1.72"/>
    <n v="16.82"/>
    <n v="588.70000000000005"/>
    <n v="0.11"/>
    <s v="W0184"/>
    <d v="2025-02-21T14:55:12"/>
    <d v="2025-02-22T04:49:12"/>
    <s v="Corrective"/>
    <n v="16.78"/>
    <n v="85"/>
    <n v="3520"/>
    <n v="0"/>
    <s v="Complete"/>
    <s v="Feed conditions changed; equipment restarted"/>
    <n v="0"/>
    <x v="3"/>
    <n v="523.9430000000001"/>
    <d v="2025-02-01T00:00:00"/>
    <n v="45.6"/>
    <n v="23891.800800000005"/>
  </r>
  <r>
    <s v="E0185"/>
    <s v="A010"/>
    <d v="2025-03-08T12:00:00"/>
    <d v="2025-03-09T04:57:36"/>
    <x v="0"/>
    <s v="Electrical trip"/>
    <n v="3.61"/>
    <n v="5.2"/>
    <n v="0"/>
    <n v="7.4"/>
    <n v="0.75"/>
    <n v="16.96"/>
    <n v="593.6"/>
    <n v="0.17"/>
    <s v="W0185"/>
    <d v="2025-03-08T15:36:36"/>
    <d v="2025-03-09T04:57:36"/>
    <s v="Corrective"/>
    <n v="7.4"/>
    <n v="85"/>
    <n v="7666"/>
    <n v="2432"/>
    <s v="Complete"/>
    <s v="Protective trip; reviewed electrical panel"/>
    <n v="0.5"/>
    <x v="3"/>
    <n v="492.68799999999999"/>
    <d v="2025-03-01T00:00:00"/>
    <n v="43.6"/>
    <n v="21481.196800000002"/>
  </r>
  <r>
    <s v="E0186"/>
    <s v="A010"/>
    <d v="2025-03-19T12:00:00"/>
    <d v="2025-03-20T11:54:00"/>
    <x v="0"/>
    <s v="Electrical trip"/>
    <n v="2.31"/>
    <n v="10.3"/>
    <n v="0"/>
    <n v="9.06"/>
    <n v="2.23"/>
    <n v="23.9"/>
    <n v="836.5"/>
    <n v="0.27"/>
    <s v="W0186"/>
    <d v="2025-03-19T14:18:36"/>
    <d v="2025-03-20T11:54:00"/>
    <s v="Corrective"/>
    <n v="18.12"/>
    <n v="85"/>
    <n v="4517"/>
    <n v="0"/>
    <s v="Complete"/>
    <s v="Protective trip; reviewed electrical panel"/>
    <n v="0"/>
    <x v="3"/>
    <n v="610.64499999999998"/>
    <d v="2025-03-01T00:00:00"/>
    <n v="43.6"/>
    <n v="26624.121999999999"/>
  </r>
  <r>
    <s v="E0187"/>
    <s v="A010"/>
    <d v="2025-04-08T12:00:00"/>
    <d v="2025-04-09T09:23:24"/>
    <x v="0"/>
    <s v="Bearing wear"/>
    <n v="3.07"/>
    <n v="5.53"/>
    <n v="0"/>
    <n v="10.9"/>
    <n v="1.89"/>
    <n v="21.39"/>
    <n v="748.65"/>
    <n v="0.14000000000000001"/>
    <s v="W0187"/>
    <d v="2025-04-08T15:04:12"/>
    <d v="2025-04-09T09:23:24"/>
    <s v="Corrective"/>
    <n v="10.9"/>
    <n v="85"/>
    <n v="7307"/>
    <n v="0"/>
    <s v="Complete"/>
    <s v="Noise and vibration increased before stop"/>
    <n v="0"/>
    <x v="3"/>
    <n v="643.83899999999994"/>
    <d v="2025-04-01T00:00:00"/>
    <n v="41.6"/>
    <n v="26783.702399999998"/>
  </r>
  <r>
    <s v="E0188"/>
    <s v="A010"/>
    <d v="2025-04-21T12:00:00"/>
    <d v="2025-04-22T09:56:24"/>
    <x v="0"/>
    <s v="Bearing wear"/>
    <n v="2.1"/>
    <n v="8.65"/>
    <n v="0"/>
    <n v="10.02"/>
    <n v="1.17"/>
    <n v="21.94"/>
    <n v="767.9"/>
    <n v="0.08"/>
    <s v="W0188"/>
    <d v="2025-04-21T14:06:00"/>
    <d v="2025-04-22T09:56:24"/>
    <s v="Corrective"/>
    <n v="20.04"/>
    <n v="85"/>
    <n v="9057"/>
    <n v="0"/>
    <s v="Complete"/>
    <s v="Noise and vibration increased before stop"/>
    <n v="0.5"/>
    <x v="3"/>
    <n v="706.46799999999996"/>
    <d v="2025-04-01T00:00:00"/>
    <n v="41.6"/>
    <n v="29389.068800000001"/>
  </r>
  <r>
    <s v="E0189"/>
    <s v="A010"/>
    <d v="2025-04-28T12:00:00"/>
    <d v="2025-04-28T16:40:48"/>
    <x v="1"/>
    <s v="Scheduled service"/>
    <n v="0"/>
    <n v="0"/>
    <n v="0"/>
    <n v="4.68"/>
    <n v="0"/>
    <n v="4.68"/>
    <n v="163.80000000000001"/>
    <n v="0.25"/>
    <s v="W0189"/>
    <d v="2025-04-28T12:00:00"/>
    <d v="2025-04-28T16:40:48"/>
    <s v="Preventive"/>
    <n v="4.68"/>
    <n v="85"/>
    <n v="1174"/>
    <n v="0"/>
    <s v="Complete"/>
    <s v="Scheduled inspection and service"/>
    <n v="0"/>
    <x v="3"/>
    <n v="122.85000000000001"/>
    <d v="2025-04-01T00:00:00"/>
    <n v="41.6"/>
    <n v="5110.5600000000004"/>
  </r>
  <r>
    <s v="E0190"/>
    <s v="A010"/>
    <d v="2025-05-05T12:00:00"/>
    <d v="2025-05-06T23:17:24"/>
    <x v="0"/>
    <s v="Unknown"/>
    <n v="6.53"/>
    <n v="2.29"/>
    <n v="20.34"/>
    <n v="3.76"/>
    <n v="2.37"/>
    <n v="35.29"/>
    <n v="1235.1500000000001"/>
    <n v="0.11"/>
    <s v="W0190"/>
    <d v="2025-05-05T18:31:48"/>
    <d v="2025-05-06T23:17:24"/>
    <s v="Corrective"/>
    <n v="7.52"/>
    <n v="85"/>
    <n v="6301"/>
    <n v="0"/>
    <s v="Complete"/>
    <s v="Cause not confirmed; follow-up needed"/>
    <n v="0"/>
    <x v="3"/>
    <n v="1099.2835"/>
    <d v="2025-05-01T00:00:00"/>
    <n v="39.6"/>
    <n v="43531.626600000003"/>
  </r>
  <r>
    <s v="E0191"/>
    <s v="A010"/>
    <d v="2025-05-21T12:00:00"/>
    <d v="2025-05-22T02:06:36"/>
    <x v="0"/>
    <s v="Bearing wear"/>
    <n v="2.42"/>
    <n v="4.09"/>
    <n v="0"/>
    <n v="6.92"/>
    <n v="0.68"/>
    <n v="14.11"/>
    <n v="493.85"/>
    <n v="0.22"/>
    <s v="W0191"/>
    <d v="2025-05-21T14:25:12"/>
    <d v="2025-05-22T02:06:36"/>
    <s v="Corrective"/>
    <n v="6.92"/>
    <n v="85"/>
    <n v="3299"/>
    <n v="3581"/>
    <s v="Complete"/>
    <s v="Noise and vibration increased before stop"/>
    <n v="0"/>
    <x v="3"/>
    <n v="385.20300000000003"/>
    <d v="2025-05-01T00:00:00"/>
    <n v="39.6"/>
    <n v="15254.038800000002"/>
  </r>
  <r>
    <s v="E0192"/>
    <s v="A010"/>
    <d v="2025-06-08T12:00:00"/>
    <d v="2025-06-09T22:46:12"/>
    <x v="0"/>
    <s v="Bearing wear"/>
    <n v="5.7"/>
    <n v="4.84"/>
    <n v="10.79"/>
    <n v="11.79"/>
    <n v="1.65"/>
    <n v="34.769999999999996"/>
    <n v="1216.95"/>
    <n v="0.15"/>
    <s v="W0192"/>
    <d v="2025-06-08T17:42:00"/>
    <d v="2025-06-09T22:46:12"/>
    <s v="Corrective"/>
    <n v="23.58"/>
    <n v="85"/>
    <n v="6621"/>
    <n v="0"/>
    <s v="Complete"/>
    <s v="Noise and vibration increased before stop"/>
    <n v="0"/>
    <x v="3"/>
    <n v="1034.4075"/>
    <d v="2025-06-01T00:00:00"/>
    <n v="40.6"/>
    <n v="41996.944500000005"/>
  </r>
  <r>
    <s v="E0193"/>
    <s v="A010"/>
    <d v="2025-06-19T12:00:00"/>
    <d v="2025-06-20T09:54:00"/>
    <x v="0"/>
    <s v="Electrical trip"/>
    <n v="8.31"/>
    <n v="6.29"/>
    <n v="0"/>
    <n v="4.96"/>
    <n v="2.34"/>
    <n v="21.9"/>
    <n v="766.5"/>
    <n v="0.08"/>
    <s v="W0193"/>
    <d v="2025-06-19T20:18:36"/>
    <d v="2025-06-20T09:54:00"/>
    <s v="Corrective"/>
    <n v="9.92"/>
    <n v="85"/>
    <n v="7633"/>
    <n v="0"/>
    <s v="Complete"/>
    <s v="Protective trip; reviewed electrical panel"/>
    <n v="0"/>
    <x v="3"/>
    <n v="705.18000000000006"/>
    <d v="2025-06-01T00:00:00"/>
    <n v="40.6"/>
    <n v="28630.308000000005"/>
  </r>
  <r>
    <s v="E0194"/>
    <s v="A010"/>
    <d v="2025-07-06T12:00:00"/>
    <d v="2025-07-07T07:42:00"/>
    <x v="0"/>
    <s v="Seal leak"/>
    <n v="6.86"/>
    <n v="5.93"/>
    <n v="0"/>
    <n v="4.5"/>
    <n v="2.41"/>
    <n v="19.7"/>
    <n v="689.5"/>
    <n v="0.24"/>
    <s v="W0194"/>
    <d v="2025-07-06T18:51:36"/>
    <d v="2025-07-07T07:42:00"/>
    <s v="Corrective"/>
    <n v="4.5"/>
    <n v="85"/>
    <n v="6260"/>
    <n v="0"/>
    <s v="Complete"/>
    <s v="Visible leak reported during inspection"/>
    <n v="0"/>
    <x v="3"/>
    <n v="524.02"/>
    <d v="2025-07-01T00:00:00"/>
    <n v="42.6"/>
    <n v="22323.252"/>
  </r>
  <r>
    <s v="E0195"/>
    <s v="A010"/>
    <d v="2025-07-20T12:00:00"/>
    <d v="2025-07-21T23:07:48"/>
    <x v="0"/>
    <s v="Bearing wear"/>
    <n v="2.8"/>
    <n v="8.64"/>
    <n v="14.71"/>
    <n v="7"/>
    <n v="1.98"/>
    <n v="35.130000000000003"/>
    <n v="1229.55"/>
    <n v="0.21"/>
    <s v="W0195"/>
    <d v="2025-07-20T14:48:00"/>
    <d v="2025-07-21T23:07:48"/>
    <s v="Corrective"/>
    <n v="7"/>
    <n v="85"/>
    <n v="4948"/>
    <n v="0"/>
    <s v="Complete"/>
    <s v="Noise and vibration increased before stop"/>
    <n v="0"/>
    <x v="3"/>
    <n v="971.34450000000004"/>
    <d v="2025-07-01T00:00:00"/>
    <n v="42.6"/>
    <n v="41379.275700000006"/>
  </r>
  <r>
    <s v="E0196"/>
    <s v="A010"/>
    <d v="2025-07-28T12:00:00"/>
    <d v="2025-07-28T17:34:12"/>
    <x v="1"/>
    <s v="Scheduled service"/>
    <n v="0"/>
    <n v="0"/>
    <n v="0"/>
    <n v="5.57"/>
    <n v="0"/>
    <n v="5.57"/>
    <n v="194.95"/>
    <n v="0.25"/>
    <s v="W0196"/>
    <d v="2025-07-28T12:00:00"/>
    <d v="2025-07-28T17:34:12"/>
    <s v="Preventive"/>
    <n v="5.57"/>
    <n v="85"/>
    <n v="531"/>
    <n v="0"/>
    <s v="Complete"/>
    <s v="Scheduled inspection and service"/>
    <n v="0"/>
    <x v="3"/>
    <n v="146.21249999999998"/>
    <d v="2025-07-01T00:00:00"/>
    <n v="42.6"/>
    <n v="6228.6524999999992"/>
  </r>
  <r>
    <s v="E0197"/>
    <s v="A010"/>
    <d v="2025-08-08T12:00:00"/>
    <d v="2025-08-09T07:19:12"/>
    <x v="0"/>
    <s v="Seal leak"/>
    <n v="5.43"/>
    <n v="8.4"/>
    <n v="0"/>
    <n v="3.49"/>
    <n v="2"/>
    <n v="19.32"/>
    <n v="676.2"/>
    <n v="0.22"/>
    <s v="W0197"/>
    <d v="2025-08-08T17:25:48"/>
    <d v="2025-08-09T07:19:12"/>
    <s v="Corrective"/>
    <n v="3.49"/>
    <n v="85"/>
    <n v="6519"/>
    <n v="0"/>
    <s v="Complete"/>
    <s v="Visible leak reported during inspection"/>
    <n v="0"/>
    <x v="3"/>
    <n v="527.43600000000004"/>
    <d v="2025-08-01T00:00:00"/>
    <n v="41.6"/>
    <n v="21941.337600000003"/>
  </r>
  <r>
    <s v="E0198"/>
    <s v="A010"/>
    <d v="2025-08-21T12:00:00"/>
    <d v="2025-08-22T22:00:00"/>
    <x v="0"/>
    <s v="Electrical trip"/>
    <n v="1.55"/>
    <n v="4.28"/>
    <n v="17.45"/>
    <n v="8.82"/>
    <n v="1.9"/>
    <n v="34"/>
    <n v="1190"/>
    <n v="0.16"/>
    <s v="W0198"/>
    <d v="2025-08-21T13:33:00"/>
    <d v="2025-08-22T22:00:00"/>
    <s v="Corrective"/>
    <n v="17.64"/>
    <n v="85"/>
    <n v="7015"/>
    <n v="0"/>
    <s v="Complete"/>
    <s v="Protective trip; reviewed electrical panel"/>
    <n v="0"/>
    <x v="3"/>
    <n v="999.59999999999991"/>
    <d v="2025-08-01T00:00:00"/>
    <n v="41.6"/>
    <n v="41583.360000000001"/>
  </r>
  <r>
    <s v="E0199"/>
    <s v="A010"/>
    <d v="2025-09-04T12:00:00"/>
    <d v="2025-09-06T03:13:12"/>
    <x v="0"/>
    <s v="Bearing wear"/>
    <n v="3.42"/>
    <n v="5.73"/>
    <n v="19.809999999999999"/>
    <n v="8.61"/>
    <n v="1.65"/>
    <n v="39.22"/>
    <n v="1372.7"/>
    <n v="0.08"/>
    <s v="W0199"/>
    <d v="2025-09-04T15:25:12"/>
    <d v="2025-09-06T03:13:12"/>
    <s v="Corrective"/>
    <n v="17.22"/>
    <n v="85"/>
    <n v="8803"/>
    <n v="0"/>
    <s v="Complete"/>
    <s v="Noise and vibration increased before stop"/>
    <n v="0"/>
    <x v="3"/>
    <n v="1262.884"/>
    <d v="2025-09-01T00:00:00"/>
    <n v="38.6"/>
    <n v="48747.322400000005"/>
  </r>
  <r>
    <s v="E0200"/>
    <s v="A010"/>
    <d v="2025-09-21T12:00:00"/>
    <d v="2025-09-23T10:15:00"/>
    <x v="0"/>
    <s v="Bearing wear"/>
    <n v="2.71"/>
    <n v="3.24"/>
    <n v="25.46"/>
    <n v="12.39"/>
    <n v="2.4500000000000002"/>
    <n v="46.25"/>
    <n v="1618.75"/>
    <n v="0.11"/>
    <s v="W0200"/>
    <d v="2025-09-21T14:42:36"/>
    <d v="2025-09-23T10:15:00"/>
    <s v="Corrective"/>
    <n v="12.39"/>
    <n v="85"/>
    <n v="2900"/>
    <n v="0"/>
    <s v="Complete"/>
    <s v="Noise and vibration increased before stop"/>
    <n v="0"/>
    <x v="3"/>
    <n v="1440.6875"/>
    <d v="2025-09-01T00:00:00"/>
    <n v="38.6"/>
    <n v="55610.537499999999"/>
  </r>
  <r>
    <s v="E0201"/>
    <s v="A010"/>
    <d v="2025-10-05T12:00:00"/>
    <d v="2025-10-07T00:53:24"/>
    <x v="0"/>
    <s v="Unknown"/>
    <n v="1.63"/>
    <n v="7.93"/>
    <n v="21.92"/>
    <n v="3.79"/>
    <n v="1.62"/>
    <n v="36.89"/>
    <n v="1291.1500000000001"/>
    <n v="0.27"/>
    <s v="W0201"/>
    <d v="2025-10-05T13:37:48"/>
    <d v="2025-10-07T00:53:24"/>
    <s v="Corrective"/>
    <n v="3.79"/>
    <n v="85"/>
    <n v="3296"/>
    <n v="2623"/>
    <s v="Complete"/>
    <s v="Cause not confirmed; follow-up needed"/>
    <n v="0"/>
    <x v="3"/>
    <n v="942.53950000000009"/>
    <d v="2025-10-01T00:00:00"/>
    <n v="37.6"/>
    <n v="35439.485200000003"/>
  </r>
  <r>
    <s v="E0202"/>
    <s v="A010"/>
    <d v="2025-10-20T12:00:00"/>
    <d v="2025-10-21T07:04:48"/>
    <x v="0"/>
    <s v="Unknown"/>
    <n v="6.35"/>
    <n v="4.79"/>
    <n v="0"/>
    <n v="5.63"/>
    <n v="2.31"/>
    <n v="19.079999999999998"/>
    <n v="667.8"/>
    <n v="0.2"/>
    <s v="W0202"/>
    <d v="2025-10-20T18:21:00"/>
    <d v="2025-10-21T07:04:48"/>
    <s v="Corrective"/>
    <n v="11.26"/>
    <n v="85"/>
    <n v="3672"/>
    <n v="0"/>
    <s v="Complete"/>
    <s v="Cause not confirmed; follow-up needed"/>
    <n v="0"/>
    <x v="3"/>
    <n v="534.24"/>
    <d v="2025-10-01T00:00:00"/>
    <n v="37.6"/>
    <n v="20087.424000000003"/>
  </r>
  <r>
    <s v="E0203"/>
    <s v="A010"/>
    <d v="2025-10-28T12:00:00"/>
    <d v="2025-10-28T18:07:12"/>
    <x v="1"/>
    <s v="Scheduled service"/>
    <n v="0"/>
    <n v="0"/>
    <n v="0"/>
    <n v="6.12"/>
    <n v="0"/>
    <n v="6.12"/>
    <n v="214.2"/>
    <n v="0.25"/>
    <s v="W0203"/>
    <d v="2025-10-28T12:00:00"/>
    <d v="2025-10-28T18:07:12"/>
    <s v="Preventive"/>
    <n v="6.12"/>
    <n v="85"/>
    <n v="936"/>
    <n v="0"/>
    <s v="Complete"/>
    <s v="Scheduled inspection and service"/>
    <n v="0"/>
    <x v="3"/>
    <n v="160.64999999999998"/>
    <d v="2025-10-01T00:00:00"/>
    <n v="37.6"/>
    <n v="6040.44"/>
  </r>
  <r>
    <s v="E0204"/>
    <s v="A010"/>
    <d v="2025-11-10T12:00:00"/>
    <d v="2025-11-11T18:16:12"/>
    <x v="0"/>
    <s v="Seal leak"/>
    <n v="5.7"/>
    <n v="10.35"/>
    <n v="10.11"/>
    <n v="2.96"/>
    <n v="1.1499999999999999"/>
    <n v="30.27"/>
    <n v="1059.45"/>
    <n v="0.12"/>
    <s v="W0204"/>
    <d v="2025-11-10T17:42:00"/>
    <d v="2025-11-11T18:16:12"/>
    <s v="Corrective"/>
    <n v="5.92"/>
    <n v="85"/>
    <m/>
    <n v="0"/>
    <s v="Parts invoice pending"/>
    <s v="Visible leak reported during inspection"/>
    <n v="0"/>
    <x v="3"/>
    <n v="932.31600000000003"/>
    <d v="2025-11-01T00:00:00"/>
    <n v="39.6"/>
    <n v="36919.713600000003"/>
  </r>
  <r>
    <s v="E0205"/>
    <s v="A010"/>
    <d v="2025-11-19T12:00:00"/>
    <d v="2025-11-19T21:48:00"/>
    <x v="0"/>
    <s v="Unknown"/>
    <n v="1.91"/>
    <n v="2.82"/>
    <n v="0"/>
    <n v="2.82"/>
    <n v="2.25"/>
    <n v="9.8000000000000007"/>
    <n v="343"/>
    <n v="0.21"/>
    <s v="W0205"/>
    <d v="2025-11-19T13:54:36"/>
    <d v="2025-11-19T21:48:00"/>
    <s v="Corrective"/>
    <n v="2.82"/>
    <n v="85"/>
    <n v="2713"/>
    <n v="0"/>
    <s v="Complete"/>
    <s v="Cause not confirmed; follow-up needed"/>
    <n v="0"/>
    <x v="3"/>
    <n v="270.97000000000003"/>
    <d v="2025-11-01T00:00:00"/>
    <n v="39.6"/>
    <n v="10730.412000000002"/>
  </r>
  <r>
    <s v="E0206"/>
    <s v="A010"/>
    <d v="2025-12-04T12:00:00"/>
    <d v="2025-12-05T06:51:36"/>
    <x v="0"/>
    <s v="Process upset"/>
    <n v="4.5"/>
    <n v="6.17"/>
    <n v="0"/>
    <n v="6.52"/>
    <n v="1.67"/>
    <n v="18.86"/>
    <n v="660.1"/>
    <n v="0.16"/>
    <s v="W0206"/>
    <d v="2025-12-04T16:30:00"/>
    <d v="2025-12-05T06:51:36"/>
    <s v="Corrective"/>
    <n v="6.52"/>
    <n v="85"/>
    <n v="6313"/>
    <n v="0"/>
    <s v="Complete"/>
    <s v="Feed conditions changed; equipment restarted"/>
    <n v="0"/>
    <x v="3"/>
    <n v="554.48400000000004"/>
    <d v="2025-12-01T00:00:00"/>
    <n v="40.6"/>
    <n v="22512.050400000004"/>
  </r>
  <r>
    <s v="E0207"/>
    <s v="A010"/>
    <d v="2025-12-19T12:00:00"/>
    <d v="2025-12-20T08:10:48"/>
    <x v="0"/>
    <s v="Process upset"/>
    <n v="3.43"/>
    <n v="4.91"/>
    <n v="0"/>
    <n v="9.57"/>
    <n v="2.27"/>
    <n v="20.18"/>
    <n v="706.3"/>
    <n v="0.24"/>
    <s v="W0207"/>
    <d v="2025-12-19T15:25:48"/>
    <d v="2025-12-20T08:10:48"/>
    <s v="Corrective"/>
    <n v="9.57"/>
    <n v="85"/>
    <n v="7395"/>
    <n v="0"/>
    <s v="Complete"/>
    <s v="Feed conditions changed; equipment restarted"/>
    <n v="0"/>
    <x v="3"/>
    <n v="536.78800000000001"/>
    <d v="2025-12-01T00:00:00"/>
    <n v="40.6"/>
    <n v="21793.592800000002"/>
  </r>
  <r>
    <s v="E0208"/>
    <s v="A011"/>
    <d v="2025-01-05T12:00:00"/>
    <d v="2025-01-06T16:01:12"/>
    <x v="0"/>
    <s v="Bearing wear"/>
    <n v="3.85"/>
    <n v="2.41"/>
    <n v="14.58"/>
    <n v="5.41"/>
    <n v="1.77"/>
    <n v="28.02"/>
    <n v="728.52"/>
    <n v="0.25"/>
    <s v="W0208"/>
    <d v="2025-01-05T15:51:00"/>
    <d v="2025-01-06T16:01:12"/>
    <s v="Corrective"/>
    <n v="10.82"/>
    <n v="85"/>
    <n v="4258"/>
    <n v="0"/>
    <s v="Complete"/>
    <s v="Noise and vibration increased before stop"/>
    <n v="0"/>
    <x v="3"/>
    <n v="546.39"/>
    <d v="2025-01-01T00:00:00"/>
    <n v="47.6"/>
    <n v="26008.164000000001"/>
  </r>
  <r>
    <s v="E0209"/>
    <s v="A011"/>
    <d v="2025-01-20T12:00:00"/>
    <d v="2025-01-22T02:03:00"/>
    <x v="0"/>
    <s v="Bearing wear"/>
    <n v="2.21"/>
    <n v="3.4"/>
    <n v="22.26"/>
    <n v="8.24"/>
    <n v="1.94"/>
    <n v="38.049999999999997"/>
    <n v="989.3"/>
    <n v="0.27"/>
    <s v="W0209"/>
    <d v="2025-01-20T14:12:36"/>
    <d v="2025-01-22T02:03:00"/>
    <s v="Corrective"/>
    <n v="8.24"/>
    <n v="85"/>
    <n v="2597"/>
    <n v="0"/>
    <s v="Complete"/>
    <s v="Noise and vibration increased before stop"/>
    <n v="0"/>
    <x v="3"/>
    <n v="722.18899999999996"/>
    <d v="2025-01-01T00:00:00"/>
    <n v="47.6"/>
    <n v="34376.196400000001"/>
  </r>
  <r>
    <s v="E0210"/>
    <s v="A011"/>
    <d v="2025-01-28T12:00:00"/>
    <d v="2025-01-28T18:22:48"/>
    <x v="1"/>
    <s v="Scheduled service"/>
    <n v="0"/>
    <n v="0"/>
    <n v="0"/>
    <n v="6.38"/>
    <n v="0"/>
    <n v="6.38"/>
    <n v="165.88"/>
    <n v="0.25"/>
    <s v="W0210"/>
    <d v="2025-01-28T12:00:00"/>
    <d v="2025-01-28T18:22:48"/>
    <s v="Preventive"/>
    <n v="12.76"/>
    <n v="85"/>
    <n v="1625"/>
    <n v="3190"/>
    <s v="Complete"/>
    <s v="Scheduled inspection and service"/>
    <n v="0"/>
    <x v="3"/>
    <n v="124.41"/>
    <d v="2025-01-01T00:00:00"/>
    <n v="47.6"/>
    <n v="5921.9160000000002"/>
  </r>
  <r>
    <s v="E0211"/>
    <s v="A011"/>
    <d v="2025-02-05T12:00:00"/>
    <d v="2025-02-07T02:46:12"/>
    <x v="0"/>
    <s v="Electrical trip"/>
    <n v="5.99"/>
    <n v="9.7100000000000009"/>
    <n v="18.079999999999998"/>
    <n v="3.82"/>
    <n v="1.17"/>
    <n v="38.770000000000003"/>
    <n v="1008.02"/>
    <n v="0.13"/>
    <s v="W0211"/>
    <d v="2025-02-05T17:59:24"/>
    <d v="2025-02-07T02:46:12"/>
    <s v="Corrective"/>
    <n v="3.82"/>
    <n v="85"/>
    <n v="3751"/>
    <n v="0"/>
    <s v="Complete"/>
    <s v="Protective trip; reviewed electrical panel"/>
    <n v="0"/>
    <x v="3"/>
    <n v="876.97739999999999"/>
    <d v="2025-02-01T00:00:00"/>
    <n v="45.6"/>
    <n v="39990.169439999998"/>
  </r>
  <r>
    <s v="E0212"/>
    <s v="A011"/>
    <d v="2025-02-21T12:00:00"/>
    <d v="2025-02-22T12:29:24"/>
    <x v="0"/>
    <s v="Seal leak"/>
    <n v="5.35"/>
    <n v="8.7200000000000006"/>
    <n v="0"/>
    <n v="9.73"/>
    <n v="0.69"/>
    <n v="24.49"/>
    <n v="636.74"/>
    <n v="0.1"/>
    <s v="W0212"/>
    <d v="2025-02-21T17:21:00"/>
    <d v="2025-02-22T12:29:24"/>
    <s v="Corrective"/>
    <n v="9.73"/>
    <n v="85"/>
    <n v="3814"/>
    <n v="0"/>
    <s v="Complete"/>
    <s v="Visible leak reported during inspection"/>
    <n v="0"/>
    <x v="3"/>
    <n v="573.06600000000003"/>
    <d v="2025-02-01T00:00:00"/>
    <n v="45.6"/>
    <n v="26131.809600000001"/>
  </r>
  <r>
    <s v="E0213"/>
    <s v="A011"/>
    <d v="2025-03-08T12:00:00"/>
    <d v="2025-03-10T03:30:36"/>
    <x v="0"/>
    <s v="Process upset"/>
    <n v="1.94"/>
    <n v="4.5599999999999996"/>
    <n v="23.45"/>
    <n v="7.4"/>
    <n v="2.16"/>
    <n v="39.51"/>
    <n v="1027.26"/>
    <n v="0.23"/>
    <s v="W0213"/>
    <d v="2025-03-08T13:56:24"/>
    <d v="2025-03-10T03:30:36"/>
    <s v="Corrective"/>
    <n v="7.4"/>
    <n v="85"/>
    <n v="6605"/>
    <n v="1107"/>
    <s v="Complete"/>
    <s v="Feed conditions changed; equipment restarted"/>
    <n v="0"/>
    <x v="3"/>
    <n v="790.99019999999996"/>
    <d v="2025-03-01T00:00:00"/>
    <n v="43.6"/>
    <n v="34487.172720000002"/>
  </r>
  <r>
    <s v="E0214"/>
    <s v="A011"/>
    <d v="2025-04-05T12:00:00"/>
    <d v="2025-04-06T23:46:12"/>
    <x v="0"/>
    <s v="Process upset"/>
    <n v="8.1"/>
    <n v="6.14"/>
    <n v="15.98"/>
    <n v="3.28"/>
    <n v="2.27"/>
    <n v="35.770000000000003"/>
    <n v="930.02"/>
    <n v="0.1"/>
    <s v="W0214"/>
    <d v="2025-04-05T20:06:00"/>
    <d v="2025-04-06T23:46:12"/>
    <s v="Corrective"/>
    <n v="3.28"/>
    <n v="85"/>
    <n v="2385"/>
    <n v="0"/>
    <s v="Complete"/>
    <s v="Feed conditions changed; equipment restarted"/>
    <n v="0"/>
    <x v="3"/>
    <n v="837.01800000000003"/>
    <d v="2025-04-01T00:00:00"/>
    <n v="41.6"/>
    <n v="34819.948800000006"/>
  </r>
  <r>
    <s v="E0215"/>
    <s v="A011"/>
    <d v="2025-04-20T12:00:00"/>
    <d v="2025-04-22T15:27:00"/>
    <x v="0"/>
    <s v="Bearing wear"/>
    <n v="4.3099999999999996"/>
    <n v="10.41"/>
    <n v="22.95"/>
    <n v="11.72"/>
    <n v="2.06"/>
    <n v="51.45"/>
    <n v="1337.7"/>
    <n v="0.23"/>
    <s v="W0215"/>
    <d v="2025-04-20T16:18:36"/>
    <d v="2025-04-22T15:27:00"/>
    <s v="Corrective"/>
    <n v="11.72"/>
    <n v="85"/>
    <n v="7734"/>
    <n v="2739"/>
    <s v="Complete"/>
    <s v="Noise and vibration increased before stop"/>
    <n v="0"/>
    <x v="3"/>
    <n v="1030.029"/>
    <d v="2025-04-01T00:00:00"/>
    <n v="41.6"/>
    <n v="42849.206400000003"/>
  </r>
  <r>
    <s v="E0216"/>
    <s v="A011"/>
    <d v="2025-04-28T12:00:00"/>
    <d v="2025-04-28T16:44:24"/>
    <x v="1"/>
    <s v="Scheduled service"/>
    <n v="0"/>
    <n v="0"/>
    <n v="0"/>
    <n v="4.74"/>
    <n v="0"/>
    <n v="4.74"/>
    <n v="123.24"/>
    <n v="0.25"/>
    <s v="W0216"/>
    <d v="2025-04-28T12:00:00"/>
    <d v="2025-04-28T16:44:24"/>
    <s v="Preventive"/>
    <n v="9.48"/>
    <n v="85"/>
    <n v="723"/>
    <n v="0"/>
    <s v="Complete"/>
    <s v="Scheduled inspection and service"/>
    <n v="0"/>
    <x v="3"/>
    <n v="92.429999999999993"/>
    <d v="2025-04-01T00:00:00"/>
    <n v="41.6"/>
    <n v="3845.0879999999997"/>
  </r>
  <r>
    <s v="E0217"/>
    <s v="A011"/>
    <d v="2025-05-10T12:00:00"/>
    <d v="2025-05-12T04:34:12"/>
    <x v="0"/>
    <s v="Bearing wear"/>
    <n v="3.87"/>
    <n v="5.78"/>
    <n v="22.62"/>
    <n v="6.94"/>
    <n v="1.36"/>
    <n v="40.57"/>
    <n v="1054.82"/>
    <n v="0.1"/>
    <s v="W0217"/>
    <d v="2025-05-10T15:52:12"/>
    <d v="2025-05-12T04:34:12"/>
    <s v="Corrective"/>
    <n v="6.94"/>
    <n v="85"/>
    <n v="5805"/>
    <n v="0"/>
    <s v="Complete"/>
    <s v="Noise and vibration increased before stop"/>
    <n v="0"/>
    <x v="3"/>
    <n v="949.33799999999997"/>
    <d v="2025-05-01T00:00:00"/>
    <n v="39.6"/>
    <n v="37593.784800000001"/>
  </r>
  <r>
    <s v="E0218"/>
    <s v="A011"/>
    <d v="2025-05-22T12:00:00"/>
    <d v="2025-05-24T10:48:36"/>
    <x v="0"/>
    <s v="Unknown"/>
    <n v="8.49"/>
    <n v="3.3"/>
    <n v="24.58"/>
    <n v="8.25"/>
    <n v="2.19"/>
    <n v="46.81"/>
    <n v="1217.06"/>
    <n v="0.12"/>
    <s v="W0218"/>
    <d v="2025-05-22T20:29:24"/>
    <d v="2025-05-24T10:48:36"/>
    <s v="Corrective"/>
    <n v="16.5"/>
    <n v="85"/>
    <n v="4513"/>
    <n v="0"/>
    <s v="Complete"/>
    <s v="Cause not confirmed; follow-up needed"/>
    <n v="0"/>
    <x v="3"/>
    <n v="1071.0128"/>
    <d v="2025-05-01T00:00:00"/>
    <n v="39.6"/>
    <n v="42412.106879999999"/>
  </r>
  <r>
    <s v="E0219"/>
    <s v="A011"/>
    <d v="2025-06-07T12:00:00"/>
    <d v="2025-06-08T07:05:24"/>
    <x v="0"/>
    <s v="Bearing wear"/>
    <n v="2.2999999999999998"/>
    <n v="5.49"/>
    <n v="0"/>
    <n v="9.0399999999999991"/>
    <n v="2.2599999999999998"/>
    <n v="19.09"/>
    <n v="496.34"/>
    <n v="0.22"/>
    <s v="W0219"/>
    <d v="2025-06-07T14:18:00"/>
    <d v="2025-06-08T07:05:24"/>
    <s v="Corrective"/>
    <n v="9.0399999999999991"/>
    <n v="85"/>
    <n v="3227"/>
    <n v="0"/>
    <s v="Complete"/>
    <s v="Noise and vibration increased before stop"/>
    <n v="0"/>
    <x v="3"/>
    <n v="387.14519999999999"/>
    <d v="2025-06-01T00:00:00"/>
    <n v="40.6"/>
    <n v="15718.09512"/>
  </r>
  <r>
    <s v="E0220"/>
    <s v="A011"/>
    <d v="2025-06-22T12:00:00"/>
    <d v="2025-06-23T06:08:24"/>
    <x v="0"/>
    <s v="Electrical trip"/>
    <n v="4.78"/>
    <n v="2.3199999999999998"/>
    <n v="0"/>
    <n v="9.25"/>
    <n v="1.79"/>
    <n v="18.14"/>
    <n v="471.64"/>
    <n v="0.16"/>
    <s v="W0220"/>
    <d v="2025-06-22T16:46:48"/>
    <d v="2025-06-23T06:08:24"/>
    <s v="Corrective"/>
    <n v="9.25"/>
    <n v="85"/>
    <n v="8766"/>
    <n v="0"/>
    <s v="Complete"/>
    <s v="Protective trip; reviewed electrical panel"/>
    <n v="0"/>
    <x v="3"/>
    <n v="396.17759999999998"/>
    <d v="2025-06-01T00:00:00"/>
    <n v="40.6"/>
    <n v="16084.81056"/>
  </r>
  <r>
    <s v="E0221"/>
    <s v="A011"/>
    <d v="2025-07-06T12:00:00"/>
    <d v="2025-07-07T05:58:48"/>
    <x v="0"/>
    <s v="Bearing wear"/>
    <n v="4.76"/>
    <n v="2.42"/>
    <n v="0"/>
    <n v="9.6"/>
    <n v="1.2"/>
    <n v="17.98"/>
    <n v="467.48"/>
    <n v="0.27"/>
    <s v="W0221"/>
    <d v="2025-07-06T16:45:36"/>
    <d v="2025-07-07T05:58:48"/>
    <s v="Corrective"/>
    <n v="9.6"/>
    <n v="85"/>
    <n v="8647"/>
    <n v="0"/>
    <s v="Complete"/>
    <s v="Noise and vibration increased before stop"/>
    <n v="0"/>
    <x v="3"/>
    <n v="341.2604"/>
    <d v="2025-07-01T00:00:00"/>
    <n v="42.6"/>
    <n v="14537.69304"/>
  </r>
  <r>
    <s v="E0222"/>
    <s v="A011"/>
    <d v="2025-07-22T12:00:00"/>
    <d v="2025-07-23T16:30:00"/>
    <x v="0"/>
    <s v="Seal leak"/>
    <n v="5.47"/>
    <n v="4.6399999999999997"/>
    <n v="10.15"/>
    <n v="7.48"/>
    <n v="0.76"/>
    <n v="28.5"/>
    <n v="741"/>
    <n v="0.24"/>
    <s v="W0222"/>
    <d v="2025-07-22T17:28:12"/>
    <d v="2025-07-23T16:30:00"/>
    <s v="Corrective"/>
    <n v="14.96"/>
    <n v="85"/>
    <n v="8614"/>
    <n v="0"/>
    <s v="Complete"/>
    <s v="Visible leak reported during inspection"/>
    <n v="0"/>
    <x v="3"/>
    <n v="563.16"/>
    <d v="2025-07-01T00:00:00"/>
    <n v="42.6"/>
    <n v="23990.615999999998"/>
  </r>
  <r>
    <s v="E0223"/>
    <s v="A011"/>
    <d v="2025-07-28T12:00:00"/>
    <d v="2025-07-28T16:34:12"/>
    <x v="1"/>
    <s v="Scheduled service"/>
    <n v="0"/>
    <n v="0"/>
    <n v="0"/>
    <n v="4.57"/>
    <n v="0"/>
    <n v="4.57"/>
    <n v="118.82"/>
    <n v="0.25"/>
    <s v="W0223"/>
    <d v="2025-07-28T12:00:00"/>
    <d v="2025-07-28T16:34:12"/>
    <s v="Preventive"/>
    <n v="4.57"/>
    <n v="85"/>
    <n v="1332"/>
    <n v="0"/>
    <s v="Complete"/>
    <s v="Scheduled inspection and service"/>
    <n v="0"/>
    <x v="3"/>
    <n v="89.114999999999995"/>
    <d v="2025-07-01T00:00:00"/>
    <n v="42.6"/>
    <n v="3796.299"/>
  </r>
  <r>
    <s v="E0224"/>
    <s v="A011"/>
    <d v="2025-08-06T12:00:00"/>
    <d v="2025-08-08T13:43:48"/>
    <x v="0"/>
    <s v="Unknown"/>
    <n v="8.4"/>
    <n v="8.94"/>
    <n v="21.7"/>
    <n v="8.6999999999999993"/>
    <n v="1.99"/>
    <n v="49.73"/>
    <n v="1292.98"/>
    <n v="0.26"/>
    <s v="W0224"/>
    <d v="2025-08-06T20:24:00"/>
    <d v="2025-08-08T13:43:48"/>
    <s v="Corrective"/>
    <n v="17.399999999999999"/>
    <n v="85"/>
    <n v="8119"/>
    <n v="0"/>
    <s v="Complete"/>
    <s v="Cause not confirmed; follow-up needed"/>
    <n v="0"/>
    <x v="3"/>
    <n v="956.80520000000001"/>
    <d v="2025-08-01T00:00:00"/>
    <n v="41.6"/>
    <n v="39803.096320000004"/>
  </r>
  <r>
    <s v="E0225"/>
    <s v="A011"/>
    <d v="2025-09-04T12:00:00"/>
    <d v="2025-09-05T10:42:00"/>
    <x v="0"/>
    <s v="Bearing wear"/>
    <n v="5.16"/>
    <n v="9.34"/>
    <n v="0"/>
    <n v="7.63"/>
    <n v="0.56999999999999995"/>
    <n v="22.7"/>
    <n v="590.20000000000005"/>
    <n v="0.13"/>
    <s v="W0225"/>
    <d v="2025-09-04T17:09:36"/>
    <d v="2025-09-05T10:42:00"/>
    <s v="Corrective"/>
    <n v="15.26"/>
    <n v="85"/>
    <n v="9112"/>
    <n v="0"/>
    <s v="Complete"/>
    <s v="Noise and vibration increased before stop"/>
    <n v="0"/>
    <x v="3"/>
    <n v="513.47400000000005"/>
    <d v="2025-09-01T00:00:00"/>
    <n v="38.6"/>
    <n v="19820.096400000002"/>
  </r>
  <r>
    <s v="E0226"/>
    <s v="A011"/>
    <d v="2025-09-20T12:00:00"/>
    <d v="2025-09-22T11:48:36"/>
    <x v="0"/>
    <s v="Seal leak"/>
    <n v="8"/>
    <n v="5.34"/>
    <n v="24.88"/>
    <n v="7.96"/>
    <n v="1.63"/>
    <n v="47.81"/>
    <n v="1243.06"/>
    <n v="0.25"/>
    <s v="W0226"/>
    <d v="2025-09-20T20:00:00"/>
    <d v="2025-09-22T11:48:36"/>
    <s v="Corrective"/>
    <n v="7.96"/>
    <n v="85"/>
    <n v="8766"/>
    <n v="0"/>
    <s v="Complete"/>
    <s v="Visible leak reported during inspection"/>
    <n v="0"/>
    <x v="3"/>
    <n v="932.29499999999996"/>
    <d v="2025-09-01T00:00:00"/>
    <n v="38.6"/>
    <n v="35986.587"/>
  </r>
  <r>
    <s v="E0227"/>
    <s v="A011"/>
    <d v="2025-10-04T12:00:00"/>
    <d v="2025-10-05T13:36:00"/>
    <x v="0"/>
    <s v="Bearing wear"/>
    <n v="3.29"/>
    <n v="4.71"/>
    <n v="11.36"/>
    <n v="5.15"/>
    <n v="1.0900000000000001"/>
    <n v="25.6"/>
    <n v="665.6"/>
    <n v="0.26"/>
    <s v="W0227"/>
    <d v="2025-10-04T15:17:24"/>
    <d v="2025-10-05T13:36:00"/>
    <s v="Corrective"/>
    <n v="5.15"/>
    <n v="85"/>
    <n v="5565"/>
    <n v="1342"/>
    <s v="Complete"/>
    <s v="Noise and vibration increased before stop"/>
    <n v="0"/>
    <x v="3"/>
    <n v="492.54399999999998"/>
    <d v="2025-10-01T00:00:00"/>
    <n v="37.6"/>
    <n v="18519.654399999999"/>
  </r>
  <r>
    <s v="E0228"/>
    <s v="A011"/>
    <d v="2025-10-21T12:00:00"/>
    <d v="2025-10-22T08:48:00"/>
    <x v="0"/>
    <s v="Seal leak"/>
    <n v="4.6900000000000004"/>
    <n v="5.22"/>
    <n v="0"/>
    <n v="9.23"/>
    <n v="1.66"/>
    <n v="20.8"/>
    <n v="540.79999999999995"/>
    <n v="0.1"/>
    <s v="W0228"/>
    <d v="2025-10-21T16:41:24"/>
    <d v="2025-10-22T08:48:00"/>
    <s v="Corrective"/>
    <n v="9.23"/>
    <n v="85"/>
    <n v="7076"/>
    <n v="0"/>
    <s v="Complete"/>
    <s v="Visible leak reported during inspection"/>
    <n v="0"/>
    <x v="3"/>
    <n v="486.71999999999997"/>
    <d v="2025-10-01T00:00:00"/>
    <n v="37.6"/>
    <n v="18300.671999999999"/>
  </r>
  <r>
    <s v="E0229"/>
    <s v="A011"/>
    <d v="2025-10-28T12:00:00"/>
    <d v="2025-10-28T19:13:48"/>
    <x v="1"/>
    <s v="Scheduled service"/>
    <n v="0"/>
    <n v="0"/>
    <n v="0"/>
    <n v="7.23"/>
    <n v="0"/>
    <n v="7.23"/>
    <n v="187.98"/>
    <n v="0.25"/>
    <s v="W0229"/>
    <d v="2025-10-28T12:00:00"/>
    <d v="2025-10-28T19:13:48"/>
    <s v="Preventive"/>
    <n v="14.46"/>
    <n v="85"/>
    <n v="1044"/>
    <n v="3653"/>
    <s v="Complete"/>
    <s v="Scheduled inspection and service"/>
    <n v="0"/>
    <x v="3"/>
    <n v="140.98499999999999"/>
    <d v="2025-10-01T00:00:00"/>
    <n v="37.6"/>
    <n v="5301.0360000000001"/>
  </r>
  <r>
    <s v="E0230"/>
    <s v="A011"/>
    <d v="2025-11-05T12:00:00"/>
    <d v="2025-11-06T01:51:36"/>
    <x v="0"/>
    <s v="Unknown"/>
    <n v="4.42"/>
    <n v="3.78"/>
    <n v="0"/>
    <n v="4.79"/>
    <n v="0.87"/>
    <n v="13.86"/>
    <n v="360.36"/>
    <n v="0.28000000000000003"/>
    <s v="W0230"/>
    <d v="2025-11-05T16:25:12"/>
    <d v="2025-11-06T01:51:36"/>
    <s v="Corrective"/>
    <n v="9.58"/>
    <n v="85"/>
    <n v="7864"/>
    <n v="3809"/>
    <s v="Complete"/>
    <s v="Cause not confirmed; follow-up needed"/>
    <n v="0"/>
    <x v="3"/>
    <n v="259.45920000000001"/>
    <d v="2025-11-01T00:00:00"/>
    <n v="39.6"/>
    <n v="10274.58432"/>
  </r>
  <r>
    <s v="E0231"/>
    <s v="A011"/>
    <d v="2025-11-20T12:00:00"/>
    <d v="2025-11-21T07:44:24"/>
    <x v="0"/>
    <s v="Seal leak"/>
    <n v="8.18"/>
    <n v="2.2599999999999998"/>
    <n v="0"/>
    <n v="6.86"/>
    <n v="2.44"/>
    <n v="19.739999999999998"/>
    <n v="513.24"/>
    <n v="0.23"/>
    <s v="W0231"/>
    <d v="2025-11-20T20:10:48"/>
    <d v="2025-11-21T07:44:24"/>
    <s v="Corrective"/>
    <n v="6.86"/>
    <n v="85"/>
    <n v="5494"/>
    <n v="0"/>
    <s v="Complete"/>
    <s v="Visible leak reported during inspection"/>
    <n v="0"/>
    <x v="3"/>
    <n v="395.19480000000004"/>
    <d v="2025-11-01T00:00:00"/>
    <n v="39.6"/>
    <n v="15649.714080000002"/>
  </r>
  <r>
    <s v="E0232"/>
    <s v="A011"/>
    <d v="2025-12-07T12:00:00"/>
    <d v="2025-12-08T15:52:48"/>
    <x v="0"/>
    <s v="Bearing wear"/>
    <n v="3.19"/>
    <n v="9.5399999999999991"/>
    <n v="8.94"/>
    <n v="5.1100000000000003"/>
    <n v="1.1000000000000001"/>
    <n v="27.88"/>
    <n v="724.88"/>
    <n v="0.24"/>
    <s v="W0232"/>
    <d v="2025-12-07T15:11:24"/>
    <d v="2025-12-08T15:52:48"/>
    <s v="Corrective"/>
    <n v="10.220000000000001"/>
    <n v="85"/>
    <n v="1330"/>
    <n v="0"/>
    <s v="Complete"/>
    <s v="Noise and vibration increased before stop"/>
    <n v="0"/>
    <x v="3"/>
    <n v="550.90880000000004"/>
    <d v="2025-12-01T00:00:00"/>
    <n v="40.6"/>
    <n v="22366.897280000001"/>
  </r>
  <r>
    <s v="E0233"/>
    <s v="A011"/>
    <d v="2025-12-20T12:00:00"/>
    <d v="2025-12-22T05:00:00"/>
    <x v="0"/>
    <s v="Unknown"/>
    <n v="1.9"/>
    <n v="4.2300000000000004"/>
    <n v="24.03"/>
    <n v="9.6999999999999993"/>
    <n v="1.1399999999999999"/>
    <n v="41"/>
    <n v="1066"/>
    <n v="0.15"/>
    <s v="W0233"/>
    <d v="2025-12-20T13:54:00"/>
    <d v="2025-12-22T05:00:00"/>
    <s v="Corrective"/>
    <n v="9.6999999999999993"/>
    <n v="85"/>
    <m/>
    <n v="0"/>
    <s v="Parts invoice pending"/>
    <s v="Cause not confirmed; follow-up needed"/>
    <n v="0"/>
    <x v="3"/>
    <n v="906.1"/>
    <d v="2025-12-01T00:00:00"/>
    <n v="40.6"/>
    <n v="36787.660000000003"/>
  </r>
  <r>
    <s v="E0234"/>
    <s v="A012"/>
    <d v="2025-01-05T12:00:00"/>
    <d v="2025-01-06T22:31:48"/>
    <x v="0"/>
    <s v="Process upset"/>
    <n v="5.72"/>
    <n v="7.76"/>
    <n v="15.38"/>
    <n v="3.36"/>
    <n v="2.31"/>
    <n v="34.53"/>
    <n v="1035.9000000000001"/>
    <n v="0.28000000000000003"/>
    <s v="W0234"/>
    <d v="2025-01-05T17:43:12"/>
    <d v="2025-01-06T22:31:48"/>
    <s v="Corrective"/>
    <n v="3.36"/>
    <n v="85"/>
    <n v="5906"/>
    <n v="1156"/>
    <s v="Complete"/>
    <s v="Feed conditions changed; equipment restarted"/>
    <n v="0"/>
    <x v="3"/>
    <n v="745.84800000000007"/>
    <d v="2025-01-01T00:00:00"/>
    <n v="47.6"/>
    <n v="35502.364800000003"/>
  </r>
  <r>
    <s v="E0235"/>
    <s v="A012"/>
    <d v="2025-01-21T12:00:00"/>
    <d v="2025-01-22T07:45:36"/>
    <x v="0"/>
    <s v="Seal leak"/>
    <n v="7.88"/>
    <n v="5.84"/>
    <n v="0"/>
    <n v="4.33"/>
    <n v="1.71"/>
    <n v="19.760000000000002"/>
    <n v="592.79999999999995"/>
    <n v="0.16"/>
    <s v="W0235"/>
    <d v="2025-01-21T19:52:48"/>
    <d v="2025-01-22T07:45:36"/>
    <s v="Corrective"/>
    <n v="8.66"/>
    <n v="85"/>
    <n v="2692"/>
    <n v="0"/>
    <s v="Complete"/>
    <s v="Visible leak reported during inspection"/>
    <n v="0"/>
    <x v="3"/>
    <n v="497.95199999999994"/>
    <d v="2025-01-01T00:00:00"/>
    <n v="47.6"/>
    <n v="23702.515199999998"/>
  </r>
  <r>
    <s v="E0236"/>
    <s v="A012"/>
    <d v="2025-01-28T12:00:00"/>
    <d v="2025-01-28T16:35:24"/>
    <x v="1"/>
    <s v="Scheduled service"/>
    <n v="0"/>
    <n v="0"/>
    <n v="0"/>
    <n v="4.59"/>
    <n v="0"/>
    <n v="4.59"/>
    <n v="137.69999999999999"/>
    <n v="0.25"/>
    <s v="W0236"/>
    <d v="2025-01-28T12:00:00"/>
    <d v="2025-01-28T16:35:24"/>
    <s v="Preventive"/>
    <n v="9.18"/>
    <n v="85"/>
    <n v="466"/>
    <n v="0"/>
    <s v="Complete"/>
    <s v="Scheduled inspection and service"/>
    <n v="0"/>
    <x v="3"/>
    <n v="103.27499999999999"/>
    <d v="2025-01-01T00:00:00"/>
    <n v="47.6"/>
    <n v="4915.8899999999994"/>
  </r>
  <r>
    <s v="E0237"/>
    <s v="A012"/>
    <d v="2025-02-05T12:00:00"/>
    <d v="2025-02-07T02:01:12"/>
    <x v="0"/>
    <s v="Electrical trip"/>
    <n v="7.99"/>
    <n v="8.49"/>
    <n v="15.75"/>
    <n v="4.09"/>
    <n v="1.7"/>
    <n v="38.020000000000003"/>
    <n v="1140.5999999999999"/>
    <n v="0.17"/>
    <s v="W0237"/>
    <d v="2025-02-05T19:59:24"/>
    <d v="2025-02-07T02:01:12"/>
    <s v="Corrective"/>
    <n v="4.09"/>
    <n v="85"/>
    <n v="1898"/>
    <n v="0"/>
    <s v="Complete"/>
    <s v="Protective trip; reviewed electrical panel"/>
    <n v="0"/>
    <x v="3"/>
    <n v="946.69799999999987"/>
    <d v="2025-02-01T00:00:00"/>
    <n v="45.6"/>
    <n v="43169.428799999994"/>
  </r>
  <r>
    <s v="E0238"/>
    <s v="A012"/>
    <d v="2025-02-20T12:00:00"/>
    <d v="2025-02-21T09:24:00"/>
    <x v="0"/>
    <s v="Bearing wear"/>
    <n v="6.76"/>
    <n v="4.8600000000000003"/>
    <n v="0"/>
    <n v="9.1300000000000008"/>
    <n v="0.65"/>
    <n v="21.4"/>
    <n v="642"/>
    <n v="0.18"/>
    <s v="W0238"/>
    <d v="2025-02-20T18:45:36"/>
    <d v="2025-02-21T09:24:00"/>
    <s v="Corrective"/>
    <n v="9.1300000000000008"/>
    <n v="85"/>
    <n v="3246"/>
    <n v="0"/>
    <s v="Complete"/>
    <s v="Noise and vibration increased before stop"/>
    <n v="0"/>
    <x v="3"/>
    <n v="526.44000000000005"/>
    <d v="2025-02-01T00:00:00"/>
    <n v="45.6"/>
    <n v="24005.664000000004"/>
  </r>
  <r>
    <s v="E0239"/>
    <s v="A012"/>
    <d v="2025-03-05T12:00:00"/>
    <d v="2025-03-06T23:24:00"/>
    <x v="0"/>
    <s v="Bearing wear"/>
    <n v="7.21"/>
    <n v="5.45"/>
    <n v="11.76"/>
    <n v="10.07"/>
    <n v="0.91"/>
    <n v="35.4"/>
    <n v="1062"/>
    <n v="0.28000000000000003"/>
    <s v="W0239"/>
    <d v="2025-03-05T19:12:36"/>
    <d v="2025-03-06T23:24:00"/>
    <s v="Corrective"/>
    <n v="10.07"/>
    <n v="85"/>
    <n v="1266"/>
    <n v="0"/>
    <s v="Complete"/>
    <s v="Noise and vibration increased before stop"/>
    <n v="0"/>
    <x v="3"/>
    <n v="764.64"/>
    <d v="2025-03-01T00:00:00"/>
    <n v="43.6"/>
    <n v="33338.304000000004"/>
  </r>
  <r>
    <s v="E0240"/>
    <s v="A012"/>
    <d v="2025-03-19T12:00:00"/>
    <d v="2025-03-20T12:03:00"/>
    <x v="0"/>
    <s v="Process upset"/>
    <n v="4.99"/>
    <n v="10.33"/>
    <n v="0"/>
    <n v="8.14"/>
    <n v="0.59"/>
    <n v="24.05"/>
    <n v="721.5"/>
    <n v="0.22"/>
    <s v="W0240"/>
    <d v="2025-03-19T16:59:24"/>
    <d v="2025-03-20T12:03:00"/>
    <s v="Corrective"/>
    <n v="16.28"/>
    <n v="85"/>
    <n v="5495"/>
    <n v="0"/>
    <s v="Complete"/>
    <s v="Feed conditions changed; equipment restarted"/>
    <n v="0"/>
    <x v="3"/>
    <n v="562.77"/>
    <d v="2025-03-01T00:00:00"/>
    <n v="43.6"/>
    <n v="24536.772000000001"/>
  </r>
  <r>
    <s v="E0241"/>
    <s v="A012"/>
    <d v="2025-04-10T12:00:00"/>
    <d v="2025-04-11T17:25:48"/>
    <x v="0"/>
    <s v="Unknown"/>
    <n v="3.49"/>
    <n v="5.94"/>
    <n v="9.4600000000000009"/>
    <n v="9.49"/>
    <n v="1.05"/>
    <n v="29.43"/>
    <n v="882.9"/>
    <n v="0.23"/>
    <s v="W0241"/>
    <d v="2025-04-10T15:29:24"/>
    <d v="2025-04-11T17:25:48"/>
    <s v="Corrective"/>
    <n v="9.49"/>
    <n v="85"/>
    <n v="3867"/>
    <n v="2795"/>
    <s v="Complete"/>
    <s v="Cause not confirmed; follow-up needed"/>
    <n v="0"/>
    <x v="3"/>
    <n v="679.83299999999997"/>
    <d v="2025-04-01T00:00:00"/>
    <n v="41.6"/>
    <n v="28281.052800000001"/>
  </r>
  <r>
    <s v="E0242"/>
    <s v="A012"/>
    <d v="2025-04-20T12:00:00"/>
    <d v="2025-04-21T00:00:00"/>
    <x v="0"/>
    <s v="Process upset"/>
    <n v="2.62"/>
    <n v="3.72"/>
    <n v="0"/>
    <n v="3.65"/>
    <n v="2.0099999999999998"/>
    <n v="12"/>
    <n v="360"/>
    <n v="0.15"/>
    <s v="W0242"/>
    <d v="2025-04-20T14:37:12"/>
    <d v="2025-04-21T00:00:00"/>
    <s v="Corrective"/>
    <n v="7.3"/>
    <n v="85"/>
    <n v="8777"/>
    <n v="0"/>
    <s v="Complete"/>
    <s v="Feed conditions changed; equipment restarted"/>
    <n v="0"/>
    <x v="3"/>
    <n v="306"/>
    <d v="2025-04-01T00:00:00"/>
    <n v="41.6"/>
    <n v="12729.6"/>
  </r>
  <r>
    <s v="E0243"/>
    <s v="A012"/>
    <d v="2025-04-28T12:00:00"/>
    <d v="2025-04-28T17:30:36"/>
    <x v="1"/>
    <s v="Scheduled service"/>
    <n v="0"/>
    <n v="0"/>
    <n v="0"/>
    <n v="5.51"/>
    <n v="0"/>
    <n v="5.51"/>
    <n v="165.3"/>
    <n v="0.25"/>
    <s v="W0243"/>
    <d v="2025-04-28T12:00:00"/>
    <d v="2025-04-28T17:30:36"/>
    <s v="Preventive"/>
    <n v="11.02"/>
    <n v="85"/>
    <n v="1574"/>
    <n v="4756"/>
    <s v="Complete"/>
    <s v="Scheduled inspection and service"/>
    <n v="0"/>
    <x v="3"/>
    <n v="123.97500000000001"/>
    <d v="2025-04-01T00:00:00"/>
    <n v="41.6"/>
    <n v="5157.3600000000006"/>
  </r>
  <r>
    <s v="E0244"/>
    <s v="A012"/>
    <d v="2025-05-10T12:00:00"/>
    <d v="2025-05-12T07:50:24"/>
    <x v="0"/>
    <s v="Bearing wear"/>
    <n v="5.43"/>
    <n v="7.3"/>
    <n v="16.18"/>
    <n v="12.48"/>
    <n v="2.4500000000000002"/>
    <n v="43.84"/>
    <n v="1315.2"/>
    <n v="0.23"/>
    <s v="W0244"/>
    <d v="2025-05-10T17:25:48"/>
    <d v="2025-05-12T07:50:24"/>
    <s v="Corrective"/>
    <n v="24.96"/>
    <n v="85"/>
    <n v="7725"/>
    <n v="0"/>
    <s v="Complete"/>
    <s v="Noise and vibration increased before stop"/>
    <n v="0"/>
    <x v="3"/>
    <n v="1012.7040000000001"/>
    <d v="2025-05-01T00:00:00"/>
    <n v="39.6"/>
    <n v="40103.078400000006"/>
  </r>
  <r>
    <s v="E0245"/>
    <s v="A012"/>
    <d v="2025-05-20T12:00:00"/>
    <d v="2025-05-21T22:25:48"/>
    <x v="0"/>
    <s v="Bearing wear"/>
    <n v="3.52"/>
    <n v="5.03"/>
    <n v="15.35"/>
    <n v="8.0399999999999991"/>
    <n v="2.4900000000000002"/>
    <n v="34.43"/>
    <n v="1032.9000000000001"/>
    <n v="0.13"/>
    <s v="W0245"/>
    <d v="2025-05-20T15:31:12"/>
    <d v="2025-05-21T22:25:48"/>
    <s v="Corrective"/>
    <n v="8.0399999999999991"/>
    <n v="85"/>
    <n v="7099"/>
    <n v="0"/>
    <s v="Complete"/>
    <s v="Noise and vibration increased before stop"/>
    <n v="0"/>
    <x v="3"/>
    <n v="898.62300000000005"/>
    <d v="2025-05-01T00:00:00"/>
    <n v="39.6"/>
    <n v="35585.470800000003"/>
  </r>
  <r>
    <s v="E0246"/>
    <s v="A012"/>
    <d v="2025-06-04T12:00:00"/>
    <d v="2025-06-06T06:21:36"/>
    <x v="0"/>
    <s v="Bearing wear"/>
    <n v="7.46"/>
    <n v="4.21"/>
    <n v="16.79"/>
    <n v="12.31"/>
    <n v="1.59"/>
    <n v="42.36"/>
    <n v="1270.8"/>
    <n v="0.13"/>
    <s v="W0246"/>
    <d v="2025-06-04T19:27:36"/>
    <d v="2025-06-06T06:21:36"/>
    <s v="Corrective"/>
    <n v="12.31"/>
    <n v="85"/>
    <n v="9445"/>
    <n v="0"/>
    <s v="Complete"/>
    <s v="Noise and vibration increased before stop"/>
    <n v="0"/>
    <x v="3"/>
    <n v="1105.596"/>
    <d v="2025-06-01T00:00:00"/>
    <n v="40.6"/>
    <n v="44887.1976"/>
  </r>
  <r>
    <s v="E0247"/>
    <s v="A012"/>
    <d v="2025-07-06T12:00:00"/>
    <d v="2025-07-07T19:13:48"/>
    <x v="0"/>
    <s v="Unknown"/>
    <n v="7.04"/>
    <n v="3.17"/>
    <n v="11.99"/>
    <n v="8.44"/>
    <n v="0.59"/>
    <n v="31.23"/>
    <n v="936.9"/>
    <n v="0.24"/>
    <s v="W0247"/>
    <d v="2025-07-06T19:02:24"/>
    <d v="2025-07-07T19:13:48"/>
    <s v="Corrective"/>
    <n v="16.88"/>
    <n v="85"/>
    <n v="8505"/>
    <n v="0"/>
    <s v="Complete"/>
    <s v="Cause not confirmed; follow-up needed"/>
    <n v="0"/>
    <x v="3"/>
    <n v="712.04399999999998"/>
    <d v="2025-07-01T00:00:00"/>
    <n v="42.6"/>
    <n v="30333.074400000001"/>
  </r>
  <r>
    <s v="E0248"/>
    <s v="A012"/>
    <d v="2025-07-20T12:00:00"/>
    <d v="2025-07-22T05:55:12"/>
    <x v="0"/>
    <s v="Bearing wear"/>
    <n v="2.56"/>
    <n v="9.92"/>
    <n v="22.07"/>
    <n v="5.39"/>
    <n v="1.98"/>
    <n v="41.92"/>
    <n v="1257.5999999999999"/>
    <n v="0.28999999999999998"/>
    <s v="W0248"/>
    <d v="2025-07-20T14:33:36"/>
    <d v="2025-07-22T05:55:12"/>
    <s v="Corrective"/>
    <n v="5.39"/>
    <n v="85"/>
    <n v="4546"/>
    <n v="0"/>
    <s v="Complete"/>
    <s v="Noise and vibration increased before stop"/>
    <n v="0"/>
    <x v="3"/>
    <n v="892.89599999999984"/>
    <d v="2025-07-01T00:00:00"/>
    <n v="42.6"/>
    <n v="38037.369599999998"/>
  </r>
  <r>
    <s v="E0249"/>
    <s v="A012"/>
    <d v="2025-07-28T12:00:00"/>
    <d v="2025-07-28T17:28:12"/>
    <x v="1"/>
    <s v="Scheduled service"/>
    <n v="0"/>
    <n v="0"/>
    <n v="0"/>
    <n v="5.47"/>
    <n v="0"/>
    <n v="5.47"/>
    <n v="164.1"/>
    <n v="0.25"/>
    <s v="W0249"/>
    <d v="2025-07-28T12:00:00"/>
    <d v="2025-07-28T17:28:12"/>
    <s v="Preventive"/>
    <n v="5.47"/>
    <n v="85"/>
    <n v="1423"/>
    <n v="4010"/>
    <s v="Complete"/>
    <s v="Scheduled inspection and service"/>
    <n v="0"/>
    <x v="3"/>
    <n v="123.07499999999999"/>
    <d v="2025-07-01T00:00:00"/>
    <n v="42.6"/>
    <n v="5242.9949999999999"/>
  </r>
  <r>
    <s v="E0250"/>
    <s v="A012"/>
    <d v="2025-08-08T12:00:00"/>
    <d v="2025-08-10T06:38:24"/>
    <x v="0"/>
    <s v="Process upset"/>
    <n v="7.06"/>
    <n v="4.5999999999999996"/>
    <n v="21.02"/>
    <n v="7.98"/>
    <n v="1.98"/>
    <n v="42.64"/>
    <n v="1279.2"/>
    <n v="0.22"/>
    <s v="W0250"/>
    <d v="2025-08-08T19:03:36"/>
    <d v="2025-08-10T06:38:24"/>
    <s v="Corrective"/>
    <n v="7.98"/>
    <n v="85"/>
    <n v="8775"/>
    <n v="0"/>
    <s v="Complete"/>
    <s v="Feed conditions changed; equipment restarted"/>
    <n v="0"/>
    <x v="3"/>
    <n v="997.77600000000007"/>
    <d v="2025-08-01T00:00:00"/>
    <n v="41.6"/>
    <n v="41507.481600000006"/>
  </r>
  <r>
    <s v="E0251"/>
    <s v="A012"/>
    <d v="2025-08-22T12:00:00"/>
    <d v="2025-08-23T08:24:36"/>
    <x v="0"/>
    <s v="Process upset"/>
    <n v="6.3"/>
    <n v="2.8"/>
    <n v="0"/>
    <n v="9.15"/>
    <n v="2.16"/>
    <n v="20.41"/>
    <n v="612.29999999999995"/>
    <n v="0.21"/>
    <s v="W0251"/>
    <d v="2025-08-22T18:18:00"/>
    <d v="2025-08-23T08:24:36"/>
    <s v="Corrective"/>
    <n v="9.15"/>
    <n v="85"/>
    <n v="8384"/>
    <n v="0"/>
    <s v="Complete"/>
    <s v="Feed conditions changed; equipment restarted"/>
    <n v="0"/>
    <x v="3"/>
    <n v="483.71699999999998"/>
    <d v="2025-08-01T00:00:00"/>
    <n v="41.6"/>
    <n v="20122.627199999999"/>
  </r>
  <r>
    <s v="E0252"/>
    <s v="A012"/>
    <d v="2025-09-07T12:00:00"/>
    <d v="2025-09-08T16:40:48"/>
    <x v="0"/>
    <s v="Bearing wear"/>
    <n v="5.97"/>
    <n v="4.6399999999999997"/>
    <n v="11.73"/>
    <n v="5.44"/>
    <n v="0.9"/>
    <n v="28.68"/>
    <n v="860.4"/>
    <n v="0.25"/>
    <s v="W0252"/>
    <d v="2025-09-07T17:58:12"/>
    <d v="2025-09-08T16:40:48"/>
    <s v="Corrective"/>
    <n v="5.44"/>
    <n v="85"/>
    <n v="9630"/>
    <n v="0"/>
    <s v="Complete"/>
    <s v="Noise and vibration increased before stop"/>
    <n v="0"/>
    <x v="3"/>
    <n v="645.29999999999995"/>
    <d v="2025-09-01T00:00:00"/>
    <n v="38.6"/>
    <n v="24908.579999999998"/>
  </r>
  <r>
    <s v="E0253"/>
    <s v="A012"/>
    <d v="2025-09-19T12:00:00"/>
    <d v="2025-09-20T00:39:36"/>
    <x v="0"/>
    <s v="Process upset"/>
    <n v="3.19"/>
    <n v="5.98"/>
    <n v="0"/>
    <n v="2.2000000000000002"/>
    <n v="1.29"/>
    <n v="12.66"/>
    <n v="379.8"/>
    <n v="0.13"/>
    <s v="W0253"/>
    <d v="2025-09-19T15:11:24"/>
    <d v="2025-09-20T00:39:36"/>
    <s v="Corrective"/>
    <n v="4.4000000000000004"/>
    <n v="85"/>
    <n v="3950"/>
    <n v="0"/>
    <s v="Complete"/>
    <s v="Feed conditions changed; equipment restarted"/>
    <n v="0"/>
    <x v="3"/>
    <n v="330.42599999999999"/>
    <d v="2025-09-01T00:00:00"/>
    <n v="38.6"/>
    <n v="12754.443600000001"/>
  </r>
  <r>
    <s v="E0254"/>
    <s v="A012"/>
    <d v="2025-10-09T12:00:00"/>
    <d v="2025-10-10T18:48:00"/>
    <x v="0"/>
    <s v="Bearing wear"/>
    <n v="4"/>
    <n v="8"/>
    <n v="10.18"/>
    <n v="6.52"/>
    <n v="2.1"/>
    <n v="30.8"/>
    <n v="924"/>
    <n v="0.27"/>
    <s v="W0254"/>
    <d v="2025-10-09T16:00:00"/>
    <d v="2025-10-10T18:48:00"/>
    <s v="Corrective"/>
    <n v="6.52"/>
    <n v="85"/>
    <n v="4107"/>
    <n v="0"/>
    <s v="Complete"/>
    <s v="Noise and vibration increased before stop"/>
    <n v="0"/>
    <x v="3"/>
    <n v="674.52"/>
    <d v="2025-10-01T00:00:00"/>
    <n v="37.6"/>
    <n v="25361.952000000001"/>
  </r>
  <r>
    <s v="E0255"/>
    <s v="A012"/>
    <d v="2025-10-22T12:00:00"/>
    <d v="2025-10-23T15:06:36"/>
    <x v="0"/>
    <s v="Bearing wear"/>
    <n v="6.14"/>
    <n v="7.26"/>
    <n v="0"/>
    <n v="11.61"/>
    <n v="2.1"/>
    <n v="27.11"/>
    <n v="813.3"/>
    <n v="0.08"/>
    <s v="W0255"/>
    <d v="2025-10-22T18:08:24"/>
    <d v="2025-10-23T15:06:36"/>
    <s v="Corrective"/>
    <n v="23.22"/>
    <n v="85"/>
    <n v="6639"/>
    <n v="0"/>
    <s v="Complete"/>
    <s v="Noise and vibration increased before stop"/>
    <n v="0"/>
    <x v="3"/>
    <n v="748.23599999999999"/>
    <d v="2025-10-01T00:00:00"/>
    <n v="37.6"/>
    <n v="28133.673600000002"/>
  </r>
  <r>
    <s v="E0256"/>
    <s v="A012"/>
    <d v="2025-10-28T12:00:00"/>
    <d v="2025-10-28T16:51:36"/>
    <x v="1"/>
    <s v="Scheduled service"/>
    <n v="0"/>
    <n v="0"/>
    <n v="0"/>
    <n v="4.8600000000000003"/>
    <n v="0"/>
    <n v="4.8600000000000003"/>
    <n v="145.80000000000001"/>
    <n v="0.25"/>
    <s v="W0256"/>
    <d v="2025-10-28T12:00:00"/>
    <d v="2025-10-28T16:51:36"/>
    <s v="Preventive"/>
    <n v="9.7200000000000006"/>
    <n v="85"/>
    <n v="864"/>
    <n v="0"/>
    <s v="Complete"/>
    <s v="Scheduled inspection and service"/>
    <n v="0"/>
    <x v="3"/>
    <n v="109.35000000000001"/>
    <d v="2025-10-01T00:00:00"/>
    <n v="37.6"/>
    <n v="4111.5600000000004"/>
  </r>
  <r>
    <s v="E0257"/>
    <s v="A012"/>
    <d v="2025-11-10T12:00:00"/>
    <d v="2025-11-11T07:50:24"/>
    <x v="0"/>
    <s v="Electrical trip"/>
    <n v="4.78"/>
    <n v="5.93"/>
    <n v="0"/>
    <n v="7.87"/>
    <n v="1.26"/>
    <n v="19.84"/>
    <n v="595.20000000000005"/>
    <n v="0.08"/>
    <s v="W0257"/>
    <d v="2025-11-10T16:46:48"/>
    <d v="2025-11-11T07:50:24"/>
    <s v="Corrective"/>
    <n v="15.74"/>
    <n v="85"/>
    <n v="8859"/>
    <n v="0"/>
    <s v="Complete"/>
    <s v="Protective trip; reviewed electrical panel"/>
    <n v="0"/>
    <x v="3"/>
    <n v="547.58400000000006"/>
    <d v="2025-11-01T00:00:00"/>
    <n v="39.6"/>
    <n v="21684.326400000002"/>
  </r>
  <r>
    <s v="E0258"/>
    <s v="A012"/>
    <d v="2025-11-20T12:00:00"/>
    <d v="2025-11-21T10:39:36"/>
    <x v="0"/>
    <s v="Bearing wear"/>
    <n v="6.88"/>
    <n v="2.12"/>
    <n v="0"/>
    <n v="11.49"/>
    <n v="2.17"/>
    <n v="22.66"/>
    <n v="679.8"/>
    <n v="0.14000000000000001"/>
    <s v="W0258"/>
    <d v="2025-11-20T18:52:48"/>
    <d v="2025-11-21T10:39:36"/>
    <s v="Corrective"/>
    <n v="11.49"/>
    <n v="85"/>
    <n v="6024"/>
    <n v="0"/>
    <s v="Complete"/>
    <s v="Noise and vibration increased before stop"/>
    <n v="0"/>
    <x v="3"/>
    <n v="584.62799999999993"/>
    <d v="2025-11-01T00:00:00"/>
    <n v="39.6"/>
    <n v="23151.268799999998"/>
  </r>
  <r>
    <s v="E0259"/>
    <s v="A012"/>
    <d v="2025-12-04T12:00:00"/>
    <d v="2025-12-05T18:56:24"/>
    <x v="0"/>
    <s v="Bearing wear"/>
    <n v="2.64"/>
    <n v="6.49"/>
    <n v="9.81"/>
    <n v="9.9499999999999993"/>
    <n v="2.0499999999999998"/>
    <n v="30.94"/>
    <n v="928.2"/>
    <n v="0.25"/>
    <s v="W0259"/>
    <d v="2025-12-04T14:38:24"/>
    <d v="2025-12-05T18:56:24"/>
    <s v="Corrective"/>
    <n v="9.9499999999999993"/>
    <n v="85"/>
    <n v="7716"/>
    <n v="0"/>
    <s v="Complete"/>
    <s v="Noise and vibration increased before stop"/>
    <n v="0"/>
    <x v="3"/>
    <n v="696.15000000000009"/>
    <d v="2025-12-01T00:00:00"/>
    <n v="40.6"/>
    <n v="28263.690000000006"/>
  </r>
  <r>
    <s v="E0260"/>
    <s v="A012"/>
    <d v="2025-12-22T12:00:00"/>
    <d v="2025-12-24T10:26:24"/>
    <x v="0"/>
    <s v="Bearing wear"/>
    <n v="8.15"/>
    <n v="5.83"/>
    <n v="23.75"/>
    <n v="7.6"/>
    <n v="1.1100000000000001"/>
    <n v="46.44"/>
    <n v="1393.2"/>
    <n v="0.22"/>
    <s v="W0260"/>
    <d v="2025-12-22T20:09:00"/>
    <d v="2025-12-24T10:26:24"/>
    <s v="Corrective"/>
    <n v="15.2"/>
    <n v="85"/>
    <n v="1919"/>
    <n v="0"/>
    <s v="Complete"/>
    <s v="Noise and vibration increased before stop"/>
    <n v="0"/>
    <x v="3"/>
    <n v="1086.6960000000001"/>
    <d v="2025-12-01T00:00:00"/>
    <n v="40.6"/>
    <n v="44119.85760000001"/>
  </r>
  <r>
    <s v="E0261"/>
    <s v="A013"/>
    <d v="2025-01-05T12:00:00"/>
    <d v="2025-01-06T08:40:48"/>
    <x v="0"/>
    <s v="Bearing wear"/>
    <n v="4.46"/>
    <n v="4.47"/>
    <n v="0"/>
    <n v="9.4700000000000006"/>
    <n v="2.2799999999999998"/>
    <n v="20.68"/>
    <n v="434.28"/>
    <n v="0.23"/>
    <s v="W0261"/>
    <d v="2025-01-05T16:27:36"/>
    <d v="2025-01-06T08:40:48"/>
    <s v="Corrective"/>
    <n v="9.4700000000000006"/>
    <n v="85"/>
    <n v="5172"/>
    <n v="3412"/>
    <s v="Complete"/>
    <s v="Noise and vibration increased before stop"/>
    <n v="0.5"/>
    <x v="4"/>
    <n v="334.3956"/>
    <d v="2025-01-01T00:00:00"/>
    <n v="46.8"/>
    <n v="15649.71408"/>
  </r>
  <r>
    <s v="E0262"/>
    <s v="A013"/>
    <d v="2025-01-28T12:00:00"/>
    <d v="2025-01-28T15:29:24"/>
    <x v="1"/>
    <s v="Scheduled service"/>
    <n v="0"/>
    <n v="0"/>
    <n v="0"/>
    <n v="3.49"/>
    <n v="0"/>
    <n v="3.49"/>
    <n v="73.290000000000006"/>
    <n v="0.25"/>
    <s v="W0262"/>
    <d v="2025-01-28T12:00:00"/>
    <d v="2025-01-28T15:29:24"/>
    <s v="Preventive"/>
    <n v="3.49"/>
    <n v="85"/>
    <m/>
    <n v="1186"/>
    <s v="Parts invoice pending"/>
    <s v="Scheduled inspection and service"/>
    <n v="0"/>
    <x v="4"/>
    <n v="54.967500000000001"/>
    <d v="2025-01-01T00:00:00"/>
    <n v="46.8"/>
    <n v="2572.4789999999998"/>
  </r>
  <r>
    <s v="E0263"/>
    <s v="A013"/>
    <d v="2025-02-10T12:00:00"/>
    <d v="2025-02-11T00:27:00"/>
    <x v="0"/>
    <s v="Process upset"/>
    <n v="1.74"/>
    <n v="5.28"/>
    <n v="0"/>
    <n v="3.72"/>
    <n v="1.71"/>
    <n v="12.45"/>
    <n v="261.45"/>
    <n v="0.25"/>
    <s v="W0263"/>
    <d v="2025-02-10T13:44:24"/>
    <d v="2025-02-11T00:27:00"/>
    <s v="Corrective"/>
    <n v="3.72"/>
    <n v="85"/>
    <n v="7112"/>
    <n v="0"/>
    <s v="Complete"/>
    <s v="Feed conditions changed; equipment restarted"/>
    <n v="0"/>
    <x v="4"/>
    <n v="196.08749999999998"/>
    <d v="2025-02-01T00:00:00"/>
    <n v="44.8"/>
    <n v="8784.7199999999975"/>
  </r>
  <r>
    <s v="E0264"/>
    <s v="A013"/>
    <d v="2025-03-10T12:00:00"/>
    <d v="2025-03-11T00:28:12"/>
    <x v="0"/>
    <s v="Unknown"/>
    <n v="0.82"/>
    <n v="1.97"/>
    <n v="0"/>
    <n v="8.73"/>
    <n v="0.95"/>
    <n v="12.47"/>
    <n v="261.87"/>
    <n v="0.25"/>
    <s v="W0264"/>
    <d v="2025-03-10T12:49:12"/>
    <d v="2025-03-11T00:28:12"/>
    <s v="Corrective"/>
    <n v="17.46"/>
    <n v="85"/>
    <n v="3827"/>
    <n v="0"/>
    <s v="Complete"/>
    <s v="Cause not confirmed; follow-up needed"/>
    <n v="0"/>
    <x v="4"/>
    <n v="196.4025"/>
    <d v="2025-03-01T00:00:00"/>
    <n v="42.8"/>
    <n v="8406.027"/>
  </r>
  <r>
    <s v="E0265"/>
    <s v="A013"/>
    <d v="2025-03-19T12:00:00"/>
    <d v="2025-03-19T19:34:48"/>
    <x v="0"/>
    <s v="Process upset"/>
    <n v="0.99"/>
    <n v="3.06"/>
    <n v="0"/>
    <n v="2.34"/>
    <n v="1.19"/>
    <n v="7.58"/>
    <n v="159.18"/>
    <n v="0.27"/>
    <s v="W0265"/>
    <d v="2025-03-19T12:59:24"/>
    <d v="2025-03-19T19:34:48"/>
    <s v="Corrective"/>
    <n v="4.68"/>
    <n v="85"/>
    <n v="2832"/>
    <n v="4562"/>
    <s v="Complete"/>
    <s v="Feed conditions changed; equipment restarted"/>
    <n v="0.5"/>
    <x v="4"/>
    <n v="116.20140000000001"/>
    <d v="2025-03-01T00:00:00"/>
    <n v="42.8"/>
    <n v="4973.4199200000003"/>
  </r>
  <r>
    <s v="E0266"/>
    <s v="A013"/>
    <d v="2025-04-09T12:00:00"/>
    <d v="2025-04-09T20:37:12"/>
    <x v="0"/>
    <s v="Unknown"/>
    <n v="2.52"/>
    <n v="1.1200000000000001"/>
    <n v="0"/>
    <n v="2.95"/>
    <n v="2.0299999999999998"/>
    <n v="8.6199999999999992"/>
    <n v="181.02"/>
    <n v="0.28999999999999998"/>
    <s v="W0266"/>
    <d v="2025-04-09T14:31:12"/>
    <d v="2025-04-09T20:37:12"/>
    <s v="Corrective"/>
    <n v="2.95"/>
    <n v="85"/>
    <n v="1783"/>
    <n v="3903"/>
    <s v="Complete"/>
    <s v="Cause not confirmed; follow-up needed"/>
    <n v="0"/>
    <x v="4"/>
    <n v="128.52420000000001"/>
    <d v="2025-04-01T00:00:00"/>
    <n v="40.799999999999997"/>
    <n v="5243.7873600000003"/>
  </r>
  <r>
    <s v="E0267"/>
    <s v="A013"/>
    <d v="2025-04-22T12:00:00"/>
    <d v="2025-04-24T02:54:00"/>
    <x v="0"/>
    <s v="Unknown"/>
    <n v="0.93"/>
    <n v="3.04"/>
    <n v="25.7"/>
    <n v="7.51"/>
    <n v="1.72"/>
    <n v="38.9"/>
    <n v="816.9"/>
    <n v="0.2"/>
    <s v="W0267"/>
    <d v="2025-04-22T12:55:48"/>
    <d v="2025-04-24T02:54:00"/>
    <s v="Corrective"/>
    <n v="7.51"/>
    <n v="85"/>
    <n v="2835"/>
    <n v="3560"/>
    <s v="Complete"/>
    <s v="Cause not confirmed; follow-up needed"/>
    <n v="0"/>
    <x v="4"/>
    <n v="653.52"/>
    <d v="2025-04-01T00:00:00"/>
    <n v="40.799999999999997"/>
    <n v="26663.615999999998"/>
  </r>
  <r>
    <s v="E0268"/>
    <s v="A013"/>
    <d v="2025-04-28T12:00:00"/>
    <d v="2025-04-28T18:16:12"/>
    <x v="1"/>
    <s v="Scheduled service"/>
    <n v="0"/>
    <n v="0"/>
    <n v="0"/>
    <n v="6.27"/>
    <n v="0"/>
    <n v="6.27"/>
    <n v="131.66999999999999"/>
    <n v="0.25"/>
    <s v="W0268"/>
    <d v="2025-04-28T12:00:00"/>
    <d v="2025-04-28T18:16:12"/>
    <s v="Preventive"/>
    <n v="12.54"/>
    <n v="85"/>
    <n v="1096"/>
    <n v="0"/>
    <s v="Complete"/>
    <s v="Scheduled inspection and service"/>
    <n v="0"/>
    <x v="4"/>
    <n v="98.752499999999998"/>
    <d v="2025-04-01T00:00:00"/>
    <n v="40.799999999999997"/>
    <n v="4029.1019999999994"/>
  </r>
  <r>
    <s v="E0269"/>
    <s v="A013"/>
    <d v="2025-05-07T12:00:00"/>
    <d v="2025-05-07T23:18:36"/>
    <x v="0"/>
    <s v="Process upset"/>
    <n v="2.64"/>
    <n v="1.1299999999999999"/>
    <n v="0"/>
    <n v="5.78"/>
    <n v="1.76"/>
    <n v="11.31"/>
    <n v="237.51"/>
    <n v="0.28000000000000003"/>
    <s v="W0269"/>
    <d v="2025-05-07T14:38:24"/>
    <d v="2025-05-07T23:18:36"/>
    <s v="Corrective"/>
    <n v="11.56"/>
    <n v="85"/>
    <n v="5519"/>
    <n v="0"/>
    <s v="Complete"/>
    <s v="Feed conditions changed; equipment restarted"/>
    <n v="0.5"/>
    <x v="4"/>
    <n v="171.00719999999998"/>
    <d v="2025-05-01T00:00:00"/>
    <n v="38.799999999999997"/>
    <n v="6635.0793599999988"/>
  </r>
  <r>
    <s v="E0270"/>
    <s v="A013"/>
    <d v="2025-06-07T12:00:00"/>
    <d v="2025-06-08T06:25:48"/>
    <x v="0"/>
    <s v="Process upset"/>
    <n v="3.43"/>
    <n v="4.62"/>
    <n v="0"/>
    <n v="8.42"/>
    <n v="1.96"/>
    <n v="18.43"/>
    <n v="387.03"/>
    <n v="0.28000000000000003"/>
    <s v="W0270"/>
    <d v="2025-06-07T15:25:48"/>
    <d v="2025-06-08T06:25:48"/>
    <s v="Corrective"/>
    <n v="8.42"/>
    <n v="85"/>
    <n v="6601"/>
    <n v="2309"/>
    <s v="Complete"/>
    <s v="Feed conditions changed; equipment restarted"/>
    <n v="0"/>
    <x v="4"/>
    <n v="278.66159999999996"/>
    <d v="2025-06-01T00:00:00"/>
    <n v="39.799999999999997"/>
    <n v="11090.731679999997"/>
  </r>
  <r>
    <s v="E0271"/>
    <s v="A013"/>
    <d v="2025-06-21T12:00:00"/>
    <d v="2025-06-22T02:25:48"/>
    <x v="0"/>
    <s v="Bearing wear"/>
    <n v="2.14"/>
    <n v="4.26"/>
    <n v="0"/>
    <n v="7.41"/>
    <n v="0.62"/>
    <n v="14.43"/>
    <n v="303.02999999999997"/>
    <n v="0.21"/>
    <s v="W0271"/>
    <d v="2025-06-21T14:08:24"/>
    <d v="2025-06-22T02:25:48"/>
    <s v="Corrective"/>
    <n v="7.41"/>
    <n v="85"/>
    <n v="4909"/>
    <n v="0"/>
    <s v="Complete"/>
    <s v="Noise and vibration increased before stop"/>
    <n v="0"/>
    <x v="4"/>
    <n v="239.3937"/>
    <d v="2025-06-01T00:00:00"/>
    <n v="39.799999999999997"/>
    <n v="9527.8692599999995"/>
  </r>
  <r>
    <s v="E0272"/>
    <s v="A013"/>
    <d v="2025-07-08T12:00:00"/>
    <d v="2025-07-09T00:03:36"/>
    <x v="0"/>
    <s v="Seal leak"/>
    <n v="3.41"/>
    <n v="3.24"/>
    <n v="0"/>
    <n v="3.19"/>
    <n v="2.2200000000000002"/>
    <n v="12.06"/>
    <n v="253.26"/>
    <n v="0.25"/>
    <s v="W0272"/>
    <d v="2025-07-08T15:24:36"/>
    <d v="2025-07-09T00:03:36"/>
    <s v="Corrective"/>
    <n v="3.19"/>
    <n v="85"/>
    <n v="2561"/>
    <n v="0"/>
    <s v="Complete"/>
    <s v="Visible leak reported during inspection"/>
    <n v="0"/>
    <x v="4"/>
    <n v="189.94499999999999"/>
    <d v="2025-07-01T00:00:00"/>
    <n v="41.8"/>
    <n v="7939.7009999999991"/>
  </r>
  <r>
    <s v="E0273"/>
    <s v="A013"/>
    <d v="2025-07-28T12:00:00"/>
    <d v="2025-07-28T15:03:00"/>
    <x v="1"/>
    <s v="Scheduled service"/>
    <n v="0"/>
    <n v="0"/>
    <n v="0"/>
    <n v="3.05"/>
    <n v="0"/>
    <n v="3.05"/>
    <n v="64.05"/>
    <n v="0.25"/>
    <s v="W0273"/>
    <d v="2025-07-28T12:00:00"/>
    <d v="2025-07-28T15:03:00"/>
    <s v="Preventive"/>
    <n v="3.05"/>
    <n v="85"/>
    <n v="1506"/>
    <n v="4796"/>
    <s v="Complete"/>
    <s v="Scheduled inspection and service"/>
    <n v="0"/>
    <x v="4"/>
    <n v="48.037499999999994"/>
    <d v="2025-07-01T00:00:00"/>
    <n v="41.8"/>
    <n v="2007.9674999999995"/>
  </r>
  <r>
    <s v="E0274"/>
    <s v="A013"/>
    <d v="2025-08-07T12:00:00"/>
    <d v="2025-08-08T20:13:12"/>
    <x v="0"/>
    <s v="Process upset"/>
    <n v="4.43"/>
    <n v="2.11"/>
    <n v="20.36"/>
    <n v="4.3499999999999996"/>
    <n v="0.97"/>
    <n v="32.22"/>
    <n v="676.62"/>
    <n v="0.25"/>
    <s v="W0274"/>
    <d v="2025-08-07T16:25:48"/>
    <d v="2025-08-08T20:13:12"/>
    <s v="Corrective"/>
    <n v="8.6999999999999993"/>
    <n v="85"/>
    <n v="5094"/>
    <n v="2959"/>
    <s v="Complete"/>
    <s v="Feed conditions changed; equipment restarted"/>
    <n v="0"/>
    <x v="4"/>
    <n v="507.46500000000003"/>
    <d v="2025-08-01T00:00:00"/>
    <n v="40.799999999999997"/>
    <n v="20704.572"/>
  </r>
  <r>
    <s v="E0275"/>
    <s v="A013"/>
    <d v="2025-08-22T12:00:00"/>
    <d v="2025-08-23T08:52:12"/>
    <x v="0"/>
    <s v="Bearing wear"/>
    <n v="4.1100000000000003"/>
    <n v="3"/>
    <n v="0"/>
    <n v="11.71"/>
    <n v="2.0499999999999998"/>
    <n v="20.87"/>
    <n v="438.27"/>
    <n v="0.24"/>
    <s v="W0275"/>
    <d v="2025-08-22T16:06:36"/>
    <d v="2025-08-23T08:52:12"/>
    <s v="Corrective"/>
    <n v="11.71"/>
    <n v="85"/>
    <n v="2217"/>
    <n v="0"/>
    <s v="Complete"/>
    <s v="Noise and vibration increased before stop"/>
    <n v="0"/>
    <x v="4"/>
    <n v="333.08519999999999"/>
    <d v="2025-08-01T00:00:00"/>
    <n v="40.799999999999997"/>
    <n v="13589.876159999998"/>
  </r>
  <r>
    <s v="E0276"/>
    <s v="A013"/>
    <d v="2025-09-10T12:00:00"/>
    <d v="2025-09-10T21:55:12"/>
    <x v="0"/>
    <s v="Process upset"/>
    <n v="1.0900000000000001"/>
    <n v="3.97"/>
    <n v="0"/>
    <n v="4.22"/>
    <n v="0.64"/>
    <n v="9.92"/>
    <n v="208.32"/>
    <n v="0.13"/>
    <s v="W0276"/>
    <d v="2025-09-10T13:05:24"/>
    <d v="2025-09-10T21:55:12"/>
    <s v="Corrective"/>
    <n v="4.22"/>
    <n v="85"/>
    <n v="6127"/>
    <n v="0"/>
    <s v="Complete"/>
    <s v="Feed conditions changed; equipment restarted"/>
    <n v="0"/>
    <x v="4"/>
    <n v="181.23839999999998"/>
    <d v="2025-09-01T00:00:00"/>
    <n v="37.799999999999997"/>
    <n v="6850.8115199999993"/>
  </r>
  <r>
    <s v="E0277"/>
    <s v="A013"/>
    <d v="2025-10-07T12:00:00"/>
    <d v="2025-10-08T01:07:48"/>
    <x v="0"/>
    <s v="Process upset"/>
    <n v="4.03"/>
    <n v="3.28"/>
    <n v="0"/>
    <n v="4.6100000000000003"/>
    <n v="1.21"/>
    <n v="13.13"/>
    <n v="275.73"/>
    <n v="0.24"/>
    <s v="W0277"/>
    <d v="2025-10-07T16:01:48"/>
    <d v="2025-10-08T01:07:48"/>
    <s v="Corrective"/>
    <n v="4.6100000000000003"/>
    <n v="85"/>
    <n v="5270"/>
    <n v="0"/>
    <s v="Complete"/>
    <s v="Feed conditions changed; equipment restarted"/>
    <n v="0"/>
    <x v="4"/>
    <n v="209.55480000000003"/>
    <d v="2025-10-01T00:00:00"/>
    <n v="36.799999999999997"/>
    <n v="7711.6166400000002"/>
  </r>
  <r>
    <s v="E0278"/>
    <s v="A013"/>
    <d v="2025-10-28T12:00:00"/>
    <d v="2025-10-28T18:47:24"/>
    <x v="1"/>
    <s v="Scheduled service"/>
    <n v="0"/>
    <n v="0"/>
    <n v="0"/>
    <n v="6.79"/>
    <n v="0"/>
    <n v="6.79"/>
    <n v="142.59"/>
    <n v="0.25"/>
    <s v="W0278"/>
    <d v="2025-10-28T12:00:00"/>
    <d v="2025-10-28T18:47:24"/>
    <s v="Preventive"/>
    <n v="6.79"/>
    <n v="85"/>
    <n v="1582"/>
    <n v="0"/>
    <s v="Complete"/>
    <s v="Scheduled inspection and service"/>
    <n v="0"/>
    <x v="4"/>
    <n v="106.9425"/>
    <d v="2025-10-01T00:00:00"/>
    <n v="36.799999999999997"/>
    <n v="3935.4839999999995"/>
  </r>
  <r>
    <s v="E0279"/>
    <s v="A013"/>
    <d v="2025-11-07T12:00:00"/>
    <d v="2025-11-09T07:51:36"/>
    <x v="0"/>
    <s v="Bearing wear"/>
    <n v="4.6100000000000003"/>
    <n v="2.52"/>
    <n v="25.9"/>
    <n v="8.83"/>
    <n v="2"/>
    <n v="43.86"/>
    <n v="921.06"/>
    <n v="0.11"/>
    <s v="W0279"/>
    <d v="2025-11-07T16:36:36"/>
    <d v="2025-11-09T07:51:36"/>
    <s v="Corrective"/>
    <n v="8.83"/>
    <n v="85"/>
    <n v="2306"/>
    <n v="0"/>
    <s v="Complete"/>
    <s v="Noise and vibration increased before stop"/>
    <n v="0"/>
    <x v="4"/>
    <n v="819.74339999999995"/>
    <d v="2025-11-01T00:00:00"/>
    <n v="38.799999999999997"/>
    <n v="31806.043919999996"/>
  </r>
  <r>
    <s v="E0280"/>
    <s v="A013"/>
    <d v="2025-12-04T12:00:00"/>
    <d v="2025-12-05T23:57:00"/>
    <x v="0"/>
    <s v="Unknown"/>
    <n v="3.17"/>
    <n v="1.75"/>
    <n v="24.09"/>
    <n v="5.59"/>
    <n v="1.35"/>
    <n v="35.950000000000003"/>
    <n v="754.95"/>
    <n v="0.18"/>
    <s v="W0280"/>
    <d v="2025-12-04T15:10:12"/>
    <d v="2025-12-05T23:57:00"/>
    <s v="Corrective"/>
    <n v="5.59"/>
    <n v="85"/>
    <n v="3966"/>
    <n v="0"/>
    <s v="Complete"/>
    <s v="Cause not confirmed; follow-up needed"/>
    <n v="0"/>
    <x v="4"/>
    <n v="619.05900000000008"/>
    <d v="2025-12-01T00:00:00"/>
    <n v="39.799999999999997"/>
    <n v="24638.548200000001"/>
  </r>
  <r>
    <s v="E0281"/>
    <s v="A014"/>
    <d v="2025-01-10T12:00:00"/>
    <d v="2025-01-10T22:29:24"/>
    <x v="0"/>
    <s v="Process upset"/>
    <n v="1.42"/>
    <n v="2.4"/>
    <n v="0"/>
    <n v="4.47"/>
    <n v="2.2000000000000002"/>
    <n v="10.49"/>
    <n v="188.82"/>
    <n v="0.21"/>
    <s v="W0281"/>
    <d v="2025-01-10T13:25:12"/>
    <d v="2025-01-10T22:29:24"/>
    <s v="Corrective"/>
    <n v="4.47"/>
    <n v="85"/>
    <n v="1821"/>
    <n v="1683"/>
    <s v="Complete"/>
    <s v="Feed conditions changed; equipment restarted"/>
    <n v="0"/>
    <x v="4"/>
    <n v="149.1678"/>
    <d v="2025-01-01T00:00:00"/>
    <n v="46.8"/>
    <n v="6981.0530399999998"/>
  </r>
  <r>
    <s v="E0282"/>
    <s v="A014"/>
    <d v="2025-01-28T12:00:00"/>
    <d v="2025-01-28T17:34:12"/>
    <x v="1"/>
    <s v="Scheduled service"/>
    <n v="0"/>
    <n v="0"/>
    <n v="0"/>
    <n v="5.57"/>
    <n v="0"/>
    <n v="5.57"/>
    <n v="100.26"/>
    <n v="0.25"/>
    <s v="W0282"/>
    <d v="2025-01-28T12:00:00"/>
    <d v="2025-01-28T17:34:12"/>
    <s v="Preventive"/>
    <n v="5.57"/>
    <n v="85"/>
    <n v="880"/>
    <n v="0"/>
    <s v="Complete"/>
    <s v="Scheduled inspection and service"/>
    <n v="0"/>
    <x v="4"/>
    <n v="75.195000000000007"/>
    <d v="2025-01-01T00:00:00"/>
    <n v="46.8"/>
    <n v="3519.1260000000002"/>
  </r>
  <r>
    <s v="E0283"/>
    <s v="A014"/>
    <d v="2025-02-04T12:00:00"/>
    <d v="2025-02-05T06:19:48"/>
    <x v="0"/>
    <s v="Bearing wear"/>
    <n v="3.71"/>
    <n v="3.53"/>
    <n v="0"/>
    <n v="9.2200000000000006"/>
    <n v="1.87"/>
    <n v="18.329999999999998"/>
    <n v="329.94"/>
    <n v="0.24"/>
    <s v="W0283"/>
    <d v="2025-02-04T15:42:36"/>
    <d v="2025-02-05T06:19:48"/>
    <s v="Corrective"/>
    <n v="18.440000000000001"/>
    <n v="85"/>
    <n v="9275"/>
    <n v="0"/>
    <s v="Complete"/>
    <s v="Noise and vibration increased before stop"/>
    <n v="0"/>
    <x v="4"/>
    <n v="250.7544"/>
    <d v="2025-02-01T00:00:00"/>
    <n v="44.8"/>
    <n v="11233.797119999999"/>
  </r>
  <r>
    <s v="E0284"/>
    <s v="A014"/>
    <d v="2025-03-05T12:00:00"/>
    <d v="2025-03-06T06:09:00"/>
    <x v="0"/>
    <s v="Electrical trip"/>
    <n v="4.7"/>
    <n v="2.8"/>
    <n v="0"/>
    <n v="8.2799999999999994"/>
    <n v="2.37"/>
    <n v="18.149999999999999"/>
    <n v="326.7"/>
    <n v="0.26"/>
    <s v="W0284"/>
    <d v="2025-03-05T16:42:00"/>
    <d v="2025-03-06T06:09:00"/>
    <s v="Corrective"/>
    <n v="8.2799999999999994"/>
    <n v="85"/>
    <n v="8118"/>
    <n v="0"/>
    <s v="Complete"/>
    <s v="Protective trip; reviewed electrical panel"/>
    <n v="0"/>
    <x v="4"/>
    <n v="241.75799999999998"/>
    <d v="2025-03-01T00:00:00"/>
    <n v="42.8"/>
    <n v="10347.242399999999"/>
  </r>
  <r>
    <s v="E0285"/>
    <s v="A014"/>
    <d v="2025-03-21T12:00:00"/>
    <d v="2025-03-22T01:01:12"/>
    <x v="0"/>
    <s v="Seal leak"/>
    <n v="4.25"/>
    <n v="4.5599999999999996"/>
    <n v="0"/>
    <n v="2.9"/>
    <n v="1.31"/>
    <n v="13.02"/>
    <n v="234.36"/>
    <n v="0.16"/>
    <s v="W0285"/>
    <d v="2025-03-21T16:15:00"/>
    <d v="2025-03-22T01:01:12"/>
    <s v="Corrective"/>
    <n v="2.9"/>
    <n v="85"/>
    <n v="7648"/>
    <n v="0"/>
    <s v="Complete"/>
    <s v="Visible leak reported during inspection"/>
    <n v="0"/>
    <x v="4"/>
    <n v="196.86240000000001"/>
    <d v="2025-03-01T00:00:00"/>
    <n v="42.8"/>
    <n v="8425.7107199999991"/>
  </r>
  <r>
    <s v="E0286"/>
    <s v="A014"/>
    <d v="2025-04-07T12:00:00"/>
    <d v="2025-04-08T00:04:48"/>
    <x v="0"/>
    <s v="Electrical trip"/>
    <n v="1.1499999999999999"/>
    <n v="3.78"/>
    <n v="0"/>
    <n v="6.59"/>
    <n v="0.56000000000000005"/>
    <n v="12.08"/>
    <n v="217.44"/>
    <n v="0.09"/>
    <s v="W0286"/>
    <d v="2025-04-07T13:09:00"/>
    <d v="2025-04-08T00:04:48"/>
    <s v="Corrective"/>
    <n v="13.18"/>
    <n v="85"/>
    <n v="7905"/>
    <n v="0"/>
    <s v="Complete"/>
    <s v="Protective trip; reviewed electrical panel"/>
    <n v="0"/>
    <x v="4"/>
    <n v="197.87040000000002"/>
    <d v="2025-04-01T00:00:00"/>
    <n v="40.799999999999997"/>
    <n v="8073.1123200000002"/>
  </r>
  <r>
    <s v="E0287"/>
    <s v="A014"/>
    <d v="2025-04-28T12:00:00"/>
    <d v="2025-04-28T19:12:36"/>
    <x v="1"/>
    <s v="Scheduled service"/>
    <n v="0"/>
    <n v="0"/>
    <n v="0"/>
    <n v="7.21"/>
    <n v="0"/>
    <n v="7.21"/>
    <n v="129.78"/>
    <n v="0.25"/>
    <s v="W0287"/>
    <d v="2025-04-28T12:00:00"/>
    <d v="2025-04-28T19:12:36"/>
    <s v="Preventive"/>
    <n v="14.42"/>
    <n v="85"/>
    <n v="712"/>
    <n v="0"/>
    <s v="Complete"/>
    <s v="Scheduled inspection and service"/>
    <n v="0"/>
    <x v="4"/>
    <n v="97.335000000000008"/>
    <d v="2025-04-01T00:00:00"/>
    <n v="40.799999999999997"/>
    <n v="3971.268"/>
  </r>
  <r>
    <s v="E0288"/>
    <s v="A014"/>
    <d v="2025-05-07T12:00:00"/>
    <d v="2025-05-08T04:32:24"/>
    <x v="0"/>
    <s v="Bearing wear"/>
    <n v="4.41"/>
    <n v="3.82"/>
    <n v="0"/>
    <n v="6.66"/>
    <n v="1.65"/>
    <n v="16.54"/>
    <n v="297.72000000000003"/>
    <n v="0.13"/>
    <s v="W0288"/>
    <d v="2025-05-07T16:24:36"/>
    <d v="2025-05-08T04:32:24"/>
    <s v="Corrective"/>
    <n v="6.66"/>
    <n v="85"/>
    <n v="5168"/>
    <n v="0"/>
    <s v="Complete"/>
    <s v="Noise and vibration increased before stop"/>
    <n v="0"/>
    <x v="4"/>
    <n v="259.01640000000003"/>
    <d v="2025-05-01T00:00:00"/>
    <n v="38.799999999999997"/>
    <n v="10049.83632"/>
  </r>
  <r>
    <s v="E0289"/>
    <s v="A014"/>
    <d v="2025-06-10T12:00:00"/>
    <d v="2025-06-10T20:50:24"/>
    <x v="0"/>
    <s v="Electrical trip"/>
    <n v="2.81"/>
    <n v="1.44"/>
    <n v="0"/>
    <n v="3.5"/>
    <n v="1.0900000000000001"/>
    <n v="8.84"/>
    <n v="159.12"/>
    <n v="0.2"/>
    <s v="W0289"/>
    <d v="2025-06-10T14:48:36"/>
    <d v="2025-06-10T20:50:24"/>
    <s v="Corrective"/>
    <n v="7"/>
    <n v="85"/>
    <n v="2753"/>
    <n v="0"/>
    <s v="Complete"/>
    <s v="Protective trip; reviewed electrical panel"/>
    <n v="0"/>
    <x v="4"/>
    <n v="127.29600000000001"/>
    <d v="2025-06-01T00:00:00"/>
    <n v="39.799999999999997"/>
    <n v="5066.3807999999999"/>
  </r>
  <r>
    <s v="E0290"/>
    <s v="A014"/>
    <d v="2025-07-04T12:00:00"/>
    <d v="2025-07-05T04:39:36"/>
    <x v="0"/>
    <s v="Bearing wear"/>
    <n v="4.16"/>
    <n v="4.21"/>
    <n v="0"/>
    <n v="7.52"/>
    <n v="0.77"/>
    <n v="16.66"/>
    <n v="299.88"/>
    <n v="0.1"/>
    <s v="W0290"/>
    <d v="2025-07-04T16:09:36"/>
    <d v="2025-07-05T04:39:36"/>
    <s v="Corrective"/>
    <n v="7.52"/>
    <n v="85"/>
    <n v="5566"/>
    <n v="0"/>
    <s v="Complete"/>
    <s v="Noise and vibration increased before stop"/>
    <n v="0"/>
    <x v="4"/>
    <n v="269.892"/>
    <d v="2025-07-01T00:00:00"/>
    <n v="41.8"/>
    <n v="11281.485599999998"/>
  </r>
  <r>
    <s v="E0291"/>
    <s v="A014"/>
    <d v="2025-07-28T12:00:00"/>
    <d v="2025-07-28T16:35:24"/>
    <x v="1"/>
    <s v="Scheduled service"/>
    <n v="0"/>
    <n v="0"/>
    <n v="0"/>
    <n v="4.59"/>
    <n v="0"/>
    <n v="4.59"/>
    <n v="82.62"/>
    <n v="0.25"/>
    <s v="W0291"/>
    <d v="2025-07-28T12:00:00"/>
    <d v="2025-07-28T16:35:24"/>
    <s v="Preventive"/>
    <n v="4.59"/>
    <n v="85"/>
    <m/>
    <n v="0"/>
    <s v="Parts invoice pending"/>
    <s v="Scheduled inspection and service"/>
    <n v="0"/>
    <x v="4"/>
    <n v="61.965000000000003"/>
    <d v="2025-07-01T00:00:00"/>
    <n v="41.8"/>
    <n v="2590.1370000000002"/>
  </r>
  <r>
    <s v="E0292"/>
    <s v="A014"/>
    <d v="2025-08-07T12:00:00"/>
    <d v="2025-08-08T01:42:00"/>
    <x v="0"/>
    <s v="Process upset"/>
    <n v="2.6"/>
    <n v="2.58"/>
    <n v="0"/>
    <n v="7.03"/>
    <n v="1.49"/>
    <n v="13.700000000000001"/>
    <n v="246.6"/>
    <n v="0.23"/>
    <s v="W0292"/>
    <d v="2025-08-07T14:36:00"/>
    <d v="2025-08-08T01:42:00"/>
    <s v="Corrective"/>
    <n v="14.06"/>
    <n v="85"/>
    <n v="5319"/>
    <n v="0"/>
    <s v="Complete"/>
    <s v="Feed conditions changed; equipment restarted"/>
    <n v="0"/>
    <x v="4"/>
    <n v="189.88200000000001"/>
    <d v="2025-08-01T00:00:00"/>
    <n v="40.799999999999997"/>
    <n v="7747.1855999999998"/>
  </r>
  <r>
    <s v="E0293"/>
    <s v="A014"/>
    <d v="2025-09-06T12:00:00"/>
    <d v="2025-09-07T03:44:24"/>
    <x v="0"/>
    <s v="Electrical trip"/>
    <n v="3.92"/>
    <n v="2.66"/>
    <n v="0"/>
    <n v="8.65"/>
    <n v="0.51"/>
    <n v="15.74"/>
    <n v="283.32"/>
    <n v="0.14000000000000001"/>
    <s v="W0293"/>
    <d v="2025-09-06T15:55:12"/>
    <d v="2025-09-07T03:44:24"/>
    <s v="Corrective"/>
    <n v="8.65"/>
    <n v="85"/>
    <n v="1826"/>
    <n v="0"/>
    <s v="Complete"/>
    <s v="Protective trip; reviewed electrical panel"/>
    <n v="0"/>
    <x v="4"/>
    <n v="243.65519999999998"/>
    <d v="2025-09-01T00:00:00"/>
    <n v="37.799999999999997"/>
    <n v="9210.1665599999978"/>
  </r>
  <r>
    <s v="E0294"/>
    <s v="A014"/>
    <d v="2025-10-10T12:00:00"/>
    <d v="2025-10-10T22:51:36"/>
    <x v="0"/>
    <s v="Seal leak"/>
    <n v="2.34"/>
    <n v="2.9"/>
    <n v="0"/>
    <n v="5.08"/>
    <n v="0.54"/>
    <n v="10.86"/>
    <n v="195.48"/>
    <n v="0.15"/>
    <s v="W0294"/>
    <d v="2025-10-10T14:20:24"/>
    <d v="2025-10-10T22:51:36"/>
    <s v="Corrective"/>
    <n v="10.16"/>
    <n v="85"/>
    <n v="6988"/>
    <n v="0"/>
    <s v="Complete"/>
    <s v="Visible leak reported during inspection"/>
    <n v="0"/>
    <x v="4"/>
    <n v="166.15799999999999"/>
    <d v="2025-10-01T00:00:00"/>
    <n v="36.799999999999997"/>
    <n v="6114.6143999999995"/>
  </r>
  <r>
    <s v="E0295"/>
    <s v="A014"/>
    <d v="2025-10-28T12:00:00"/>
    <d v="2025-10-28T18:41:24"/>
    <x v="1"/>
    <s v="Scheduled service"/>
    <n v="0"/>
    <n v="0"/>
    <n v="0"/>
    <n v="6.69"/>
    <n v="0"/>
    <n v="6.69"/>
    <n v="120.42"/>
    <n v="0.25"/>
    <s v="W0295"/>
    <d v="2025-10-28T12:00:00"/>
    <d v="2025-10-28T18:41:24"/>
    <s v="Preventive"/>
    <n v="13.38"/>
    <n v="85"/>
    <n v="1122"/>
    <n v="0"/>
    <s v="Complete"/>
    <s v="Scheduled inspection and service"/>
    <n v="0"/>
    <x v="4"/>
    <n v="90.314999999999998"/>
    <d v="2025-10-01T00:00:00"/>
    <n v="36.799999999999997"/>
    <n v="3323.5919999999996"/>
  </r>
  <r>
    <s v="E0296"/>
    <s v="A014"/>
    <d v="2025-11-04T12:00:00"/>
    <d v="2025-11-05T02:23:24"/>
    <x v="0"/>
    <s v="Bearing wear"/>
    <n v="2.5"/>
    <n v="2.63"/>
    <n v="0"/>
    <n v="7.7"/>
    <n v="1.56"/>
    <n v="14.39"/>
    <n v="259.02"/>
    <n v="0.28000000000000003"/>
    <s v="W0296"/>
    <d v="2025-11-04T14:30:00"/>
    <d v="2025-11-05T02:23:24"/>
    <s v="Corrective"/>
    <n v="7.7"/>
    <n v="85"/>
    <n v="6151"/>
    <n v="0"/>
    <s v="Complete"/>
    <s v="Noise and vibration increased before stop"/>
    <n v="0"/>
    <x v="4"/>
    <n v="186.49439999999998"/>
    <d v="2025-11-01T00:00:00"/>
    <n v="38.799999999999997"/>
    <n v="7235.9827199999991"/>
  </r>
  <r>
    <s v="E0297"/>
    <s v="A014"/>
    <d v="2025-11-20T12:00:00"/>
    <d v="2025-11-22T03:19:48"/>
    <x v="0"/>
    <s v="Bearing wear"/>
    <n v="4.07"/>
    <n v="2.9"/>
    <n v="18.11"/>
    <n v="12.91"/>
    <n v="1.34"/>
    <n v="39.33"/>
    <n v="707.94"/>
    <n v="0.26"/>
    <s v="W0297"/>
    <d v="2025-11-20T16:04:12"/>
    <d v="2025-11-22T03:19:48"/>
    <s v="Corrective"/>
    <n v="25.82"/>
    <n v="85"/>
    <n v="3837"/>
    <n v="0"/>
    <s v="Complete"/>
    <s v="Noise and vibration increased before stop"/>
    <n v="0"/>
    <x v="4"/>
    <n v="523.87560000000008"/>
    <d v="2025-11-01T00:00:00"/>
    <n v="38.799999999999997"/>
    <n v="20326.37328"/>
  </r>
  <r>
    <s v="E0298"/>
    <s v="A014"/>
    <d v="2025-12-09T12:00:00"/>
    <d v="2025-12-11T00:11:24"/>
    <x v="0"/>
    <s v="Electrical trip"/>
    <n v="4.53"/>
    <n v="4.18"/>
    <n v="19.62"/>
    <n v="6.01"/>
    <n v="1.85"/>
    <n v="36.19"/>
    <n v="651.41999999999996"/>
    <n v="0.15"/>
    <s v="W0298"/>
    <d v="2025-12-09T16:31:48"/>
    <d v="2025-12-11T00:11:24"/>
    <s v="Corrective"/>
    <n v="12.02"/>
    <n v="85"/>
    <n v="1324"/>
    <n v="0"/>
    <s v="Complete"/>
    <s v="Protective trip; reviewed electrical panel"/>
    <n v="0"/>
    <x v="4"/>
    <n v="553.70699999999999"/>
    <d v="2025-12-01T00:00:00"/>
    <n v="39.799999999999997"/>
    <n v="22037.5386"/>
  </r>
  <r>
    <s v="E0299"/>
    <s v="A014"/>
    <d v="2025-12-20T12:00:00"/>
    <d v="2025-12-21T01:13:48"/>
    <x v="0"/>
    <s v="Bearing wear"/>
    <n v="4.54"/>
    <n v="1.88"/>
    <n v="0"/>
    <n v="5.87"/>
    <n v="0.94"/>
    <n v="13.23"/>
    <n v="238.14"/>
    <n v="0.1"/>
    <s v="W0299"/>
    <d v="2025-12-20T16:32:24"/>
    <d v="2025-12-21T01:13:48"/>
    <s v="Corrective"/>
    <n v="5.87"/>
    <n v="85"/>
    <n v="7406"/>
    <n v="0"/>
    <s v="Complete"/>
    <s v="Noise and vibration increased before stop"/>
    <n v="0"/>
    <x v="4"/>
    <n v="214.32599999999999"/>
    <d v="2025-12-01T00:00:00"/>
    <n v="39.799999999999997"/>
    <n v="8530.1747999999989"/>
  </r>
  <r>
    <s v="E0300"/>
    <s v="A015"/>
    <d v="2025-01-06T12:00:00"/>
    <d v="2025-01-07T18:43:48"/>
    <x v="0"/>
    <s v="Seal leak"/>
    <n v="2.37"/>
    <n v="1.63"/>
    <n v="16.309999999999999"/>
    <n v="8.34"/>
    <n v="2.08"/>
    <n v="30.73"/>
    <n v="768.25"/>
    <n v="0.18"/>
    <s v="W0300"/>
    <d v="2025-01-06T14:22:12"/>
    <d v="2025-01-07T18:43:48"/>
    <s v="Corrective"/>
    <n v="8.34"/>
    <n v="85"/>
    <n v="7562"/>
    <n v="0"/>
    <s v="Complete"/>
    <s v="Visible leak reported during inspection"/>
    <n v="0"/>
    <x v="4"/>
    <n v="629.96500000000003"/>
    <d v="2025-01-01T00:00:00"/>
    <n v="46.8"/>
    <n v="29482.362000000001"/>
  </r>
  <r>
    <s v="E0301"/>
    <s v="A015"/>
    <d v="2025-01-28T12:00:00"/>
    <d v="2025-01-28T17:37:12"/>
    <x v="1"/>
    <s v="Scheduled service"/>
    <n v="0"/>
    <n v="0"/>
    <n v="0"/>
    <n v="5.62"/>
    <n v="0"/>
    <n v="5.62"/>
    <n v="140.5"/>
    <n v="0.25"/>
    <s v="W0301"/>
    <d v="2025-01-28T12:00:00"/>
    <d v="2025-01-28T17:37:12"/>
    <s v="Preventive"/>
    <n v="11.24"/>
    <n v="85"/>
    <n v="553"/>
    <n v="0"/>
    <s v="Complete"/>
    <s v="Scheduled inspection and service"/>
    <n v="0"/>
    <x v="4"/>
    <n v="105.375"/>
    <d v="2025-01-01T00:00:00"/>
    <n v="46.8"/>
    <n v="4931.5499999999993"/>
  </r>
  <r>
    <s v="E0302"/>
    <s v="A015"/>
    <d v="2025-02-09T12:00:00"/>
    <d v="2025-02-10T01:39:36"/>
    <x v="0"/>
    <s v="Electrical trip"/>
    <n v="3.18"/>
    <n v="1.1299999999999999"/>
    <n v="0"/>
    <n v="8.57"/>
    <n v="0.78"/>
    <n v="13.66"/>
    <n v="341.5"/>
    <n v="0.12"/>
    <s v="W0302"/>
    <d v="2025-02-09T15:10:48"/>
    <d v="2025-02-10T01:39:36"/>
    <s v="Corrective"/>
    <n v="8.57"/>
    <n v="85"/>
    <n v="3316"/>
    <n v="0"/>
    <s v="Complete"/>
    <s v="Protective trip; reviewed electrical panel"/>
    <n v="0"/>
    <x v="4"/>
    <n v="300.52"/>
    <d v="2025-02-01T00:00:00"/>
    <n v="44.8"/>
    <n v="13463.295999999998"/>
  </r>
  <r>
    <s v="E0303"/>
    <s v="A015"/>
    <d v="2025-02-22T12:00:00"/>
    <d v="2025-02-23T07:32:24"/>
    <x v="0"/>
    <s v="Seal leak"/>
    <n v="4.54"/>
    <n v="5.07"/>
    <n v="0"/>
    <n v="8.9700000000000006"/>
    <n v="0.96"/>
    <n v="19.54"/>
    <n v="488.5"/>
    <n v="0.17"/>
    <s v="W0303"/>
    <d v="2025-02-22T16:32:24"/>
    <d v="2025-02-23T07:32:24"/>
    <s v="Corrective"/>
    <n v="8.9700000000000006"/>
    <n v="85"/>
    <n v="4146"/>
    <n v="0"/>
    <s v="Complete"/>
    <s v="Visible leak reported during inspection"/>
    <n v="0"/>
    <x v="4"/>
    <n v="405.45499999999998"/>
    <d v="2025-02-01T00:00:00"/>
    <n v="44.8"/>
    <n v="18164.383999999998"/>
  </r>
  <r>
    <s v="E0304"/>
    <s v="A015"/>
    <d v="2025-03-05T12:00:00"/>
    <d v="2025-03-06T03:22:48"/>
    <x v="0"/>
    <s v="Bearing wear"/>
    <n v="1.88"/>
    <n v="3.36"/>
    <n v="0"/>
    <n v="8.2899999999999991"/>
    <n v="1.85"/>
    <n v="15.38"/>
    <n v="384.5"/>
    <n v="0.12"/>
    <s v="W0304"/>
    <d v="2025-03-05T13:52:48"/>
    <d v="2025-03-06T03:22:48"/>
    <s v="Corrective"/>
    <n v="16.579999999999998"/>
    <n v="85"/>
    <n v="3135"/>
    <n v="0"/>
    <s v="Complete"/>
    <s v="Noise and vibration increased before stop"/>
    <n v="0"/>
    <x v="4"/>
    <n v="338.36"/>
    <d v="2025-03-01T00:00:00"/>
    <n v="42.8"/>
    <n v="14481.807999999999"/>
  </r>
  <r>
    <s v="E0305"/>
    <s v="A015"/>
    <d v="2025-04-05T12:00:00"/>
    <d v="2025-04-06T01:48:36"/>
    <x v="0"/>
    <s v="Unknown"/>
    <n v="2.21"/>
    <n v="3.38"/>
    <n v="0"/>
    <n v="7.49"/>
    <n v="0.73"/>
    <n v="13.81"/>
    <n v="345.25"/>
    <n v="0.24"/>
    <s v="W0305"/>
    <d v="2025-04-05T14:12:36"/>
    <d v="2025-04-06T01:48:36"/>
    <s v="Corrective"/>
    <n v="7.49"/>
    <n v="85"/>
    <n v="3925"/>
    <n v="0"/>
    <s v="Complete"/>
    <s v="Cause not confirmed; follow-up needed"/>
    <n v="0"/>
    <x v="4"/>
    <n v="262.39"/>
    <d v="2025-04-01T00:00:00"/>
    <n v="40.799999999999997"/>
    <n v="10705.511999999999"/>
  </r>
  <r>
    <s v="E0306"/>
    <s v="A015"/>
    <d v="2025-04-28T12:00:00"/>
    <d v="2025-04-28T16:30:00"/>
    <x v="1"/>
    <s v="Scheduled service"/>
    <n v="0"/>
    <n v="0"/>
    <n v="0"/>
    <n v="4.5"/>
    <n v="0"/>
    <n v="4.5"/>
    <n v="112.5"/>
    <n v="0.25"/>
    <s v="W0306"/>
    <d v="2025-04-28T12:00:00"/>
    <d v="2025-04-28T16:30:00"/>
    <s v="Preventive"/>
    <n v="9"/>
    <n v="85"/>
    <n v="1183"/>
    <n v="0"/>
    <s v="Complete"/>
    <s v="Scheduled inspection and service"/>
    <n v="0"/>
    <x v="4"/>
    <n v="84.375"/>
    <d v="2025-04-01T00:00:00"/>
    <n v="40.799999999999997"/>
    <n v="3442.4999999999995"/>
  </r>
  <r>
    <s v="E0307"/>
    <s v="A015"/>
    <d v="2025-05-04T12:00:00"/>
    <d v="2025-05-05T17:06:00"/>
    <x v="0"/>
    <s v="Process upset"/>
    <n v="3.08"/>
    <n v="2.93"/>
    <n v="15.36"/>
    <n v="5.28"/>
    <n v="2.4500000000000002"/>
    <n v="29.1"/>
    <n v="727.5"/>
    <n v="0.16"/>
    <s v="W0307"/>
    <d v="2025-05-04T15:04:48"/>
    <d v="2025-05-05T17:06:00"/>
    <s v="Corrective"/>
    <n v="5.28"/>
    <n v="85"/>
    <n v="8301"/>
    <n v="0"/>
    <s v="Complete"/>
    <s v="Feed conditions changed; equipment restarted"/>
    <n v="0"/>
    <x v="4"/>
    <n v="611.1"/>
    <d v="2025-05-01T00:00:00"/>
    <n v="38.799999999999997"/>
    <n v="23710.68"/>
  </r>
  <r>
    <s v="E0308"/>
    <s v="A015"/>
    <d v="2025-06-04T12:00:00"/>
    <d v="2025-06-05T06:57:36"/>
    <x v="0"/>
    <s v="Bearing wear"/>
    <n v="2.58"/>
    <n v="2.08"/>
    <n v="0"/>
    <n v="12.52"/>
    <n v="1.78"/>
    <n v="18.96"/>
    <n v="474"/>
    <n v="0.23"/>
    <s v="W0308"/>
    <d v="2025-06-04T14:34:48"/>
    <d v="2025-06-05T06:57:36"/>
    <s v="Corrective"/>
    <n v="12.52"/>
    <n v="85"/>
    <n v="7174"/>
    <n v="4670"/>
    <s v="Complete"/>
    <s v="Noise and vibration increased before stop"/>
    <n v="0"/>
    <x v="4"/>
    <n v="364.98"/>
    <d v="2025-06-01T00:00:00"/>
    <n v="39.799999999999997"/>
    <n v="14526.204"/>
  </r>
  <r>
    <s v="E0309"/>
    <s v="A015"/>
    <d v="2025-07-06T12:00:00"/>
    <d v="2025-07-06T23:12:00"/>
    <x v="0"/>
    <s v="Electrical trip"/>
    <n v="3.49"/>
    <n v="3.99"/>
    <n v="0"/>
    <n v="3.07"/>
    <n v="0.65"/>
    <n v="11.2"/>
    <n v="280"/>
    <n v="0.11"/>
    <s v="W0309"/>
    <d v="2025-07-06T15:29:24"/>
    <d v="2025-07-06T23:12:00"/>
    <s v="Corrective"/>
    <n v="3.07"/>
    <n v="85"/>
    <n v="3604"/>
    <n v="0"/>
    <s v="Complete"/>
    <s v="Protective trip; reviewed electrical panel"/>
    <n v="0"/>
    <x v="4"/>
    <n v="249.20000000000002"/>
    <d v="2025-07-01T00:00:00"/>
    <n v="41.8"/>
    <n v="10416.56"/>
  </r>
  <r>
    <s v="E0310"/>
    <s v="A015"/>
    <d v="2025-07-22T12:00:00"/>
    <d v="2025-07-23T02:08:24"/>
    <x v="0"/>
    <s v="Electrical trip"/>
    <n v="3.47"/>
    <n v="5.16"/>
    <n v="0"/>
    <n v="4.4000000000000004"/>
    <n v="1.1100000000000001"/>
    <n v="14.14"/>
    <n v="353.5"/>
    <n v="0.19"/>
    <s v="W0310"/>
    <d v="2025-07-22T15:28:12"/>
    <d v="2025-07-23T02:08:24"/>
    <s v="Corrective"/>
    <n v="4.4000000000000004"/>
    <n v="85"/>
    <n v="3991"/>
    <n v="0"/>
    <s v="Complete"/>
    <s v="Protective trip; reviewed electrical panel"/>
    <n v="0"/>
    <x v="4"/>
    <n v="286.33500000000004"/>
    <d v="2025-07-01T00:00:00"/>
    <n v="41.8"/>
    <n v="11968.803"/>
  </r>
  <r>
    <s v="E0311"/>
    <s v="A015"/>
    <d v="2025-07-28T12:00:00"/>
    <d v="2025-07-28T15:48:00"/>
    <x v="1"/>
    <s v="Scheduled service"/>
    <n v="0"/>
    <n v="0"/>
    <n v="0"/>
    <n v="3.8"/>
    <n v="0"/>
    <n v="3.8"/>
    <n v="95"/>
    <n v="0.25"/>
    <s v="W0311"/>
    <d v="2025-07-28T12:00:00"/>
    <d v="2025-07-28T15:48:00"/>
    <s v="Preventive"/>
    <n v="3.8"/>
    <n v="85"/>
    <n v="1643"/>
    <n v="0"/>
    <s v="Complete"/>
    <s v="Scheduled inspection and service"/>
    <n v="0"/>
    <x v="4"/>
    <n v="71.25"/>
    <d v="2025-07-01T00:00:00"/>
    <n v="41.8"/>
    <n v="2978.25"/>
  </r>
  <r>
    <s v="E0312"/>
    <s v="A015"/>
    <d v="2025-08-09T12:00:00"/>
    <d v="2025-08-10T03:42:36"/>
    <x v="0"/>
    <s v="Bearing wear"/>
    <n v="3.49"/>
    <n v="1.83"/>
    <n v="0"/>
    <n v="8.3699999999999992"/>
    <n v="2.02"/>
    <n v="15.71"/>
    <n v="392.75"/>
    <n v="0.26"/>
    <s v="W0312"/>
    <d v="2025-08-09T15:29:24"/>
    <d v="2025-08-10T03:42:36"/>
    <s v="Corrective"/>
    <n v="16.739999999999998"/>
    <n v="85"/>
    <n v="5569"/>
    <n v="4464"/>
    <s v="Complete"/>
    <s v="Noise and vibration increased before stop"/>
    <n v="0"/>
    <x v="4"/>
    <n v="290.63499999999999"/>
    <d v="2025-08-01T00:00:00"/>
    <n v="40.799999999999997"/>
    <n v="11857.907999999999"/>
  </r>
  <r>
    <s v="E0313"/>
    <s v="A015"/>
    <d v="2025-09-05T12:00:00"/>
    <d v="2025-09-06T05:25:48"/>
    <x v="0"/>
    <s v="Bearing wear"/>
    <n v="3.89"/>
    <n v="2.2799999999999998"/>
    <n v="0"/>
    <n v="10.46"/>
    <n v="0.8"/>
    <n v="17.43"/>
    <n v="435.75"/>
    <n v="0.08"/>
    <s v="W0313"/>
    <d v="2025-09-05T15:53:24"/>
    <d v="2025-09-06T05:25:48"/>
    <s v="Corrective"/>
    <n v="10.46"/>
    <n v="85"/>
    <n v="5529"/>
    <n v="0"/>
    <s v="Complete"/>
    <s v="Noise and vibration increased before stop"/>
    <n v="0"/>
    <x v="4"/>
    <n v="400.89000000000004"/>
    <d v="2025-09-01T00:00:00"/>
    <n v="37.799999999999997"/>
    <n v="15153.642"/>
  </r>
  <r>
    <s v="E0314"/>
    <s v="A015"/>
    <d v="2025-09-19T12:00:00"/>
    <d v="2025-09-19T23:34:48"/>
    <x v="0"/>
    <s v="Electrical trip"/>
    <n v="3.54"/>
    <n v="3.28"/>
    <n v="0"/>
    <n v="3.86"/>
    <n v="0.9"/>
    <n v="11.58"/>
    <n v="289.5"/>
    <n v="0.11"/>
    <s v="W0314"/>
    <d v="2025-09-19T15:32:24"/>
    <d v="2025-09-19T23:34:48"/>
    <s v="Corrective"/>
    <n v="7.72"/>
    <n v="85"/>
    <n v="5291"/>
    <n v="0"/>
    <s v="Complete"/>
    <s v="Protective trip; reviewed electrical panel"/>
    <n v="0"/>
    <x v="4"/>
    <n v="257.65500000000003"/>
    <d v="2025-09-01T00:00:00"/>
    <n v="37.799999999999997"/>
    <n v="9739.3590000000004"/>
  </r>
  <r>
    <s v="E0315"/>
    <s v="A015"/>
    <d v="2025-10-09T12:00:00"/>
    <d v="2025-10-10T19:32:24"/>
    <x v="0"/>
    <s v="Seal leak"/>
    <n v="2.4900000000000002"/>
    <n v="1.43"/>
    <n v="20.079999999999998"/>
    <n v="6.37"/>
    <n v="1.17"/>
    <n v="31.54"/>
    <n v="788.5"/>
    <n v="0.23"/>
    <s v="W0315"/>
    <d v="2025-10-09T14:29:24"/>
    <d v="2025-10-10T19:32:24"/>
    <s v="Corrective"/>
    <n v="12.74"/>
    <n v="85"/>
    <n v="7954"/>
    <n v="0"/>
    <s v="Complete"/>
    <s v="Visible leak reported during inspection"/>
    <n v="0"/>
    <x v="4"/>
    <n v="607.14499999999998"/>
    <d v="2025-10-01T00:00:00"/>
    <n v="36.799999999999997"/>
    <n v="22342.935999999998"/>
  </r>
  <r>
    <s v="E0316"/>
    <s v="A015"/>
    <d v="2025-10-28T12:00:00"/>
    <d v="2025-10-28T18:31:12"/>
    <x v="1"/>
    <s v="Scheduled service"/>
    <n v="0"/>
    <n v="0"/>
    <n v="0"/>
    <n v="6.52"/>
    <n v="0"/>
    <n v="6.52"/>
    <n v="163"/>
    <n v="0.25"/>
    <s v="W0316"/>
    <d v="2025-10-28T12:00:00"/>
    <d v="2025-10-28T18:31:12"/>
    <s v="Preventive"/>
    <n v="6.52"/>
    <n v="85"/>
    <n v="1139"/>
    <n v="3069"/>
    <s v="Complete"/>
    <s v="Scheduled inspection and service"/>
    <n v="0"/>
    <x v="4"/>
    <n v="122.25"/>
    <d v="2025-10-01T00:00:00"/>
    <n v="36.799999999999997"/>
    <n v="4498.7999999999993"/>
  </r>
  <r>
    <s v="E0317"/>
    <s v="A015"/>
    <d v="2025-11-07T12:00:00"/>
    <d v="2025-11-07T21:10:48"/>
    <x v="0"/>
    <s v="Process upset"/>
    <n v="1.59"/>
    <n v="1.87"/>
    <n v="0"/>
    <n v="3.39"/>
    <n v="2.33"/>
    <n v="9.18"/>
    <n v="229.5"/>
    <n v="0.23"/>
    <s v="W0317"/>
    <d v="2025-11-07T13:35:24"/>
    <d v="2025-11-07T21:10:48"/>
    <s v="Corrective"/>
    <n v="3.39"/>
    <n v="85"/>
    <n v="5991"/>
    <n v="0"/>
    <s v="Complete"/>
    <s v="Feed conditions changed; equipment restarted"/>
    <n v="0"/>
    <x v="4"/>
    <n v="176.715"/>
    <d v="2025-11-01T00:00:00"/>
    <n v="38.799999999999997"/>
    <n v="6856.5419999999995"/>
  </r>
  <r>
    <s v="E0318"/>
    <s v="A015"/>
    <d v="2025-12-06T12:00:00"/>
    <d v="2025-12-07T10:09:00"/>
    <x v="0"/>
    <s v="Process upset"/>
    <n v="1.48"/>
    <n v="1.55"/>
    <n v="9.3800000000000008"/>
    <n v="8.81"/>
    <n v="0.93"/>
    <n v="22.15"/>
    <n v="553.75"/>
    <n v="0.15"/>
    <s v="W0318"/>
    <d v="2025-12-06T13:28:48"/>
    <d v="2025-12-07T10:09:00"/>
    <s v="Corrective"/>
    <n v="8.81"/>
    <n v="85"/>
    <n v="4536"/>
    <n v="0"/>
    <s v="Complete"/>
    <s v="Feed conditions changed; equipment restarted"/>
    <n v="0"/>
    <x v="4"/>
    <n v="470.6875"/>
    <d v="2025-12-01T00:00:00"/>
    <n v="39.799999999999997"/>
    <n v="18733.362499999999"/>
  </r>
  <r>
    <s v="E0319"/>
    <s v="A016"/>
    <d v="2025-01-09T12:00:00"/>
    <d v="2025-01-09T20:46:12"/>
    <x v="0"/>
    <s v="Electrical trip"/>
    <n v="3.14"/>
    <n v="1.72"/>
    <n v="0"/>
    <n v="2.85"/>
    <n v="1.06"/>
    <n v="8.77"/>
    <n v="236.79"/>
    <n v="0.21"/>
    <s v="W0319"/>
    <d v="2025-01-09T15:08:24"/>
    <d v="2025-01-09T20:46:12"/>
    <s v="Corrective"/>
    <n v="2.85"/>
    <n v="85"/>
    <n v="3427"/>
    <n v="0"/>
    <s v="Complete"/>
    <s v="Protective trip; reviewed electrical panel"/>
    <n v="0.5"/>
    <x v="5"/>
    <n v="187.0641"/>
    <d v="2025-01-01T00:00:00"/>
    <n v="46"/>
    <n v="8604.9485999999997"/>
  </r>
  <r>
    <s v="E0320"/>
    <s v="A016"/>
    <d v="2025-01-19T12:00:00"/>
    <d v="2025-01-20T00:49:48"/>
    <x v="0"/>
    <s v="Electrical trip"/>
    <n v="2.1800000000000002"/>
    <n v="4.55"/>
    <n v="0"/>
    <n v="4.9000000000000004"/>
    <n v="1.2"/>
    <n v="12.83"/>
    <n v="346.41"/>
    <n v="0.27"/>
    <s v="W0320"/>
    <d v="2025-01-19T14:10:48"/>
    <d v="2025-01-20T00:49:48"/>
    <s v="Corrective"/>
    <n v="4.9000000000000004"/>
    <n v="85"/>
    <m/>
    <n v="0"/>
    <s v="Parts invoice pending"/>
    <s v="Protective trip; reviewed electrical panel"/>
    <n v="0"/>
    <x v="5"/>
    <n v="252.8793"/>
    <d v="2025-01-01T00:00:00"/>
    <n v="46"/>
    <n v="11632.4478"/>
  </r>
  <r>
    <s v="E0321"/>
    <s v="A016"/>
    <d v="2025-01-28T12:00:00"/>
    <d v="2025-01-28T18:57:00"/>
    <x v="1"/>
    <s v="Scheduled service"/>
    <n v="0"/>
    <n v="0"/>
    <n v="0"/>
    <n v="6.95"/>
    <n v="0"/>
    <n v="6.95"/>
    <n v="187.65"/>
    <n v="0.25"/>
    <s v="W0321"/>
    <d v="2025-01-28T12:00:00"/>
    <d v="2025-01-28T18:57:00"/>
    <s v="Preventive"/>
    <n v="6.95"/>
    <n v="85"/>
    <n v="1632"/>
    <n v="0"/>
    <s v="Complete"/>
    <s v="Scheduled inspection and service"/>
    <n v="0"/>
    <x v="5"/>
    <n v="140.73750000000001"/>
    <d v="2025-01-01T00:00:00"/>
    <n v="46"/>
    <n v="6473.9250000000002"/>
  </r>
  <r>
    <s v="E0322"/>
    <s v="A016"/>
    <d v="2025-02-04T12:00:00"/>
    <d v="2025-02-05T22:36:00"/>
    <x v="0"/>
    <s v="Bearing wear"/>
    <n v="2.12"/>
    <n v="2.2999999999999998"/>
    <n v="23.73"/>
    <n v="5.27"/>
    <n v="1.18"/>
    <n v="34.6"/>
    <n v="934.2"/>
    <n v="0.18"/>
    <s v="W0322"/>
    <d v="2025-02-04T14:07:12"/>
    <d v="2025-02-05T22:36:00"/>
    <s v="Corrective"/>
    <n v="5.27"/>
    <n v="85"/>
    <n v="4104"/>
    <n v="0"/>
    <s v="Complete"/>
    <s v="Noise and vibration increased before stop"/>
    <n v="0"/>
    <x v="5"/>
    <n v="766.0440000000001"/>
    <d v="2025-02-01T00:00:00"/>
    <n v="44"/>
    <n v="33705.936000000002"/>
  </r>
  <r>
    <s v="E0323"/>
    <s v="A016"/>
    <d v="2025-03-10T12:00:00"/>
    <d v="2025-03-11T11:03:36"/>
    <x v="0"/>
    <s v="Seal leak"/>
    <n v="2.59"/>
    <n v="5.86"/>
    <n v="10.86"/>
    <n v="3.03"/>
    <n v="0.72"/>
    <n v="23.06"/>
    <n v="622.62"/>
    <n v="0.13"/>
    <s v="W0323"/>
    <d v="2025-03-10T14:35:24"/>
    <d v="2025-03-11T11:03:36"/>
    <s v="Corrective"/>
    <n v="6.06"/>
    <n v="85"/>
    <n v="7332"/>
    <n v="4630"/>
    <s v="Complete"/>
    <s v="Visible leak reported during inspection"/>
    <n v="0.5"/>
    <x v="5"/>
    <n v="541.67939999999999"/>
    <d v="2025-03-01T00:00:00"/>
    <n v="42"/>
    <n v="22750.534800000001"/>
  </r>
  <r>
    <s v="E0324"/>
    <s v="A016"/>
    <d v="2025-04-04T12:00:00"/>
    <d v="2025-04-05T02:22:12"/>
    <x v="0"/>
    <s v="Seal leak"/>
    <n v="2.63"/>
    <n v="1.53"/>
    <n v="0"/>
    <n v="8.6199999999999992"/>
    <n v="1.59"/>
    <n v="14.37"/>
    <n v="387.99"/>
    <n v="0.22"/>
    <s v="W0324"/>
    <d v="2025-04-04T14:37:48"/>
    <d v="2025-04-05T02:22:12"/>
    <s v="Corrective"/>
    <n v="8.6199999999999992"/>
    <n v="85"/>
    <n v="2913"/>
    <n v="0"/>
    <s v="Complete"/>
    <s v="Visible leak reported during inspection"/>
    <n v="0"/>
    <x v="5"/>
    <n v="302.63220000000001"/>
    <d v="2025-04-01T00:00:00"/>
    <n v="40"/>
    <n v="12105.288"/>
  </r>
  <r>
    <s v="E0325"/>
    <s v="A016"/>
    <d v="2025-04-20T12:00:00"/>
    <d v="2025-04-21T05:28:48"/>
    <x v="0"/>
    <s v="Unknown"/>
    <n v="4.46"/>
    <n v="6.31"/>
    <n v="0"/>
    <n v="4.4800000000000004"/>
    <n v="2.23"/>
    <n v="17.48"/>
    <n v="471.96"/>
    <n v="0.15"/>
    <s v="W0325"/>
    <d v="2025-04-20T16:27:36"/>
    <d v="2025-04-21T05:28:48"/>
    <s v="Corrective"/>
    <n v="4.4800000000000004"/>
    <n v="85"/>
    <n v="2676"/>
    <n v="0"/>
    <s v="Complete"/>
    <s v="Cause not confirmed; follow-up needed"/>
    <n v="0"/>
    <x v="5"/>
    <n v="401.166"/>
    <d v="2025-04-01T00:00:00"/>
    <n v="40"/>
    <n v="16046.64"/>
  </r>
  <r>
    <s v="E0326"/>
    <s v="A016"/>
    <d v="2025-04-28T12:00:00"/>
    <d v="2025-04-28T18:12:36"/>
    <x v="1"/>
    <s v="Scheduled service"/>
    <n v="0"/>
    <n v="0"/>
    <n v="0"/>
    <n v="6.21"/>
    <n v="0"/>
    <n v="6.21"/>
    <n v="167.67"/>
    <n v="0.25"/>
    <s v="W0326"/>
    <d v="2025-04-28T12:00:00"/>
    <d v="2025-04-28T18:12:36"/>
    <s v="Preventive"/>
    <n v="12.42"/>
    <n v="85"/>
    <n v="1709"/>
    <n v="0"/>
    <s v="Complete"/>
    <s v="Scheduled inspection and service"/>
    <n v="0"/>
    <x v="5"/>
    <n v="125.7525"/>
    <d v="2025-04-01T00:00:00"/>
    <n v="40"/>
    <n v="5030.1000000000004"/>
  </r>
  <r>
    <s v="E0327"/>
    <s v="A016"/>
    <d v="2025-05-10T12:00:00"/>
    <d v="2025-05-12T01:18:00"/>
    <x v="0"/>
    <s v="Unknown"/>
    <n v="1.63"/>
    <n v="2.68"/>
    <n v="23.18"/>
    <n v="8.4600000000000009"/>
    <n v="1.35"/>
    <n v="37.299999999999997"/>
    <n v="1007.1"/>
    <n v="0.26"/>
    <s v="W0327"/>
    <d v="2025-05-10T13:37:48"/>
    <d v="2025-05-12T01:18:00"/>
    <s v="Corrective"/>
    <n v="16.920000000000002"/>
    <n v="85"/>
    <n v="8715"/>
    <n v="0"/>
    <s v="Complete"/>
    <s v="Cause not confirmed; follow-up needed"/>
    <n v="0.5"/>
    <x v="5"/>
    <n v="745.25400000000002"/>
    <d v="2025-05-01T00:00:00"/>
    <n v="38"/>
    <n v="28319.652000000002"/>
  </r>
  <r>
    <s v="E0328"/>
    <s v="A016"/>
    <d v="2025-06-07T12:00:00"/>
    <d v="2025-06-08T16:06:36"/>
    <x v="0"/>
    <s v="Unknown"/>
    <n v="3.51"/>
    <n v="6.47"/>
    <n v="9.2100000000000009"/>
    <n v="8.34"/>
    <n v="0.57999999999999996"/>
    <n v="28.11"/>
    <n v="758.97"/>
    <n v="0.18"/>
    <s v="W0328"/>
    <d v="2025-06-07T15:30:36"/>
    <d v="2025-06-08T16:06:36"/>
    <s v="Corrective"/>
    <n v="8.34"/>
    <n v="85"/>
    <n v="3275"/>
    <n v="4032"/>
    <s v="Complete"/>
    <s v="Cause not confirmed; follow-up needed"/>
    <n v="0"/>
    <x v="5"/>
    <n v="622.35540000000003"/>
    <d v="2025-06-01T00:00:00"/>
    <n v="39"/>
    <n v="24271.8606"/>
  </r>
  <r>
    <s v="E0329"/>
    <s v="A016"/>
    <d v="2025-06-19T12:00:00"/>
    <d v="2025-06-20T19:24:36"/>
    <x v="0"/>
    <s v="Bearing wear"/>
    <n v="3.87"/>
    <n v="6.53"/>
    <n v="13.37"/>
    <n v="6.51"/>
    <n v="1.1299999999999999"/>
    <n v="31.41"/>
    <n v="848.07"/>
    <n v="0.22"/>
    <s v="W0329"/>
    <d v="2025-06-19T15:52:12"/>
    <d v="2025-06-20T19:24:36"/>
    <s v="Corrective"/>
    <n v="13.02"/>
    <n v="85"/>
    <n v="8888"/>
    <n v="0"/>
    <s v="Complete"/>
    <s v="Noise and vibration increased before stop"/>
    <n v="0"/>
    <x v="5"/>
    <n v="661.4946000000001"/>
    <d v="2025-06-01T00:00:00"/>
    <n v="39"/>
    <n v="25798.289400000005"/>
  </r>
  <r>
    <s v="E0330"/>
    <s v="A016"/>
    <d v="2025-07-08T12:00:00"/>
    <d v="2025-07-09T06:39:00"/>
    <x v="0"/>
    <s v="Bearing wear"/>
    <n v="3.63"/>
    <n v="5.57"/>
    <n v="0"/>
    <n v="7.54"/>
    <n v="1.91"/>
    <n v="18.649999999999999"/>
    <n v="503.55"/>
    <n v="0.27"/>
    <s v="W0330"/>
    <d v="2025-07-08T15:37:48"/>
    <d v="2025-07-09T06:39:00"/>
    <s v="Corrective"/>
    <n v="15.08"/>
    <n v="85"/>
    <n v="4302"/>
    <n v="0"/>
    <s v="Complete"/>
    <s v="Noise and vibration increased before stop"/>
    <n v="0"/>
    <x v="5"/>
    <n v="367.5915"/>
    <d v="2025-07-01T00:00:00"/>
    <n v="41"/>
    <n v="15071.2515"/>
  </r>
  <r>
    <s v="E0331"/>
    <s v="A016"/>
    <d v="2025-07-19T12:00:00"/>
    <d v="2025-07-20T02:39:00"/>
    <x v="0"/>
    <s v="Seal leak"/>
    <n v="1.93"/>
    <n v="2.56"/>
    <n v="0"/>
    <n v="9.6300000000000008"/>
    <n v="0.53"/>
    <n v="14.65"/>
    <n v="395.55"/>
    <n v="0.15"/>
    <s v="W0331"/>
    <d v="2025-07-19T13:55:48"/>
    <d v="2025-07-20T02:39:00"/>
    <s v="Corrective"/>
    <n v="19.260000000000002"/>
    <n v="85"/>
    <n v="3487"/>
    <n v="0"/>
    <s v="Complete"/>
    <s v="Visible leak reported during inspection"/>
    <n v="0"/>
    <x v="5"/>
    <n v="336.21749999999997"/>
    <d v="2025-07-01T00:00:00"/>
    <n v="41"/>
    <n v="13784.9175"/>
  </r>
  <r>
    <s v="E0332"/>
    <s v="A016"/>
    <d v="2025-07-28T12:00:00"/>
    <d v="2025-07-28T17:21:00"/>
    <x v="1"/>
    <s v="Scheduled service"/>
    <n v="0"/>
    <n v="0"/>
    <n v="0"/>
    <n v="5.35"/>
    <n v="0"/>
    <n v="5.35"/>
    <n v="144.44999999999999"/>
    <n v="0.25"/>
    <s v="W0332"/>
    <d v="2025-07-28T12:00:00"/>
    <d v="2025-07-28T17:21:00"/>
    <s v="Preventive"/>
    <n v="5.35"/>
    <n v="85"/>
    <n v="1389"/>
    <n v="0"/>
    <s v="Complete"/>
    <s v="Scheduled inspection and service"/>
    <n v="0"/>
    <x v="5"/>
    <n v="108.33749999999999"/>
    <d v="2025-07-01T00:00:00"/>
    <n v="41"/>
    <n v="4441.8374999999996"/>
  </r>
  <r>
    <s v="E0333"/>
    <s v="A016"/>
    <d v="2025-08-09T12:00:00"/>
    <d v="2025-08-10T02:43:12"/>
    <x v="0"/>
    <s v="Unknown"/>
    <n v="1.98"/>
    <n v="3.69"/>
    <n v="0"/>
    <n v="7.59"/>
    <n v="1.46"/>
    <n v="14.72"/>
    <n v="397.44"/>
    <n v="0.17"/>
    <s v="W0333"/>
    <d v="2025-08-09T13:58:48"/>
    <d v="2025-08-10T02:43:12"/>
    <s v="Corrective"/>
    <n v="15.18"/>
    <n v="85"/>
    <n v="7465"/>
    <n v="0"/>
    <s v="Complete"/>
    <s v="Cause not confirmed; follow-up needed"/>
    <n v="0"/>
    <x v="5"/>
    <n v="329.87520000000001"/>
    <d v="2025-08-01T00:00:00"/>
    <n v="40"/>
    <n v="13195.008"/>
  </r>
  <r>
    <s v="E0334"/>
    <s v="A016"/>
    <d v="2025-08-19T12:00:00"/>
    <d v="2025-08-20T13:01:12"/>
    <x v="0"/>
    <s v="Electrical trip"/>
    <n v="2.31"/>
    <n v="3.64"/>
    <n v="8.99"/>
    <n v="7.94"/>
    <n v="2.14"/>
    <n v="25.02"/>
    <n v="675.54"/>
    <n v="0.16"/>
    <s v="W0334"/>
    <d v="2025-08-19T14:18:36"/>
    <d v="2025-08-20T13:01:12"/>
    <s v="Corrective"/>
    <n v="7.94"/>
    <n v="85"/>
    <n v="4884"/>
    <n v="0"/>
    <s v="Complete"/>
    <s v="Protective trip; reviewed electrical panel"/>
    <n v="0"/>
    <x v="5"/>
    <n v="567.45359999999994"/>
    <d v="2025-08-01T00:00:00"/>
    <n v="40"/>
    <n v="22698.143999999997"/>
  </r>
  <r>
    <s v="E0335"/>
    <s v="A016"/>
    <d v="2025-09-07T12:00:00"/>
    <d v="2025-09-08T02:34:48"/>
    <x v="0"/>
    <s v="Bearing wear"/>
    <n v="2.61"/>
    <n v="6.01"/>
    <n v="0"/>
    <n v="5.31"/>
    <n v="0.65"/>
    <n v="14.58"/>
    <n v="393.66"/>
    <n v="0.25"/>
    <s v="W0335"/>
    <d v="2025-09-07T14:36:36"/>
    <d v="2025-09-08T02:34:48"/>
    <s v="Corrective"/>
    <n v="10.62"/>
    <n v="85"/>
    <n v="8840"/>
    <n v="0"/>
    <s v="Complete"/>
    <s v="Noise and vibration increased before stop"/>
    <n v="0"/>
    <x v="5"/>
    <n v="295.245"/>
    <d v="2025-09-01T00:00:00"/>
    <n v="37"/>
    <n v="10924.065000000001"/>
  </r>
  <r>
    <s v="E0336"/>
    <s v="A016"/>
    <d v="2025-10-08T12:00:00"/>
    <d v="2025-10-09T02:57:00"/>
    <x v="0"/>
    <s v="Seal leak"/>
    <n v="2.78"/>
    <n v="1.81"/>
    <n v="0"/>
    <n v="9.6199999999999992"/>
    <n v="0.74"/>
    <n v="14.95"/>
    <n v="403.65"/>
    <n v="0.13"/>
    <s v="W0336"/>
    <d v="2025-10-08T14:46:48"/>
    <d v="2025-10-09T02:57:00"/>
    <s v="Corrective"/>
    <n v="19.239999999999998"/>
    <n v="85"/>
    <n v="2300"/>
    <n v="2216"/>
    <s v="Complete"/>
    <s v="Visible leak reported during inspection"/>
    <n v="0"/>
    <x v="5"/>
    <n v="351.1755"/>
    <d v="2025-10-01T00:00:00"/>
    <n v="36"/>
    <n v="12642.317999999999"/>
  </r>
  <r>
    <s v="E0337"/>
    <s v="A016"/>
    <d v="2025-10-22T12:00:00"/>
    <d v="2025-10-22T21:30:00"/>
    <x v="0"/>
    <s v="Process upset"/>
    <n v="0.85"/>
    <n v="4.74"/>
    <n v="0"/>
    <n v="2.1800000000000002"/>
    <n v="1.73"/>
    <n v="9.5"/>
    <n v="256.5"/>
    <n v="0.17"/>
    <s v="W0337"/>
    <d v="2025-10-22T12:51:00"/>
    <d v="2025-10-22T21:30:00"/>
    <s v="Corrective"/>
    <n v="4.3600000000000003"/>
    <n v="85"/>
    <n v="3374"/>
    <n v="0"/>
    <s v="Complete"/>
    <s v="Feed conditions changed; equipment restarted"/>
    <n v="0"/>
    <x v="5"/>
    <n v="212.89499999999998"/>
    <d v="2025-10-01T00:00:00"/>
    <n v="36"/>
    <n v="7664.2199999999993"/>
  </r>
  <r>
    <s v="E0338"/>
    <s v="A016"/>
    <d v="2025-10-28T12:00:00"/>
    <d v="2025-10-28T15:57:00"/>
    <x v="1"/>
    <s v="Scheduled service"/>
    <n v="0"/>
    <n v="0"/>
    <n v="0"/>
    <n v="3.95"/>
    <n v="0"/>
    <n v="3.95"/>
    <n v="106.65"/>
    <n v="0.25"/>
    <s v="W0338"/>
    <d v="2025-10-28T12:00:00"/>
    <d v="2025-10-28T15:57:00"/>
    <s v="Preventive"/>
    <n v="7.9"/>
    <n v="85"/>
    <n v="1671"/>
    <n v="0"/>
    <s v="Complete"/>
    <s v="Scheduled inspection and service"/>
    <n v="0"/>
    <x v="5"/>
    <n v="79.987500000000011"/>
    <d v="2025-10-01T00:00:00"/>
    <n v="36"/>
    <n v="2879.55"/>
  </r>
  <r>
    <s v="E0339"/>
    <s v="A016"/>
    <d v="2025-11-10T12:00:00"/>
    <d v="2025-11-11T08:16:48"/>
    <x v="0"/>
    <s v="Bearing wear"/>
    <n v="3.89"/>
    <n v="2.77"/>
    <n v="0"/>
    <n v="12.42"/>
    <n v="1.2"/>
    <n v="20.28"/>
    <n v="547.55999999999995"/>
    <n v="0.11"/>
    <s v="W0339"/>
    <d v="2025-11-10T15:53:24"/>
    <d v="2025-11-11T08:16:48"/>
    <s v="Corrective"/>
    <n v="12.42"/>
    <n v="85"/>
    <n v="3847"/>
    <n v="3039"/>
    <s v="Complete"/>
    <s v="Noise and vibration increased before stop"/>
    <n v="0"/>
    <x v="5"/>
    <n v="487.32839999999993"/>
    <d v="2025-11-01T00:00:00"/>
    <n v="38"/>
    <n v="18518.479199999998"/>
  </r>
  <r>
    <s v="E0340"/>
    <s v="A016"/>
    <d v="2025-12-09T12:00:00"/>
    <d v="2025-12-10T00:39:00"/>
    <x v="0"/>
    <s v="Seal leak"/>
    <n v="1.94"/>
    <n v="6.39"/>
    <n v="0"/>
    <n v="2.2599999999999998"/>
    <n v="2.06"/>
    <n v="12.65"/>
    <n v="341.55"/>
    <n v="0.26"/>
    <s v="W0340"/>
    <d v="2025-12-09T13:56:24"/>
    <d v="2025-12-10T00:39:00"/>
    <s v="Corrective"/>
    <n v="2.2599999999999998"/>
    <n v="85"/>
    <n v="4865"/>
    <n v="0"/>
    <s v="Complete"/>
    <s v="Visible leak reported during inspection"/>
    <n v="0"/>
    <x v="5"/>
    <n v="252.74700000000001"/>
    <d v="2025-12-01T00:00:00"/>
    <n v="39"/>
    <n v="9857.1329999999998"/>
  </r>
  <r>
    <s v="E0341"/>
    <s v="A017"/>
    <d v="2025-01-10T12:00:00"/>
    <d v="2025-01-11T05:00:36"/>
    <x v="0"/>
    <s v="Bearing wear"/>
    <n v="0.91"/>
    <n v="2.64"/>
    <n v="0"/>
    <n v="11.94"/>
    <n v="1.52"/>
    <n v="17.010000000000002"/>
    <n v="340.2"/>
    <n v="0.1"/>
    <s v="W0341"/>
    <d v="2025-01-10T12:54:36"/>
    <d v="2025-01-11T05:00:36"/>
    <s v="Corrective"/>
    <n v="23.88"/>
    <n v="85"/>
    <n v="2795"/>
    <n v="0"/>
    <s v="Complete"/>
    <s v="Noise and vibration increased before stop"/>
    <n v="0"/>
    <x v="5"/>
    <n v="306.18"/>
    <d v="2025-01-01T00:00:00"/>
    <n v="46"/>
    <n v="14084.28"/>
  </r>
  <r>
    <s v="E0342"/>
    <s v="A017"/>
    <d v="2025-01-28T12:00:00"/>
    <d v="2025-01-28T16:45:00"/>
    <x v="1"/>
    <s v="Scheduled service"/>
    <n v="0"/>
    <n v="0"/>
    <n v="0"/>
    <n v="4.75"/>
    <n v="0"/>
    <n v="4.75"/>
    <n v="95"/>
    <n v="0.25"/>
    <s v="W0342"/>
    <d v="2025-01-28T12:00:00"/>
    <d v="2025-01-28T16:45:00"/>
    <s v="Preventive"/>
    <n v="4.75"/>
    <n v="85"/>
    <n v="993"/>
    <n v="0"/>
    <s v="Complete"/>
    <s v="Scheduled inspection and service"/>
    <n v="0"/>
    <x v="5"/>
    <n v="71.25"/>
    <d v="2025-01-01T00:00:00"/>
    <n v="46"/>
    <n v="3277.5"/>
  </r>
  <r>
    <s v="E0343"/>
    <s v="A017"/>
    <d v="2025-02-09T12:00:00"/>
    <d v="2025-02-10T12:00:36"/>
    <x v="0"/>
    <s v="Process upset"/>
    <n v="2.04"/>
    <n v="1.55"/>
    <n v="10.87"/>
    <n v="7.17"/>
    <n v="2.38"/>
    <n v="24.01"/>
    <n v="480.2"/>
    <n v="0.1"/>
    <s v="W0343"/>
    <d v="2025-02-09T14:02:24"/>
    <d v="2025-02-10T12:00:36"/>
    <s v="Corrective"/>
    <n v="14.34"/>
    <n v="85"/>
    <n v="5121"/>
    <n v="0"/>
    <s v="Complete"/>
    <s v="Feed conditions changed; equipment restarted"/>
    <n v="0"/>
    <x v="5"/>
    <n v="432.18"/>
    <d v="2025-02-01T00:00:00"/>
    <n v="44"/>
    <n v="19015.920000000002"/>
  </r>
  <r>
    <s v="E0344"/>
    <s v="A017"/>
    <d v="2025-02-21T12:00:00"/>
    <d v="2025-02-22T10:36:00"/>
    <x v="0"/>
    <s v="Bearing wear"/>
    <n v="4.22"/>
    <n v="4.9800000000000004"/>
    <n v="0"/>
    <n v="12.6"/>
    <n v="0.8"/>
    <n v="22.6"/>
    <n v="452"/>
    <n v="0.28000000000000003"/>
    <s v="W0344"/>
    <d v="2025-02-21T16:13:12"/>
    <d v="2025-02-22T10:36:00"/>
    <s v="Corrective"/>
    <n v="12.6"/>
    <n v="85"/>
    <n v="9302"/>
    <n v="0"/>
    <s v="Complete"/>
    <s v="Noise and vibration increased before stop"/>
    <n v="0"/>
    <x v="5"/>
    <n v="325.44"/>
    <d v="2025-02-01T00:00:00"/>
    <n v="44"/>
    <n v="14319.36"/>
  </r>
  <r>
    <s v="E0345"/>
    <s v="A017"/>
    <d v="2025-03-07T12:00:00"/>
    <d v="2025-03-07T22:12:00"/>
    <x v="0"/>
    <s v="Bearing wear"/>
    <n v="1.24"/>
    <n v="1.63"/>
    <n v="0"/>
    <n v="5.23"/>
    <n v="2.1"/>
    <n v="10.199999999999999"/>
    <n v="204"/>
    <n v="0.18"/>
    <s v="W0345"/>
    <d v="2025-03-07T13:14:24"/>
    <d v="2025-03-07T22:12:00"/>
    <s v="Corrective"/>
    <n v="10.46"/>
    <n v="85"/>
    <n v="7776"/>
    <n v="0"/>
    <s v="Complete"/>
    <s v="Noise and vibration increased before stop"/>
    <n v="0"/>
    <x v="5"/>
    <n v="167.28"/>
    <d v="2025-03-01T00:00:00"/>
    <n v="42"/>
    <n v="7025.76"/>
  </r>
  <r>
    <s v="E0346"/>
    <s v="A017"/>
    <d v="2025-04-08T12:00:00"/>
    <d v="2025-04-09T03:54:00"/>
    <x v="0"/>
    <s v="Bearing wear"/>
    <n v="1.05"/>
    <n v="2.75"/>
    <n v="0"/>
    <n v="11.51"/>
    <n v="0.59"/>
    <n v="15.9"/>
    <n v="318"/>
    <n v="0.18"/>
    <s v="W0346"/>
    <d v="2025-04-08T13:03:00"/>
    <d v="2025-04-09T03:54:00"/>
    <s v="Corrective"/>
    <n v="11.51"/>
    <n v="85"/>
    <n v="5571"/>
    <n v="0"/>
    <s v="Complete"/>
    <s v="Noise and vibration increased before stop"/>
    <n v="0"/>
    <x v="5"/>
    <n v="260.76000000000005"/>
    <d v="2025-04-01T00:00:00"/>
    <n v="40"/>
    <n v="10430.400000000001"/>
  </r>
  <r>
    <s v="E0347"/>
    <s v="A017"/>
    <d v="2025-04-28T12:00:00"/>
    <d v="2025-04-28T17:59:24"/>
    <x v="1"/>
    <s v="Scheduled service"/>
    <n v="0"/>
    <n v="0"/>
    <n v="0"/>
    <n v="5.99"/>
    <n v="0"/>
    <n v="5.99"/>
    <n v="119.8"/>
    <n v="0.25"/>
    <s v="W0347"/>
    <d v="2025-04-28T12:00:00"/>
    <d v="2025-04-28T17:59:24"/>
    <s v="Preventive"/>
    <n v="11.98"/>
    <n v="85"/>
    <n v="1553"/>
    <n v="3918"/>
    <s v="Complete"/>
    <s v="Scheduled inspection and service"/>
    <n v="0"/>
    <x v="5"/>
    <n v="89.85"/>
    <d v="2025-04-01T00:00:00"/>
    <n v="40"/>
    <n v="3594"/>
  </r>
  <r>
    <s v="E0348"/>
    <s v="A017"/>
    <d v="2025-05-05T12:00:00"/>
    <d v="2025-05-06T07:11:24"/>
    <x v="0"/>
    <s v="Bearing wear"/>
    <n v="2.13"/>
    <n v="3.69"/>
    <n v="0"/>
    <n v="12.16"/>
    <n v="1.21"/>
    <n v="19.190000000000001"/>
    <n v="383.8"/>
    <n v="0.26"/>
    <s v="W0348"/>
    <d v="2025-05-05T14:07:48"/>
    <d v="2025-05-06T07:11:24"/>
    <s v="Corrective"/>
    <n v="24.32"/>
    <n v="85"/>
    <n v="8950"/>
    <n v="0"/>
    <s v="Complete"/>
    <s v="Noise and vibration increased before stop"/>
    <n v="0"/>
    <x v="5"/>
    <n v="284.012"/>
    <d v="2025-05-01T00:00:00"/>
    <n v="38"/>
    <n v="10792.456"/>
  </r>
  <r>
    <s v="E0349"/>
    <s v="A017"/>
    <d v="2025-06-04T12:00:00"/>
    <d v="2025-06-04T23:06:36"/>
    <x v="0"/>
    <s v="Electrical trip"/>
    <n v="1.24"/>
    <n v="5.39"/>
    <n v="0"/>
    <n v="3.38"/>
    <n v="1.1000000000000001"/>
    <n v="11.11"/>
    <n v="222.2"/>
    <n v="0.15"/>
    <s v="W0349"/>
    <d v="2025-06-04T13:14:24"/>
    <d v="2025-06-04T23:06:36"/>
    <s v="Corrective"/>
    <n v="3.38"/>
    <n v="85"/>
    <m/>
    <n v="0"/>
    <s v="Parts invoice pending"/>
    <s v="Protective trip; reviewed electrical panel"/>
    <n v="0"/>
    <x v="5"/>
    <n v="188.86999999999998"/>
    <d v="2025-06-01T00:00:00"/>
    <n v="39"/>
    <n v="7365.9299999999994"/>
  </r>
  <r>
    <s v="E0350"/>
    <s v="A017"/>
    <d v="2025-06-22T12:00:00"/>
    <d v="2025-06-22T22:13:48"/>
    <x v="0"/>
    <s v="Bearing wear"/>
    <n v="0.89"/>
    <n v="2.09"/>
    <n v="0"/>
    <n v="6.03"/>
    <n v="1.22"/>
    <n v="10.23"/>
    <n v="204.6"/>
    <n v="0.25"/>
    <s v="W0350"/>
    <d v="2025-06-22T12:53:24"/>
    <d v="2025-06-22T22:13:48"/>
    <s v="Corrective"/>
    <n v="6.03"/>
    <n v="85"/>
    <n v="7933"/>
    <n v="0"/>
    <s v="Complete"/>
    <s v="Noise and vibration increased before stop"/>
    <n v="0"/>
    <x v="5"/>
    <n v="153.44999999999999"/>
    <d v="2025-06-01T00:00:00"/>
    <n v="39"/>
    <n v="5984.5499999999993"/>
  </r>
  <r>
    <s v="E0351"/>
    <s v="A017"/>
    <d v="2025-07-07T12:00:00"/>
    <d v="2025-07-08T08:07:12"/>
    <x v="0"/>
    <s v="Bearing wear"/>
    <n v="2.95"/>
    <n v="3.89"/>
    <n v="0"/>
    <n v="11.43"/>
    <n v="1.85"/>
    <n v="20.12"/>
    <n v="402.4"/>
    <n v="0.12"/>
    <s v="W0351"/>
    <d v="2025-07-07T14:57:00"/>
    <d v="2025-07-08T08:07:12"/>
    <s v="Corrective"/>
    <n v="11.43"/>
    <n v="85"/>
    <n v="4294"/>
    <n v="4288"/>
    <s v="Complete"/>
    <s v="Noise and vibration increased before stop"/>
    <n v="0"/>
    <x v="5"/>
    <n v="354.11199999999997"/>
    <d v="2025-07-01T00:00:00"/>
    <n v="41"/>
    <n v="14518.591999999999"/>
  </r>
  <r>
    <s v="E0352"/>
    <s v="A017"/>
    <d v="2025-07-21T12:00:00"/>
    <d v="2025-07-22T06:31:48"/>
    <x v="0"/>
    <s v="Seal leak"/>
    <n v="3.91"/>
    <n v="4.58"/>
    <n v="0"/>
    <n v="8.6999999999999993"/>
    <n v="1.34"/>
    <n v="18.53"/>
    <n v="370.6"/>
    <n v="0.24"/>
    <s v="W0352"/>
    <d v="2025-07-21T15:54:36"/>
    <d v="2025-07-22T06:31:48"/>
    <s v="Corrective"/>
    <n v="8.6999999999999993"/>
    <n v="85"/>
    <n v="6927"/>
    <n v="0"/>
    <s v="Complete"/>
    <s v="Visible leak reported during inspection"/>
    <n v="0"/>
    <x v="5"/>
    <n v="281.65600000000001"/>
    <d v="2025-07-01T00:00:00"/>
    <n v="41"/>
    <n v="11547.896000000001"/>
  </r>
  <r>
    <s v="E0353"/>
    <s v="A017"/>
    <d v="2025-07-28T12:00:00"/>
    <d v="2025-07-28T18:13:48"/>
    <x v="1"/>
    <s v="Scheduled service"/>
    <n v="0"/>
    <n v="0"/>
    <n v="0"/>
    <n v="6.23"/>
    <n v="0"/>
    <n v="6.23"/>
    <n v="124.6"/>
    <n v="0.25"/>
    <s v="W0353"/>
    <d v="2025-07-28T12:00:00"/>
    <d v="2025-07-28T18:13:48"/>
    <s v="Preventive"/>
    <n v="12.46"/>
    <n v="85"/>
    <n v="1783"/>
    <n v="0"/>
    <s v="Complete"/>
    <s v="Scheduled inspection and service"/>
    <n v="0"/>
    <x v="5"/>
    <n v="93.449999999999989"/>
    <d v="2025-07-01T00:00:00"/>
    <n v="41"/>
    <n v="3831.4499999999994"/>
  </r>
  <r>
    <s v="E0354"/>
    <s v="A017"/>
    <d v="2025-08-10T12:00:00"/>
    <d v="2025-08-11T02:20:24"/>
    <x v="0"/>
    <s v="Seal leak"/>
    <n v="0.95"/>
    <n v="4.8"/>
    <n v="0"/>
    <n v="7.44"/>
    <n v="1.1499999999999999"/>
    <n v="14.34"/>
    <n v="286.8"/>
    <n v="0.24"/>
    <s v="W0354"/>
    <d v="2025-08-10T12:57:00"/>
    <d v="2025-08-11T02:20:24"/>
    <s v="Corrective"/>
    <n v="7.44"/>
    <n v="85"/>
    <n v="7788"/>
    <n v="0"/>
    <s v="Complete"/>
    <s v="Visible leak reported during inspection"/>
    <n v="0"/>
    <x v="5"/>
    <n v="217.96800000000002"/>
    <d v="2025-08-01T00:00:00"/>
    <n v="40"/>
    <n v="8718.7200000000012"/>
  </r>
  <r>
    <s v="E0355"/>
    <s v="A017"/>
    <d v="2025-09-09T12:00:00"/>
    <d v="2025-09-10T06:10:48"/>
    <x v="0"/>
    <s v="Bearing wear"/>
    <n v="3.24"/>
    <n v="4.91"/>
    <n v="0"/>
    <n v="9.09"/>
    <n v="0.94"/>
    <n v="18.18"/>
    <n v="363.6"/>
    <n v="0.25"/>
    <s v="W0355"/>
    <d v="2025-09-09T15:14:24"/>
    <d v="2025-09-10T06:10:48"/>
    <s v="Corrective"/>
    <n v="18.18"/>
    <n v="85"/>
    <n v="9056"/>
    <n v="0"/>
    <s v="Complete"/>
    <s v="Noise and vibration increased before stop"/>
    <n v="0"/>
    <x v="5"/>
    <n v="272.70000000000005"/>
    <d v="2025-09-01T00:00:00"/>
    <n v="37"/>
    <n v="10089.900000000001"/>
  </r>
  <r>
    <s v="E0356"/>
    <s v="A017"/>
    <d v="2025-09-19T12:00:00"/>
    <d v="2025-09-20T01:28:48"/>
    <x v="0"/>
    <s v="Electrical trip"/>
    <n v="4.43"/>
    <n v="4.8899999999999997"/>
    <n v="0"/>
    <n v="2.5099999999999998"/>
    <n v="1.65"/>
    <n v="13.48"/>
    <n v="269.60000000000002"/>
    <n v="0.08"/>
    <s v="W0356"/>
    <d v="2025-09-19T16:25:48"/>
    <d v="2025-09-20T01:28:48"/>
    <s v="Corrective"/>
    <n v="2.5099999999999998"/>
    <n v="85"/>
    <n v="9206"/>
    <n v="0"/>
    <s v="Complete"/>
    <s v="Protective trip; reviewed electrical panel"/>
    <n v="0"/>
    <x v="5"/>
    <n v="248.03200000000004"/>
    <d v="2025-09-01T00:00:00"/>
    <n v="37"/>
    <n v="9177.1840000000011"/>
  </r>
  <r>
    <s v="E0357"/>
    <s v="A017"/>
    <d v="2025-10-10T12:00:00"/>
    <d v="2025-10-10T23:54:00"/>
    <x v="0"/>
    <s v="Bearing wear"/>
    <n v="3.35"/>
    <n v="1.8"/>
    <n v="0"/>
    <n v="5.0199999999999996"/>
    <n v="1.73"/>
    <n v="11.9"/>
    <n v="238"/>
    <n v="0.14000000000000001"/>
    <s v="W0357"/>
    <d v="2025-10-10T15:21:00"/>
    <d v="2025-10-10T23:54:00"/>
    <s v="Corrective"/>
    <n v="10.039999999999999"/>
    <n v="85"/>
    <n v="4067"/>
    <n v="0"/>
    <s v="Complete"/>
    <s v="Noise and vibration increased before stop"/>
    <n v="0"/>
    <x v="5"/>
    <n v="204.68"/>
    <d v="2025-10-01T00:00:00"/>
    <n v="36"/>
    <n v="7368.4800000000005"/>
  </r>
  <r>
    <s v="E0358"/>
    <s v="A017"/>
    <d v="2025-10-28T12:00:00"/>
    <d v="2025-10-28T16:02:24"/>
    <x v="1"/>
    <s v="Scheduled service"/>
    <n v="0"/>
    <n v="0"/>
    <n v="0"/>
    <n v="4.04"/>
    <n v="0"/>
    <n v="4.04"/>
    <n v="80.8"/>
    <n v="0.25"/>
    <s v="W0358"/>
    <d v="2025-10-28T12:00:00"/>
    <d v="2025-10-28T16:02:24"/>
    <s v="Preventive"/>
    <n v="8.08"/>
    <n v="85"/>
    <n v="666"/>
    <n v="0"/>
    <s v="Complete"/>
    <s v="Scheduled inspection and service"/>
    <n v="0"/>
    <x v="5"/>
    <n v="60.599999999999994"/>
    <d v="2025-10-01T00:00:00"/>
    <n v="36"/>
    <n v="2181.6"/>
  </r>
  <r>
    <s v="E0359"/>
    <s v="A017"/>
    <d v="2025-11-04T12:00:00"/>
    <d v="2025-11-05T06:01:12"/>
    <x v="0"/>
    <s v="Electrical trip"/>
    <n v="1.98"/>
    <n v="4.03"/>
    <n v="0"/>
    <n v="9.7799999999999994"/>
    <n v="2.23"/>
    <n v="18.02"/>
    <n v="360.4"/>
    <n v="0.27"/>
    <s v="W0359"/>
    <d v="2025-11-04T13:58:48"/>
    <d v="2025-11-05T06:01:12"/>
    <s v="Corrective"/>
    <n v="9.7799999999999994"/>
    <n v="85"/>
    <n v="7502"/>
    <n v="0"/>
    <s v="Complete"/>
    <s v="Protective trip; reviewed electrical panel"/>
    <n v="0"/>
    <x v="5"/>
    <n v="263.09199999999998"/>
    <d v="2025-11-01T00:00:00"/>
    <n v="38"/>
    <n v="9997.4959999999992"/>
  </r>
  <r>
    <s v="E0360"/>
    <s v="A017"/>
    <d v="2025-11-19T12:00:00"/>
    <d v="2025-11-20T03:03:00"/>
    <x v="0"/>
    <s v="Process upset"/>
    <n v="4.28"/>
    <n v="4.34"/>
    <n v="0"/>
    <n v="5.09"/>
    <n v="1.34"/>
    <n v="15.05"/>
    <n v="301"/>
    <n v="0.12"/>
    <s v="W0360"/>
    <d v="2025-11-19T16:16:48"/>
    <d v="2025-11-20T03:03:00"/>
    <s v="Corrective"/>
    <n v="5.09"/>
    <n v="85"/>
    <n v="8560"/>
    <n v="0"/>
    <s v="Complete"/>
    <s v="Feed conditions changed; equipment restarted"/>
    <n v="0"/>
    <x v="5"/>
    <n v="264.88"/>
    <d v="2025-11-01T00:00:00"/>
    <n v="38"/>
    <n v="10065.44"/>
  </r>
  <r>
    <s v="E0361"/>
    <s v="A017"/>
    <d v="2025-12-08T12:00:00"/>
    <d v="2025-12-09T07:52:48"/>
    <x v="0"/>
    <s v="Seal leak"/>
    <n v="4.4800000000000004"/>
    <n v="4.0199999999999996"/>
    <n v="0"/>
    <n v="9.17"/>
    <n v="2.21"/>
    <n v="19.88"/>
    <n v="397.6"/>
    <n v="0.27"/>
    <s v="W0361"/>
    <d v="2025-12-08T16:28:48"/>
    <d v="2025-12-09T07:52:48"/>
    <s v="Corrective"/>
    <n v="18.34"/>
    <n v="85"/>
    <n v="6315"/>
    <n v="0"/>
    <s v="Complete"/>
    <s v="Visible leak reported during inspection"/>
    <n v="0"/>
    <x v="5"/>
    <n v="290.24799999999999"/>
    <d v="2025-12-01T00:00:00"/>
    <n v="39"/>
    <n v="11319.672"/>
  </r>
  <r>
    <s v="E0362"/>
    <s v="A018"/>
    <d v="2025-01-09T12:00:00"/>
    <d v="2025-01-10T16:49:48"/>
    <x v="0"/>
    <s v="Bearing wear"/>
    <n v="1.01"/>
    <n v="4.84"/>
    <n v="13.93"/>
    <n v="7.79"/>
    <n v="1.26"/>
    <n v="28.83"/>
    <n v="691.92"/>
    <n v="0.11"/>
    <s v="W0362"/>
    <d v="2025-01-09T13:00:36"/>
    <d v="2025-01-10T16:49:48"/>
    <s v="Corrective"/>
    <n v="7.79"/>
    <n v="85"/>
    <n v="9159"/>
    <n v="0"/>
    <s v="Complete"/>
    <s v="Noise and vibration increased before stop"/>
    <n v="0"/>
    <x v="5"/>
    <n v="615.80880000000002"/>
    <d v="2025-01-01T00:00:00"/>
    <n v="46"/>
    <n v="28327.2048"/>
  </r>
  <r>
    <s v="E0363"/>
    <s v="A018"/>
    <d v="2025-01-28T12:00:00"/>
    <d v="2025-01-28T15:41:24"/>
    <x v="1"/>
    <s v="Scheduled service"/>
    <n v="0"/>
    <n v="0"/>
    <n v="0"/>
    <n v="3.69"/>
    <n v="0"/>
    <n v="3.69"/>
    <n v="88.56"/>
    <n v="0.25"/>
    <s v="W0363"/>
    <d v="2025-01-28T12:00:00"/>
    <d v="2025-01-28T15:41:24"/>
    <s v="Preventive"/>
    <n v="3.69"/>
    <n v="85"/>
    <n v="756"/>
    <n v="0"/>
    <s v="Complete"/>
    <s v="Scheduled inspection and service"/>
    <n v="0"/>
    <x v="5"/>
    <n v="66.42"/>
    <d v="2025-01-01T00:00:00"/>
    <n v="46"/>
    <n v="3055.32"/>
  </r>
  <r>
    <s v="E0364"/>
    <s v="A018"/>
    <d v="2025-02-06T12:00:00"/>
    <d v="2025-02-07T03:22:48"/>
    <x v="0"/>
    <s v="Bearing wear"/>
    <n v="4.04"/>
    <n v="1.41"/>
    <n v="0"/>
    <n v="8.6"/>
    <n v="1.33"/>
    <n v="15.38"/>
    <n v="369.12"/>
    <n v="0.2"/>
    <s v="W0364"/>
    <d v="2025-02-06T16:02:24"/>
    <d v="2025-02-07T03:22:48"/>
    <s v="Corrective"/>
    <n v="8.6"/>
    <n v="85"/>
    <n v="9659"/>
    <n v="0"/>
    <s v="Complete"/>
    <s v="Noise and vibration increased before stop"/>
    <n v="0"/>
    <x v="5"/>
    <n v="295.29599999999999"/>
    <d v="2025-02-01T00:00:00"/>
    <n v="44"/>
    <n v="12993.023999999999"/>
  </r>
  <r>
    <s v="E0365"/>
    <s v="A018"/>
    <d v="2025-02-20T12:00:00"/>
    <d v="2025-02-21T04:07:12"/>
    <x v="0"/>
    <s v="Bearing wear"/>
    <n v="0.91"/>
    <n v="1.71"/>
    <n v="0"/>
    <n v="11.28"/>
    <n v="2.2200000000000002"/>
    <n v="16.12"/>
    <n v="386.88"/>
    <n v="0.11"/>
    <s v="W0365"/>
    <d v="2025-02-20T12:54:36"/>
    <d v="2025-02-21T04:07:12"/>
    <s v="Corrective"/>
    <n v="11.28"/>
    <n v="85"/>
    <n v="3802"/>
    <n v="0"/>
    <s v="Complete"/>
    <s v="Noise and vibration increased before stop"/>
    <n v="0"/>
    <x v="5"/>
    <n v="344.32319999999999"/>
    <d v="2025-02-01T00:00:00"/>
    <n v="44"/>
    <n v="15150.220799999999"/>
  </r>
  <r>
    <s v="E0366"/>
    <s v="A018"/>
    <d v="2025-03-07T12:00:00"/>
    <d v="2025-03-08T04:06:00"/>
    <x v="0"/>
    <s v="Process upset"/>
    <n v="0.91"/>
    <n v="4.93"/>
    <n v="0"/>
    <n v="9.64"/>
    <n v="0.62"/>
    <n v="16.100000000000001"/>
    <n v="386.4"/>
    <n v="0.13"/>
    <s v="W0366"/>
    <d v="2025-03-07T12:54:36"/>
    <d v="2025-03-08T04:06:00"/>
    <s v="Corrective"/>
    <n v="9.64"/>
    <n v="85"/>
    <n v="5529"/>
    <n v="0"/>
    <s v="Complete"/>
    <s v="Feed conditions changed; equipment restarted"/>
    <n v="0"/>
    <x v="5"/>
    <n v="336.16800000000001"/>
    <d v="2025-03-01T00:00:00"/>
    <n v="42"/>
    <n v="14119.056"/>
  </r>
  <r>
    <s v="E0367"/>
    <s v="A018"/>
    <d v="2025-03-19T12:00:00"/>
    <d v="2025-03-20T12:51:36"/>
    <x v="0"/>
    <s v="Bearing wear"/>
    <n v="1.1499999999999999"/>
    <n v="3.26"/>
    <n v="10.86"/>
    <n v="8.1199999999999992"/>
    <n v="1.47"/>
    <n v="24.86"/>
    <n v="596.64"/>
    <n v="0.27"/>
    <s v="W0367"/>
    <d v="2025-03-19T13:09:00"/>
    <d v="2025-03-20T12:51:36"/>
    <s v="Corrective"/>
    <n v="16.239999999999998"/>
    <n v="85"/>
    <n v="6358"/>
    <n v="2245"/>
    <s v="Complete"/>
    <s v="Noise and vibration increased before stop"/>
    <n v="0"/>
    <x v="5"/>
    <n v="435.54719999999998"/>
    <d v="2025-03-01T00:00:00"/>
    <n v="42"/>
    <n v="18292.982400000001"/>
  </r>
  <r>
    <s v="E0368"/>
    <s v="A018"/>
    <d v="2025-04-04T12:00:00"/>
    <d v="2025-04-06T02:16:12"/>
    <x v="0"/>
    <s v="Process upset"/>
    <n v="4.62"/>
    <n v="2.6"/>
    <n v="25.43"/>
    <n v="4.83"/>
    <n v="0.79"/>
    <n v="38.270000000000003"/>
    <n v="918.48"/>
    <n v="0.24"/>
    <s v="W0368"/>
    <d v="2025-04-04T16:37:12"/>
    <d v="2025-04-06T02:16:12"/>
    <s v="Corrective"/>
    <n v="9.66"/>
    <n v="85"/>
    <n v="8840"/>
    <n v="0"/>
    <s v="Complete"/>
    <s v="Feed conditions changed; equipment restarted"/>
    <n v="0"/>
    <x v="5"/>
    <n v="698.04480000000001"/>
    <d v="2025-04-01T00:00:00"/>
    <n v="40"/>
    <n v="27921.792000000001"/>
  </r>
  <r>
    <s v="E0369"/>
    <s v="A018"/>
    <d v="2025-04-28T12:00:00"/>
    <d v="2025-04-28T18:10:48"/>
    <x v="1"/>
    <s v="Scheduled service"/>
    <n v="0"/>
    <n v="0"/>
    <n v="0"/>
    <n v="6.18"/>
    <n v="0"/>
    <n v="6.18"/>
    <n v="148.32"/>
    <n v="0.25"/>
    <s v="W0369"/>
    <d v="2025-04-28T12:00:00"/>
    <d v="2025-04-28T18:10:48"/>
    <s v="Preventive"/>
    <n v="12.36"/>
    <n v="85"/>
    <n v="1529"/>
    <n v="0"/>
    <s v="Complete"/>
    <s v="Scheduled inspection and service"/>
    <n v="0"/>
    <x v="5"/>
    <n v="111.24"/>
    <d v="2025-04-01T00:00:00"/>
    <n v="40"/>
    <n v="4449.5999999999995"/>
  </r>
  <r>
    <s v="E0370"/>
    <s v="A018"/>
    <d v="2025-05-05T12:00:00"/>
    <d v="2025-05-06T00:00:00"/>
    <x v="0"/>
    <s v="Unknown"/>
    <n v="3.56"/>
    <n v="1.42"/>
    <n v="0"/>
    <n v="4.66"/>
    <n v="2.36"/>
    <n v="12"/>
    <n v="288"/>
    <n v="0.12"/>
    <s v="W0370"/>
    <d v="2025-05-05T15:33:36"/>
    <d v="2025-05-06T00:00:00"/>
    <s v="Corrective"/>
    <n v="4.66"/>
    <n v="85"/>
    <n v="4880"/>
    <n v="0"/>
    <s v="Complete"/>
    <s v="Cause not confirmed; follow-up needed"/>
    <n v="0"/>
    <x v="5"/>
    <n v="253.44"/>
    <d v="2025-05-01T00:00:00"/>
    <n v="38"/>
    <n v="9630.7199999999993"/>
  </r>
  <r>
    <s v="E0371"/>
    <s v="A018"/>
    <d v="2025-05-22T12:00:00"/>
    <d v="2025-05-23T04:58:48"/>
    <x v="0"/>
    <s v="Process upset"/>
    <n v="1.0900000000000001"/>
    <n v="5.92"/>
    <n v="0"/>
    <n v="8.39"/>
    <n v="1.58"/>
    <n v="16.98"/>
    <n v="407.52"/>
    <n v="0.28999999999999998"/>
    <s v="W0371"/>
    <d v="2025-05-22T13:05:24"/>
    <d v="2025-05-23T04:58:48"/>
    <s v="Corrective"/>
    <n v="16.78"/>
    <n v="85"/>
    <n v="5209"/>
    <n v="0"/>
    <s v="Complete"/>
    <s v="Feed conditions changed; equipment restarted"/>
    <n v="0"/>
    <x v="5"/>
    <n v="289.33919999999995"/>
    <d v="2025-05-01T00:00:00"/>
    <n v="38"/>
    <n v="10994.889599999999"/>
  </r>
  <r>
    <s v="E0372"/>
    <s v="A018"/>
    <d v="2025-06-04T12:00:00"/>
    <d v="2025-06-05T15:01:48"/>
    <x v="0"/>
    <s v="Process upset"/>
    <n v="1.51"/>
    <n v="2.4700000000000002"/>
    <n v="13.28"/>
    <n v="8.84"/>
    <n v="0.93"/>
    <n v="27.03"/>
    <n v="648.72"/>
    <n v="0.22"/>
    <s v="W0372"/>
    <d v="2025-06-04T13:30:36"/>
    <d v="2025-06-05T15:01:48"/>
    <s v="Corrective"/>
    <n v="8.84"/>
    <n v="85"/>
    <n v="2833"/>
    <n v="0"/>
    <s v="Complete"/>
    <s v="Feed conditions changed; equipment restarted"/>
    <n v="0"/>
    <x v="5"/>
    <n v="506.00160000000005"/>
    <d v="2025-06-01T00:00:00"/>
    <n v="39"/>
    <n v="19734.062400000003"/>
  </r>
  <r>
    <s v="E0373"/>
    <s v="A018"/>
    <d v="2025-06-21T12:00:00"/>
    <d v="2025-06-22T10:14:24"/>
    <x v="0"/>
    <s v="Unknown"/>
    <n v="2.27"/>
    <n v="2.67"/>
    <n v="9.61"/>
    <n v="5.91"/>
    <n v="1.78"/>
    <n v="22.24"/>
    <n v="533.76"/>
    <n v="0.09"/>
    <s v="W0373"/>
    <d v="2025-06-21T14:16:12"/>
    <d v="2025-06-22T10:14:24"/>
    <s v="Corrective"/>
    <n v="5.91"/>
    <n v="85"/>
    <n v="1702"/>
    <n v="0"/>
    <s v="Complete"/>
    <s v="Cause not confirmed; follow-up needed"/>
    <n v="0"/>
    <x v="5"/>
    <n v="485.72160000000002"/>
    <d v="2025-06-01T00:00:00"/>
    <n v="39"/>
    <n v="18943.142400000001"/>
  </r>
  <r>
    <s v="E0374"/>
    <s v="A018"/>
    <d v="2025-07-10T12:00:00"/>
    <d v="2025-07-11T06:40:48"/>
    <x v="0"/>
    <s v="Bearing wear"/>
    <n v="0.85"/>
    <n v="5.44"/>
    <n v="0"/>
    <n v="11.79"/>
    <n v="0.6"/>
    <n v="18.68"/>
    <n v="448.32"/>
    <n v="0.2"/>
    <s v="W0374"/>
    <d v="2025-07-10T12:51:00"/>
    <d v="2025-07-11T06:40:48"/>
    <s v="Corrective"/>
    <n v="11.79"/>
    <n v="85"/>
    <n v="1329"/>
    <n v="0"/>
    <s v="Complete"/>
    <s v="Noise and vibration increased before stop"/>
    <n v="0"/>
    <x v="5"/>
    <n v="358.65600000000001"/>
    <d v="2025-07-01T00:00:00"/>
    <n v="41"/>
    <n v="14704.896000000001"/>
  </r>
  <r>
    <s v="E0375"/>
    <s v="A018"/>
    <d v="2025-07-21T12:00:00"/>
    <d v="2025-07-22T23:01:12"/>
    <x v="0"/>
    <s v="Electrical trip"/>
    <n v="2.04"/>
    <n v="3.75"/>
    <n v="19.649999999999999"/>
    <n v="8.66"/>
    <n v="0.92"/>
    <n v="35.020000000000003"/>
    <n v="840.48"/>
    <n v="0.2"/>
    <s v="W0375"/>
    <d v="2025-07-21T14:02:24"/>
    <d v="2025-07-22T23:01:12"/>
    <s v="Corrective"/>
    <n v="8.66"/>
    <n v="85"/>
    <n v="7220"/>
    <n v="0"/>
    <s v="Complete"/>
    <s v="Protective trip; reviewed electrical panel"/>
    <n v="0"/>
    <x v="5"/>
    <n v="672.38400000000001"/>
    <d v="2025-07-01T00:00:00"/>
    <n v="41"/>
    <n v="27567.743999999999"/>
  </r>
  <r>
    <s v="E0376"/>
    <s v="A018"/>
    <d v="2025-07-28T12:00:00"/>
    <d v="2025-07-28T17:27:00"/>
    <x v="1"/>
    <s v="Scheduled service"/>
    <n v="0"/>
    <n v="0"/>
    <n v="0"/>
    <n v="5.45"/>
    <n v="0"/>
    <n v="5.45"/>
    <n v="130.80000000000001"/>
    <n v="0.25"/>
    <s v="W0376"/>
    <d v="2025-07-28T12:00:00"/>
    <d v="2025-07-28T17:27:00"/>
    <s v="Preventive"/>
    <n v="5.45"/>
    <n v="85"/>
    <n v="1697"/>
    <n v="2775"/>
    <s v="Complete"/>
    <s v="Scheduled inspection and service"/>
    <n v="0"/>
    <x v="5"/>
    <n v="98.100000000000009"/>
    <d v="2025-07-01T00:00:00"/>
    <n v="41"/>
    <n v="4022.1000000000004"/>
  </r>
  <r>
    <s v="E0377"/>
    <s v="A018"/>
    <d v="2025-08-06T12:00:00"/>
    <d v="2025-08-08T01:42:00"/>
    <x v="0"/>
    <s v="Electrical trip"/>
    <n v="2.7"/>
    <n v="2.94"/>
    <n v="21.71"/>
    <n v="8"/>
    <n v="2.35"/>
    <n v="37.700000000000003"/>
    <n v="904.8"/>
    <n v="0.15"/>
    <s v="W0377"/>
    <d v="2025-08-06T14:42:00"/>
    <d v="2025-08-08T01:42:00"/>
    <s v="Corrective"/>
    <n v="16"/>
    <n v="85"/>
    <n v="3097"/>
    <n v="3454"/>
    <s v="Complete"/>
    <s v="Protective trip; reviewed electrical panel"/>
    <n v="0"/>
    <x v="5"/>
    <n v="769.07999999999993"/>
    <d v="2025-08-01T00:00:00"/>
    <n v="40"/>
    <n v="30763.199999999997"/>
  </r>
  <r>
    <s v="E0378"/>
    <s v="A018"/>
    <d v="2025-09-10T12:00:00"/>
    <d v="2025-09-11T04:12:36"/>
    <x v="0"/>
    <s v="Electrical trip"/>
    <n v="1.74"/>
    <n v="3.23"/>
    <n v="0"/>
    <n v="9.8699999999999992"/>
    <n v="1.37"/>
    <n v="16.21"/>
    <n v="389.04"/>
    <n v="0.15"/>
    <s v="W0378"/>
    <d v="2025-09-10T13:44:24"/>
    <d v="2025-09-11T04:12:36"/>
    <s v="Corrective"/>
    <n v="9.8699999999999992"/>
    <n v="85"/>
    <m/>
    <n v="0"/>
    <s v="Parts invoice pending"/>
    <s v="Protective trip; reviewed electrical panel"/>
    <n v="0"/>
    <x v="5"/>
    <n v="330.68400000000003"/>
    <d v="2025-09-01T00:00:00"/>
    <n v="37"/>
    <n v="12235.308000000001"/>
  </r>
  <r>
    <s v="E0379"/>
    <s v="A018"/>
    <d v="2025-09-19T12:00:00"/>
    <d v="2025-09-20T17:20:24"/>
    <x v="0"/>
    <s v="Bearing wear"/>
    <n v="3.96"/>
    <n v="1.76"/>
    <n v="12.77"/>
    <n v="10.02"/>
    <n v="0.83"/>
    <n v="29.34"/>
    <n v="704.16"/>
    <n v="0.17"/>
    <s v="W0379"/>
    <d v="2025-09-19T15:57:36"/>
    <d v="2025-09-20T17:20:24"/>
    <s v="Corrective"/>
    <n v="10.02"/>
    <n v="85"/>
    <n v="1946"/>
    <n v="1875"/>
    <s v="Complete"/>
    <s v="Noise and vibration increased before stop"/>
    <n v="0"/>
    <x v="5"/>
    <n v="584.45279999999991"/>
    <d v="2025-09-01T00:00:00"/>
    <n v="37"/>
    <n v="21624.753599999996"/>
  </r>
  <r>
    <s v="E0380"/>
    <s v="A018"/>
    <d v="2025-10-09T12:00:00"/>
    <d v="2025-10-10T03:38:24"/>
    <x v="0"/>
    <s v="Seal leak"/>
    <n v="1.92"/>
    <n v="4.5599999999999996"/>
    <n v="0"/>
    <n v="7.59"/>
    <n v="1.57"/>
    <n v="15.64"/>
    <n v="375.36"/>
    <n v="0.19"/>
    <s v="W0380"/>
    <d v="2025-10-09T13:55:12"/>
    <d v="2025-10-10T03:38:24"/>
    <s v="Corrective"/>
    <n v="7.59"/>
    <n v="85"/>
    <n v="8216"/>
    <n v="0"/>
    <s v="Complete"/>
    <s v="Visible leak reported during inspection"/>
    <n v="0"/>
    <x v="5"/>
    <n v="304.04160000000002"/>
    <d v="2025-10-01T00:00:00"/>
    <n v="36"/>
    <n v="10945.497600000001"/>
  </r>
  <r>
    <s v="E0381"/>
    <s v="A018"/>
    <d v="2025-10-20T12:00:00"/>
    <d v="2025-10-21T05:41:24"/>
    <x v="0"/>
    <s v="Electrical trip"/>
    <n v="1.32"/>
    <n v="5.85"/>
    <n v="0"/>
    <n v="9.57"/>
    <n v="0.95"/>
    <n v="17.690000000000001"/>
    <n v="424.56"/>
    <n v="0.14000000000000001"/>
    <s v="W0381"/>
    <d v="2025-10-20T13:19:12"/>
    <d v="2025-10-21T05:41:24"/>
    <s v="Corrective"/>
    <n v="9.57"/>
    <n v="85"/>
    <n v="6143"/>
    <n v="0"/>
    <s v="Complete"/>
    <s v="Protective trip; reviewed electrical panel"/>
    <n v="0"/>
    <x v="5"/>
    <n v="365.1216"/>
    <d v="2025-10-01T00:00:00"/>
    <n v="36"/>
    <n v="13144.3776"/>
  </r>
  <r>
    <s v="E0382"/>
    <s v="A018"/>
    <d v="2025-10-28T12:00:00"/>
    <d v="2025-10-28T15:18:00"/>
    <x v="1"/>
    <s v="Scheduled service"/>
    <n v="0"/>
    <n v="0"/>
    <n v="0"/>
    <n v="3.3"/>
    <n v="0"/>
    <n v="3.3"/>
    <n v="79.2"/>
    <n v="0.25"/>
    <s v="W0382"/>
    <d v="2025-10-28T12:00:00"/>
    <d v="2025-10-28T15:18:00"/>
    <s v="Preventive"/>
    <n v="3.3"/>
    <n v="85"/>
    <n v="1360"/>
    <n v="0"/>
    <s v="Complete"/>
    <s v="Scheduled inspection and service"/>
    <n v="0"/>
    <x v="5"/>
    <n v="59.400000000000006"/>
    <d v="2025-10-01T00:00:00"/>
    <n v="36"/>
    <n v="2138.4"/>
  </r>
  <r>
    <s v="E0383"/>
    <s v="A018"/>
    <d v="2025-11-06T12:00:00"/>
    <d v="2025-11-07T21:41:24"/>
    <x v="0"/>
    <s v="Process upset"/>
    <n v="2.57"/>
    <n v="6.11"/>
    <n v="20.66"/>
    <n v="2.73"/>
    <n v="1.62"/>
    <n v="33.69"/>
    <n v="808.56"/>
    <n v="0.12"/>
    <s v="W0383"/>
    <d v="2025-11-06T14:34:12"/>
    <d v="2025-11-07T21:41:24"/>
    <s v="Corrective"/>
    <n v="2.73"/>
    <n v="85"/>
    <n v="8885"/>
    <n v="0"/>
    <s v="Complete"/>
    <s v="Feed conditions changed; equipment restarted"/>
    <n v="0"/>
    <x v="5"/>
    <n v="711.53279999999995"/>
    <d v="2025-11-01T00:00:00"/>
    <n v="38"/>
    <n v="27038.246399999996"/>
  </r>
  <r>
    <s v="E0384"/>
    <s v="A018"/>
    <d v="2025-11-20T12:00:00"/>
    <d v="2025-11-21T00:58:48"/>
    <x v="0"/>
    <s v="Unknown"/>
    <n v="3.58"/>
    <n v="5.13"/>
    <n v="0"/>
    <n v="3.27"/>
    <n v="1"/>
    <n v="12.98"/>
    <n v="311.52"/>
    <n v="0.28000000000000003"/>
    <s v="W0384"/>
    <d v="2025-11-20T15:34:48"/>
    <d v="2025-11-21T00:58:48"/>
    <s v="Corrective"/>
    <n v="6.54"/>
    <n v="85"/>
    <n v="4003"/>
    <n v="0"/>
    <s v="Complete"/>
    <s v="Cause not confirmed; follow-up needed"/>
    <n v="0"/>
    <x v="5"/>
    <n v="224.29439999999997"/>
    <d v="2025-11-01T00:00:00"/>
    <n v="38"/>
    <n v="8523.1871999999985"/>
  </r>
  <r>
    <s v="E0385"/>
    <s v="A018"/>
    <d v="2025-12-04T12:00:00"/>
    <d v="2025-12-05T00:53:24"/>
    <x v="0"/>
    <s v="Seal leak"/>
    <n v="1.32"/>
    <n v="4.97"/>
    <n v="0"/>
    <n v="4.41"/>
    <n v="2.19"/>
    <n v="12.89"/>
    <n v="309.36"/>
    <n v="0.2"/>
    <s v="W0385"/>
    <d v="2025-12-04T13:19:12"/>
    <d v="2025-12-05T00:53:24"/>
    <s v="Corrective"/>
    <n v="8.82"/>
    <n v="85"/>
    <n v="9526"/>
    <n v="0"/>
    <s v="Complete"/>
    <s v="Visible leak reported during inspection"/>
    <n v="0"/>
    <x v="5"/>
    <n v="247.48800000000003"/>
    <d v="2025-12-01T00:00:00"/>
    <n v="39"/>
    <n v="9652.03200000000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7B0BAE-149D-4785-B217-0DC0987C6BDA}" name="PivotTable2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2:B29" firstHeaderRow="1" firstDataRow="1" firstDataCol="1"/>
  <pivotFields count="30">
    <pivotField compact="0" outline="0" showAll="0"/>
    <pivotField compact="0" outline="0" showAll="0"/>
    <pivotField compact="0" numFmtId="14" outline="0" showAll="0"/>
    <pivotField compact="0" numFmtId="164" outline="0" showAll="0"/>
    <pivotField compact="0" outline="0" showAll="0"/>
    <pivotField compact="0" outline="0" showAll="0"/>
    <pivotField compact="0" numFmtId="2" outline="0" showAll="0"/>
    <pivotField compact="0" numFmtId="2" outline="0" showAll="0"/>
    <pivotField dataField="1" compact="0" numFmtId="2" outline="0" showAll="0"/>
    <pivotField compact="0" numFmtId="2" outline="0" showAll="0"/>
    <pivotField compact="0" numFmtId="2" outline="0" showAll="0"/>
    <pivotField compact="0" numFmtId="2" outline="0" showAll="0"/>
    <pivotField compact="0" numFmtId="2" outline="0" showAll="0"/>
    <pivotField compact="0" numFmtId="2" outline="0" showAll="0"/>
    <pivotField compact="0" outline="0" showAll="0"/>
    <pivotField compact="0" numFmtId="164" outline="0" showAll="0"/>
    <pivotField compact="0" numFmtId="164" outline="0" showAll="0"/>
    <pivotField compact="0" outline="0" showAll="0"/>
    <pivotField compact="0" numFmtId="2" outline="0" showAll="0"/>
    <pivotField compact="0" outline="0" showAll="0"/>
    <pivotField compact="0" outline="0" showAll="0"/>
    <pivotField compact="0" numFmtId="2" outline="0" showAll="0"/>
    <pivotField compact="0" outline="0" showAll="0"/>
    <pivotField compact="0" outline="0" showAll="0"/>
    <pivotField compact="0" numFmtId="2" outline="0" showAll="0"/>
    <pivotField axis="axisRow" compact="0" outline="0" showAll="0">
      <items count="7">
        <item x="3"/>
        <item x="4"/>
        <item x="0"/>
        <item x="2"/>
        <item x="1"/>
        <item x="5"/>
        <item t="default"/>
      </items>
    </pivotField>
    <pivotField compact="0" outline="0" showAll="0"/>
    <pivotField compact="0" numFmtId="14" outline="0" showAll="0"/>
    <pivotField compact="0" outline="0" showAll="0"/>
    <pivotField compact="0" outline="0" showAll="0"/>
  </pivotFields>
  <rowFields count="1">
    <field x="2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parts_wait_hours" fld="8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DBC6C6-346A-46AE-82A8-4D077E149BF7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C10" firstHeaderRow="0" firstDataRow="1" firstDataCol="1" rowPageCount="1" colPageCount="1"/>
  <pivotFields count="30">
    <pivotField compact="0" outline="0" showAll="0"/>
    <pivotField compact="0" outline="0" showAll="0"/>
    <pivotField compact="0" numFmtId="14" outline="0" showAll="0"/>
    <pivotField compact="0" outline="0" showAll="0"/>
    <pivotField axis="axisPage" compact="0" outline="0" showAll="0">
      <items count="3">
        <item h="1" x="1"/>
        <item x="0"/>
        <item t="default"/>
      </items>
    </pivotField>
    <pivotField compact="0" outline="0" showAll="0"/>
    <pivotField compact="0" numFmtId="2" outline="0" showAll="0"/>
    <pivotField compact="0" numFmtId="2" outline="0" showAll="0"/>
    <pivotField compact="0" numFmtId="2" outline="0" showAll="0"/>
    <pivotField compact="0" numFmtId="2" outline="0" showAll="0"/>
    <pivotField compact="0" numFmtId="2" outline="0" showAll="0"/>
    <pivotField dataField="1" compact="0" numFmtId="2" outline="0" showAll="0"/>
    <pivotField compact="0" numFmtId="2" outline="0" showAll="0"/>
    <pivotField compact="0" numFmtId="2" outline="0" showAll="0"/>
    <pivotField compact="0" outline="0" showAll="0"/>
    <pivotField compact="0" numFmtId="164" outline="0" showAll="0"/>
    <pivotField compact="0" numFmtId="164" outline="0" showAll="0"/>
    <pivotField compact="0" outline="0" showAll="0"/>
    <pivotField compact="0" numFmtId="2" outline="0" showAll="0"/>
    <pivotField compact="0" outline="0" showAll="0"/>
    <pivotField compact="0" outline="0" showAll="0"/>
    <pivotField compact="0" numFmtId="2" outline="0" showAll="0"/>
    <pivotField compact="0" outline="0" showAll="0"/>
    <pivotField compact="0" outline="0" showAll="0"/>
    <pivotField compact="0" numFmtId="2" outline="0" showAll="0"/>
    <pivotField axis="axisRow" compact="0" outline="0" showAll="0">
      <items count="7">
        <item x="3"/>
        <item x="4"/>
        <item x="0"/>
        <item x="2"/>
        <item x="1"/>
        <item x="5"/>
        <item t="default"/>
      </items>
    </pivotField>
    <pivotField compact="0" outline="0" showAll="0"/>
    <pivotField compact="0" numFmtId="14" outline="0" showAll="0"/>
    <pivotField compact="0" outline="0" showAll="0"/>
    <pivotField dataField="1" compact="0" outline="0" showAll="0"/>
  </pivotFields>
  <rowFields count="1">
    <field x="2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pageFields count="1">
    <pageField fld="4" item="1" hier="-1"/>
  </pageFields>
  <dataFields count="2">
    <dataField name="Sum of Loss" fld="29" baseField="0" baseItem="0"/>
    <dataField name="Sum of stopped_hours" fld="11" baseField="0" baseItem="0" numFmtId="2"/>
  </dataFields>
  <chartFormats count="3">
    <chartFormat chart="0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sets" displayName="TAssets" ref="A1:R19">
  <tableColumns count="18">
    <tableColumn id="1" xr3:uid="{00000000-0010-0000-0000-000001000000}" name="asset_id"/>
    <tableColumn id="2" xr3:uid="{00000000-0010-0000-0000-000002000000}" name="site_id"/>
    <tableColumn id="3" xr3:uid="{00000000-0010-0000-0000-000003000000}" name="asset_type"/>
    <tableColumn id="4" xr3:uid="{00000000-0010-0000-0000-000004000000}" name="age_years"/>
    <tableColumn id="5" xr3:uid="{00000000-0010-0000-0000-000005000000}" name="modeled_capacity_bbl_hr" dataDxfId="10"/>
    <tableColumn id="6" xr3:uid="{00000000-0010-0000-0000-000006000000}" name="criticality"/>
    <tableColumn id="7" xr3:uid="{00000000-0010-0000-0000-000007000000}" name="vibration_normal_mm_s"/>
    <tableColumn id="8" xr3:uid="{00000000-0010-0000-0000-000008000000}" name="temperature_normal_c"/>
    <tableColumn id="9" xr3:uid="{00000000-0010-0000-0000-000009000000}" name="replacement_usd"/>
    <tableColumn id="10" xr3:uid="{00000000-0010-0000-0000-00000A000000}" name="site_name"/>
    <tableColumn id="11" xr3:uid="{00000000-0010-0000-0000-00000B000000}" name="network_uptime_pct"/>
    <tableColumn id="12" xr3:uid="{00000000-0010-0000-0000-00000C000000}" name="technicians"/>
    <tableColumn id="13" xr3:uid="{00000000-0010-0000-0000-00000D000000}" name="spare_fill_pct"/>
    <tableColumn id="14" xr3:uid="{00000000-0010-0000-0000-00000E000000}" name="training_hours_per_person"/>
    <tableColumn id="15" xr3:uid="{00000000-0010-0000-0000-00000F000000}" name="edge_setup_usd"/>
    <tableColumn id="16" xr3:uid="{00000000-0010-0000-0000-000010000000}" name="edge_annual_usd"/>
    <tableColumn id="17" xr3:uid="{00000000-0010-0000-0000-000011000000}" name="cleanup_setup_usd"/>
    <tableColumn id="18" xr3:uid="{00000000-0010-0000-0000-000012000000}" name="available_project_hours"/>
  </tableColumns>
  <tableStyleInfo name="Asset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vents" displayName="TEvents" ref="A1:AD386">
  <tableColumns count="30">
    <tableColumn id="1" xr3:uid="{00000000-0010-0000-0100-000001000000}" name="event_id"/>
    <tableColumn id="2" xr3:uid="{00000000-0010-0000-0100-000002000000}" name="asset_id" dataDxfId="9"/>
    <tableColumn id="3" xr3:uid="{00000000-0010-0000-0100-000003000000}" name="start_utc" dataDxfId="8"/>
    <tableColumn id="4" xr3:uid="{00000000-0010-0000-0100-000004000000}" name="end_utc"/>
    <tableColumn id="5" xr3:uid="{00000000-0010-0000-0100-000005000000}" name="event_type"/>
    <tableColumn id="6" xr3:uid="{00000000-0010-0000-0100-000006000000}" name="cause"/>
    <tableColumn id="7" xr3:uid="{00000000-0010-0000-0100-000007000000}" name="detect_hours"/>
    <tableColumn id="8" xr3:uid="{00000000-0010-0000-0100-000008000000}" name="dispatch_hours"/>
    <tableColumn id="9" xr3:uid="{00000000-0010-0000-0100-000009000000}" name="parts_wait_hours"/>
    <tableColumn id="10" xr3:uid="{00000000-0010-0000-0100-00000A000000}" name="repair_hours"/>
    <tableColumn id="11" xr3:uid="{00000000-0010-0000-0100-00000B000000}" name="restart_hours"/>
    <tableColumn id="12" xr3:uid="{00000000-0010-0000-0100-00000C000000}" name="stopped_hours"/>
    <tableColumn id="13" xr3:uid="{00000000-0010-0000-0100-00000D000000}" name="lost_oil_bbl"/>
    <tableColumn id="14" xr3:uid="{00000000-0010-0000-0100-00000E000000}" name="recoverable_fraction"/>
    <tableColumn id="15" xr3:uid="{00000000-0010-0000-0100-00000F000000}" name="work_order_id"/>
    <tableColumn id="16" xr3:uid="{00000000-0010-0000-0100-000010000000}" name="opened_utc"/>
    <tableColumn id="17" xr3:uid="{00000000-0010-0000-0100-000011000000}" name="closed_utc"/>
    <tableColumn id="18" xr3:uid="{00000000-0010-0000-0100-000012000000}" name="work_type"/>
    <tableColumn id="19" xr3:uid="{00000000-0010-0000-0100-000013000000}" name="labor_hours"/>
    <tableColumn id="20" xr3:uid="{00000000-0010-0000-0100-000014000000}" name="labor_rate_usd_hr"/>
    <tableColumn id="21" xr3:uid="{00000000-0010-0000-0100-000015000000}" name="parts_usd"/>
    <tableColumn id="22" xr3:uid="{00000000-0010-0000-0100-000016000000}" name="contractor_usd"/>
    <tableColumn id="23" xr3:uid="{00000000-0010-0000-0100-000017000000}" name="cost_status"/>
    <tableColumn id="24" xr3:uid="{00000000-0010-0000-0100-000018000000}" name="technician_note"/>
    <tableColumn id="25" xr3:uid="{00000000-0010-0000-0100-000019000000}" name="protected_repair_hours"/>
    <tableColumn id="26" xr3:uid="{F3320DD6-D9B9-49DB-90A9-EC71FEAF7BFB}" name="Site" dataDxfId="7">
      <calculatedColumnFormula>INDEX(Assets!$J:$J,MATCH(UPPER(TRIM(B2)),Assets!$A:$A,0))</calculatedColumnFormula>
    </tableColumn>
    <tableColumn id="27" xr3:uid="{C9C79086-DF92-4BBC-991F-FBC51A42905A}" name="Unrecovered bbl" dataDxfId="6">
      <calculatedColumnFormula>M2*(1-N2)</calculatedColumnFormula>
    </tableColumn>
    <tableColumn id="28" xr3:uid="{9F45A6F4-7260-40BF-B489-B9FF90AEA735}" name="Month" dataDxfId="5">
      <calculatedColumnFormula>DATE(YEAR(C2),MONTH(C2),1)</calculatedColumnFormula>
    </tableColumn>
    <tableColumn id="29" xr3:uid="{AAFCACCB-CB30-4926-904E-384D042C8B31}" name="Margin" dataDxfId="4">
      <calculatedColumnFormula>SUMIFS(Production!$H:$H,Production!$A:$A,UPPER(TRIM(B2)),Production!$B:$B,AB2)-SUMIFS(Production!$I:$I,Production!$A:$A,UPPER(TRIM(B2)),Production!$B:$B,AB2)</calculatedColumnFormula>
    </tableColumn>
    <tableColumn id="30" xr3:uid="{833C587D-A6C0-4559-977F-BAF1BA6936CB}" name="Loss" dataDxfId="3">
      <calculatedColumnFormula>AA2*AC2</calculatedColumnFormula>
    </tableColumn>
  </tableColumns>
  <tableStyleInfo name="Events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Production" displayName="TProduction" ref="A1:I217">
  <tableColumns count="9">
    <tableColumn id="1" xr3:uid="{00000000-0010-0000-0200-000001000000}" name="asset_id"/>
    <tableColumn id="2" xr3:uid="{00000000-0010-0000-0200-000002000000}" name="month"/>
    <tableColumn id="3" xr3:uid="{00000000-0010-0000-0200-000003000000}" name="calendar_hours"/>
    <tableColumn id="4" xr3:uid="{00000000-0010-0000-0200-000004000000}" name="potential_oil_bbl"/>
    <tableColumn id="5" xr3:uid="{00000000-0010-0000-0200-000005000000}" name="produced_oil_bbl"/>
    <tableColumn id="6" xr3:uid="{00000000-0010-0000-0200-000006000000}" name="gross_deferred_bbl"/>
    <tableColumn id="7" xr3:uid="{00000000-0010-0000-0200-000007000000}" name="recovered_oil_bbl"/>
    <tableColumn id="8" xr3:uid="{00000000-0010-0000-0200-000008000000}" name="price_usd_bbl"/>
    <tableColumn id="9" xr3:uid="{00000000-0010-0000-0200-000009000000}" name="variable_cost_usd_bbl"/>
  </tableColumns>
  <tableStyleInfo name="Production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Readings" displayName="TReadings" ref="A1:J6571">
  <tableColumns count="10">
    <tableColumn id="1" xr3:uid="{00000000-0010-0000-0300-000001000000}" name="reading_id"/>
    <tableColumn id="2" xr3:uid="{00000000-0010-0000-0300-000002000000}" name="asset_tag"/>
    <tableColumn id="3" xr3:uid="{00000000-0010-0000-0300-000003000000}" name="observed_utc"/>
    <tableColumn id="4" xr3:uid="{00000000-0010-0000-0300-000004000000}" name="received_utc"/>
    <tableColumn id="5" xr3:uid="{00000000-0010-0000-0300-000005000000}" name="vibration_mm_s"/>
    <tableColumn id="6" xr3:uid="{00000000-0010-0000-0300-000006000000}" name="temperature_c"/>
    <tableColumn id="7" xr3:uid="{00000000-0010-0000-0300-000007000000}" name="operating_state"/>
    <tableColumn id="8" xr3:uid="{00000000-0010-0000-0300-000008000000}" name="quality"/>
    <tableColumn id="9" xr3:uid="{00000000-0010-0000-0300-000009000000}" name="inspection_note"/>
    <tableColumn id="10" xr3:uid="{00000000-0010-0000-0300-00000A000000}" name="asset_id"/>
  </tableColumns>
  <tableStyleInfo name="Reading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Solutions" displayName="TSolutions" ref="A1:Z7">
  <tableColumns count="26">
    <tableColumn id="1" xr3:uid="{00000000-0010-0000-0400-000001000000}" name="option_id"/>
    <tableColumn id="2" xr3:uid="{00000000-0010-0000-0400-000002000000}" name="option_name"/>
    <tableColumn id="3" xr3:uid="{00000000-0010-0000-0400-000003000000}" name="billing_unit"/>
    <tableColumn id="4" xr3:uid="{00000000-0010-0000-0400-000004000000}" name="setup_usd"/>
    <tableColumn id="5" xr3:uid="{00000000-0010-0000-0400-000005000000}" name="annual_usd"/>
    <tableColumn id="6" xr3:uid="{00000000-0010-0000-0400-000006000000}" name="lead_months"/>
    <tableColumn id="7" xr3:uid="{00000000-0010-0000-0400-000007000000}" name="install_person_hours"/>
    <tableColumn id="8" xr3:uid="{00000000-0010-0000-0400-000008000000}" name="applicable_types"/>
    <tableColumn id="9" xr3:uid="{00000000-0010-0000-0400-000009000000}" name="prerequisite"/>
    <tableColumn id="10" xr3:uid="{00000000-0010-0000-0400-00000A000000}" name="benefit_rule"/>
    <tableColumn id="11" xr3:uid="{00000000-0010-0000-0400-00000B000000}" name="eligible_causes"/>
    <tableColumn id="12" xr3:uid="{00000000-0010-0000-0400-00000C000000}" name="detect_low"/>
    <tableColumn id="13" xr3:uid="{00000000-0010-0000-0400-00000D000000}" name="detect_base"/>
    <tableColumn id="14" xr3:uid="{00000000-0010-0000-0400-00000E000000}" name="detect_high"/>
    <tableColumn id="15" xr3:uid="{00000000-0010-0000-0400-00000F000000}" name="dispatch_low"/>
    <tableColumn id="16" xr3:uid="{00000000-0010-0000-0400-000010000000}" name="dispatch_base"/>
    <tableColumn id="17" xr3:uid="{00000000-0010-0000-0400-000011000000}" name="dispatch_high"/>
    <tableColumn id="18" xr3:uid="{00000000-0010-0000-0400-000012000000}" name="parts_wait_low"/>
    <tableColumn id="19" xr3:uid="{00000000-0010-0000-0400-000013000000}" name="parts_wait_base"/>
    <tableColumn id="20" xr3:uid="{00000000-0010-0000-0400-000014000000}" name="parts_wait_high"/>
    <tableColumn id="21" xr3:uid="{00000000-0010-0000-0400-000015000000}" name="repair_low"/>
    <tableColumn id="22" xr3:uid="{00000000-0010-0000-0400-000016000000}" name="repair_base"/>
    <tableColumn id="23" xr3:uid="{00000000-0010-0000-0400-000017000000}" name="repair_high"/>
    <tableColumn id="24" xr3:uid="{00000000-0010-0000-0400-000018000000}" name="restart_low"/>
    <tableColumn id="25" xr3:uid="{00000000-0010-0000-0400-000019000000}" name="restart_base"/>
    <tableColumn id="26" xr3:uid="{00000000-0010-0000-0400-00001A000000}" name="restart_high"/>
  </tableColumns>
  <tableStyleInfo name="Solutions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HSE" displayName="THSE" ref="A1:T38">
  <tableColumns count="20">
    <tableColumn id="1" xr3:uid="{00000000-0010-0000-0500-000001000000}" name="hse_id"/>
    <tableColumn id="2" xr3:uid="{00000000-0010-0000-0500-000002000000}" name="event_id"/>
    <tableColumn id="3" xr3:uid="{00000000-0010-0000-0500-000003000000}" name="asset_id"/>
    <tableColumn id="4" xr3:uid="{00000000-0010-0000-0500-000004000000}" name="site_id"/>
    <tableColumn id="5" xr3:uid="{00000000-0010-0000-0500-000005000000}" name="observed_utc"/>
    <tableColumn id="6" xr3:uid="{00000000-0010-0000-0500-000006000000}" name="hazard"/>
    <tableColumn id="7" xr3:uid="{00000000-0010-0000-0500-000007000000}" name="outcome"/>
    <tableColumn id="8" xr3:uid="{00000000-0010-0000-0500-000008000000}" name="potential_severity"/>
    <tableColumn id="9" xr3:uid="{00000000-0010-0000-0500-000009000000}" name="likelihood_band"/>
    <tableColumn id="10" xr3:uid="{00000000-0010-0000-0500-00000A000000}" name="control_gap"/>
    <tableColumn id="11" xr3:uid="{00000000-0010-0000-0500-00000B000000}" name="action_owner"/>
    <tableColumn id="12" xr3:uid="{00000000-0010-0000-0500-00000C000000}" name="due_date" dataDxfId="2"/>
    <tableColumn id="13" xr3:uid="{00000000-0010-0000-0500-00000D000000}" name="closed_date" dataDxfId="1"/>
    <tableColumn id="14" xr3:uid="{00000000-0010-0000-0500-00000E000000}" name="action_status"/>
    <tableColumn id="15" xr3:uid="{00000000-0010-0000-0500-00000F000000}" name="action_setup_usd"/>
    <tableColumn id="16" xr3:uid="{00000000-0010-0000-0500-000010000000}" name="action_annual_usd"/>
    <tableColumn id="17" xr3:uid="{00000000-0010-0000-0500-000011000000}" name="action_person_hours"/>
    <tableColumn id="18" xr3:uid="{00000000-0010-0000-0500-000012000000}" name="spilled_oil_bbl"/>
    <tableColumn id="19" xr3:uid="{00000000-0010-0000-0500-000013000000}" name="recovered_spill_bbl"/>
    <tableColumn id="20" xr3:uid="{00000000-0010-0000-0500-000014000000}" name="status_as_of" dataDxfId="0"/>
  </tableColumns>
  <tableStyleInfo name="HSE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ReadMe" displayName="TReadMe" ref="A1:B26">
  <tableColumns count="2">
    <tableColumn id="1" xr3:uid="{00000000-0010-0000-0600-000001000000}" name="Topic"/>
    <tableColumn id="2" xr3:uid="{00000000-0010-0000-0600-000002000000}" name="Instructions"/>
  </tableColumns>
  <tableStyleInfo name="ReadMe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Dictionary" displayName="TDictionary" ref="A1:F109">
  <tableColumns count="6">
    <tableColumn id="1" xr3:uid="{00000000-0010-0000-0700-000001000000}" name="Table"/>
    <tableColumn id="2" xr3:uid="{00000000-0010-0000-0700-000002000000}" name="Field"/>
    <tableColumn id="3" xr3:uid="{00000000-0010-0000-0700-000003000000}" name="Meaning"/>
    <tableColumn id="4" xr3:uid="{00000000-0010-0000-0700-000004000000}" name="Units"/>
    <tableColumn id="5" xr3:uid="{00000000-0010-0000-0700-000005000000}" name="Calculation or source"/>
    <tableColumn id="6" xr3:uid="{00000000-0010-0000-0700-000006000000}" name="Limitations"/>
  </tableColumns>
  <tableStyleInfo name="Dictionary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0"/>
  <sheetViews>
    <sheetView showGridLines="0" topLeftCell="L1" workbookViewId="0">
      <pane ySplit="1" topLeftCell="A13" activePane="bottomLeft" state="frozen"/>
      <selection pane="bottomLeft" activeCell="D24" sqref="D24"/>
    </sheetView>
  </sheetViews>
  <sheetFormatPr defaultColWidth="12.625" defaultRowHeight="15" customHeight="1"/>
  <cols>
    <col min="1" max="18" width="22" customWidth="1"/>
    <col min="19" max="26" width="8.875" customWidth="1"/>
  </cols>
  <sheetData>
    <row r="1" spans="1:18" ht="4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t="21" customHeight="1">
      <c r="A2" s="2" t="s">
        <v>18</v>
      </c>
      <c r="B2" s="2" t="s">
        <v>19</v>
      </c>
      <c r="C2" s="2" t="s">
        <v>20</v>
      </c>
      <c r="D2" s="2">
        <v>9</v>
      </c>
      <c r="E2" s="3">
        <v>22</v>
      </c>
      <c r="F2" s="2" t="s">
        <v>21</v>
      </c>
      <c r="G2" s="2">
        <v>2.7</v>
      </c>
      <c r="H2" s="2">
        <v>62</v>
      </c>
      <c r="I2" s="3">
        <v>110000</v>
      </c>
      <c r="J2" s="2" t="s">
        <v>22</v>
      </c>
      <c r="K2" s="2">
        <v>99.2</v>
      </c>
      <c r="L2" s="2">
        <v>4</v>
      </c>
      <c r="M2" s="2">
        <v>86</v>
      </c>
      <c r="N2" s="2">
        <v>12</v>
      </c>
      <c r="O2" s="3">
        <v>8000</v>
      </c>
      <c r="P2" s="3">
        <v>1500</v>
      </c>
      <c r="Q2" s="3">
        <v>6000</v>
      </c>
      <c r="R2" s="3">
        <v>210</v>
      </c>
    </row>
    <row r="3" spans="1:18" ht="21" customHeight="1">
      <c r="A3" s="2" t="s">
        <v>23</v>
      </c>
      <c r="B3" s="2" t="s">
        <v>19</v>
      </c>
      <c r="C3" s="2" t="s">
        <v>24</v>
      </c>
      <c r="D3" s="2">
        <v>6</v>
      </c>
      <c r="E3" s="3">
        <v>16</v>
      </c>
      <c r="F3" s="2" t="s">
        <v>25</v>
      </c>
      <c r="G3" s="2">
        <v>2.7</v>
      </c>
      <c r="H3" s="2">
        <v>62</v>
      </c>
      <c r="I3" s="3">
        <v>135000</v>
      </c>
      <c r="J3" s="2" t="s">
        <v>22</v>
      </c>
      <c r="K3" s="2">
        <v>99.2</v>
      </c>
      <c r="L3" s="2">
        <v>4</v>
      </c>
      <c r="M3" s="2">
        <v>86</v>
      </c>
      <c r="N3" s="2">
        <v>12</v>
      </c>
      <c r="O3" s="3">
        <v>8000</v>
      </c>
      <c r="P3" s="3">
        <v>1500</v>
      </c>
      <c r="Q3" s="3">
        <v>6000</v>
      </c>
      <c r="R3" s="3">
        <v>210</v>
      </c>
    </row>
    <row r="4" spans="1:18" ht="21" customHeight="1">
      <c r="A4" s="2" t="s">
        <v>26</v>
      </c>
      <c r="B4" s="2" t="s">
        <v>19</v>
      </c>
      <c r="C4" s="2" t="s">
        <v>27</v>
      </c>
      <c r="D4" s="2">
        <v>11</v>
      </c>
      <c r="E4" s="3">
        <v>28</v>
      </c>
      <c r="F4" s="2" t="s">
        <v>21</v>
      </c>
      <c r="G4" s="2">
        <v>3.4</v>
      </c>
      <c r="H4" s="2">
        <v>76</v>
      </c>
      <c r="I4" s="3">
        <v>210000</v>
      </c>
      <c r="J4" s="2" t="s">
        <v>22</v>
      </c>
      <c r="K4" s="2">
        <v>99.2</v>
      </c>
      <c r="L4" s="2">
        <v>4</v>
      </c>
      <c r="M4" s="2">
        <v>86</v>
      </c>
      <c r="N4" s="2">
        <v>12</v>
      </c>
      <c r="O4" s="3">
        <v>8000</v>
      </c>
      <c r="P4" s="3">
        <v>1500</v>
      </c>
      <c r="Q4" s="3">
        <v>6000</v>
      </c>
      <c r="R4" s="3">
        <v>210</v>
      </c>
    </row>
    <row r="5" spans="1:18" ht="21" customHeight="1">
      <c r="A5" s="2" t="s">
        <v>28</v>
      </c>
      <c r="B5" s="2" t="s">
        <v>29</v>
      </c>
      <c r="C5" s="2" t="s">
        <v>20</v>
      </c>
      <c r="D5" s="2">
        <v>13</v>
      </c>
      <c r="E5" s="3">
        <v>30</v>
      </c>
      <c r="F5" s="2" t="s">
        <v>21</v>
      </c>
      <c r="G5" s="2">
        <v>2.7</v>
      </c>
      <c r="H5" s="2">
        <v>62</v>
      </c>
      <c r="I5" s="3">
        <v>110000</v>
      </c>
      <c r="J5" s="2" t="s">
        <v>30</v>
      </c>
      <c r="K5" s="2">
        <v>96.4</v>
      </c>
      <c r="L5" s="2">
        <v>3</v>
      </c>
      <c r="M5" s="2">
        <v>65</v>
      </c>
      <c r="N5" s="2">
        <v>20</v>
      </c>
      <c r="O5" s="3">
        <v>16000</v>
      </c>
      <c r="P5" s="3">
        <v>2500</v>
      </c>
      <c r="Q5" s="3">
        <v>14000</v>
      </c>
      <c r="R5" s="3">
        <v>170</v>
      </c>
    </row>
    <row r="6" spans="1:18" ht="21" customHeight="1">
      <c r="A6" s="2" t="s">
        <v>31</v>
      </c>
      <c r="B6" s="2" t="s">
        <v>29</v>
      </c>
      <c r="C6" s="2" t="s">
        <v>24</v>
      </c>
      <c r="D6" s="2">
        <v>10</v>
      </c>
      <c r="E6" s="3">
        <v>22</v>
      </c>
      <c r="F6" s="2" t="s">
        <v>25</v>
      </c>
      <c r="G6" s="2">
        <v>2.7</v>
      </c>
      <c r="H6" s="2">
        <v>62</v>
      </c>
      <c r="I6" s="3">
        <v>135000</v>
      </c>
      <c r="J6" s="2" t="s">
        <v>30</v>
      </c>
      <c r="K6" s="2">
        <v>96.4</v>
      </c>
      <c r="L6" s="2">
        <v>3</v>
      </c>
      <c r="M6" s="2">
        <v>65</v>
      </c>
      <c r="N6" s="2">
        <v>20</v>
      </c>
      <c r="O6" s="3">
        <v>16000</v>
      </c>
      <c r="P6" s="3">
        <v>2500</v>
      </c>
      <c r="Q6" s="3">
        <v>14000</v>
      </c>
      <c r="R6" s="3">
        <v>170</v>
      </c>
    </row>
    <row r="7" spans="1:18" ht="21" customHeight="1">
      <c r="A7" s="2" t="s">
        <v>32</v>
      </c>
      <c r="B7" s="2" t="s">
        <v>29</v>
      </c>
      <c r="C7" s="2" t="s">
        <v>27</v>
      </c>
      <c r="D7" s="2">
        <v>7</v>
      </c>
      <c r="E7" s="3">
        <v>20</v>
      </c>
      <c r="F7" s="2" t="s">
        <v>21</v>
      </c>
      <c r="G7" s="2">
        <v>3.4</v>
      </c>
      <c r="H7" s="2">
        <v>76</v>
      </c>
      <c r="I7" s="3">
        <v>210000</v>
      </c>
      <c r="J7" s="2" t="s">
        <v>30</v>
      </c>
      <c r="K7" s="2">
        <v>96.4</v>
      </c>
      <c r="L7" s="2">
        <v>3</v>
      </c>
      <c r="M7" s="2">
        <v>65</v>
      </c>
      <c r="N7" s="2">
        <v>20</v>
      </c>
      <c r="O7" s="3">
        <v>16000</v>
      </c>
      <c r="P7" s="3">
        <v>2500</v>
      </c>
      <c r="Q7" s="3">
        <v>14000</v>
      </c>
      <c r="R7" s="3">
        <v>170</v>
      </c>
    </row>
    <row r="8" spans="1:18" ht="21" customHeight="1">
      <c r="A8" s="2" t="s">
        <v>33</v>
      </c>
      <c r="B8" s="2" t="s">
        <v>34</v>
      </c>
      <c r="C8" s="2" t="s">
        <v>20</v>
      </c>
      <c r="D8" s="2">
        <v>4</v>
      </c>
      <c r="E8" s="3">
        <v>24</v>
      </c>
      <c r="F8" s="2" t="s">
        <v>21</v>
      </c>
      <c r="G8" s="2">
        <v>2.7</v>
      </c>
      <c r="H8" s="2">
        <v>62</v>
      </c>
      <c r="I8" s="3">
        <v>110000</v>
      </c>
      <c r="J8" s="2" t="s">
        <v>35</v>
      </c>
      <c r="K8" s="2">
        <v>99.5</v>
      </c>
      <c r="L8" s="2">
        <v>4</v>
      </c>
      <c r="M8" s="2">
        <v>92</v>
      </c>
      <c r="N8" s="2">
        <v>10</v>
      </c>
      <c r="O8" s="3">
        <v>8000</v>
      </c>
      <c r="P8" s="3">
        <v>1500</v>
      </c>
      <c r="Q8" s="3">
        <v>5000</v>
      </c>
      <c r="R8" s="3">
        <v>220</v>
      </c>
    </row>
    <row r="9" spans="1:18" ht="21" customHeight="1">
      <c r="A9" s="2" t="s">
        <v>36</v>
      </c>
      <c r="B9" s="2" t="s">
        <v>34</v>
      </c>
      <c r="C9" s="2" t="s">
        <v>24</v>
      </c>
      <c r="D9" s="2">
        <v>5</v>
      </c>
      <c r="E9" s="3">
        <v>18</v>
      </c>
      <c r="F9" s="2" t="s">
        <v>25</v>
      </c>
      <c r="G9" s="2">
        <v>2.7</v>
      </c>
      <c r="H9" s="2">
        <v>62</v>
      </c>
      <c r="I9" s="3">
        <v>135000</v>
      </c>
      <c r="J9" s="2" t="s">
        <v>35</v>
      </c>
      <c r="K9" s="2">
        <v>99.5</v>
      </c>
      <c r="L9" s="2">
        <v>4</v>
      </c>
      <c r="M9" s="2">
        <v>92</v>
      </c>
      <c r="N9" s="2">
        <v>10</v>
      </c>
      <c r="O9" s="3">
        <v>8000</v>
      </c>
      <c r="P9" s="3">
        <v>1500</v>
      </c>
      <c r="Q9" s="3">
        <v>5000</v>
      </c>
      <c r="R9" s="3">
        <v>220</v>
      </c>
    </row>
    <row r="10" spans="1:18" ht="21" customHeight="1">
      <c r="A10" s="2" t="s">
        <v>37</v>
      </c>
      <c r="B10" s="2" t="s">
        <v>34</v>
      </c>
      <c r="C10" s="2" t="s">
        <v>27</v>
      </c>
      <c r="D10" s="2">
        <v>6</v>
      </c>
      <c r="E10" s="3">
        <v>32</v>
      </c>
      <c r="F10" s="2" t="s">
        <v>21</v>
      </c>
      <c r="G10" s="2">
        <v>3.4</v>
      </c>
      <c r="H10" s="2">
        <v>76</v>
      </c>
      <c r="I10" s="3">
        <v>210000</v>
      </c>
      <c r="J10" s="2" t="s">
        <v>35</v>
      </c>
      <c r="K10" s="2">
        <v>99.5</v>
      </c>
      <c r="L10" s="2">
        <v>4</v>
      </c>
      <c r="M10" s="2">
        <v>92</v>
      </c>
      <c r="N10" s="2">
        <v>10</v>
      </c>
      <c r="O10" s="3">
        <v>8000</v>
      </c>
      <c r="P10" s="3">
        <v>1500</v>
      </c>
      <c r="Q10" s="3">
        <v>5000</v>
      </c>
      <c r="R10" s="3">
        <v>220</v>
      </c>
    </row>
    <row r="11" spans="1:18" ht="21" customHeight="1">
      <c r="A11" s="2" t="s">
        <v>38</v>
      </c>
      <c r="B11" s="2" t="s">
        <v>39</v>
      </c>
      <c r="C11" s="2" t="s">
        <v>20</v>
      </c>
      <c r="D11" s="2">
        <v>15</v>
      </c>
      <c r="E11" s="3">
        <v>35</v>
      </c>
      <c r="F11" s="2" t="s">
        <v>21</v>
      </c>
      <c r="G11" s="2">
        <v>2.7</v>
      </c>
      <c r="H11" s="2">
        <v>62</v>
      </c>
      <c r="I11" s="3">
        <v>110000</v>
      </c>
      <c r="J11" s="2" t="s">
        <v>40</v>
      </c>
      <c r="K11" s="2">
        <v>92.8</v>
      </c>
      <c r="L11" s="2">
        <v>2</v>
      </c>
      <c r="M11" s="2">
        <v>42</v>
      </c>
      <c r="N11" s="2">
        <v>28</v>
      </c>
      <c r="O11" s="3">
        <v>22000</v>
      </c>
      <c r="P11" s="3">
        <v>3500</v>
      </c>
      <c r="Q11" s="3">
        <v>22000</v>
      </c>
      <c r="R11" s="3">
        <v>120</v>
      </c>
    </row>
    <row r="12" spans="1:18" ht="21" customHeight="1">
      <c r="A12" s="2" t="s">
        <v>41</v>
      </c>
      <c r="B12" s="2" t="s">
        <v>39</v>
      </c>
      <c r="C12" s="2" t="s">
        <v>24</v>
      </c>
      <c r="D12" s="2">
        <v>12</v>
      </c>
      <c r="E12" s="3">
        <v>26</v>
      </c>
      <c r="F12" s="2" t="s">
        <v>25</v>
      </c>
      <c r="G12" s="2">
        <v>2.7</v>
      </c>
      <c r="H12" s="2">
        <v>62</v>
      </c>
      <c r="I12" s="3">
        <v>135000</v>
      </c>
      <c r="J12" s="2" t="s">
        <v>40</v>
      </c>
      <c r="K12" s="2">
        <v>92.8</v>
      </c>
      <c r="L12" s="2">
        <v>2</v>
      </c>
      <c r="M12" s="2">
        <v>42</v>
      </c>
      <c r="N12" s="2">
        <v>28</v>
      </c>
      <c r="O12" s="3">
        <v>22000</v>
      </c>
      <c r="P12" s="3">
        <v>3500</v>
      </c>
      <c r="Q12" s="3">
        <v>22000</v>
      </c>
      <c r="R12" s="3">
        <v>120</v>
      </c>
    </row>
    <row r="13" spans="1:18" ht="21" customHeight="1">
      <c r="A13" s="2" t="s">
        <v>42</v>
      </c>
      <c r="B13" s="2" t="s">
        <v>39</v>
      </c>
      <c r="C13" s="2" t="s">
        <v>27</v>
      </c>
      <c r="D13" s="2">
        <v>14</v>
      </c>
      <c r="E13" s="3">
        <v>30</v>
      </c>
      <c r="F13" s="2" t="s">
        <v>21</v>
      </c>
      <c r="G13" s="2">
        <v>3.4</v>
      </c>
      <c r="H13" s="2">
        <v>76</v>
      </c>
      <c r="I13" s="3">
        <v>210000</v>
      </c>
      <c r="J13" s="2" t="s">
        <v>40</v>
      </c>
      <c r="K13" s="2">
        <v>92.8</v>
      </c>
      <c r="L13" s="2">
        <v>2</v>
      </c>
      <c r="M13" s="2">
        <v>42</v>
      </c>
      <c r="N13" s="2">
        <v>28</v>
      </c>
      <c r="O13" s="3">
        <v>22000</v>
      </c>
      <c r="P13" s="3">
        <v>3500</v>
      </c>
      <c r="Q13" s="3">
        <v>22000</v>
      </c>
      <c r="R13" s="3">
        <v>120</v>
      </c>
    </row>
    <row r="14" spans="1:18" ht="21" customHeight="1">
      <c r="A14" s="2" t="s">
        <v>43</v>
      </c>
      <c r="B14" s="2" t="s">
        <v>44</v>
      </c>
      <c r="C14" s="2" t="s">
        <v>20</v>
      </c>
      <c r="D14" s="2">
        <v>8</v>
      </c>
      <c r="E14" s="3">
        <v>21</v>
      </c>
      <c r="F14" s="2" t="s">
        <v>21</v>
      </c>
      <c r="G14" s="2">
        <v>2.7</v>
      </c>
      <c r="H14" s="2">
        <v>62</v>
      </c>
      <c r="I14" s="3">
        <v>110000</v>
      </c>
      <c r="J14" s="2" t="s">
        <v>45</v>
      </c>
      <c r="K14" s="2">
        <v>98.1</v>
      </c>
      <c r="L14" s="2">
        <v>3</v>
      </c>
      <c r="M14" s="2">
        <v>78</v>
      </c>
      <c r="N14" s="2">
        <v>16</v>
      </c>
      <c r="O14" s="3">
        <v>10000</v>
      </c>
      <c r="P14" s="3">
        <v>1800</v>
      </c>
      <c r="Q14" s="3">
        <v>9000</v>
      </c>
      <c r="R14" s="3">
        <v>180</v>
      </c>
    </row>
    <row r="15" spans="1:18" ht="21" customHeight="1">
      <c r="A15" s="2" t="s">
        <v>46</v>
      </c>
      <c r="B15" s="2" t="s">
        <v>44</v>
      </c>
      <c r="C15" s="2" t="s">
        <v>24</v>
      </c>
      <c r="D15" s="2">
        <v>6</v>
      </c>
      <c r="E15" s="3">
        <v>18</v>
      </c>
      <c r="F15" s="2" t="s">
        <v>25</v>
      </c>
      <c r="G15" s="2">
        <v>2.7</v>
      </c>
      <c r="H15" s="2">
        <v>62</v>
      </c>
      <c r="I15" s="3">
        <v>135000</v>
      </c>
      <c r="J15" s="2" t="s">
        <v>45</v>
      </c>
      <c r="K15" s="2">
        <v>98.1</v>
      </c>
      <c r="L15" s="2">
        <v>3</v>
      </c>
      <c r="M15" s="2">
        <v>78</v>
      </c>
      <c r="N15" s="2">
        <v>16</v>
      </c>
      <c r="O15" s="3">
        <v>10000</v>
      </c>
      <c r="P15" s="3">
        <v>1800</v>
      </c>
      <c r="Q15" s="3">
        <v>9000</v>
      </c>
      <c r="R15" s="3">
        <v>180</v>
      </c>
    </row>
    <row r="16" spans="1:18" ht="21" customHeight="1">
      <c r="A16" s="2" t="s">
        <v>47</v>
      </c>
      <c r="B16" s="2" t="s">
        <v>44</v>
      </c>
      <c r="C16" s="2" t="s">
        <v>27</v>
      </c>
      <c r="D16" s="2">
        <v>9</v>
      </c>
      <c r="E16" s="3">
        <v>25</v>
      </c>
      <c r="F16" s="2" t="s">
        <v>21</v>
      </c>
      <c r="G16" s="2">
        <v>3.4</v>
      </c>
      <c r="H16" s="2">
        <v>76</v>
      </c>
      <c r="I16" s="3">
        <v>210000</v>
      </c>
      <c r="J16" s="2" t="s">
        <v>45</v>
      </c>
      <c r="K16" s="2">
        <v>98.1</v>
      </c>
      <c r="L16" s="2">
        <v>3</v>
      </c>
      <c r="M16" s="2">
        <v>78</v>
      </c>
      <c r="N16" s="2">
        <v>16</v>
      </c>
      <c r="O16" s="3">
        <v>10000</v>
      </c>
      <c r="P16" s="3">
        <v>1800</v>
      </c>
      <c r="Q16" s="3">
        <v>9000</v>
      </c>
      <c r="R16" s="3">
        <v>180</v>
      </c>
    </row>
    <row r="17" spans="1:18" ht="21" customHeight="1">
      <c r="A17" s="2" t="s">
        <v>48</v>
      </c>
      <c r="B17" s="2" t="s">
        <v>49</v>
      </c>
      <c r="C17" s="2" t="s">
        <v>20</v>
      </c>
      <c r="D17" s="2">
        <v>10</v>
      </c>
      <c r="E17" s="3">
        <v>27</v>
      </c>
      <c r="F17" s="2" t="s">
        <v>21</v>
      </c>
      <c r="G17" s="2">
        <v>2.7</v>
      </c>
      <c r="H17" s="2">
        <v>62</v>
      </c>
      <c r="I17" s="3">
        <v>110000</v>
      </c>
      <c r="J17" s="2" t="s">
        <v>50</v>
      </c>
      <c r="K17" s="2">
        <v>97.4</v>
      </c>
      <c r="L17" s="2">
        <v>3</v>
      </c>
      <c r="M17" s="2">
        <v>70</v>
      </c>
      <c r="N17" s="2">
        <v>18</v>
      </c>
      <c r="O17" s="3">
        <v>12000</v>
      </c>
      <c r="P17" s="3">
        <v>2000</v>
      </c>
      <c r="Q17" s="3">
        <v>12000</v>
      </c>
      <c r="R17" s="3">
        <v>165</v>
      </c>
    </row>
    <row r="18" spans="1:18" ht="21" customHeight="1">
      <c r="A18" s="2" t="s">
        <v>51</v>
      </c>
      <c r="B18" s="2" t="s">
        <v>49</v>
      </c>
      <c r="C18" s="2" t="s">
        <v>24</v>
      </c>
      <c r="D18" s="2">
        <v>7</v>
      </c>
      <c r="E18" s="3">
        <v>20</v>
      </c>
      <c r="F18" s="2" t="s">
        <v>25</v>
      </c>
      <c r="G18" s="2">
        <v>2.7</v>
      </c>
      <c r="H18" s="2">
        <v>62</v>
      </c>
      <c r="I18" s="3">
        <v>135000</v>
      </c>
      <c r="J18" s="2" t="s">
        <v>50</v>
      </c>
      <c r="K18" s="2">
        <v>97.4</v>
      </c>
      <c r="L18" s="2">
        <v>3</v>
      </c>
      <c r="M18" s="2">
        <v>70</v>
      </c>
      <c r="N18" s="2">
        <v>18</v>
      </c>
      <c r="O18" s="3">
        <v>12000</v>
      </c>
      <c r="P18" s="3">
        <v>2000</v>
      </c>
      <c r="Q18" s="3">
        <v>12000</v>
      </c>
      <c r="R18" s="3">
        <v>165</v>
      </c>
    </row>
    <row r="19" spans="1:18" ht="21" customHeight="1">
      <c r="A19" s="2" t="s">
        <v>52</v>
      </c>
      <c r="B19" s="2" t="s">
        <v>49</v>
      </c>
      <c r="C19" s="2" t="s">
        <v>27</v>
      </c>
      <c r="D19" s="2">
        <v>8</v>
      </c>
      <c r="E19" s="3">
        <v>24</v>
      </c>
      <c r="F19" s="2" t="s">
        <v>21</v>
      </c>
      <c r="G19" s="2">
        <v>3.4</v>
      </c>
      <c r="H19" s="2">
        <v>76</v>
      </c>
      <c r="I19" s="3">
        <v>210000</v>
      </c>
      <c r="J19" s="2" t="s">
        <v>50</v>
      </c>
      <c r="K19" s="2">
        <v>97.4</v>
      </c>
      <c r="L19" s="2">
        <v>3</v>
      </c>
      <c r="M19" s="2">
        <v>70</v>
      </c>
      <c r="N19" s="2">
        <v>18</v>
      </c>
      <c r="O19" s="3">
        <v>12000</v>
      </c>
      <c r="P19" s="3">
        <v>2000</v>
      </c>
      <c r="Q19" s="3">
        <v>12000</v>
      </c>
      <c r="R19" s="3">
        <v>165</v>
      </c>
    </row>
    <row r="21" spans="1:18" ht="15.75" customHeight="1"/>
    <row r="22" spans="1:18" ht="15.75" customHeight="1"/>
    <row r="23" spans="1:18" ht="15.75" customHeight="1"/>
    <row r="24" spans="1:18" ht="15.75" customHeight="1"/>
    <row r="25" spans="1:18" ht="15.75" customHeight="1"/>
    <row r="26" spans="1:18" ht="15.75" customHeight="1"/>
    <row r="27" spans="1:18" ht="15.75" customHeight="1"/>
    <row r="28" spans="1:18" ht="15.75" customHeight="1"/>
    <row r="29" spans="1:18" ht="15.75" customHeight="1"/>
    <row r="30" spans="1:18" ht="15.75" customHeight="1"/>
    <row r="31" spans="1:18" ht="15.75" customHeight="1"/>
    <row r="32" spans="1:1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00"/>
  <sheetViews>
    <sheetView showGridLines="0" topLeftCell="S1" workbookViewId="0">
      <pane ySplit="1" topLeftCell="W9" activePane="bottomLeft" state="frozen"/>
      <selection pane="bottomLeft" activeCell="AF21" sqref="AF21"/>
    </sheetView>
  </sheetViews>
  <sheetFormatPr defaultColWidth="12.625" defaultRowHeight="15" customHeight="1"/>
  <cols>
    <col min="1" max="1" width="22" customWidth="1"/>
    <col min="2" max="2" width="22" style="10" customWidth="1"/>
    <col min="3" max="22" width="22" customWidth="1"/>
    <col min="23" max="23" width="16.375" bestFit="1" customWidth="1"/>
    <col min="24" max="24" width="35.125" bestFit="1" customWidth="1"/>
    <col min="25" max="25" width="8.875" customWidth="1"/>
    <col min="26" max="26" width="14.5" customWidth="1"/>
  </cols>
  <sheetData>
    <row r="1" spans="1:30" ht="42" customHeight="1">
      <c r="A1" s="1" t="s">
        <v>53</v>
      </c>
      <c r="B1" s="27" t="s">
        <v>0</v>
      </c>
      <c r="C1" s="7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59</v>
      </c>
      <c r="I1" s="1" t="s">
        <v>60</v>
      </c>
      <c r="J1" s="1" t="s">
        <v>61</v>
      </c>
      <c r="K1" s="1" t="s">
        <v>62</v>
      </c>
      <c r="L1" s="1" t="s">
        <v>63</v>
      </c>
      <c r="M1" s="1" t="s">
        <v>64</v>
      </c>
      <c r="N1" s="1" t="s">
        <v>65</v>
      </c>
      <c r="O1" s="1" t="s">
        <v>66</v>
      </c>
      <c r="P1" s="1" t="s">
        <v>67</v>
      </c>
      <c r="Q1" s="1" t="s">
        <v>68</v>
      </c>
      <c r="R1" s="1" t="s">
        <v>69</v>
      </c>
      <c r="S1" s="1" t="s">
        <v>70</v>
      </c>
      <c r="T1" s="1" t="s">
        <v>71</v>
      </c>
      <c r="U1" s="1" t="s">
        <v>72</v>
      </c>
      <c r="V1" s="1" t="s">
        <v>73</v>
      </c>
      <c r="W1" s="1" t="s">
        <v>74</v>
      </c>
      <c r="X1" s="1" t="s">
        <v>75</v>
      </c>
      <c r="Y1" s="1" t="s">
        <v>76</v>
      </c>
      <c r="Z1" t="s">
        <v>77</v>
      </c>
      <c r="AA1" t="s">
        <v>78</v>
      </c>
      <c r="AB1" t="s">
        <v>79</v>
      </c>
      <c r="AC1" t="s">
        <v>80</v>
      </c>
      <c r="AD1" t="s">
        <v>81</v>
      </c>
    </row>
    <row r="2" spans="1:30" ht="21" customHeight="1">
      <c r="A2" s="2" t="s">
        <v>82</v>
      </c>
      <c r="B2" s="9" t="s">
        <v>18</v>
      </c>
      <c r="C2" s="5">
        <v>45663.5</v>
      </c>
      <c r="D2" s="4">
        <v>45664.05333333333</v>
      </c>
      <c r="E2" s="2" t="s">
        <v>83</v>
      </c>
      <c r="F2" s="2" t="s">
        <v>84</v>
      </c>
      <c r="G2" s="3">
        <v>1.24</v>
      </c>
      <c r="H2" s="3">
        <v>3.25</v>
      </c>
      <c r="I2" s="3">
        <v>0</v>
      </c>
      <c r="J2" s="3">
        <v>6.55</v>
      </c>
      <c r="K2" s="3">
        <v>2.2400000000000002</v>
      </c>
      <c r="L2" s="3">
        <v>13.28</v>
      </c>
      <c r="M2" s="3">
        <v>292.16000000000003</v>
      </c>
      <c r="N2" s="3">
        <v>0.2</v>
      </c>
      <c r="O2" s="2" t="s">
        <v>85</v>
      </c>
      <c r="P2" s="4">
        <v>45663.551666666666</v>
      </c>
      <c r="Q2" s="4">
        <v>45664.05333333333</v>
      </c>
      <c r="R2" s="2" t="s">
        <v>86</v>
      </c>
      <c r="S2" s="3">
        <v>6.55</v>
      </c>
      <c r="T2" s="2">
        <v>85</v>
      </c>
      <c r="U2" s="3"/>
      <c r="V2" s="3">
        <v>1484</v>
      </c>
      <c r="W2" s="2" t="s">
        <v>87</v>
      </c>
      <c r="X2" s="2" t="s">
        <v>88</v>
      </c>
      <c r="Y2" s="3">
        <v>0.5</v>
      </c>
      <c r="Z2" t="str">
        <f>INDEX(Assets!$J:$J,MATCH(UPPER(TRIM(B2)),Assets!$A:$A,0))</f>
        <v>Cedar</v>
      </c>
      <c r="AA2">
        <f t="shared" ref="AA2:AA65" si="0">M2*(1-N2)</f>
        <v>233.72800000000004</v>
      </c>
      <c r="AB2" s="21">
        <f t="shared" ref="AB2:AB65" si="1">DATE(YEAR(C2),MONTH(C2),1)</f>
        <v>45658</v>
      </c>
      <c r="AC2" s="22">
        <f>SUMIFS(Production!$H:$H,Production!$A:$A,UPPER(TRIM(B2)),Production!$B:$B,AB2)-SUMIFS(Production!$I:$I,Production!$A:$A,UPPER(TRIM(B2)),Production!$B:$B,AB2)</f>
        <v>50</v>
      </c>
      <c r="AD2">
        <f t="shared" ref="AD2:AD65" si="2">AA2*AC2</f>
        <v>11686.400000000001</v>
      </c>
    </row>
    <row r="3" spans="1:30" ht="21" customHeight="1">
      <c r="A3" s="2" t="s">
        <v>89</v>
      </c>
      <c r="B3" s="9" t="s">
        <v>18</v>
      </c>
      <c r="C3" s="5">
        <v>45685.5</v>
      </c>
      <c r="D3" s="4">
        <v>45685.797916666663</v>
      </c>
      <c r="E3" s="2" t="s">
        <v>90</v>
      </c>
      <c r="F3" s="2" t="s">
        <v>91</v>
      </c>
      <c r="G3" s="3">
        <v>0</v>
      </c>
      <c r="H3" s="3">
        <v>0</v>
      </c>
      <c r="I3" s="3">
        <v>0</v>
      </c>
      <c r="J3" s="3">
        <v>7.15</v>
      </c>
      <c r="K3" s="3">
        <v>0</v>
      </c>
      <c r="L3" s="3">
        <v>7.15</v>
      </c>
      <c r="M3" s="3">
        <v>157.30000000000001</v>
      </c>
      <c r="N3" s="3">
        <v>0.25</v>
      </c>
      <c r="O3" s="2" t="s">
        <v>92</v>
      </c>
      <c r="P3" s="4">
        <v>45685.5</v>
      </c>
      <c r="Q3" s="4">
        <v>45685.797916666663</v>
      </c>
      <c r="R3" s="2" t="s">
        <v>93</v>
      </c>
      <c r="S3" s="3">
        <v>7.15</v>
      </c>
      <c r="T3" s="2">
        <v>85</v>
      </c>
      <c r="U3" s="3">
        <v>1724</v>
      </c>
      <c r="V3" s="3">
        <v>0</v>
      </c>
      <c r="W3" s="2" t="s">
        <v>94</v>
      </c>
      <c r="X3" s="2" t="s">
        <v>95</v>
      </c>
      <c r="Y3" s="3">
        <v>0</v>
      </c>
      <c r="Z3" t="str">
        <f>INDEX(Assets!$J:$J,MATCH(UPPER(TRIM(B3)),Assets!$A:$A,0))</f>
        <v>Cedar</v>
      </c>
      <c r="AA3">
        <f t="shared" si="0"/>
        <v>117.97500000000001</v>
      </c>
      <c r="AB3" s="21">
        <f t="shared" si="1"/>
        <v>45658</v>
      </c>
      <c r="AC3">
        <f>SUMIFS(Production!$H:$H,Production!$A:$A,UPPER(TRIM(B3)),Production!$B:$B,AB3)-SUMIFS(Production!$I:$I,Production!$A:$A,UPPER(TRIM(B3)),Production!$B:$B,AB3)</f>
        <v>50</v>
      </c>
      <c r="AD3">
        <f t="shared" si="2"/>
        <v>5898.75</v>
      </c>
    </row>
    <row r="4" spans="1:30" ht="21" customHeight="1">
      <c r="A4" s="2" t="s">
        <v>96</v>
      </c>
      <c r="B4" s="9" t="s">
        <v>18</v>
      </c>
      <c r="C4" s="5">
        <v>45698.5</v>
      </c>
      <c r="D4" s="4">
        <v>45699.058749999997</v>
      </c>
      <c r="E4" s="2" t="s">
        <v>83</v>
      </c>
      <c r="F4" s="2" t="s">
        <v>97</v>
      </c>
      <c r="G4" s="3">
        <v>3.32</v>
      </c>
      <c r="H4" s="3">
        <v>1.44</v>
      </c>
      <c r="I4" s="3">
        <v>0</v>
      </c>
      <c r="J4" s="3">
        <v>7.8</v>
      </c>
      <c r="K4" s="3">
        <v>0.85</v>
      </c>
      <c r="L4" s="3">
        <v>13.41</v>
      </c>
      <c r="M4" s="3">
        <v>295.02</v>
      </c>
      <c r="N4" s="3">
        <v>0.3</v>
      </c>
      <c r="O4" s="2" t="s">
        <v>98</v>
      </c>
      <c r="P4" s="4">
        <v>45698.638333333336</v>
      </c>
      <c r="Q4" s="4">
        <v>45699.058749999997</v>
      </c>
      <c r="R4" s="2" t="s">
        <v>86</v>
      </c>
      <c r="S4" s="3">
        <v>15.6</v>
      </c>
      <c r="T4" s="2">
        <v>85</v>
      </c>
      <c r="U4" s="3">
        <v>2702</v>
      </c>
      <c r="V4" s="3">
        <v>0</v>
      </c>
      <c r="W4" s="2" t="s">
        <v>94</v>
      </c>
      <c r="X4" s="2" t="s">
        <v>99</v>
      </c>
      <c r="Y4" s="3">
        <v>0</v>
      </c>
      <c r="Z4" t="str">
        <f>INDEX(Assets!$J:$J,MATCH(UPPER(TRIM(B4)),Assets!$A:$A,0))</f>
        <v>Cedar</v>
      </c>
      <c r="AA4">
        <f t="shared" si="0"/>
        <v>206.51399999999998</v>
      </c>
      <c r="AB4" s="21">
        <f t="shared" si="1"/>
        <v>45689</v>
      </c>
      <c r="AC4">
        <f>SUMIFS(Production!$H:$H,Production!$A:$A,UPPER(TRIM(B4)),Production!$B:$B,AB4)-SUMIFS(Production!$I:$I,Production!$A:$A,UPPER(TRIM(B4)),Production!$B:$B,AB4)</f>
        <v>48</v>
      </c>
      <c r="AD4">
        <f t="shared" si="2"/>
        <v>9912.6719999999987</v>
      </c>
    </row>
    <row r="5" spans="1:30" ht="21" customHeight="1">
      <c r="A5" s="2" t="s">
        <v>100</v>
      </c>
      <c r="B5" s="9" t="s">
        <v>18</v>
      </c>
      <c r="C5" s="5">
        <v>45725.5</v>
      </c>
      <c r="D5" s="4">
        <v>45726.097916666666</v>
      </c>
      <c r="E5" s="2" t="s">
        <v>83</v>
      </c>
      <c r="F5" s="2" t="s">
        <v>101</v>
      </c>
      <c r="G5" s="3">
        <v>2.36</v>
      </c>
      <c r="H5" s="3">
        <v>2.58</v>
      </c>
      <c r="I5" s="3">
        <v>0</v>
      </c>
      <c r="J5" s="3">
        <v>8.86</v>
      </c>
      <c r="K5" s="3">
        <v>0.55000000000000004</v>
      </c>
      <c r="L5" s="3">
        <v>14.35</v>
      </c>
      <c r="M5" s="3">
        <v>315.7</v>
      </c>
      <c r="N5" s="3">
        <v>0.17</v>
      </c>
      <c r="O5" s="2" t="s">
        <v>102</v>
      </c>
      <c r="P5" s="4">
        <v>45725.598333333328</v>
      </c>
      <c r="Q5" s="4">
        <v>45726.097916666666</v>
      </c>
      <c r="R5" s="2" t="s">
        <v>86</v>
      </c>
      <c r="S5" s="3">
        <v>17.72</v>
      </c>
      <c r="T5" s="2">
        <v>85</v>
      </c>
      <c r="U5" s="3">
        <v>3008</v>
      </c>
      <c r="V5" s="3">
        <v>0</v>
      </c>
      <c r="W5" s="2" t="s">
        <v>94</v>
      </c>
      <c r="X5" s="2" t="s">
        <v>103</v>
      </c>
      <c r="Y5" s="3">
        <v>0</v>
      </c>
      <c r="Z5" t="str">
        <f>INDEX(Assets!$J:$J,MATCH(UPPER(TRIM(B5)),Assets!$A:$A,0))</f>
        <v>Cedar</v>
      </c>
      <c r="AA5">
        <f t="shared" si="0"/>
        <v>262.03100000000001</v>
      </c>
      <c r="AB5" s="21">
        <f t="shared" si="1"/>
        <v>45717</v>
      </c>
      <c r="AC5">
        <f>SUMIFS(Production!$H:$H,Production!$A:$A,UPPER(TRIM(B5)),Production!$B:$B,AB5)-SUMIFS(Production!$I:$I,Production!$A:$A,UPPER(TRIM(B5)),Production!$B:$B,AB5)</f>
        <v>46</v>
      </c>
      <c r="AD5">
        <f t="shared" si="2"/>
        <v>12053.425999999999</v>
      </c>
    </row>
    <row r="6" spans="1:30" ht="21" customHeight="1">
      <c r="A6" s="2" t="s">
        <v>104</v>
      </c>
      <c r="B6" s="9" t="s">
        <v>18</v>
      </c>
      <c r="C6" s="5">
        <v>45756.5</v>
      </c>
      <c r="D6" s="4">
        <v>45757.008750000001</v>
      </c>
      <c r="E6" s="2" t="s">
        <v>83</v>
      </c>
      <c r="F6" s="2" t="s">
        <v>97</v>
      </c>
      <c r="G6" s="3">
        <v>3.66</v>
      </c>
      <c r="H6" s="3">
        <v>2.9</v>
      </c>
      <c r="I6" s="3">
        <v>0</v>
      </c>
      <c r="J6" s="3">
        <v>4.59</v>
      </c>
      <c r="K6" s="3">
        <v>1.06</v>
      </c>
      <c r="L6" s="3">
        <v>12.21</v>
      </c>
      <c r="M6" s="3">
        <v>268.62</v>
      </c>
      <c r="N6" s="3">
        <v>0.28999999999999998</v>
      </c>
      <c r="O6" s="2" t="s">
        <v>105</v>
      </c>
      <c r="P6" s="4">
        <v>45756.652499999997</v>
      </c>
      <c r="Q6" s="4">
        <v>45757.008750000001</v>
      </c>
      <c r="R6" s="2" t="s">
        <v>86</v>
      </c>
      <c r="S6" s="3">
        <v>4.59</v>
      </c>
      <c r="T6" s="2">
        <v>85</v>
      </c>
      <c r="U6" s="3">
        <v>1264</v>
      </c>
      <c r="V6" s="3">
        <v>0</v>
      </c>
      <c r="W6" s="2" t="s">
        <v>94</v>
      </c>
      <c r="X6" s="2" t="s">
        <v>99</v>
      </c>
      <c r="Y6" s="3">
        <v>0.5</v>
      </c>
      <c r="Z6" t="str">
        <f>INDEX(Assets!$J:$J,MATCH(UPPER(TRIM(B6)),Assets!$A:$A,0))</f>
        <v>Cedar</v>
      </c>
      <c r="AA6">
        <f t="shared" si="0"/>
        <v>190.72020000000001</v>
      </c>
      <c r="AB6" s="21">
        <f t="shared" si="1"/>
        <v>45748</v>
      </c>
      <c r="AC6">
        <f>SUMIFS(Production!$H:$H,Production!$A:$A,UPPER(TRIM(B6)),Production!$B:$B,AB6)-SUMIFS(Production!$I:$I,Production!$A:$A,UPPER(TRIM(B6)),Production!$B:$B,AB6)</f>
        <v>44</v>
      </c>
      <c r="AD6">
        <f t="shared" si="2"/>
        <v>8391.6887999999999</v>
      </c>
    </row>
    <row r="7" spans="1:30" ht="21" customHeight="1">
      <c r="A7" s="2" t="s">
        <v>106</v>
      </c>
      <c r="B7" s="9" t="s">
        <v>18</v>
      </c>
      <c r="C7" s="5">
        <v>45775.5</v>
      </c>
      <c r="D7" s="4">
        <v>45775.763333333336</v>
      </c>
      <c r="E7" s="2" t="s">
        <v>90</v>
      </c>
      <c r="F7" s="2" t="s">
        <v>91</v>
      </c>
      <c r="G7" s="3">
        <v>0</v>
      </c>
      <c r="H7" s="3">
        <v>0</v>
      </c>
      <c r="I7" s="3">
        <v>0</v>
      </c>
      <c r="J7" s="3">
        <v>6.32</v>
      </c>
      <c r="K7" s="3">
        <v>0</v>
      </c>
      <c r="L7" s="3">
        <v>6.32</v>
      </c>
      <c r="M7" s="3">
        <v>139.04</v>
      </c>
      <c r="N7" s="3">
        <v>0.25</v>
      </c>
      <c r="O7" s="2" t="s">
        <v>107</v>
      </c>
      <c r="P7" s="4">
        <v>45775.5</v>
      </c>
      <c r="Q7" s="4">
        <v>45775.763333333336</v>
      </c>
      <c r="R7" s="2" t="s">
        <v>93</v>
      </c>
      <c r="S7" s="3">
        <v>6.32</v>
      </c>
      <c r="T7" s="2">
        <v>85</v>
      </c>
      <c r="U7" s="3">
        <v>593</v>
      </c>
      <c r="V7" s="3">
        <v>0</v>
      </c>
      <c r="W7" s="2" t="s">
        <v>94</v>
      </c>
      <c r="X7" s="2" t="s">
        <v>95</v>
      </c>
      <c r="Y7" s="3">
        <v>0</v>
      </c>
      <c r="Z7" t="str">
        <f>INDEX(Assets!$J:$J,MATCH(UPPER(TRIM(B7)),Assets!$A:$A,0))</f>
        <v>Cedar</v>
      </c>
      <c r="AA7">
        <f t="shared" si="0"/>
        <v>104.28</v>
      </c>
      <c r="AB7" s="21">
        <f t="shared" si="1"/>
        <v>45748</v>
      </c>
      <c r="AC7">
        <f>SUMIFS(Production!$H:$H,Production!$A:$A,UPPER(TRIM(B7)),Production!$B:$B,AB7)-SUMIFS(Production!$I:$I,Production!$A:$A,UPPER(TRIM(B7)),Production!$B:$B,AB7)</f>
        <v>44</v>
      </c>
      <c r="AD7">
        <f t="shared" si="2"/>
        <v>4588.32</v>
      </c>
    </row>
    <row r="8" spans="1:30" ht="21" customHeight="1">
      <c r="A8" s="2" t="s">
        <v>108</v>
      </c>
      <c r="B8" s="9" t="s">
        <v>18</v>
      </c>
      <c r="C8" s="5">
        <v>45782.5</v>
      </c>
      <c r="D8" s="4">
        <v>45782.92833333333</v>
      </c>
      <c r="E8" s="2" t="s">
        <v>83</v>
      </c>
      <c r="F8" s="2" t="s">
        <v>84</v>
      </c>
      <c r="G8" s="3">
        <v>3.59</v>
      </c>
      <c r="H8" s="3">
        <v>1.2</v>
      </c>
      <c r="I8" s="3">
        <v>0</v>
      </c>
      <c r="J8" s="3">
        <v>4.25</v>
      </c>
      <c r="K8" s="3">
        <v>1.24</v>
      </c>
      <c r="L8" s="3">
        <v>10.28</v>
      </c>
      <c r="M8" s="3">
        <v>226.16</v>
      </c>
      <c r="N8" s="3">
        <v>0.3</v>
      </c>
      <c r="O8" s="2" t="s">
        <v>109</v>
      </c>
      <c r="P8" s="4">
        <v>45782.649583333332</v>
      </c>
      <c r="Q8" s="4">
        <v>45782.92833333333</v>
      </c>
      <c r="R8" s="2" t="s">
        <v>86</v>
      </c>
      <c r="S8" s="3">
        <v>4.25</v>
      </c>
      <c r="T8" s="2">
        <v>85</v>
      </c>
      <c r="U8" s="3">
        <v>9047</v>
      </c>
      <c r="V8" s="3">
        <v>0</v>
      </c>
      <c r="W8" s="2" t="s">
        <v>94</v>
      </c>
      <c r="X8" s="2" t="s">
        <v>88</v>
      </c>
      <c r="Y8" s="3">
        <v>0</v>
      </c>
      <c r="Z8" t="str">
        <f>INDEX(Assets!$J:$J,MATCH(UPPER(TRIM(B8)),Assets!$A:$A,0))</f>
        <v>Cedar</v>
      </c>
      <c r="AA8">
        <f t="shared" si="0"/>
        <v>158.31199999999998</v>
      </c>
      <c r="AB8" s="21">
        <f t="shared" si="1"/>
        <v>45778</v>
      </c>
      <c r="AC8">
        <f>SUMIFS(Production!$H:$H,Production!$A:$A,UPPER(TRIM(B8)),Production!$B:$B,AB8)-SUMIFS(Production!$I:$I,Production!$A:$A,UPPER(TRIM(B8)),Production!$B:$B,AB8)</f>
        <v>42</v>
      </c>
      <c r="AD8">
        <f t="shared" si="2"/>
        <v>6649.1039999999994</v>
      </c>
    </row>
    <row r="9" spans="1:30" ht="21" customHeight="1">
      <c r="A9" s="2" t="s">
        <v>110</v>
      </c>
      <c r="B9" s="9" t="s">
        <v>18</v>
      </c>
      <c r="C9" s="5">
        <v>45797.5</v>
      </c>
      <c r="D9" s="4">
        <v>45798.004583333328</v>
      </c>
      <c r="E9" s="2" t="s">
        <v>83</v>
      </c>
      <c r="F9" s="2" t="s">
        <v>84</v>
      </c>
      <c r="G9" s="3">
        <v>4.01</v>
      </c>
      <c r="H9" s="3">
        <v>1.38</v>
      </c>
      <c r="I9" s="3">
        <v>0</v>
      </c>
      <c r="J9" s="3">
        <v>5.52</v>
      </c>
      <c r="K9" s="3">
        <v>1.2</v>
      </c>
      <c r="L9" s="3">
        <v>12.11</v>
      </c>
      <c r="M9" s="3">
        <v>266.42</v>
      </c>
      <c r="N9" s="3">
        <v>0.17</v>
      </c>
      <c r="O9" s="2" t="s">
        <v>111</v>
      </c>
      <c r="P9" s="4">
        <v>45797.667083333334</v>
      </c>
      <c r="Q9" s="4">
        <v>45798.004583333328</v>
      </c>
      <c r="R9" s="2" t="s">
        <v>86</v>
      </c>
      <c r="S9" s="3">
        <v>5.52</v>
      </c>
      <c r="T9" s="2">
        <v>85</v>
      </c>
      <c r="U9" s="3">
        <v>8495</v>
      </c>
      <c r="V9" s="3">
        <v>3240</v>
      </c>
      <c r="W9" s="2" t="s">
        <v>94</v>
      </c>
      <c r="X9" s="2" t="s">
        <v>88</v>
      </c>
      <c r="Y9" s="3">
        <v>0</v>
      </c>
      <c r="Z9" t="str">
        <f>INDEX(Assets!$J:$J,MATCH(UPPER(TRIM(B9)),Assets!$A:$A,0))</f>
        <v>Cedar</v>
      </c>
      <c r="AA9">
        <f t="shared" si="0"/>
        <v>221.12860000000001</v>
      </c>
      <c r="AB9" s="21">
        <f t="shared" si="1"/>
        <v>45778</v>
      </c>
      <c r="AC9">
        <f>SUMIFS(Production!$H:$H,Production!$A:$A,UPPER(TRIM(B9)),Production!$B:$B,AB9)-SUMIFS(Production!$I:$I,Production!$A:$A,UPPER(TRIM(B9)),Production!$B:$B,AB9)</f>
        <v>42</v>
      </c>
      <c r="AD9">
        <f t="shared" si="2"/>
        <v>9287.4012000000002</v>
      </c>
    </row>
    <row r="10" spans="1:30" ht="21" customHeight="1">
      <c r="A10" s="2" t="s">
        <v>112</v>
      </c>
      <c r="B10" s="9" t="s">
        <v>18</v>
      </c>
      <c r="C10" s="5">
        <v>45818.5</v>
      </c>
      <c r="D10" s="4">
        <v>45819.035416666666</v>
      </c>
      <c r="E10" s="2" t="s">
        <v>83</v>
      </c>
      <c r="F10" s="2" t="s">
        <v>101</v>
      </c>
      <c r="G10" s="3">
        <v>3.19</v>
      </c>
      <c r="H10" s="3">
        <v>4.3</v>
      </c>
      <c r="I10" s="3">
        <v>0</v>
      </c>
      <c r="J10" s="3">
        <v>3.93</v>
      </c>
      <c r="K10" s="3">
        <v>1.43</v>
      </c>
      <c r="L10" s="3">
        <v>12.85</v>
      </c>
      <c r="M10" s="3">
        <v>282.7</v>
      </c>
      <c r="N10" s="3">
        <v>0.13</v>
      </c>
      <c r="O10" s="2" t="s">
        <v>113</v>
      </c>
      <c r="P10" s="4">
        <v>45818.632916666669</v>
      </c>
      <c r="Q10" s="4">
        <v>45819.035416666666</v>
      </c>
      <c r="R10" s="2" t="s">
        <v>86</v>
      </c>
      <c r="S10" s="3">
        <v>7.86</v>
      </c>
      <c r="T10" s="2">
        <v>85</v>
      </c>
      <c r="U10" s="3">
        <v>9110</v>
      </c>
      <c r="V10" s="3">
        <v>0</v>
      </c>
      <c r="W10" s="2" t="s">
        <v>94</v>
      </c>
      <c r="X10" s="2" t="s">
        <v>103</v>
      </c>
      <c r="Y10" s="3">
        <v>0.5</v>
      </c>
      <c r="Z10" t="str">
        <f>INDEX(Assets!$J:$J,MATCH(UPPER(TRIM(B10)),Assets!$A:$A,0))</f>
        <v>Cedar</v>
      </c>
      <c r="AA10">
        <f t="shared" si="0"/>
        <v>245.94899999999998</v>
      </c>
      <c r="AB10" s="21">
        <f t="shared" si="1"/>
        <v>45809</v>
      </c>
      <c r="AC10">
        <f>SUMIFS(Production!$H:$H,Production!$A:$A,UPPER(TRIM(B10)),Production!$B:$B,AB10)-SUMIFS(Production!$I:$I,Production!$A:$A,UPPER(TRIM(B10)),Production!$B:$B,AB10)</f>
        <v>43</v>
      </c>
      <c r="AD10">
        <f t="shared" si="2"/>
        <v>10575.806999999999</v>
      </c>
    </row>
    <row r="11" spans="1:30" ht="21" customHeight="1">
      <c r="A11" s="2" t="s">
        <v>114</v>
      </c>
      <c r="B11" s="9" t="s">
        <v>18</v>
      </c>
      <c r="C11" s="5">
        <v>45828.5</v>
      </c>
      <c r="D11" s="4">
        <v>45829.056250000001</v>
      </c>
      <c r="E11" s="2" t="s">
        <v>83</v>
      </c>
      <c r="F11" s="2" t="s">
        <v>115</v>
      </c>
      <c r="G11" s="3">
        <v>3.86</v>
      </c>
      <c r="H11" s="3">
        <v>1.98</v>
      </c>
      <c r="I11" s="3">
        <v>0</v>
      </c>
      <c r="J11" s="3">
        <v>5.32</v>
      </c>
      <c r="K11" s="3">
        <v>2.19</v>
      </c>
      <c r="L11" s="3">
        <v>13.35</v>
      </c>
      <c r="M11" s="3">
        <v>293.7</v>
      </c>
      <c r="N11" s="3">
        <v>0.14000000000000001</v>
      </c>
      <c r="O11" s="2" t="s">
        <v>116</v>
      </c>
      <c r="P11" s="4">
        <v>45828.660833333328</v>
      </c>
      <c r="Q11" s="4">
        <v>45829.056250000001</v>
      </c>
      <c r="R11" s="2" t="s">
        <v>86</v>
      </c>
      <c r="S11" s="3">
        <v>10.64</v>
      </c>
      <c r="T11" s="2">
        <v>85</v>
      </c>
      <c r="U11" s="3">
        <v>6120</v>
      </c>
      <c r="V11" s="3">
        <v>2421</v>
      </c>
      <c r="W11" s="2" t="s">
        <v>94</v>
      </c>
      <c r="X11" s="2" t="s">
        <v>117</v>
      </c>
      <c r="Y11" s="3">
        <v>0</v>
      </c>
      <c r="Z11" t="str">
        <f>INDEX(Assets!$J:$J,MATCH(UPPER(TRIM(B11)),Assets!$A:$A,0))</f>
        <v>Cedar</v>
      </c>
      <c r="AA11">
        <f t="shared" si="0"/>
        <v>252.58199999999999</v>
      </c>
      <c r="AB11" s="21">
        <f t="shared" si="1"/>
        <v>45809</v>
      </c>
      <c r="AC11">
        <f>SUMIFS(Production!$H:$H,Production!$A:$A,UPPER(TRIM(B11)),Production!$B:$B,AB11)-SUMIFS(Production!$I:$I,Production!$A:$A,UPPER(TRIM(B11)),Production!$B:$B,AB11)</f>
        <v>43</v>
      </c>
      <c r="AD11">
        <f t="shared" si="2"/>
        <v>10861.026</v>
      </c>
    </row>
    <row r="12" spans="1:30" ht="21" customHeight="1">
      <c r="A12" s="2" t="s">
        <v>118</v>
      </c>
      <c r="B12" s="9" t="s">
        <v>18</v>
      </c>
      <c r="C12" s="5">
        <v>45843.5</v>
      </c>
      <c r="D12" s="4">
        <v>45844.664166666669</v>
      </c>
      <c r="E12" s="2" t="s">
        <v>83</v>
      </c>
      <c r="F12" s="2" t="s">
        <v>119</v>
      </c>
      <c r="G12" s="3">
        <v>1.75</v>
      </c>
      <c r="H12" s="3">
        <v>2.88</v>
      </c>
      <c r="I12" s="3">
        <v>9.5299999999999994</v>
      </c>
      <c r="J12" s="3">
        <v>12.16</v>
      </c>
      <c r="K12" s="3">
        <v>1.62</v>
      </c>
      <c r="L12" s="3">
        <v>27.94</v>
      </c>
      <c r="M12" s="3">
        <v>614.67999999999995</v>
      </c>
      <c r="N12" s="3">
        <v>0.23</v>
      </c>
      <c r="O12" s="2" t="s">
        <v>120</v>
      </c>
      <c r="P12" s="4">
        <v>45843.572916666672</v>
      </c>
      <c r="Q12" s="4">
        <v>45844.664166666669</v>
      </c>
      <c r="R12" s="2" t="s">
        <v>86</v>
      </c>
      <c r="S12" s="3">
        <v>24.32</v>
      </c>
      <c r="T12" s="2">
        <v>85</v>
      </c>
      <c r="U12" s="3">
        <v>9401</v>
      </c>
      <c r="V12" s="3">
        <v>0</v>
      </c>
      <c r="W12" s="2" t="s">
        <v>94</v>
      </c>
      <c r="X12" s="2" t="s">
        <v>121</v>
      </c>
      <c r="Y12" s="3">
        <v>0</v>
      </c>
      <c r="Z12" t="str">
        <f>INDEX(Assets!$J:$J,MATCH(UPPER(TRIM(B12)),Assets!$A:$A,0))</f>
        <v>Cedar</v>
      </c>
      <c r="AA12">
        <f t="shared" si="0"/>
        <v>473.30359999999996</v>
      </c>
      <c r="AB12" s="21">
        <f t="shared" si="1"/>
        <v>45839</v>
      </c>
      <c r="AC12">
        <f>SUMIFS(Production!$H:$H,Production!$A:$A,UPPER(TRIM(B12)),Production!$B:$B,AB12)-SUMIFS(Production!$I:$I,Production!$A:$A,UPPER(TRIM(B12)),Production!$B:$B,AB12)</f>
        <v>45</v>
      </c>
      <c r="AD12">
        <f t="shared" si="2"/>
        <v>21298.661999999997</v>
      </c>
    </row>
    <row r="13" spans="1:30" ht="21" customHeight="1">
      <c r="A13" s="2" t="s">
        <v>122</v>
      </c>
      <c r="B13" s="9" t="s">
        <v>18</v>
      </c>
      <c r="C13" s="5">
        <v>45866.5</v>
      </c>
      <c r="D13" s="4">
        <v>45866.700833333336</v>
      </c>
      <c r="E13" s="2" t="s">
        <v>90</v>
      </c>
      <c r="F13" s="2" t="s">
        <v>91</v>
      </c>
      <c r="G13" s="3">
        <v>0</v>
      </c>
      <c r="H13" s="3">
        <v>0</v>
      </c>
      <c r="I13" s="3">
        <v>0</v>
      </c>
      <c r="J13" s="3">
        <v>4.82</v>
      </c>
      <c r="K13" s="3">
        <v>0</v>
      </c>
      <c r="L13" s="3">
        <f>SUM(G13:K13)</f>
        <v>4.82</v>
      </c>
      <c r="M13" s="3">
        <v>106.04</v>
      </c>
      <c r="N13" s="3">
        <v>0.25</v>
      </c>
      <c r="O13" s="2" t="s">
        <v>123</v>
      </c>
      <c r="P13" s="4">
        <v>45866.5</v>
      </c>
      <c r="Q13" s="4">
        <v>45866.700833333336</v>
      </c>
      <c r="R13" s="2" t="s">
        <v>93</v>
      </c>
      <c r="S13" s="3">
        <v>4.82</v>
      </c>
      <c r="T13" s="2">
        <v>85</v>
      </c>
      <c r="U13" s="3">
        <v>1417</v>
      </c>
      <c r="V13" s="3">
        <v>0</v>
      </c>
      <c r="W13" s="2" t="s">
        <v>94</v>
      </c>
      <c r="X13" s="2" t="s">
        <v>95</v>
      </c>
      <c r="Y13" s="3">
        <v>0</v>
      </c>
      <c r="Z13" t="str">
        <f>INDEX(Assets!$J:$J,MATCH(UPPER(TRIM(B13)),Assets!$A:$A,0))</f>
        <v>Cedar</v>
      </c>
      <c r="AA13">
        <f t="shared" si="0"/>
        <v>79.53</v>
      </c>
      <c r="AB13" s="21">
        <f t="shared" si="1"/>
        <v>45839</v>
      </c>
      <c r="AC13">
        <f>SUMIFS(Production!$H:$H,Production!$A:$A,UPPER(TRIM(B13)),Production!$B:$B,AB13)-SUMIFS(Production!$I:$I,Production!$A:$A,UPPER(TRIM(B13)),Production!$B:$B,AB13)</f>
        <v>45</v>
      </c>
      <c r="AD13">
        <f t="shared" si="2"/>
        <v>3578.85</v>
      </c>
    </row>
    <row r="14" spans="1:30" ht="21" customHeight="1">
      <c r="A14" s="2" t="s">
        <v>124</v>
      </c>
      <c r="B14" s="9" t="s">
        <v>18</v>
      </c>
      <c r="C14" s="5">
        <v>45878.5</v>
      </c>
      <c r="D14" s="4">
        <v>45879.152083333334</v>
      </c>
      <c r="E14" s="2" t="s">
        <v>83</v>
      </c>
      <c r="F14" s="2" t="s">
        <v>97</v>
      </c>
      <c r="G14" s="3">
        <v>4.0599999999999996</v>
      </c>
      <c r="H14" s="3">
        <v>4.74</v>
      </c>
      <c r="I14" s="3">
        <v>0</v>
      </c>
      <c r="J14" s="3">
        <v>5.71</v>
      </c>
      <c r="K14" s="3">
        <v>1.1399999999999999</v>
      </c>
      <c r="L14" s="3">
        <v>15.65</v>
      </c>
      <c r="M14" s="3">
        <v>344.3</v>
      </c>
      <c r="N14" s="3">
        <v>0.3</v>
      </c>
      <c r="O14" s="2" t="s">
        <v>125</v>
      </c>
      <c r="P14" s="4">
        <v>45878.669166666667</v>
      </c>
      <c r="Q14" s="4">
        <v>45879.152083333334</v>
      </c>
      <c r="R14" s="2" t="s">
        <v>86</v>
      </c>
      <c r="S14" s="3">
        <v>11.42</v>
      </c>
      <c r="T14" s="2">
        <v>85</v>
      </c>
      <c r="U14" s="3">
        <v>7654</v>
      </c>
      <c r="V14" s="3">
        <v>0</v>
      </c>
      <c r="W14" s="2" t="s">
        <v>94</v>
      </c>
      <c r="X14" s="2" t="s">
        <v>99</v>
      </c>
      <c r="Y14" s="3">
        <v>0</v>
      </c>
      <c r="Z14" t="str">
        <f>INDEX(Assets!$J:$J,MATCH(UPPER(TRIM(B14)),Assets!$A:$A,0))</f>
        <v>Cedar</v>
      </c>
      <c r="AA14">
        <f t="shared" si="0"/>
        <v>241.01</v>
      </c>
      <c r="AB14" s="21">
        <f t="shared" si="1"/>
        <v>45870</v>
      </c>
      <c r="AC14">
        <f>SUMIFS(Production!$H:$H,Production!$A:$A,UPPER(TRIM(B14)),Production!$B:$B,AB14)-SUMIFS(Production!$I:$I,Production!$A:$A,UPPER(TRIM(B14)),Production!$B:$B,AB14)</f>
        <v>44</v>
      </c>
      <c r="AD14">
        <f t="shared" si="2"/>
        <v>10604.439999999999</v>
      </c>
    </row>
    <row r="15" spans="1:30" ht="21" customHeight="1">
      <c r="A15" s="2" t="s">
        <v>126</v>
      </c>
      <c r="B15" s="9" t="s">
        <v>18</v>
      </c>
      <c r="C15" s="5">
        <v>45908.5</v>
      </c>
      <c r="D15" s="4">
        <v>45909.180833333332</v>
      </c>
      <c r="E15" s="2" t="s">
        <v>83</v>
      </c>
      <c r="F15" s="2" t="s">
        <v>101</v>
      </c>
      <c r="G15" s="3">
        <v>3.83</v>
      </c>
      <c r="H15" s="3">
        <v>1.76</v>
      </c>
      <c r="I15" s="3">
        <v>0</v>
      </c>
      <c r="J15" s="3">
        <v>8.4499999999999993</v>
      </c>
      <c r="K15" s="3">
        <v>2.2999999999999998</v>
      </c>
      <c r="L15" s="3">
        <v>16.34</v>
      </c>
      <c r="M15" s="3">
        <v>359.48</v>
      </c>
      <c r="N15" s="3">
        <v>0.13</v>
      </c>
      <c r="O15" s="2" t="s">
        <v>127</v>
      </c>
      <c r="P15" s="4">
        <v>45908.659583333334</v>
      </c>
      <c r="Q15" s="4">
        <v>45909.180833333332</v>
      </c>
      <c r="R15" s="2" t="s">
        <v>86</v>
      </c>
      <c r="S15" s="3">
        <v>8.4499999999999993</v>
      </c>
      <c r="T15" s="2">
        <v>85</v>
      </c>
      <c r="U15" s="3">
        <v>8438</v>
      </c>
      <c r="V15" s="3">
        <v>0</v>
      </c>
      <c r="W15" s="2" t="s">
        <v>94</v>
      </c>
      <c r="X15" s="2" t="s">
        <v>103</v>
      </c>
      <c r="Y15" s="3">
        <v>0</v>
      </c>
      <c r="Z15" t="str">
        <f>INDEX(Assets!$J:$J,MATCH(UPPER(TRIM(B15)),Assets!$A:$A,0))</f>
        <v>Cedar</v>
      </c>
      <c r="AA15">
        <f t="shared" si="0"/>
        <v>312.74760000000003</v>
      </c>
      <c r="AB15" s="21">
        <f t="shared" si="1"/>
        <v>45901</v>
      </c>
      <c r="AC15">
        <f>SUMIFS(Production!$H:$H,Production!$A:$A,UPPER(TRIM(B15)),Production!$B:$B,AB15)-SUMIFS(Production!$I:$I,Production!$A:$A,UPPER(TRIM(B15)),Production!$B:$B,AB15)</f>
        <v>41</v>
      </c>
      <c r="AD15">
        <f t="shared" si="2"/>
        <v>12822.651600000001</v>
      </c>
    </row>
    <row r="16" spans="1:30" ht="21" customHeight="1">
      <c r="A16" s="2" t="s">
        <v>128</v>
      </c>
      <c r="B16" s="9" t="s">
        <v>18</v>
      </c>
      <c r="C16" s="5">
        <v>45921.5</v>
      </c>
      <c r="D16" s="4">
        <v>45922.124166666668</v>
      </c>
      <c r="E16" s="2" t="s">
        <v>83</v>
      </c>
      <c r="F16" s="2" t="s">
        <v>119</v>
      </c>
      <c r="G16" s="3">
        <v>1.1100000000000001</v>
      </c>
      <c r="H16" s="3">
        <v>1.93</v>
      </c>
      <c r="I16" s="3">
        <v>0</v>
      </c>
      <c r="J16" s="3">
        <v>10.130000000000001</v>
      </c>
      <c r="K16" s="3">
        <v>1.81</v>
      </c>
      <c r="L16" s="3">
        <v>14.98</v>
      </c>
      <c r="M16" s="3">
        <v>329.56</v>
      </c>
      <c r="N16" s="3">
        <v>0.15</v>
      </c>
      <c r="O16" s="2" t="s">
        <v>129</v>
      </c>
      <c r="P16" s="4">
        <v>45921.546249999999</v>
      </c>
      <c r="Q16" s="4">
        <v>45922.124166666668</v>
      </c>
      <c r="R16" s="2" t="s">
        <v>86</v>
      </c>
      <c r="S16" s="3">
        <v>10.130000000000001</v>
      </c>
      <c r="T16" s="2">
        <v>85</v>
      </c>
      <c r="U16" s="3">
        <v>4828</v>
      </c>
      <c r="V16" s="3">
        <v>0</v>
      </c>
      <c r="W16" s="2" t="s">
        <v>94</v>
      </c>
      <c r="X16" s="2" t="s">
        <v>121</v>
      </c>
      <c r="Y16" s="3">
        <v>0</v>
      </c>
      <c r="Z16" t="str">
        <f>INDEX(Assets!$J:$J,MATCH(UPPER(TRIM(B16)),Assets!$A:$A,0))</f>
        <v>Cedar</v>
      </c>
      <c r="AA16">
        <f t="shared" si="0"/>
        <v>280.12599999999998</v>
      </c>
      <c r="AB16" s="21">
        <f t="shared" si="1"/>
        <v>45901</v>
      </c>
      <c r="AC16">
        <f>SUMIFS(Production!$H:$H,Production!$A:$A,UPPER(TRIM(B16)),Production!$B:$B,AB16)-SUMIFS(Production!$I:$I,Production!$A:$A,UPPER(TRIM(B16)),Production!$B:$B,AB16)</f>
        <v>41</v>
      </c>
      <c r="AD16">
        <f t="shared" si="2"/>
        <v>11485.165999999999</v>
      </c>
    </row>
    <row r="17" spans="1:30" ht="21" customHeight="1">
      <c r="A17" s="2" t="s">
        <v>130</v>
      </c>
      <c r="B17" s="9" t="s">
        <v>18</v>
      </c>
      <c r="C17" s="5">
        <v>45934.5</v>
      </c>
      <c r="D17" s="4">
        <v>45935.188750000001</v>
      </c>
      <c r="E17" s="2" t="s">
        <v>83</v>
      </c>
      <c r="F17" s="2" t="s">
        <v>84</v>
      </c>
      <c r="G17" s="3">
        <v>1.3</v>
      </c>
      <c r="H17" s="3">
        <v>3.29</v>
      </c>
      <c r="I17" s="3">
        <v>0</v>
      </c>
      <c r="J17" s="3">
        <v>9.5399999999999991</v>
      </c>
      <c r="K17" s="3">
        <v>2.4</v>
      </c>
      <c r="L17" s="3">
        <v>16.53</v>
      </c>
      <c r="M17" s="3">
        <v>363.66</v>
      </c>
      <c r="N17" s="3">
        <v>0.28999999999999998</v>
      </c>
      <c r="O17" s="2" t="s">
        <v>131</v>
      </c>
      <c r="P17" s="4">
        <v>45934.554166666669</v>
      </c>
      <c r="Q17" s="4">
        <v>45935.188750000001</v>
      </c>
      <c r="R17" s="2" t="s">
        <v>86</v>
      </c>
      <c r="S17" s="3">
        <v>9.5399999999999991</v>
      </c>
      <c r="T17" s="2">
        <v>85</v>
      </c>
      <c r="U17" s="3">
        <v>1279</v>
      </c>
      <c r="V17" s="3">
        <v>0</v>
      </c>
      <c r="W17" s="2" t="s">
        <v>94</v>
      </c>
      <c r="X17" s="2" t="s">
        <v>88</v>
      </c>
      <c r="Y17" s="3">
        <v>0</v>
      </c>
      <c r="Z17" t="str">
        <f>INDEX(Assets!$J:$J,MATCH(UPPER(TRIM(B17)),Assets!$A:$A,0))</f>
        <v>Cedar</v>
      </c>
      <c r="AA17">
        <f t="shared" si="0"/>
        <v>258.1986</v>
      </c>
      <c r="AB17" s="21">
        <f t="shared" si="1"/>
        <v>45931</v>
      </c>
      <c r="AC17">
        <f>SUMIFS(Production!$H:$H,Production!$A:$A,UPPER(TRIM(B17)),Production!$B:$B,AB17)-SUMIFS(Production!$I:$I,Production!$A:$A,UPPER(TRIM(B17)),Production!$B:$B,AB17)</f>
        <v>40</v>
      </c>
      <c r="AD17">
        <f t="shared" si="2"/>
        <v>10327.944</v>
      </c>
    </row>
    <row r="18" spans="1:30" ht="21" customHeight="1">
      <c r="A18" s="2" t="s">
        <v>132</v>
      </c>
      <c r="B18" s="9" t="s">
        <v>18</v>
      </c>
      <c r="C18" s="5">
        <v>45950.5</v>
      </c>
      <c r="D18" s="4">
        <v>45951.231249999997</v>
      </c>
      <c r="E18" s="2" t="s">
        <v>83</v>
      </c>
      <c r="F18" s="2" t="s">
        <v>101</v>
      </c>
      <c r="G18" s="3">
        <v>3.62</v>
      </c>
      <c r="H18" s="3">
        <v>3.4</v>
      </c>
      <c r="I18" s="3">
        <v>0</v>
      </c>
      <c r="J18" s="3">
        <v>8.98</v>
      </c>
      <c r="K18" s="3">
        <v>1.55</v>
      </c>
      <c r="L18" s="3">
        <v>17.55</v>
      </c>
      <c r="M18" s="3">
        <v>386.1</v>
      </c>
      <c r="N18" s="3">
        <v>0.18</v>
      </c>
      <c r="O18" s="2" t="s">
        <v>133</v>
      </c>
      <c r="P18" s="4">
        <v>45950.650833333333</v>
      </c>
      <c r="Q18" s="4">
        <v>45951.231249999997</v>
      </c>
      <c r="R18" s="2" t="s">
        <v>86</v>
      </c>
      <c r="S18" s="3">
        <v>17.96</v>
      </c>
      <c r="T18" s="2">
        <v>85</v>
      </c>
      <c r="U18" s="3">
        <v>9533</v>
      </c>
      <c r="V18" s="3">
        <v>0</v>
      </c>
      <c r="W18" s="2" t="s">
        <v>94</v>
      </c>
      <c r="X18" s="2" t="s">
        <v>103</v>
      </c>
      <c r="Y18" s="3">
        <v>0</v>
      </c>
      <c r="Z18" t="str">
        <f>INDEX(Assets!$J:$J,MATCH(UPPER(TRIM(B18)),Assets!$A:$A,0))</f>
        <v>Cedar</v>
      </c>
      <c r="AA18">
        <f t="shared" si="0"/>
        <v>316.60200000000003</v>
      </c>
      <c r="AB18" s="21">
        <f t="shared" si="1"/>
        <v>45931</v>
      </c>
      <c r="AC18">
        <f>SUMIFS(Production!$H:$H,Production!$A:$A,UPPER(TRIM(B18)),Production!$B:$B,AB18)-SUMIFS(Production!$I:$I,Production!$A:$A,UPPER(TRIM(B18)),Production!$B:$B,AB18)</f>
        <v>40</v>
      </c>
      <c r="AD18">
        <f t="shared" si="2"/>
        <v>12664.080000000002</v>
      </c>
    </row>
    <row r="19" spans="1:30" ht="21" customHeight="1">
      <c r="A19" s="2" t="s">
        <v>134</v>
      </c>
      <c r="B19" s="9" t="s">
        <v>18</v>
      </c>
      <c r="C19" s="5">
        <v>45958.5</v>
      </c>
      <c r="D19" s="4">
        <v>45958.63416666667</v>
      </c>
      <c r="E19" s="2" t="s">
        <v>90</v>
      </c>
      <c r="F19" s="2" t="s">
        <v>91</v>
      </c>
      <c r="G19" s="3">
        <v>0</v>
      </c>
      <c r="H19" s="3">
        <v>0</v>
      </c>
      <c r="I19" s="3">
        <v>0</v>
      </c>
      <c r="J19" s="3">
        <v>3.22</v>
      </c>
      <c r="K19" s="3">
        <v>0</v>
      </c>
      <c r="L19" s="3">
        <v>3.22</v>
      </c>
      <c r="M19" s="3">
        <v>70.84</v>
      </c>
      <c r="N19" s="3">
        <v>0.25</v>
      </c>
      <c r="O19" s="2" t="s">
        <v>135</v>
      </c>
      <c r="P19" s="4">
        <v>45958.5</v>
      </c>
      <c r="Q19" s="4">
        <v>45958.63416666667</v>
      </c>
      <c r="R19" s="2" t="s">
        <v>93</v>
      </c>
      <c r="S19" s="3">
        <v>3.22</v>
      </c>
      <c r="T19" s="2">
        <v>85</v>
      </c>
      <c r="U19" s="3">
        <v>1554</v>
      </c>
      <c r="V19" s="3">
        <v>0</v>
      </c>
      <c r="W19" s="2" t="s">
        <v>94</v>
      </c>
      <c r="X19" s="2" t="s">
        <v>95</v>
      </c>
      <c r="Y19" s="3">
        <v>0</v>
      </c>
      <c r="Z19" t="str">
        <f>INDEX(Assets!$J:$J,MATCH(UPPER(TRIM(B19)),Assets!$A:$A,0))</f>
        <v>Cedar</v>
      </c>
      <c r="AA19">
        <f t="shared" si="0"/>
        <v>53.13</v>
      </c>
      <c r="AB19" s="21">
        <f t="shared" si="1"/>
        <v>45931</v>
      </c>
      <c r="AC19">
        <f>SUMIFS(Production!$H:$H,Production!$A:$A,UPPER(TRIM(B19)),Production!$B:$B,AB19)-SUMIFS(Production!$I:$I,Production!$A:$A,UPPER(TRIM(B19)),Production!$B:$B,AB19)</f>
        <v>40</v>
      </c>
      <c r="AD19">
        <f t="shared" si="2"/>
        <v>2125.2000000000003</v>
      </c>
    </row>
    <row r="20" spans="1:30" ht="21" customHeight="1">
      <c r="A20" s="2" t="s">
        <v>136</v>
      </c>
      <c r="B20" s="9" t="s">
        <v>18</v>
      </c>
      <c r="C20" s="5">
        <v>45966.5</v>
      </c>
      <c r="D20" s="4">
        <v>45967.074166666665</v>
      </c>
      <c r="E20" s="2" t="s">
        <v>83</v>
      </c>
      <c r="F20" s="2" t="s">
        <v>97</v>
      </c>
      <c r="G20" s="3">
        <v>1.37</v>
      </c>
      <c r="H20" s="3">
        <v>1.62</v>
      </c>
      <c r="I20" s="3">
        <v>0</v>
      </c>
      <c r="J20" s="3">
        <v>8.99</v>
      </c>
      <c r="K20" s="3">
        <v>1.8</v>
      </c>
      <c r="L20" s="3">
        <v>13.78</v>
      </c>
      <c r="M20" s="3">
        <v>303.16000000000003</v>
      </c>
      <c r="N20" s="3">
        <v>0.11</v>
      </c>
      <c r="O20" s="2" t="s">
        <v>137</v>
      </c>
      <c r="P20" s="4">
        <v>45966.557083333333</v>
      </c>
      <c r="Q20" s="4">
        <v>45967.074166666665</v>
      </c>
      <c r="R20" s="2" t="s">
        <v>86</v>
      </c>
      <c r="S20" s="3">
        <v>17.98</v>
      </c>
      <c r="T20" s="2">
        <v>85</v>
      </c>
      <c r="U20" s="3">
        <v>7810</v>
      </c>
      <c r="V20" s="3">
        <v>3565</v>
      </c>
      <c r="W20" s="2" t="s">
        <v>94</v>
      </c>
      <c r="X20" s="2" t="s">
        <v>99</v>
      </c>
      <c r="Y20" s="3">
        <v>0</v>
      </c>
      <c r="Z20" t="str">
        <f>INDEX(Assets!$J:$J,MATCH(UPPER(TRIM(B20)),Assets!$A:$A,0))</f>
        <v>Cedar</v>
      </c>
      <c r="AA20">
        <f t="shared" si="0"/>
        <v>269.81240000000003</v>
      </c>
      <c r="AB20" s="21">
        <f t="shared" si="1"/>
        <v>45962</v>
      </c>
      <c r="AC20">
        <f>SUMIFS(Production!$H:$H,Production!$A:$A,UPPER(TRIM(B20)),Production!$B:$B,AB20)-SUMIFS(Production!$I:$I,Production!$A:$A,UPPER(TRIM(B20)),Production!$B:$B,AB20)</f>
        <v>42</v>
      </c>
      <c r="AD20">
        <f t="shared" si="2"/>
        <v>11332.120800000001</v>
      </c>
    </row>
    <row r="21" spans="1:30" ht="21" customHeight="1">
      <c r="A21" s="2" t="s">
        <v>138</v>
      </c>
      <c r="B21" s="9" t="s">
        <v>18</v>
      </c>
      <c r="C21" s="5">
        <v>45980.5</v>
      </c>
      <c r="D21" s="4">
        <v>45980.964166666672</v>
      </c>
      <c r="E21" s="2" t="s">
        <v>83</v>
      </c>
      <c r="F21" s="2" t="s">
        <v>101</v>
      </c>
      <c r="G21" s="3">
        <v>3.78</v>
      </c>
      <c r="H21" s="3">
        <v>2.41</v>
      </c>
      <c r="I21" s="3">
        <v>0</v>
      </c>
      <c r="J21" s="3">
        <v>3.09</v>
      </c>
      <c r="K21" s="3">
        <v>1.86</v>
      </c>
      <c r="L21" s="3">
        <v>11.14</v>
      </c>
      <c r="M21" s="3">
        <v>245.08</v>
      </c>
      <c r="N21" s="3">
        <v>0.27</v>
      </c>
      <c r="O21" s="2" t="s">
        <v>139</v>
      </c>
      <c r="P21" s="4">
        <v>45980.657500000001</v>
      </c>
      <c r="Q21" s="4">
        <v>45980.964166666672</v>
      </c>
      <c r="R21" s="2" t="s">
        <v>86</v>
      </c>
      <c r="S21" s="3">
        <v>3.09</v>
      </c>
      <c r="T21" s="2">
        <v>85</v>
      </c>
      <c r="U21" s="3">
        <v>3654</v>
      </c>
      <c r="V21" s="3">
        <v>0</v>
      </c>
      <c r="W21" s="2" t="s">
        <v>94</v>
      </c>
      <c r="X21" s="2" t="s">
        <v>103</v>
      </c>
      <c r="Y21" s="3">
        <v>0</v>
      </c>
      <c r="Z21" t="str">
        <f>INDEX(Assets!$J:$J,MATCH(UPPER(TRIM(B21)),Assets!$A:$A,0))</f>
        <v>Cedar</v>
      </c>
      <c r="AA21">
        <f t="shared" si="0"/>
        <v>178.9084</v>
      </c>
      <c r="AB21" s="21">
        <f t="shared" si="1"/>
        <v>45962</v>
      </c>
      <c r="AC21">
        <f>SUMIFS(Production!$H:$H,Production!$A:$A,UPPER(TRIM(B21)),Production!$B:$B,AB21)-SUMIFS(Production!$I:$I,Production!$A:$A,UPPER(TRIM(B21)),Production!$B:$B,AB21)</f>
        <v>42</v>
      </c>
      <c r="AD21">
        <f t="shared" si="2"/>
        <v>7514.1527999999998</v>
      </c>
    </row>
    <row r="22" spans="1:30" ht="21" customHeight="1">
      <c r="A22" s="2" t="s">
        <v>140</v>
      </c>
      <c r="B22" s="9" t="s">
        <v>18</v>
      </c>
      <c r="C22" s="5">
        <v>45999.5</v>
      </c>
      <c r="D22" s="4">
        <v>46001.167083333334</v>
      </c>
      <c r="E22" s="2" t="s">
        <v>83</v>
      </c>
      <c r="F22" s="2" t="s">
        <v>119</v>
      </c>
      <c r="G22" s="3">
        <v>1.6</v>
      </c>
      <c r="H22" s="3">
        <v>2.29</v>
      </c>
      <c r="I22" s="3">
        <v>24.36</v>
      </c>
      <c r="J22" s="3">
        <v>10.54</v>
      </c>
      <c r="K22" s="3">
        <v>1.22</v>
      </c>
      <c r="L22" s="3">
        <v>40.01</v>
      </c>
      <c r="M22" s="3">
        <v>880.22</v>
      </c>
      <c r="N22" s="3">
        <v>0.17</v>
      </c>
      <c r="O22" s="2" t="s">
        <v>141</v>
      </c>
      <c r="P22" s="4">
        <v>45999.566666666666</v>
      </c>
      <c r="Q22" s="4">
        <v>46001.167083333334</v>
      </c>
      <c r="R22" s="2" t="s">
        <v>86</v>
      </c>
      <c r="S22" s="3">
        <v>10.54</v>
      </c>
      <c r="T22" s="2">
        <v>85</v>
      </c>
      <c r="U22" s="3">
        <v>2554</v>
      </c>
      <c r="V22" s="3">
        <v>4256</v>
      </c>
      <c r="W22" s="2" t="s">
        <v>94</v>
      </c>
      <c r="X22" s="2" t="s">
        <v>121</v>
      </c>
      <c r="Y22" s="3">
        <v>0</v>
      </c>
      <c r="Z22" t="str">
        <f>INDEX(Assets!$J:$J,MATCH(UPPER(TRIM(B22)),Assets!$A:$A,0))</f>
        <v>Cedar</v>
      </c>
      <c r="AA22">
        <f t="shared" si="0"/>
        <v>730.58259999999996</v>
      </c>
      <c r="AB22" s="21">
        <f t="shared" si="1"/>
        <v>45992</v>
      </c>
      <c r="AC22">
        <f>SUMIFS(Production!$H:$H,Production!$A:$A,UPPER(TRIM(B22)),Production!$B:$B,AB22)-SUMIFS(Production!$I:$I,Production!$A:$A,UPPER(TRIM(B22)),Production!$B:$B,AB22)</f>
        <v>43</v>
      </c>
      <c r="AD22">
        <f t="shared" si="2"/>
        <v>31415.051799999997</v>
      </c>
    </row>
    <row r="23" spans="1:30" ht="21" customHeight="1">
      <c r="A23" s="2" t="s">
        <v>142</v>
      </c>
      <c r="B23" s="9" t="s">
        <v>23</v>
      </c>
      <c r="C23" s="5">
        <v>45667.5</v>
      </c>
      <c r="D23" s="4">
        <v>45668.155833333338</v>
      </c>
      <c r="E23" s="2" t="s">
        <v>83</v>
      </c>
      <c r="F23" s="2" t="s">
        <v>97</v>
      </c>
      <c r="G23" s="3">
        <v>4.62</v>
      </c>
      <c r="H23" s="3">
        <v>2.89</v>
      </c>
      <c r="I23" s="3">
        <v>0</v>
      </c>
      <c r="J23" s="3">
        <v>7.46</v>
      </c>
      <c r="K23" s="3">
        <v>0.77</v>
      </c>
      <c r="L23" s="3">
        <v>15.74</v>
      </c>
      <c r="M23" s="3">
        <v>251.84</v>
      </c>
      <c r="N23" s="3">
        <v>0.2</v>
      </c>
      <c r="O23" s="2" t="s">
        <v>143</v>
      </c>
      <c r="P23" s="4">
        <v>45667.692500000005</v>
      </c>
      <c r="Q23" s="4">
        <v>45668.155833333338</v>
      </c>
      <c r="R23" s="2" t="s">
        <v>86</v>
      </c>
      <c r="S23" s="3">
        <v>7.46</v>
      </c>
      <c r="T23" s="2">
        <v>85</v>
      </c>
      <c r="U23" s="3">
        <v>7583</v>
      </c>
      <c r="V23" s="3">
        <v>0</v>
      </c>
      <c r="W23" s="2" t="s">
        <v>94</v>
      </c>
      <c r="X23" s="2" t="s">
        <v>99</v>
      </c>
      <c r="Y23" s="3">
        <v>0</v>
      </c>
      <c r="Z23" t="str">
        <f>INDEX(Assets!$J:$J,MATCH(UPPER(TRIM(B23)),Assets!$A:$A,0))</f>
        <v>Cedar</v>
      </c>
      <c r="AA23">
        <f t="shared" si="0"/>
        <v>201.47200000000001</v>
      </c>
      <c r="AB23" s="21">
        <f t="shared" si="1"/>
        <v>45658</v>
      </c>
      <c r="AC23">
        <f>SUMIFS(Production!$H:$H,Production!$A:$A,UPPER(TRIM(B23)),Production!$B:$B,AB23)-SUMIFS(Production!$I:$I,Production!$A:$A,UPPER(TRIM(B23)),Production!$B:$B,AB23)</f>
        <v>50</v>
      </c>
      <c r="AD23">
        <f t="shared" si="2"/>
        <v>10073.6</v>
      </c>
    </row>
    <row r="24" spans="1:30" ht="21" customHeight="1">
      <c r="A24" s="2" t="s">
        <v>144</v>
      </c>
      <c r="B24" s="9" t="s">
        <v>23</v>
      </c>
      <c r="C24" s="5">
        <v>45685.5</v>
      </c>
      <c r="D24" s="4">
        <v>45685.818749999999</v>
      </c>
      <c r="E24" s="2" t="s">
        <v>90</v>
      </c>
      <c r="F24" s="2" t="s">
        <v>91</v>
      </c>
      <c r="G24" s="3">
        <v>0</v>
      </c>
      <c r="H24" s="3">
        <v>0</v>
      </c>
      <c r="I24" s="3">
        <v>0</v>
      </c>
      <c r="J24" s="3">
        <v>7.65</v>
      </c>
      <c r="K24" s="3">
        <v>0</v>
      </c>
      <c r="L24" s="3">
        <v>7.65</v>
      </c>
      <c r="M24" s="3">
        <v>122.4</v>
      </c>
      <c r="N24" s="3">
        <v>0.25</v>
      </c>
      <c r="O24" s="2" t="s">
        <v>145</v>
      </c>
      <c r="P24" s="4">
        <v>45685.5</v>
      </c>
      <c r="Q24" s="4">
        <v>45685.818749999999</v>
      </c>
      <c r="R24" s="2" t="s">
        <v>93</v>
      </c>
      <c r="S24" s="3">
        <v>7.65</v>
      </c>
      <c r="T24" s="2">
        <v>85</v>
      </c>
      <c r="U24" s="3">
        <v>1735</v>
      </c>
      <c r="V24" s="3">
        <v>4307</v>
      </c>
      <c r="W24" s="2" t="s">
        <v>94</v>
      </c>
      <c r="X24" s="2" t="s">
        <v>95</v>
      </c>
      <c r="Y24" s="3">
        <v>0</v>
      </c>
      <c r="Z24" t="str">
        <f>INDEX(Assets!$J:$J,MATCH(UPPER(TRIM(B24)),Assets!$A:$A,0))</f>
        <v>Cedar</v>
      </c>
      <c r="AA24">
        <f t="shared" si="0"/>
        <v>91.800000000000011</v>
      </c>
      <c r="AB24" s="21">
        <f t="shared" si="1"/>
        <v>45658</v>
      </c>
      <c r="AC24">
        <f>SUMIFS(Production!$H:$H,Production!$A:$A,UPPER(TRIM(B24)),Production!$B:$B,AB24)-SUMIFS(Production!$I:$I,Production!$A:$A,UPPER(TRIM(B24)),Production!$B:$B,AB24)</f>
        <v>50</v>
      </c>
      <c r="AD24">
        <f t="shared" si="2"/>
        <v>4590.0000000000009</v>
      </c>
    </row>
    <row r="25" spans="1:30" ht="21" customHeight="1">
      <c r="A25" s="2" t="s">
        <v>146</v>
      </c>
      <c r="B25" s="9" t="s">
        <v>23</v>
      </c>
      <c r="C25" s="5">
        <v>45698.5</v>
      </c>
      <c r="D25" s="4">
        <v>45700.017500000002</v>
      </c>
      <c r="E25" s="2" t="s">
        <v>83</v>
      </c>
      <c r="F25" s="2" t="s">
        <v>119</v>
      </c>
      <c r="G25" s="3">
        <v>1.27</v>
      </c>
      <c r="H25" s="3">
        <v>2.7</v>
      </c>
      <c r="I25" s="3">
        <v>19.84</v>
      </c>
      <c r="J25" s="3">
        <v>11.57</v>
      </c>
      <c r="K25" s="3">
        <v>1.04</v>
      </c>
      <c r="L25" s="3">
        <v>36.42</v>
      </c>
      <c r="M25" s="3">
        <v>582.72</v>
      </c>
      <c r="N25" s="3">
        <v>0.28000000000000003</v>
      </c>
      <c r="O25" s="2" t="s">
        <v>147</v>
      </c>
      <c r="P25" s="4">
        <v>45698.552916666667</v>
      </c>
      <c r="Q25" s="4">
        <v>45700.017500000002</v>
      </c>
      <c r="R25" s="2" t="s">
        <v>86</v>
      </c>
      <c r="S25" s="3">
        <v>11.57</v>
      </c>
      <c r="T25" s="2">
        <v>85</v>
      </c>
      <c r="U25" s="3">
        <v>4717</v>
      </c>
      <c r="V25" s="3">
        <v>0</v>
      </c>
      <c r="W25" s="2" t="s">
        <v>94</v>
      </c>
      <c r="X25" s="2" t="s">
        <v>121</v>
      </c>
      <c r="Y25" s="3">
        <v>0</v>
      </c>
      <c r="Z25" t="str">
        <f>INDEX(Assets!$J:$J,MATCH(UPPER(TRIM(B25)),Assets!$A:$A,0))</f>
        <v>Cedar</v>
      </c>
      <c r="AA25">
        <f t="shared" si="0"/>
        <v>419.55840000000001</v>
      </c>
      <c r="AB25" s="21">
        <f t="shared" si="1"/>
        <v>45689</v>
      </c>
      <c r="AC25">
        <f>SUMIFS(Production!$H:$H,Production!$A:$A,UPPER(TRIM(B25)),Production!$B:$B,AB25)-SUMIFS(Production!$I:$I,Production!$A:$A,UPPER(TRIM(B25)),Production!$B:$B,AB25)</f>
        <v>48</v>
      </c>
      <c r="AD25">
        <f t="shared" si="2"/>
        <v>20138.803200000002</v>
      </c>
    </row>
    <row r="26" spans="1:30" ht="21" customHeight="1">
      <c r="A26" s="2" t="s">
        <v>148</v>
      </c>
      <c r="B26" s="9" t="s">
        <v>23</v>
      </c>
      <c r="C26" s="5">
        <v>45707.5</v>
      </c>
      <c r="D26" s="4">
        <v>45708.048333333332</v>
      </c>
      <c r="E26" s="2" t="s">
        <v>83</v>
      </c>
      <c r="F26" s="2" t="s">
        <v>119</v>
      </c>
      <c r="G26" s="3">
        <v>1.05</v>
      </c>
      <c r="H26" s="3">
        <v>2.16</v>
      </c>
      <c r="I26" s="3">
        <v>0</v>
      </c>
      <c r="J26" s="3">
        <v>8.57</v>
      </c>
      <c r="K26" s="3">
        <v>1.38</v>
      </c>
      <c r="L26" s="3">
        <v>13.16</v>
      </c>
      <c r="M26" s="3">
        <v>210.56</v>
      </c>
      <c r="N26" s="3">
        <v>0.21</v>
      </c>
      <c r="O26" s="2" t="s">
        <v>149</v>
      </c>
      <c r="P26" s="4">
        <v>45707.543749999997</v>
      </c>
      <c r="Q26" s="4">
        <v>45708.048333333332</v>
      </c>
      <c r="R26" s="2" t="s">
        <v>86</v>
      </c>
      <c r="S26" s="3">
        <v>17.14</v>
      </c>
      <c r="T26" s="2">
        <v>85</v>
      </c>
      <c r="U26" s="3">
        <v>3379</v>
      </c>
      <c r="V26" s="3">
        <v>4125</v>
      </c>
      <c r="W26" s="2" t="s">
        <v>94</v>
      </c>
      <c r="X26" s="2" t="s">
        <v>121</v>
      </c>
      <c r="Y26" s="3">
        <v>0</v>
      </c>
      <c r="Z26" t="str">
        <f>INDEX(Assets!$J:$J,MATCH(UPPER(TRIM(B26)),Assets!$A:$A,0))</f>
        <v>Cedar</v>
      </c>
      <c r="AA26">
        <f t="shared" si="0"/>
        <v>166.3424</v>
      </c>
      <c r="AB26" s="21">
        <f t="shared" si="1"/>
        <v>45689</v>
      </c>
      <c r="AC26">
        <f>SUMIFS(Production!$H:$H,Production!$A:$A,UPPER(TRIM(B26)),Production!$B:$B,AB26)-SUMIFS(Production!$I:$I,Production!$A:$A,UPPER(TRIM(B26)),Production!$B:$B,AB26)</f>
        <v>48</v>
      </c>
      <c r="AD26">
        <f t="shared" si="2"/>
        <v>7984.4351999999999</v>
      </c>
    </row>
    <row r="27" spans="1:30" ht="21" customHeight="1">
      <c r="A27" s="2" t="s">
        <v>150</v>
      </c>
      <c r="B27" s="9" t="s">
        <v>23</v>
      </c>
      <c r="C27" s="5">
        <v>45723.5</v>
      </c>
      <c r="D27" s="4">
        <v>45724.121249999997</v>
      </c>
      <c r="E27" s="2" t="s">
        <v>83</v>
      </c>
      <c r="F27" s="2" t="s">
        <v>115</v>
      </c>
      <c r="G27" s="3">
        <v>1.94</v>
      </c>
      <c r="H27" s="3">
        <v>3.28</v>
      </c>
      <c r="I27" s="3">
        <v>0</v>
      </c>
      <c r="J27" s="3">
        <v>7.73</v>
      </c>
      <c r="K27" s="3">
        <v>1.96</v>
      </c>
      <c r="L27" s="3">
        <v>14.91</v>
      </c>
      <c r="M27" s="3">
        <v>238.56</v>
      </c>
      <c r="N27" s="3">
        <v>0.25</v>
      </c>
      <c r="O27" s="2" t="s">
        <v>151</v>
      </c>
      <c r="P27" s="4">
        <v>45723.580833333333</v>
      </c>
      <c r="Q27" s="4">
        <v>45724.121249999997</v>
      </c>
      <c r="R27" s="2" t="s">
        <v>86</v>
      </c>
      <c r="S27" s="3">
        <v>15.46</v>
      </c>
      <c r="T27" s="2">
        <v>85</v>
      </c>
      <c r="U27" s="3">
        <v>1871</v>
      </c>
      <c r="V27" s="3">
        <v>0</v>
      </c>
      <c r="W27" s="2" t="s">
        <v>94</v>
      </c>
      <c r="X27" s="2" t="s">
        <v>117</v>
      </c>
      <c r="Y27" s="3">
        <v>0</v>
      </c>
      <c r="Z27" t="str">
        <f>INDEX(Assets!$J:$J,MATCH(UPPER(TRIM(B27)),Assets!$A:$A,0))</f>
        <v>Cedar</v>
      </c>
      <c r="AA27">
        <f t="shared" si="0"/>
        <v>178.92000000000002</v>
      </c>
      <c r="AB27" s="21">
        <f t="shared" si="1"/>
        <v>45717</v>
      </c>
      <c r="AC27">
        <f>SUMIFS(Production!$H:$H,Production!$A:$A,UPPER(TRIM(B27)),Production!$B:$B,AB27)-SUMIFS(Production!$I:$I,Production!$A:$A,UPPER(TRIM(B27)),Production!$B:$B,AB27)</f>
        <v>46</v>
      </c>
      <c r="AD27">
        <f t="shared" si="2"/>
        <v>8230.3200000000015</v>
      </c>
    </row>
    <row r="28" spans="1:30" ht="21" customHeight="1">
      <c r="A28" s="2" t="s">
        <v>152</v>
      </c>
      <c r="B28" s="9" t="s">
        <v>23</v>
      </c>
      <c r="C28" s="5">
        <v>45735.5</v>
      </c>
      <c r="D28" s="4">
        <v>45736.157083333332</v>
      </c>
      <c r="E28" s="2" t="s">
        <v>83</v>
      </c>
      <c r="F28" s="2" t="s">
        <v>101</v>
      </c>
      <c r="G28" s="3">
        <v>3.9</v>
      </c>
      <c r="H28" s="3">
        <v>4.3600000000000003</v>
      </c>
      <c r="I28" s="3">
        <v>0</v>
      </c>
      <c r="J28" s="3">
        <v>5.63</v>
      </c>
      <c r="K28" s="3">
        <v>1.88</v>
      </c>
      <c r="L28" s="3">
        <v>15.77</v>
      </c>
      <c r="M28" s="3">
        <v>252.32</v>
      </c>
      <c r="N28" s="3">
        <v>0.19</v>
      </c>
      <c r="O28" s="2" t="s">
        <v>153</v>
      </c>
      <c r="P28" s="4">
        <v>45735.662499999999</v>
      </c>
      <c r="Q28" s="4">
        <v>45736.157083333332</v>
      </c>
      <c r="R28" s="2" t="s">
        <v>86</v>
      </c>
      <c r="S28" s="3">
        <v>11.26</v>
      </c>
      <c r="T28" s="2">
        <v>85</v>
      </c>
      <c r="U28" s="3">
        <v>2409</v>
      </c>
      <c r="V28" s="3">
        <v>0</v>
      </c>
      <c r="W28" s="2" t="s">
        <v>94</v>
      </c>
      <c r="X28" s="2" t="s">
        <v>103</v>
      </c>
      <c r="Y28" s="3">
        <v>0</v>
      </c>
      <c r="Z28" t="str">
        <f>INDEX(Assets!$J:$J,MATCH(UPPER(TRIM(B28)),Assets!$A:$A,0))</f>
        <v>Cedar</v>
      </c>
      <c r="AA28">
        <f t="shared" si="0"/>
        <v>204.3792</v>
      </c>
      <c r="AB28" s="21">
        <f t="shared" si="1"/>
        <v>45717</v>
      </c>
      <c r="AC28">
        <f>SUMIFS(Production!$H:$H,Production!$A:$A,UPPER(TRIM(B28)),Production!$B:$B,AB28)-SUMIFS(Production!$I:$I,Production!$A:$A,UPPER(TRIM(B28)),Production!$B:$B,AB28)</f>
        <v>46</v>
      </c>
      <c r="AD28">
        <f t="shared" si="2"/>
        <v>9401.4431999999997</v>
      </c>
    </row>
    <row r="29" spans="1:30" ht="21" customHeight="1">
      <c r="A29" s="2" t="s">
        <v>154</v>
      </c>
      <c r="B29" s="9" t="s">
        <v>23</v>
      </c>
      <c r="C29" s="5">
        <v>45754.5</v>
      </c>
      <c r="D29" s="4">
        <v>45755.026666666672</v>
      </c>
      <c r="E29" s="2" t="s">
        <v>83</v>
      </c>
      <c r="F29" s="2" t="s">
        <v>119</v>
      </c>
      <c r="G29" s="3">
        <v>2.0499999999999998</v>
      </c>
      <c r="H29" s="3">
        <v>1.26</v>
      </c>
      <c r="I29" s="3">
        <v>0</v>
      </c>
      <c r="J29" s="3">
        <v>7.66</v>
      </c>
      <c r="K29" s="3">
        <v>1.67</v>
      </c>
      <c r="L29" s="3">
        <v>12.64</v>
      </c>
      <c r="M29" s="3">
        <v>202.24</v>
      </c>
      <c r="N29" s="3">
        <v>0.28999999999999998</v>
      </c>
      <c r="O29" s="2" t="s">
        <v>155</v>
      </c>
      <c r="P29" s="4">
        <v>45754.585416666669</v>
      </c>
      <c r="Q29" s="4">
        <v>45755.026666666672</v>
      </c>
      <c r="R29" s="2" t="s">
        <v>86</v>
      </c>
      <c r="S29" s="3">
        <v>7.66</v>
      </c>
      <c r="T29" s="2">
        <v>85</v>
      </c>
      <c r="U29" s="3">
        <v>3229</v>
      </c>
      <c r="V29" s="3">
        <v>0</v>
      </c>
      <c r="W29" s="2" t="s">
        <v>94</v>
      </c>
      <c r="X29" s="2" t="s">
        <v>121</v>
      </c>
      <c r="Y29" s="3">
        <v>0</v>
      </c>
      <c r="Z29" t="str">
        <f>INDEX(Assets!$J:$J,MATCH(UPPER(TRIM(B29)),Assets!$A:$A,0))</f>
        <v>Cedar</v>
      </c>
      <c r="AA29">
        <f t="shared" si="0"/>
        <v>143.59039999999999</v>
      </c>
      <c r="AB29" s="21">
        <f t="shared" si="1"/>
        <v>45748</v>
      </c>
      <c r="AC29">
        <f>SUMIFS(Production!$H:$H,Production!$A:$A,UPPER(TRIM(B29)),Production!$B:$B,AB29)-SUMIFS(Production!$I:$I,Production!$A:$A,UPPER(TRIM(B29)),Production!$B:$B,AB29)</f>
        <v>44</v>
      </c>
      <c r="AD29">
        <f t="shared" si="2"/>
        <v>6317.9775999999993</v>
      </c>
    </row>
    <row r="30" spans="1:30" ht="21" customHeight="1">
      <c r="A30" s="2" t="s">
        <v>156</v>
      </c>
      <c r="B30" s="9" t="s">
        <v>23</v>
      </c>
      <c r="C30" s="5">
        <v>45775.5</v>
      </c>
      <c r="D30" s="4">
        <v>45775.644583333335</v>
      </c>
      <c r="E30" s="2" t="s">
        <v>90</v>
      </c>
      <c r="F30" s="2" t="s">
        <v>91</v>
      </c>
      <c r="G30" s="3">
        <v>0</v>
      </c>
      <c r="H30" s="3">
        <v>0</v>
      </c>
      <c r="I30" s="3">
        <v>0</v>
      </c>
      <c r="J30" s="3">
        <v>3.47</v>
      </c>
      <c r="K30" s="3">
        <v>0</v>
      </c>
      <c r="L30" s="3">
        <v>3.47</v>
      </c>
      <c r="M30" s="3">
        <v>55.52</v>
      </c>
      <c r="N30" s="3">
        <v>0.25</v>
      </c>
      <c r="O30" s="2" t="s">
        <v>157</v>
      </c>
      <c r="P30" s="4">
        <v>45775.5</v>
      </c>
      <c r="Q30" s="4">
        <v>45775.644583333335</v>
      </c>
      <c r="R30" s="2" t="s">
        <v>93</v>
      </c>
      <c r="S30" s="3">
        <v>3.47</v>
      </c>
      <c r="T30" s="2">
        <v>85</v>
      </c>
      <c r="U30" s="3">
        <v>1407</v>
      </c>
      <c r="V30" s="3">
        <v>0</v>
      </c>
      <c r="W30" s="2" t="s">
        <v>94</v>
      </c>
      <c r="X30" s="2" t="s">
        <v>95</v>
      </c>
      <c r="Y30" s="3">
        <v>0</v>
      </c>
      <c r="Z30" t="str">
        <f>INDEX(Assets!$J:$J,MATCH(UPPER(TRIM(B30)),Assets!$A:$A,0))</f>
        <v>Cedar</v>
      </c>
      <c r="AA30">
        <f t="shared" si="0"/>
        <v>41.64</v>
      </c>
      <c r="AB30" s="21">
        <f t="shared" si="1"/>
        <v>45748</v>
      </c>
      <c r="AC30">
        <f>SUMIFS(Production!$H:$H,Production!$A:$A,UPPER(TRIM(B30)),Production!$B:$B,AB30)-SUMIFS(Production!$I:$I,Production!$A:$A,UPPER(TRIM(B30)),Production!$B:$B,AB30)</f>
        <v>44</v>
      </c>
      <c r="AD30">
        <f t="shared" si="2"/>
        <v>1832.16</v>
      </c>
    </row>
    <row r="31" spans="1:30" ht="21" customHeight="1">
      <c r="A31" s="2" t="s">
        <v>158</v>
      </c>
      <c r="B31" s="9" t="s">
        <v>23</v>
      </c>
      <c r="C31" s="5">
        <v>45782.5</v>
      </c>
      <c r="D31" s="4">
        <v>45782.881666666668</v>
      </c>
      <c r="E31" s="2" t="s">
        <v>83</v>
      </c>
      <c r="F31" s="2" t="s">
        <v>84</v>
      </c>
      <c r="G31" s="3">
        <v>1.03</v>
      </c>
      <c r="H31" s="3">
        <v>4.03</v>
      </c>
      <c r="I31" s="3">
        <v>0</v>
      </c>
      <c r="J31" s="3">
        <v>3.57</v>
      </c>
      <c r="K31" s="3">
        <v>0.53</v>
      </c>
      <c r="L31" s="3">
        <v>9.16</v>
      </c>
      <c r="M31" s="3">
        <v>146.56</v>
      </c>
      <c r="N31" s="3">
        <v>0.21</v>
      </c>
      <c r="O31" s="2" t="s">
        <v>159</v>
      </c>
      <c r="P31" s="4">
        <v>45782.542916666665</v>
      </c>
      <c r="Q31" s="4">
        <v>45782.881666666668</v>
      </c>
      <c r="R31" s="2" t="s">
        <v>86</v>
      </c>
      <c r="S31" s="3">
        <v>3.57</v>
      </c>
      <c r="T31" s="2">
        <v>85</v>
      </c>
      <c r="U31" s="3"/>
      <c r="V31" s="3">
        <v>0</v>
      </c>
      <c r="W31" s="2" t="s">
        <v>87</v>
      </c>
      <c r="X31" s="2" t="s">
        <v>88</v>
      </c>
      <c r="Y31" s="3">
        <v>0</v>
      </c>
      <c r="Z31" t="str">
        <f>INDEX(Assets!$J:$J,MATCH(UPPER(TRIM(B31)),Assets!$A:$A,0))</f>
        <v>Cedar</v>
      </c>
      <c r="AA31">
        <f t="shared" si="0"/>
        <v>115.78240000000001</v>
      </c>
      <c r="AB31" s="21">
        <f t="shared" si="1"/>
        <v>45778</v>
      </c>
      <c r="AC31">
        <f>SUMIFS(Production!$H:$H,Production!$A:$A,UPPER(TRIM(B31)),Production!$B:$B,AB31)-SUMIFS(Production!$I:$I,Production!$A:$A,UPPER(TRIM(B31)),Production!$B:$B,AB31)</f>
        <v>42</v>
      </c>
      <c r="AD31">
        <f t="shared" si="2"/>
        <v>4862.8608000000004</v>
      </c>
    </row>
    <row r="32" spans="1:30" ht="21" customHeight="1">
      <c r="A32" s="2" t="s">
        <v>160</v>
      </c>
      <c r="B32" s="9" t="s">
        <v>23</v>
      </c>
      <c r="C32" s="5">
        <v>45814.5</v>
      </c>
      <c r="D32" s="4">
        <v>45815.195</v>
      </c>
      <c r="E32" s="2" t="s">
        <v>83</v>
      </c>
      <c r="F32" s="2" t="s">
        <v>101</v>
      </c>
      <c r="G32" s="3">
        <v>2.8</v>
      </c>
      <c r="H32" s="3">
        <v>4.21</v>
      </c>
      <c r="I32" s="3">
        <v>0</v>
      </c>
      <c r="J32" s="3">
        <v>8.1999999999999993</v>
      </c>
      <c r="K32" s="3">
        <v>1.47</v>
      </c>
      <c r="L32" s="3">
        <v>16.68</v>
      </c>
      <c r="M32" s="3">
        <v>266.88</v>
      </c>
      <c r="N32" s="3">
        <v>0.28999999999999998</v>
      </c>
      <c r="O32" s="2" t="s">
        <v>161</v>
      </c>
      <c r="P32" s="4">
        <v>45814.616666666669</v>
      </c>
      <c r="Q32" s="4">
        <v>45815.195</v>
      </c>
      <c r="R32" s="2" t="s">
        <v>86</v>
      </c>
      <c r="S32" s="3">
        <v>8.1999999999999993</v>
      </c>
      <c r="T32" s="2">
        <v>85</v>
      </c>
      <c r="U32" s="3">
        <v>2946</v>
      </c>
      <c r="V32" s="3">
        <v>0</v>
      </c>
      <c r="W32" s="2" t="s">
        <v>94</v>
      </c>
      <c r="X32" s="2" t="s">
        <v>103</v>
      </c>
      <c r="Y32" s="3">
        <v>0</v>
      </c>
      <c r="Z32" t="str">
        <f>INDEX(Assets!$J:$J,MATCH(UPPER(TRIM(B32)),Assets!$A:$A,0))</f>
        <v>Cedar</v>
      </c>
      <c r="AA32">
        <f t="shared" si="0"/>
        <v>189.48479999999998</v>
      </c>
      <c r="AB32" s="21">
        <f t="shared" si="1"/>
        <v>45809</v>
      </c>
      <c r="AC32">
        <f>SUMIFS(Production!$H:$H,Production!$A:$A,UPPER(TRIM(B32)),Production!$B:$B,AB32)-SUMIFS(Production!$I:$I,Production!$A:$A,UPPER(TRIM(B32)),Production!$B:$B,AB32)</f>
        <v>43</v>
      </c>
      <c r="AD32">
        <f t="shared" si="2"/>
        <v>8147.8463999999994</v>
      </c>
    </row>
    <row r="33" spans="1:30" ht="21" customHeight="1">
      <c r="A33" s="2" t="s">
        <v>162</v>
      </c>
      <c r="B33" s="9" t="s">
        <v>23</v>
      </c>
      <c r="C33" s="5">
        <v>45843.5</v>
      </c>
      <c r="D33" s="4">
        <v>45844.436249999999</v>
      </c>
      <c r="E33" s="2" t="s">
        <v>83</v>
      </c>
      <c r="F33" s="2" t="s">
        <v>119</v>
      </c>
      <c r="G33" s="3">
        <v>4.09</v>
      </c>
      <c r="H33" s="3">
        <v>4.8099999999999996</v>
      </c>
      <c r="I33" s="3">
        <v>0</v>
      </c>
      <c r="J33" s="3">
        <v>12.64</v>
      </c>
      <c r="K33" s="3">
        <v>0.93</v>
      </c>
      <c r="L33" s="3">
        <v>22.47</v>
      </c>
      <c r="M33" s="3">
        <v>359.52</v>
      </c>
      <c r="N33" s="3">
        <v>0.21</v>
      </c>
      <c r="O33" s="2" t="s">
        <v>163</v>
      </c>
      <c r="P33" s="4">
        <v>45843.670416666668</v>
      </c>
      <c r="Q33" s="4">
        <v>45844.436249999999</v>
      </c>
      <c r="R33" s="2" t="s">
        <v>86</v>
      </c>
      <c r="S33" s="3">
        <v>12.64</v>
      </c>
      <c r="T33" s="2">
        <v>85</v>
      </c>
      <c r="U33" s="3">
        <v>8918</v>
      </c>
      <c r="V33" s="3">
        <v>0</v>
      </c>
      <c r="W33" s="2" t="s">
        <v>94</v>
      </c>
      <c r="X33" s="2" t="s">
        <v>121</v>
      </c>
      <c r="Y33" s="3">
        <v>0</v>
      </c>
      <c r="Z33" t="str">
        <f>INDEX(Assets!$J:$J,MATCH(UPPER(TRIM(B33)),Assets!$A:$A,0))</f>
        <v>Cedar</v>
      </c>
      <c r="AA33">
        <f t="shared" si="0"/>
        <v>284.02080000000001</v>
      </c>
      <c r="AB33" s="21">
        <f t="shared" si="1"/>
        <v>45839</v>
      </c>
      <c r="AC33">
        <f>SUMIFS(Production!$H:$H,Production!$A:$A,UPPER(TRIM(B33)),Production!$B:$B,AB33)-SUMIFS(Production!$I:$I,Production!$A:$A,UPPER(TRIM(B33)),Production!$B:$B,AB33)</f>
        <v>45</v>
      </c>
      <c r="AD33">
        <f t="shared" si="2"/>
        <v>12780.936</v>
      </c>
    </row>
    <row r="34" spans="1:30" ht="21" customHeight="1">
      <c r="A34" s="2" t="s">
        <v>164</v>
      </c>
      <c r="B34" s="9" t="s">
        <v>23</v>
      </c>
      <c r="C34" s="5">
        <v>45866.5</v>
      </c>
      <c r="D34" s="4">
        <v>45866.704166666663</v>
      </c>
      <c r="E34" s="2" t="s">
        <v>90</v>
      </c>
      <c r="F34" s="2" t="s">
        <v>91</v>
      </c>
      <c r="G34" s="3">
        <v>0</v>
      </c>
      <c r="H34" s="3">
        <v>0</v>
      </c>
      <c r="I34" s="3">
        <v>0</v>
      </c>
      <c r="J34" s="3">
        <v>4.9000000000000004</v>
      </c>
      <c r="K34" s="3">
        <v>0</v>
      </c>
      <c r="L34" s="3">
        <v>4.9000000000000004</v>
      </c>
      <c r="M34" s="3">
        <v>78.400000000000006</v>
      </c>
      <c r="N34" s="3">
        <v>0.25</v>
      </c>
      <c r="O34" s="2" t="s">
        <v>165</v>
      </c>
      <c r="P34" s="4">
        <v>45866.5</v>
      </c>
      <c r="Q34" s="4">
        <v>45866.704166666663</v>
      </c>
      <c r="R34" s="2" t="s">
        <v>93</v>
      </c>
      <c r="S34" s="3">
        <v>4.9000000000000004</v>
      </c>
      <c r="T34" s="2">
        <v>85</v>
      </c>
      <c r="U34" s="3">
        <v>1415</v>
      </c>
      <c r="V34" s="3">
        <v>4293</v>
      </c>
      <c r="W34" s="2" t="s">
        <v>94</v>
      </c>
      <c r="X34" s="2" t="s">
        <v>95</v>
      </c>
      <c r="Y34" s="3">
        <v>0</v>
      </c>
      <c r="Z34" t="str">
        <f>INDEX(Assets!$J:$J,MATCH(UPPER(TRIM(B34)),Assets!$A:$A,0))</f>
        <v>Cedar</v>
      </c>
      <c r="AA34">
        <f t="shared" si="0"/>
        <v>58.800000000000004</v>
      </c>
      <c r="AB34" s="21">
        <f t="shared" si="1"/>
        <v>45839</v>
      </c>
      <c r="AC34">
        <f>SUMIFS(Production!$H:$H,Production!$A:$A,UPPER(TRIM(B34)),Production!$B:$B,AB34)-SUMIFS(Production!$I:$I,Production!$A:$A,UPPER(TRIM(B34)),Production!$B:$B,AB34)</f>
        <v>45</v>
      </c>
      <c r="AD34">
        <f t="shared" si="2"/>
        <v>2646</v>
      </c>
    </row>
    <row r="35" spans="1:30" ht="21" customHeight="1">
      <c r="A35" s="2" t="s">
        <v>166</v>
      </c>
      <c r="B35" s="9" t="s">
        <v>23</v>
      </c>
      <c r="C35" s="5">
        <v>45874.5</v>
      </c>
      <c r="D35" s="4">
        <v>45875.083333333328</v>
      </c>
      <c r="E35" s="2" t="s">
        <v>83</v>
      </c>
      <c r="F35" s="2" t="s">
        <v>84</v>
      </c>
      <c r="G35" s="3">
        <v>1.57</v>
      </c>
      <c r="H35" s="3">
        <v>3.98</v>
      </c>
      <c r="I35" s="3">
        <v>0</v>
      </c>
      <c r="J35" s="3">
        <v>7.69</v>
      </c>
      <c r="K35" s="3">
        <v>0.76</v>
      </c>
      <c r="L35" s="3">
        <v>14</v>
      </c>
      <c r="M35" s="3">
        <v>224</v>
      </c>
      <c r="N35" s="3">
        <v>0.19</v>
      </c>
      <c r="O35" s="2" t="s">
        <v>167</v>
      </c>
      <c r="P35" s="4">
        <v>45874.565416666665</v>
      </c>
      <c r="Q35" s="4">
        <v>45875.083333333328</v>
      </c>
      <c r="R35" s="2" t="s">
        <v>86</v>
      </c>
      <c r="S35" s="3">
        <v>7.69</v>
      </c>
      <c r="T35" s="2">
        <v>85</v>
      </c>
      <c r="U35" s="3">
        <v>8821</v>
      </c>
      <c r="V35" s="3">
        <v>0</v>
      </c>
      <c r="W35" s="2" t="s">
        <v>94</v>
      </c>
      <c r="X35" s="2" t="s">
        <v>88</v>
      </c>
      <c r="Y35" s="3">
        <v>0</v>
      </c>
      <c r="Z35" t="str">
        <f>INDEX(Assets!$J:$J,MATCH(UPPER(TRIM(B35)),Assets!$A:$A,0))</f>
        <v>Cedar</v>
      </c>
      <c r="AA35">
        <f t="shared" si="0"/>
        <v>181.44</v>
      </c>
      <c r="AB35" s="21">
        <f t="shared" si="1"/>
        <v>45870</v>
      </c>
      <c r="AC35">
        <f>SUMIFS(Production!$H:$H,Production!$A:$A,UPPER(TRIM(B35)),Production!$B:$B,AB35)-SUMIFS(Production!$I:$I,Production!$A:$A,UPPER(TRIM(B35)),Production!$B:$B,AB35)</f>
        <v>44</v>
      </c>
      <c r="AD35">
        <f t="shared" si="2"/>
        <v>7983.36</v>
      </c>
    </row>
    <row r="36" spans="1:30" ht="21" customHeight="1">
      <c r="A36" s="2" t="s">
        <v>168</v>
      </c>
      <c r="B36" s="9" t="s">
        <v>23</v>
      </c>
      <c r="C36" s="5">
        <v>45907.5</v>
      </c>
      <c r="D36" s="4">
        <v>45908.752500000002</v>
      </c>
      <c r="E36" s="2" t="s">
        <v>83</v>
      </c>
      <c r="F36" s="2" t="s">
        <v>97</v>
      </c>
      <c r="G36" s="3">
        <v>3.02</v>
      </c>
      <c r="H36" s="3">
        <v>2.94</v>
      </c>
      <c r="I36" s="3">
        <v>20.16</v>
      </c>
      <c r="J36" s="3">
        <v>2.9</v>
      </c>
      <c r="K36" s="3">
        <v>1.04</v>
      </c>
      <c r="L36" s="3">
        <v>30.06</v>
      </c>
      <c r="M36" s="3">
        <v>480.96</v>
      </c>
      <c r="N36" s="3">
        <v>0.09</v>
      </c>
      <c r="O36" s="2" t="s">
        <v>169</v>
      </c>
      <c r="P36" s="4">
        <v>45907.625833333332</v>
      </c>
      <c r="Q36" s="4">
        <v>45908.752500000002</v>
      </c>
      <c r="R36" s="2" t="s">
        <v>86</v>
      </c>
      <c r="S36" s="3">
        <v>5.8</v>
      </c>
      <c r="T36" s="2">
        <v>85</v>
      </c>
      <c r="U36" s="3">
        <v>3508</v>
      </c>
      <c r="V36" s="3">
        <v>4432</v>
      </c>
      <c r="W36" s="2" t="s">
        <v>94</v>
      </c>
      <c r="X36" s="2" t="s">
        <v>99</v>
      </c>
      <c r="Y36" s="3">
        <v>0</v>
      </c>
      <c r="Z36" t="str">
        <f>INDEX(Assets!$J:$J,MATCH(UPPER(TRIM(B36)),Assets!$A:$A,0))</f>
        <v>Cedar</v>
      </c>
      <c r="AA36">
        <f t="shared" si="0"/>
        <v>437.67360000000002</v>
      </c>
      <c r="AB36" s="21">
        <f t="shared" si="1"/>
        <v>45901</v>
      </c>
      <c r="AC36">
        <f>SUMIFS(Production!$H:$H,Production!$A:$A,UPPER(TRIM(B36)),Production!$B:$B,AB36)-SUMIFS(Production!$I:$I,Production!$A:$A,UPPER(TRIM(B36)),Production!$B:$B,AB36)</f>
        <v>41</v>
      </c>
      <c r="AD36">
        <f t="shared" si="2"/>
        <v>17944.617600000001</v>
      </c>
    </row>
    <row r="37" spans="1:30" ht="21" customHeight="1">
      <c r="A37" s="2" t="s">
        <v>170</v>
      </c>
      <c r="B37" s="9" t="s">
        <v>23</v>
      </c>
      <c r="C37" s="5">
        <v>45920.5</v>
      </c>
      <c r="D37" s="4">
        <v>45921.2425</v>
      </c>
      <c r="E37" s="2" t="s">
        <v>83</v>
      </c>
      <c r="F37" s="2" t="s">
        <v>101</v>
      </c>
      <c r="G37" s="3">
        <v>4.57</v>
      </c>
      <c r="H37" s="3">
        <v>4.42</v>
      </c>
      <c r="I37" s="3">
        <v>0</v>
      </c>
      <c r="J37" s="3">
        <v>7.88</v>
      </c>
      <c r="K37" s="3">
        <v>0.95</v>
      </c>
      <c r="L37" s="3">
        <v>17.82</v>
      </c>
      <c r="M37" s="3">
        <v>285.12</v>
      </c>
      <c r="N37" s="3">
        <v>0.19</v>
      </c>
      <c r="O37" s="2" t="s">
        <v>171</v>
      </c>
      <c r="P37" s="4">
        <v>45920.690416666665</v>
      </c>
      <c r="Q37" s="4">
        <v>45921.2425</v>
      </c>
      <c r="R37" s="2" t="s">
        <v>86</v>
      </c>
      <c r="S37" s="3">
        <v>7.88</v>
      </c>
      <c r="T37" s="2">
        <v>85</v>
      </c>
      <c r="U37" s="3">
        <v>9560</v>
      </c>
      <c r="V37" s="3">
        <v>0</v>
      </c>
      <c r="W37" s="2" t="s">
        <v>94</v>
      </c>
      <c r="X37" s="2" t="s">
        <v>103</v>
      </c>
      <c r="Y37" s="3">
        <v>0</v>
      </c>
      <c r="Z37" t="str">
        <f>INDEX(Assets!$J:$J,MATCH(UPPER(TRIM(B37)),Assets!$A:$A,0))</f>
        <v>Cedar</v>
      </c>
      <c r="AA37">
        <f t="shared" si="0"/>
        <v>230.94720000000001</v>
      </c>
      <c r="AB37" s="21">
        <f t="shared" si="1"/>
        <v>45901</v>
      </c>
      <c r="AC37">
        <f>SUMIFS(Production!$H:$H,Production!$A:$A,UPPER(TRIM(B37)),Production!$B:$B,AB37)-SUMIFS(Production!$I:$I,Production!$A:$A,UPPER(TRIM(B37)),Production!$B:$B,AB37)</f>
        <v>41</v>
      </c>
      <c r="AD37">
        <f t="shared" si="2"/>
        <v>9468.8351999999995</v>
      </c>
    </row>
    <row r="38" spans="1:30" ht="21" customHeight="1">
      <c r="A38" s="2" t="s">
        <v>172</v>
      </c>
      <c r="B38" s="9" t="s">
        <v>23</v>
      </c>
      <c r="C38" s="5">
        <v>45935.5</v>
      </c>
      <c r="D38" s="4">
        <v>45936.186666666668</v>
      </c>
      <c r="E38" s="2" t="s">
        <v>83</v>
      </c>
      <c r="F38" s="2" t="s">
        <v>101</v>
      </c>
      <c r="G38" s="3">
        <v>2.75</v>
      </c>
      <c r="H38" s="3">
        <v>3.45</v>
      </c>
      <c r="I38" s="3">
        <v>0</v>
      </c>
      <c r="J38" s="3">
        <v>7.93</v>
      </c>
      <c r="K38" s="3">
        <v>2.35</v>
      </c>
      <c r="L38" s="3">
        <v>16.48</v>
      </c>
      <c r="M38" s="3">
        <v>263.68</v>
      </c>
      <c r="N38" s="3">
        <v>0.1</v>
      </c>
      <c r="O38" s="2" t="s">
        <v>173</v>
      </c>
      <c r="P38" s="4">
        <v>45935.614583333328</v>
      </c>
      <c r="Q38" s="4">
        <v>45936.186666666668</v>
      </c>
      <c r="R38" s="2" t="s">
        <v>86</v>
      </c>
      <c r="S38" s="3">
        <v>7.93</v>
      </c>
      <c r="T38" s="2">
        <v>85</v>
      </c>
      <c r="U38" s="3">
        <v>4237</v>
      </c>
      <c r="V38" s="3">
        <v>0</v>
      </c>
      <c r="W38" s="2" t="s">
        <v>94</v>
      </c>
      <c r="X38" s="2" t="s">
        <v>103</v>
      </c>
      <c r="Y38" s="3">
        <v>0</v>
      </c>
      <c r="Z38" t="str">
        <f>INDEX(Assets!$J:$J,MATCH(UPPER(TRIM(B38)),Assets!$A:$A,0))</f>
        <v>Cedar</v>
      </c>
      <c r="AA38">
        <f t="shared" si="0"/>
        <v>237.31200000000001</v>
      </c>
      <c r="AB38" s="21">
        <f t="shared" si="1"/>
        <v>45931</v>
      </c>
      <c r="AC38">
        <f>SUMIFS(Production!$H:$H,Production!$A:$A,UPPER(TRIM(B38)),Production!$B:$B,AB38)-SUMIFS(Production!$I:$I,Production!$A:$A,UPPER(TRIM(B38)),Production!$B:$B,AB38)</f>
        <v>40</v>
      </c>
      <c r="AD38">
        <f t="shared" si="2"/>
        <v>9492.48</v>
      </c>
    </row>
    <row r="39" spans="1:30" ht="21" customHeight="1">
      <c r="A39" s="2" t="s">
        <v>174</v>
      </c>
      <c r="B39" s="9" t="s">
        <v>23</v>
      </c>
      <c r="C39" s="5">
        <v>45958.5</v>
      </c>
      <c r="D39" s="4">
        <v>45958.732916666668</v>
      </c>
      <c r="E39" s="2" t="s">
        <v>90</v>
      </c>
      <c r="F39" s="2" t="s">
        <v>91</v>
      </c>
      <c r="G39" s="3">
        <v>0</v>
      </c>
      <c r="H39" s="3">
        <v>0</v>
      </c>
      <c r="I39" s="3">
        <v>0</v>
      </c>
      <c r="J39" s="3">
        <v>5.59</v>
      </c>
      <c r="K39" s="3">
        <v>0</v>
      </c>
      <c r="L39" s="3">
        <v>5.59</v>
      </c>
      <c r="M39" s="3">
        <v>89.44</v>
      </c>
      <c r="N39" s="3">
        <v>0.25</v>
      </c>
      <c r="O39" s="2" t="s">
        <v>175</v>
      </c>
      <c r="P39" s="4">
        <v>45958.5</v>
      </c>
      <c r="Q39" s="4">
        <v>45958.732916666668</v>
      </c>
      <c r="R39" s="2" t="s">
        <v>93</v>
      </c>
      <c r="S39" s="3">
        <v>11.18</v>
      </c>
      <c r="T39" s="2">
        <v>85</v>
      </c>
      <c r="U39" s="3">
        <v>1659</v>
      </c>
      <c r="V39" s="3">
        <v>0</v>
      </c>
      <c r="W39" s="2" t="s">
        <v>94</v>
      </c>
      <c r="X39" s="2" t="s">
        <v>95</v>
      </c>
      <c r="Y39" s="3">
        <v>0</v>
      </c>
      <c r="Z39" t="str">
        <f>INDEX(Assets!$J:$J,MATCH(UPPER(TRIM(B39)),Assets!$A:$A,0))</f>
        <v>Cedar</v>
      </c>
      <c r="AA39">
        <f t="shared" si="0"/>
        <v>67.08</v>
      </c>
      <c r="AB39" s="21">
        <f t="shared" si="1"/>
        <v>45931</v>
      </c>
      <c r="AC39">
        <f>SUMIFS(Production!$H:$H,Production!$A:$A,UPPER(TRIM(B39)),Production!$B:$B,AB39)-SUMIFS(Production!$I:$I,Production!$A:$A,UPPER(TRIM(B39)),Production!$B:$B,AB39)</f>
        <v>40</v>
      </c>
      <c r="AD39">
        <f t="shared" si="2"/>
        <v>2683.2</v>
      </c>
    </row>
    <row r="40" spans="1:30" ht="21" customHeight="1">
      <c r="A40" s="2" t="s">
        <v>176</v>
      </c>
      <c r="B40" s="9" t="s">
        <v>23</v>
      </c>
      <c r="C40" s="5">
        <v>45966.5</v>
      </c>
      <c r="D40" s="4">
        <v>45967.014166666668</v>
      </c>
      <c r="E40" s="2" t="s">
        <v>83</v>
      </c>
      <c r="F40" s="2" t="s">
        <v>84</v>
      </c>
      <c r="G40" s="3">
        <v>1.83</v>
      </c>
      <c r="H40" s="3">
        <v>3.99</v>
      </c>
      <c r="I40" s="3">
        <v>0</v>
      </c>
      <c r="J40" s="3">
        <v>5.49</v>
      </c>
      <c r="K40" s="3">
        <v>1.03</v>
      </c>
      <c r="L40" s="3">
        <v>12.34</v>
      </c>
      <c r="M40" s="3">
        <v>197.44</v>
      </c>
      <c r="N40" s="3">
        <v>0.13</v>
      </c>
      <c r="O40" s="2" t="s">
        <v>177</v>
      </c>
      <c r="P40" s="4">
        <v>45966.576249999998</v>
      </c>
      <c r="Q40" s="4">
        <v>45967.014166666668</v>
      </c>
      <c r="R40" s="2" t="s">
        <v>86</v>
      </c>
      <c r="S40" s="3">
        <v>5.49</v>
      </c>
      <c r="T40" s="2">
        <v>85</v>
      </c>
      <c r="U40" s="3">
        <v>2905</v>
      </c>
      <c r="V40" s="3">
        <v>1266</v>
      </c>
      <c r="W40" s="2" t="s">
        <v>94</v>
      </c>
      <c r="X40" s="2" t="s">
        <v>88</v>
      </c>
      <c r="Y40" s="3">
        <v>0</v>
      </c>
      <c r="Z40" t="str">
        <f>INDEX(Assets!$J:$J,MATCH(UPPER(TRIM(B40)),Assets!$A:$A,0))</f>
        <v>Cedar</v>
      </c>
      <c r="AA40">
        <f t="shared" si="0"/>
        <v>171.77279999999999</v>
      </c>
      <c r="AB40" s="21">
        <f t="shared" si="1"/>
        <v>45962</v>
      </c>
      <c r="AC40">
        <f>SUMIFS(Production!$H:$H,Production!$A:$A,UPPER(TRIM(B40)),Production!$B:$B,AB40)-SUMIFS(Production!$I:$I,Production!$A:$A,UPPER(TRIM(B40)),Production!$B:$B,AB40)</f>
        <v>42</v>
      </c>
      <c r="AD40">
        <f t="shared" si="2"/>
        <v>7214.4575999999997</v>
      </c>
    </row>
    <row r="41" spans="1:30" ht="21" customHeight="1">
      <c r="A41" s="2" t="s">
        <v>178</v>
      </c>
      <c r="B41" s="9" t="s">
        <v>23</v>
      </c>
      <c r="C41" s="5">
        <v>45980.5</v>
      </c>
      <c r="D41" s="4">
        <v>45981.112083333333</v>
      </c>
      <c r="E41" s="2" t="s">
        <v>83</v>
      </c>
      <c r="F41" s="2" t="s">
        <v>101</v>
      </c>
      <c r="G41" s="3">
        <v>3.01</v>
      </c>
      <c r="H41" s="3">
        <v>3.77</v>
      </c>
      <c r="I41" s="3">
        <v>0</v>
      </c>
      <c r="J41" s="3">
        <v>6.36</v>
      </c>
      <c r="K41" s="3">
        <v>1.55</v>
      </c>
      <c r="L41" s="3">
        <v>14.69</v>
      </c>
      <c r="M41" s="3">
        <v>235.04</v>
      </c>
      <c r="N41" s="3">
        <v>0.26</v>
      </c>
      <c r="O41" s="2" t="s">
        <v>179</v>
      </c>
      <c r="P41" s="4">
        <v>45980.625416666662</v>
      </c>
      <c r="Q41" s="4">
        <v>45981.112083333333</v>
      </c>
      <c r="R41" s="2" t="s">
        <v>86</v>
      </c>
      <c r="S41" s="3">
        <v>6.36</v>
      </c>
      <c r="T41" s="2">
        <v>85</v>
      </c>
      <c r="U41" s="3">
        <v>9454</v>
      </c>
      <c r="V41" s="3">
        <v>3204</v>
      </c>
      <c r="W41" s="2" t="s">
        <v>94</v>
      </c>
      <c r="X41" s="2" t="s">
        <v>103</v>
      </c>
      <c r="Y41" s="3">
        <v>0</v>
      </c>
      <c r="Z41" t="str">
        <f>INDEX(Assets!$J:$J,MATCH(UPPER(TRIM(B41)),Assets!$A:$A,0))</f>
        <v>Cedar</v>
      </c>
      <c r="AA41">
        <f t="shared" si="0"/>
        <v>173.92959999999999</v>
      </c>
      <c r="AB41" s="21">
        <f t="shared" si="1"/>
        <v>45962</v>
      </c>
      <c r="AC41">
        <f>SUMIFS(Production!$H:$H,Production!$A:$A,UPPER(TRIM(B41)),Production!$B:$B,AB41)-SUMIFS(Production!$I:$I,Production!$A:$A,UPPER(TRIM(B41)),Production!$B:$B,AB41)</f>
        <v>42</v>
      </c>
      <c r="AD41">
        <f t="shared" si="2"/>
        <v>7305.0432000000001</v>
      </c>
    </row>
    <row r="42" spans="1:30" ht="21" customHeight="1">
      <c r="A42" s="2" t="s">
        <v>180</v>
      </c>
      <c r="B42" s="9" t="s">
        <v>23</v>
      </c>
      <c r="C42" s="5">
        <v>45995.5</v>
      </c>
      <c r="D42" s="4">
        <v>45996.00916666667</v>
      </c>
      <c r="E42" s="2" t="s">
        <v>83</v>
      </c>
      <c r="F42" s="2" t="s">
        <v>97</v>
      </c>
      <c r="G42" s="3">
        <v>0.88</v>
      </c>
      <c r="H42" s="3">
        <v>2.71</v>
      </c>
      <c r="I42" s="3">
        <v>0</v>
      </c>
      <c r="J42" s="3">
        <v>6.79</v>
      </c>
      <c r="K42" s="3">
        <v>1.84</v>
      </c>
      <c r="L42" s="3">
        <v>12.22</v>
      </c>
      <c r="M42" s="3">
        <v>195.52</v>
      </c>
      <c r="N42" s="3">
        <v>0.14000000000000001</v>
      </c>
      <c r="O42" s="2" t="s">
        <v>181</v>
      </c>
      <c r="P42" s="4">
        <v>45995.536666666667</v>
      </c>
      <c r="Q42" s="4">
        <v>45996.00916666667</v>
      </c>
      <c r="R42" s="2" t="s">
        <v>86</v>
      </c>
      <c r="S42" s="3">
        <v>6.79</v>
      </c>
      <c r="T42" s="2">
        <v>85</v>
      </c>
      <c r="U42" s="3">
        <v>4113</v>
      </c>
      <c r="V42" s="3">
        <v>0</v>
      </c>
      <c r="W42" s="2" t="s">
        <v>94</v>
      </c>
      <c r="X42" s="2" t="s">
        <v>99</v>
      </c>
      <c r="Y42" s="3">
        <v>0</v>
      </c>
      <c r="Z42" t="str">
        <f>INDEX(Assets!$J:$J,MATCH(UPPER(TRIM(B42)),Assets!$A:$A,0))</f>
        <v>Cedar</v>
      </c>
      <c r="AA42">
        <f t="shared" si="0"/>
        <v>168.1472</v>
      </c>
      <c r="AB42" s="21">
        <f t="shared" si="1"/>
        <v>45992</v>
      </c>
      <c r="AC42">
        <f>SUMIFS(Production!$H:$H,Production!$A:$A,UPPER(TRIM(B42)),Production!$B:$B,AB42)-SUMIFS(Production!$I:$I,Production!$A:$A,UPPER(TRIM(B42)),Production!$B:$B,AB42)</f>
        <v>43</v>
      </c>
      <c r="AD42">
        <f t="shared" si="2"/>
        <v>7230.3296</v>
      </c>
    </row>
    <row r="43" spans="1:30" ht="21" customHeight="1">
      <c r="A43" s="2" t="s">
        <v>182</v>
      </c>
      <c r="B43" s="9" t="s">
        <v>23</v>
      </c>
      <c r="C43" s="5">
        <v>46010.5</v>
      </c>
      <c r="D43" s="4">
        <v>46011.318749999999</v>
      </c>
      <c r="E43" s="2" t="s">
        <v>83</v>
      </c>
      <c r="F43" s="2" t="s">
        <v>119</v>
      </c>
      <c r="G43" s="3">
        <v>4.63</v>
      </c>
      <c r="H43" s="3">
        <v>1.0900000000000001</v>
      </c>
      <c r="I43" s="3">
        <v>0</v>
      </c>
      <c r="J43" s="3">
        <v>12.82</v>
      </c>
      <c r="K43" s="3">
        <v>1.1100000000000001</v>
      </c>
      <c r="L43" s="3">
        <v>19.649999999999999</v>
      </c>
      <c r="M43" s="3">
        <v>314.39999999999998</v>
      </c>
      <c r="N43" s="3">
        <v>0.19</v>
      </c>
      <c r="O43" s="2" t="s">
        <v>183</v>
      </c>
      <c r="P43" s="4">
        <v>46010.692916666667</v>
      </c>
      <c r="Q43" s="4">
        <v>46011.318749999999</v>
      </c>
      <c r="R43" s="2" t="s">
        <v>86</v>
      </c>
      <c r="S43" s="3">
        <v>12.82</v>
      </c>
      <c r="T43" s="2">
        <v>85</v>
      </c>
      <c r="U43" s="3">
        <v>8893</v>
      </c>
      <c r="V43" s="3">
        <v>0</v>
      </c>
      <c r="W43" s="2" t="s">
        <v>94</v>
      </c>
      <c r="X43" s="2" t="s">
        <v>121</v>
      </c>
      <c r="Y43" s="3">
        <v>0</v>
      </c>
      <c r="Z43" t="str">
        <f>INDEX(Assets!$J:$J,MATCH(UPPER(TRIM(B43)),Assets!$A:$A,0))</f>
        <v>Cedar</v>
      </c>
      <c r="AA43">
        <f t="shared" si="0"/>
        <v>254.66399999999999</v>
      </c>
      <c r="AB43" s="21">
        <f t="shared" si="1"/>
        <v>45992</v>
      </c>
      <c r="AC43">
        <f>SUMIFS(Production!$H:$H,Production!$A:$A,UPPER(TRIM(B43)),Production!$B:$B,AB43)-SUMIFS(Production!$I:$I,Production!$A:$A,UPPER(TRIM(B43)),Production!$B:$B,AB43)</f>
        <v>43</v>
      </c>
      <c r="AD43">
        <f t="shared" si="2"/>
        <v>10950.552</v>
      </c>
    </row>
    <row r="44" spans="1:30" ht="21" customHeight="1">
      <c r="A44" s="2" t="s">
        <v>184</v>
      </c>
      <c r="B44" s="9" t="s">
        <v>26</v>
      </c>
      <c r="C44" s="5">
        <v>45662.5</v>
      </c>
      <c r="D44" s="4">
        <v>45663.142916666664</v>
      </c>
      <c r="E44" s="2" t="s">
        <v>83</v>
      </c>
      <c r="F44" s="2" t="s">
        <v>97</v>
      </c>
      <c r="G44" s="3">
        <v>2.96</v>
      </c>
      <c r="H44" s="3">
        <v>2.02</v>
      </c>
      <c r="I44" s="3">
        <v>0</v>
      </c>
      <c r="J44" s="3">
        <v>8.73</v>
      </c>
      <c r="K44" s="3">
        <v>1.72</v>
      </c>
      <c r="L44" s="3">
        <v>15.43</v>
      </c>
      <c r="M44" s="3">
        <v>432.04</v>
      </c>
      <c r="N44" s="3">
        <v>0.25</v>
      </c>
      <c r="O44" s="2" t="s">
        <v>185</v>
      </c>
      <c r="P44" s="4">
        <v>45662.623333333337</v>
      </c>
      <c r="Q44" s="4">
        <v>45663.142916666664</v>
      </c>
      <c r="R44" s="2" t="s">
        <v>86</v>
      </c>
      <c r="S44" s="3">
        <v>17.46</v>
      </c>
      <c r="T44" s="2">
        <v>85</v>
      </c>
      <c r="U44" s="3">
        <v>1810</v>
      </c>
      <c r="V44" s="3">
        <v>0</v>
      </c>
      <c r="W44" s="2" t="s">
        <v>94</v>
      </c>
      <c r="X44" s="2" t="s">
        <v>99</v>
      </c>
      <c r="Y44" s="3">
        <v>0</v>
      </c>
      <c r="Z44" t="str">
        <f>INDEX(Assets!$J:$J,MATCH(UPPER(TRIM(B44)),Assets!$A:$A,0))</f>
        <v>Cedar</v>
      </c>
      <c r="AA44">
        <f t="shared" si="0"/>
        <v>324.03000000000003</v>
      </c>
      <c r="AB44" s="21">
        <f t="shared" si="1"/>
        <v>45658</v>
      </c>
      <c r="AC44">
        <f>SUMIFS(Production!$H:$H,Production!$A:$A,UPPER(TRIM(B44)),Production!$B:$B,AB44)-SUMIFS(Production!$I:$I,Production!$A:$A,UPPER(TRIM(B44)),Production!$B:$B,AB44)</f>
        <v>50</v>
      </c>
      <c r="AD44">
        <f t="shared" si="2"/>
        <v>16201.500000000002</v>
      </c>
    </row>
    <row r="45" spans="1:30" ht="21" customHeight="1">
      <c r="A45" s="2" t="s">
        <v>186</v>
      </c>
      <c r="B45" s="9" t="s">
        <v>26</v>
      </c>
      <c r="C45" s="5">
        <v>45685.5</v>
      </c>
      <c r="D45" s="4">
        <v>45685.823333333334</v>
      </c>
      <c r="E45" s="2" t="s">
        <v>90</v>
      </c>
      <c r="F45" s="2" t="s">
        <v>91</v>
      </c>
      <c r="G45" s="3">
        <v>0</v>
      </c>
      <c r="H45" s="3">
        <v>0</v>
      </c>
      <c r="I45" s="3">
        <v>0</v>
      </c>
      <c r="J45" s="3">
        <v>7.76</v>
      </c>
      <c r="K45" s="3">
        <v>0</v>
      </c>
      <c r="L45" s="3">
        <v>7.76</v>
      </c>
      <c r="M45" s="3">
        <v>217.28</v>
      </c>
      <c r="N45" s="3">
        <v>0.25</v>
      </c>
      <c r="O45" s="2" t="s">
        <v>187</v>
      </c>
      <c r="P45" s="4">
        <v>45685.5</v>
      </c>
      <c r="Q45" s="4">
        <v>45685.823333333334</v>
      </c>
      <c r="R45" s="2" t="s">
        <v>93</v>
      </c>
      <c r="S45" s="3">
        <v>7.76</v>
      </c>
      <c r="T45" s="2">
        <v>85</v>
      </c>
      <c r="U45" s="3">
        <v>1105</v>
      </c>
      <c r="V45" s="3">
        <v>0</v>
      </c>
      <c r="W45" s="2" t="s">
        <v>94</v>
      </c>
      <c r="X45" s="2" t="s">
        <v>95</v>
      </c>
      <c r="Y45" s="3">
        <v>0</v>
      </c>
      <c r="Z45" t="str">
        <f>INDEX(Assets!$J:$J,MATCH(UPPER(TRIM(B45)),Assets!$A:$A,0))</f>
        <v>Cedar</v>
      </c>
      <c r="AA45">
        <f t="shared" si="0"/>
        <v>162.96</v>
      </c>
      <c r="AB45" s="21">
        <f t="shared" si="1"/>
        <v>45658</v>
      </c>
      <c r="AC45">
        <f>SUMIFS(Production!$H:$H,Production!$A:$A,UPPER(TRIM(B45)),Production!$B:$B,AB45)-SUMIFS(Production!$I:$I,Production!$A:$A,UPPER(TRIM(B45)),Production!$B:$B,AB45)</f>
        <v>50</v>
      </c>
      <c r="AD45">
        <f t="shared" si="2"/>
        <v>8148</v>
      </c>
    </row>
    <row r="46" spans="1:30" ht="21" customHeight="1">
      <c r="A46" s="2" t="s">
        <v>188</v>
      </c>
      <c r="B46" s="9" t="s">
        <v>26</v>
      </c>
      <c r="C46" s="5">
        <v>45696.5</v>
      </c>
      <c r="D46" s="4">
        <v>45697.563750000001</v>
      </c>
      <c r="E46" s="2" t="s">
        <v>83</v>
      </c>
      <c r="F46" s="2" t="s">
        <v>84</v>
      </c>
      <c r="G46" s="3">
        <v>2.92</v>
      </c>
      <c r="H46" s="3">
        <v>4.12</v>
      </c>
      <c r="I46" s="3">
        <v>13.34</v>
      </c>
      <c r="J46" s="3">
        <v>3</v>
      </c>
      <c r="K46" s="3">
        <v>2.15</v>
      </c>
      <c r="L46" s="3">
        <v>25.53</v>
      </c>
      <c r="M46" s="3">
        <v>714.84</v>
      </c>
      <c r="N46" s="3">
        <v>0.24</v>
      </c>
      <c r="O46" s="2" t="s">
        <v>189</v>
      </c>
      <c r="P46" s="4">
        <v>45696.621666666666</v>
      </c>
      <c r="Q46" s="4">
        <v>45697.563750000001</v>
      </c>
      <c r="R46" s="2" t="s">
        <v>86</v>
      </c>
      <c r="S46" s="3">
        <v>3</v>
      </c>
      <c r="T46" s="2">
        <v>85</v>
      </c>
      <c r="U46" s="3">
        <v>8678</v>
      </c>
      <c r="V46" s="3">
        <v>0</v>
      </c>
      <c r="W46" s="2" t="s">
        <v>94</v>
      </c>
      <c r="X46" s="2" t="s">
        <v>88</v>
      </c>
      <c r="Y46" s="3">
        <v>0</v>
      </c>
      <c r="Z46" t="str">
        <f>INDEX(Assets!$J:$J,MATCH(UPPER(TRIM(B46)),Assets!$A:$A,0))</f>
        <v>Cedar</v>
      </c>
      <c r="AA46">
        <f t="shared" si="0"/>
        <v>543.27840000000003</v>
      </c>
      <c r="AB46" s="21">
        <f t="shared" si="1"/>
        <v>45689</v>
      </c>
      <c r="AC46">
        <f>SUMIFS(Production!$H:$H,Production!$A:$A,UPPER(TRIM(B46)),Production!$B:$B,AB46)-SUMIFS(Production!$I:$I,Production!$A:$A,UPPER(TRIM(B46)),Production!$B:$B,AB46)</f>
        <v>48</v>
      </c>
      <c r="AD46">
        <f t="shared" si="2"/>
        <v>26077.3632</v>
      </c>
    </row>
    <row r="47" spans="1:30" ht="21" customHeight="1">
      <c r="A47" s="2" t="s">
        <v>190</v>
      </c>
      <c r="B47" s="9" t="s">
        <v>26</v>
      </c>
      <c r="C47" s="5">
        <v>45721.5</v>
      </c>
      <c r="D47" s="4">
        <v>45722.199583333335</v>
      </c>
      <c r="E47" s="2" t="s">
        <v>83</v>
      </c>
      <c r="F47" s="2" t="s">
        <v>119</v>
      </c>
      <c r="G47" s="3">
        <v>4.71</v>
      </c>
      <c r="H47" s="3">
        <v>2.23</v>
      </c>
      <c r="I47" s="3">
        <v>0</v>
      </c>
      <c r="J47" s="3">
        <v>7.76</v>
      </c>
      <c r="K47" s="3">
        <v>2.09</v>
      </c>
      <c r="L47" s="3">
        <v>16.79</v>
      </c>
      <c r="M47" s="3">
        <v>470.12</v>
      </c>
      <c r="N47" s="3">
        <v>0.25</v>
      </c>
      <c r="O47" s="2" t="s">
        <v>191</v>
      </c>
      <c r="P47" s="4">
        <v>45721.696250000001</v>
      </c>
      <c r="Q47" s="4">
        <v>45722.199583333335</v>
      </c>
      <c r="R47" s="2" t="s">
        <v>86</v>
      </c>
      <c r="S47" s="3">
        <v>15.52</v>
      </c>
      <c r="T47" s="2">
        <v>85</v>
      </c>
      <c r="U47" s="3">
        <v>2141</v>
      </c>
      <c r="V47" s="3">
        <v>4357</v>
      </c>
      <c r="W47" s="2" t="s">
        <v>94</v>
      </c>
      <c r="X47" s="2" t="s">
        <v>121</v>
      </c>
      <c r="Y47" s="3">
        <v>0</v>
      </c>
      <c r="Z47" t="str">
        <f>INDEX(Assets!$J:$J,MATCH(UPPER(TRIM(B47)),Assets!$A:$A,0))</f>
        <v>Cedar</v>
      </c>
      <c r="AA47">
        <f t="shared" si="0"/>
        <v>352.59000000000003</v>
      </c>
      <c r="AB47" s="21">
        <f t="shared" si="1"/>
        <v>45717</v>
      </c>
      <c r="AC47">
        <f>SUMIFS(Production!$H:$H,Production!$A:$A,UPPER(TRIM(B47)),Production!$B:$B,AB47)-SUMIFS(Production!$I:$I,Production!$A:$A,UPPER(TRIM(B47)),Production!$B:$B,AB47)</f>
        <v>46</v>
      </c>
      <c r="AD47">
        <f t="shared" si="2"/>
        <v>16219.140000000001</v>
      </c>
    </row>
    <row r="48" spans="1:30" ht="21" customHeight="1">
      <c r="A48" s="2" t="s">
        <v>192</v>
      </c>
      <c r="B48" s="9" t="s">
        <v>26</v>
      </c>
      <c r="C48" s="5">
        <v>45757.5</v>
      </c>
      <c r="D48" s="4">
        <v>45758.154999999999</v>
      </c>
      <c r="E48" s="2" t="s">
        <v>83</v>
      </c>
      <c r="F48" s="2" t="s">
        <v>115</v>
      </c>
      <c r="G48" s="3">
        <v>3.57</v>
      </c>
      <c r="H48" s="3">
        <v>1.94</v>
      </c>
      <c r="I48" s="3">
        <v>0</v>
      </c>
      <c r="J48" s="3">
        <v>8.61</v>
      </c>
      <c r="K48" s="3">
        <v>1.6</v>
      </c>
      <c r="L48" s="3">
        <v>15.72</v>
      </c>
      <c r="M48" s="3">
        <v>440.16</v>
      </c>
      <c r="N48" s="3">
        <v>0.27</v>
      </c>
      <c r="O48" s="2" t="s">
        <v>193</v>
      </c>
      <c r="P48" s="4">
        <v>45757.64875</v>
      </c>
      <c r="Q48" s="4">
        <v>45758.154999999999</v>
      </c>
      <c r="R48" s="2" t="s">
        <v>86</v>
      </c>
      <c r="S48" s="3">
        <v>8.61</v>
      </c>
      <c r="T48" s="2">
        <v>85</v>
      </c>
      <c r="U48" s="3">
        <v>3055</v>
      </c>
      <c r="V48" s="3">
        <v>0</v>
      </c>
      <c r="W48" s="2" t="s">
        <v>94</v>
      </c>
      <c r="X48" s="2" t="s">
        <v>117</v>
      </c>
      <c r="Y48" s="3">
        <v>0</v>
      </c>
      <c r="Z48" t="str">
        <f>INDEX(Assets!$J:$J,MATCH(UPPER(TRIM(B48)),Assets!$A:$A,0))</f>
        <v>Cedar</v>
      </c>
      <c r="AA48">
        <f t="shared" si="0"/>
        <v>321.3168</v>
      </c>
      <c r="AB48" s="21">
        <f t="shared" si="1"/>
        <v>45748</v>
      </c>
      <c r="AC48">
        <f>SUMIFS(Production!$H:$H,Production!$A:$A,UPPER(TRIM(B48)),Production!$B:$B,AB48)-SUMIFS(Production!$I:$I,Production!$A:$A,UPPER(TRIM(B48)),Production!$B:$B,AB48)</f>
        <v>44</v>
      </c>
      <c r="AD48">
        <f t="shared" si="2"/>
        <v>14137.939200000001</v>
      </c>
    </row>
    <row r="49" spans="1:30" ht="21" customHeight="1">
      <c r="A49" s="2" t="s">
        <v>194</v>
      </c>
      <c r="B49" s="9" t="s">
        <v>26</v>
      </c>
      <c r="C49" s="5">
        <v>45775.5</v>
      </c>
      <c r="D49" s="4">
        <v>45775.765416666662</v>
      </c>
      <c r="E49" s="2" t="s">
        <v>90</v>
      </c>
      <c r="F49" s="2" t="s">
        <v>91</v>
      </c>
      <c r="G49" s="3">
        <v>0</v>
      </c>
      <c r="H49" s="3">
        <v>0</v>
      </c>
      <c r="I49" s="3">
        <v>0</v>
      </c>
      <c r="J49" s="3">
        <v>6.37</v>
      </c>
      <c r="K49" s="3">
        <v>0</v>
      </c>
      <c r="L49" s="3">
        <v>6.37</v>
      </c>
      <c r="M49" s="3">
        <v>178.36</v>
      </c>
      <c r="N49" s="3">
        <v>0.25</v>
      </c>
      <c r="O49" s="2" t="s">
        <v>195</v>
      </c>
      <c r="P49" s="4">
        <v>45775.5</v>
      </c>
      <c r="Q49" s="4">
        <v>45775.765416666662</v>
      </c>
      <c r="R49" s="2" t="s">
        <v>93</v>
      </c>
      <c r="S49" s="3">
        <v>12.74</v>
      </c>
      <c r="T49" s="2">
        <v>85</v>
      </c>
      <c r="U49" s="3">
        <v>590</v>
      </c>
      <c r="V49" s="3">
        <v>0</v>
      </c>
      <c r="W49" s="2" t="s">
        <v>94</v>
      </c>
      <c r="X49" s="2" t="s">
        <v>95</v>
      </c>
      <c r="Y49" s="3">
        <v>0</v>
      </c>
      <c r="Z49" t="str">
        <f>INDEX(Assets!$J:$J,MATCH(UPPER(TRIM(B49)),Assets!$A:$A,0))</f>
        <v>Cedar</v>
      </c>
      <c r="AA49">
        <f t="shared" si="0"/>
        <v>133.77000000000001</v>
      </c>
      <c r="AB49" s="21">
        <f t="shared" si="1"/>
        <v>45748</v>
      </c>
      <c r="AC49">
        <f>SUMIFS(Production!$H:$H,Production!$A:$A,UPPER(TRIM(B49)),Production!$B:$B,AB49)-SUMIFS(Production!$I:$I,Production!$A:$A,UPPER(TRIM(B49)),Production!$B:$B,AB49)</f>
        <v>44</v>
      </c>
      <c r="AD49">
        <f t="shared" si="2"/>
        <v>5885.88</v>
      </c>
    </row>
    <row r="50" spans="1:30" ht="21" customHeight="1">
      <c r="A50" s="2" t="s">
        <v>196</v>
      </c>
      <c r="B50" s="9" t="s">
        <v>26</v>
      </c>
      <c r="C50" s="5">
        <v>45783.5</v>
      </c>
      <c r="D50" s="4">
        <v>45784.184999999998</v>
      </c>
      <c r="E50" s="2" t="s">
        <v>83</v>
      </c>
      <c r="F50" s="2" t="s">
        <v>97</v>
      </c>
      <c r="G50" s="3">
        <v>3.39</v>
      </c>
      <c r="H50" s="3">
        <v>2.71</v>
      </c>
      <c r="I50" s="3">
        <v>0</v>
      </c>
      <c r="J50" s="3">
        <v>9.75</v>
      </c>
      <c r="K50" s="3">
        <v>0.59</v>
      </c>
      <c r="L50" s="3">
        <v>16.440000000000001</v>
      </c>
      <c r="M50" s="3">
        <v>460.32</v>
      </c>
      <c r="N50" s="3">
        <v>0.13</v>
      </c>
      <c r="O50" s="2" t="s">
        <v>197</v>
      </c>
      <c r="P50" s="4">
        <v>45783.641250000001</v>
      </c>
      <c r="Q50" s="4">
        <v>45784.184999999998</v>
      </c>
      <c r="R50" s="2" t="s">
        <v>86</v>
      </c>
      <c r="S50" s="3">
        <v>9.75</v>
      </c>
      <c r="T50" s="2">
        <v>85</v>
      </c>
      <c r="U50" s="3">
        <v>6594</v>
      </c>
      <c r="V50" s="3">
        <v>0</v>
      </c>
      <c r="W50" s="2" t="s">
        <v>94</v>
      </c>
      <c r="X50" s="2" t="s">
        <v>99</v>
      </c>
      <c r="Y50" s="3">
        <v>0</v>
      </c>
      <c r="Z50" t="str">
        <f>INDEX(Assets!$J:$J,MATCH(UPPER(TRIM(B50)),Assets!$A:$A,0))</f>
        <v>Cedar</v>
      </c>
      <c r="AA50">
        <f t="shared" si="0"/>
        <v>400.47839999999997</v>
      </c>
      <c r="AB50" s="21">
        <f t="shared" si="1"/>
        <v>45778</v>
      </c>
      <c r="AC50">
        <f>SUMIFS(Production!$H:$H,Production!$A:$A,UPPER(TRIM(B50)),Production!$B:$B,AB50)-SUMIFS(Production!$I:$I,Production!$A:$A,UPPER(TRIM(B50)),Production!$B:$B,AB50)</f>
        <v>42</v>
      </c>
      <c r="AD50">
        <f t="shared" si="2"/>
        <v>16820.092799999999</v>
      </c>
    </row>
    <row r="51" spans="1:30" ht="21" customHeight="1">
      <c r="A51" s="2" t="s">
        <v>198</v>
      </c>
      <c r="B51" s="9" t="s">
        <v>26</v>
      </c>
      <c r="C51" s="5">
        <v>45813.5</v>
      </c>
      <c r="D51" s="4">
        <v>45814.137916666667</v>
      </c>
      <c r="E51" s="2" t="s">
        <v>83</v>
      </c>
      <c r="F51" s="2" t="s">
        <v>97</v>
      </c>
      <c r="G51" s="3">
        <v>3.34</v>
      </c>
      <c r="H51" s="3">
        <v>3.84</v>
      </c>
      <c r="I51" s="3">
        <v>0</v>
      </c>
      <c r="J51" s="3">
        <v>7.15</v>
      </c>
      <c r="K51" s="3">
        <v>0.98</v>
      </c>
      <c r="L51" s="3">
        <v>15.31</v>
      </c>
      <c r="M51" s="3">
        <v>428.68</v>
      </c>
      <c r="N51" s="3">
        <v>0.22</v>
      </c>
      <c r="O51" s="2" t="s">
        <v>199</v>
      </c>
      <c r="P51" s="4">
        <v>45813.639166666668</v>
      </c>
      <c r="Q51" s="4">
        <v>45814.137916666667</v>
      </c>
      <c r="R51" s="2" t="s">
        <v>86</v>
      </c>
      <c r="S51" s="3">
        <v>7.15</v>
      </c>
      <c r="T51" s="2">
        <v>85</v>
      </c>
      <c r="U51" s="3">
        <v>8935</v>
      </c>
      <c r="V51" s="3">
        <v>0</v>
      </c>
      <c r="W51" s="2" t="s">
        <v>94</v>
      </c>
      <c r="X51" s="2" t="s">
        <v>99</v>
      </c>
      <c r="Y51" s="3">
        <v>0</v>
      </c>
      <c r="Z51" t="str">
        <f>INDEX(Assets!$J:$J,MATCH(UPPER(TRIM(B51)),Assets!$A:$A,0))</f>
        <v>Cedar</v>
      </c>
      <c r="AA51">
        <f t="shared" si="0"/>
        <v>334.37040000000002</v>
      </c>
      <c r="AB51" s="21">
        <f t="shared" si="1"/>
        <v>45809</v>
      </c>
      <c r="AC51">
        <f>SUMIFS(Production!$H:$H,Production!$A:$A,UPPER(TRIM(B51)),Production!$B:$B,AB51)-SUMIFS(Production!$I:$I,Production!$A:$A,UPPER(TRIM(B51)),Production!$B:$B,AB51)</f>
        <v>43</v>
      </c>
      <c r="AD51">
        <f t="shared" si="2"/>
        <v>14377.9272</v>
      </c>
    </row>
    <row r="52" spans="1:30" ht="21" customHeight="1">
      <c r="A52" s="2" t="s">
        <v>200</v>
      </c>
      <c r="B52" s="9" t="s">
        <v>26</v>
      </c>
      <c r="C52" s="5">
        <v>45843.5</v>
      </c>
      <c r="D52" s="4">
        <v>45844.956666666665</v>
      </c>
      <c r="E52" s="2" t="s">
        <v>83</v>
      </c>
      <c r="F52" s="2" t="s">
        <v>97</v>
      </c>
      <c r="G52" s="3">
        <v>4.08</v>
      </c>
      <c r="H52" s="3">
        <v>2.11</v>
      </c>
      <c r="I52" s="3">
        <v>23.22</v>
      </c>
      <c r="J52" s="3">
        <v>3.71</v>
      </c>
      <c r="K52" s="3">
        <v>1.84</v>
      </c>
      <c r="L52" s="3">
        <v>34.96</v>
      </c>
      <c r="M52" s="3">
        <v>978.88</v>
      </c>
      <c r="N52" s="3">
        <v>0.09</v>
      </c>
      <c r="O52" s="2" t="s">
        <v>201</v>
      </c>
      <c r="P52" s="4">
        <v>45843.67</v>
      </c>
      <c r="Q52" s="4">
        <v>45844.956666666665</v>
      </c>
      <c r="R52" s="2" t="s">
        <v>86</v>
      </c>
      <c r="S52" s="3">
        <v>3.71</v>
      </c>
      <c r="T52" s="2">
        <v>85</v>
      </c>
      <c r="U52" s="3">
        <v>8477</v>
      </c>
      <c r="V52" s="3">
        <v>0</v>
      </c>
      <c r="W52" s="2" t="s">
        <v>94</v>
      </c>
      <c r="X52" s="2" t="s">
        <v>99</v>
      </c>
      <c r="Y52" s="3">
        <v>0</v>
      </c>
      <c r="Z52" t="str">
        <f>INDEX(Assets!$J:$J,MATCH(UPPER(TRIM(B52)),Assets!$A:$A,0))</f>
        <v>Cedar</v>
      </c>
      <c r="AA52">
        <f t="shared" si="0"/>
        <v>890.7808</v>
      </c>
      <c r="AB52" s="21">
        <f t="shared" si="1"/>
        <v>45839</v>
      </c>
      <c r="AC52">
        <f>SUMIFS(Production!$H:$H,Production!$A:$A,UPPER(TRIM(B52)),Production!$B:$B,AB52)-SUMIFS(Production!$I:$I,Production!$A:$A,UPPER(TRIM(B52)),Production!$B:$B,AB52)</f>
        <v>45</v>
      </c>
      <c r="AD52">
        <f t="shared" si="2"/>
        <v>40085.135999999999</v>
      </c>
    </row>
    <row r="53" spans="1:30" ht="21" customHeight="1">
      <c r="A53" s="2" t="s">
        <v>202</v>
      </c>
      <c r="B53" s="9" t="s">
        <v>26</v>
      </c>
      <c r="C53" s="5">
        <v>45866.5</v>
      </c>
      <c r="D53" s="4">
        <v>45866.782916666663</v>
      </c>
      <c r="E53" s="2" t="s">
        <v>90</v>
      </c>
      <c r="F53" s="2" t="s">
        <v>91</v>
      </c>
      <c r="G53" s="3">
        <v>0</v>
      </c>
      <c r="H53" s="3">
        <v>0</v>
      </c>
      <c r="I53" s="3">
        <v>0</v>
      </c>
      <c r="J53" s="3">
        <v>6.79</v>
      </c>
      <c r="K53" s="3">
        <v>0</v>
      </c>
      <c r="L53" s="3">
        <v>6.79</v>
      </c>
      <c r="M53" s="3">
        <v>190.12</v>
      </c>
      <c r="N53" s="3">
        <v>0.25</v>
      </c>
      <c r="O53" s="2" t="s">
        <v>203</v>
      </c>
      <c r="P53" s="4">
        <v>45866.5</v>
      </c>
      <c r="Q53" s="4">
        <v>45866.782916666663</v>
      </c>
      <c r="R53" s="2" t="s">
        <v>93</v>
      </c>
      <c r="S53" s="3">
        <v>13.58</v>
      </c>
      <c r="T53" s="2">
        <v>85</v>
      </c>
      <c r="U53" s="3">
        <v>1128</v>
      </c>
      <c r="V53" s="3">
        <v>2726</v>
      </c>
      <c r="W53" s="2" t="s">
        <v>94</v>
      </c>
      <c r="X53" s="2" t="s">
        <v>95</v>
      </c>
      <c r="Y53" s="3">
        <v>0</v>
      </c>
      <c r="Z53" t="str">
        <f>INDEX(Assets!$J:$J,MATCH(UPPER(TRIM(B53)),Assets!$A:$A,0))</f>
        <v>Cedar</v>
      </c>
      <c r="AA53">
        <f t="shared" si="0"/>
        <v>142.59</v>
      </c>
      <c r="AB53" s="21">
        <f t="shared" si="1"/>
        <v>45839</v>
      </c>
      <c r="AC53">
        <f>SUMIFS(Production!$H:$H,Production!$A:$A,UPPER(TRIM(B53)),Production!$B:$B,AB53)-SUMIFS(Production!$I:$I,Production!$A:$A,UPPER(TRIM(B53)),Production!$B:$B,AB53)</f>
        <v>45</v>
      </c>
      <c r="AD53">
        <f t="shared" si="2"/>
        <v>6416.55</v>
      </c>
    </row>
    <row r="54" spans="1:30" ht="21" customHeight="1">
      <c r="A54" s="2" t="s">
        <v>204</v>
      </c>
      <c r="B54" s="9" t="s">
        <v>26</v>
      </c>
      <c r="C54" s="5">
        <v>45875.5</v>
      </c>
      <c r="D54" s="4">
        <v>45875.977500000001</v>
      </c>
      <c r="E54" s="2" t="s">
        <v>83</v>
      </c>
      <c r="F54" s="2" t="s">
        <v>101</v>
      </c>
      <c r="G54" s="3">
        <v>2.33</v>
      </c>
      <c r="H54" s="3">
        <v>3.51</v>
      </c>
      <c r="I54" s="3">
        <v>0</v>
      </c>
      <c r="J54" s="3">
        <v>4.93</v>
      </c>
      <c r="K54" s="3">
        <v>0.69</v>
      </c>
      <c r="L54" s="3">
        <v>11.46</v>
      </c>
      <c r="M54" s="3">
        <v>320.88</v>
      </c>
      <c r="N54" s="3">
        <v>0.23</v>
      </c>
      <c r="O54" s="2" t="s">
        <v>205</v>
      </c>
      <c r="P54" s="4">
        <v>45875.597083333334</v>
      </c>
      <c r="Q54" s="4">
        <v>45875.977500000001</v>
      </c>
      <c r="R54" s="2" t="s">
        <v>86</v>
      </c>
      <c r="S54" s="3">
        <v>4.93</v>
      </c>
      <c r="T54" s="2">
        <v>85</v>
      </c>
      <c r="U54" s="3">
        <v>5334</v>
      </c>
      <c r="V54" s="3">
        <v>0</v>
      </c>
      <c r="W54" s="2" t="s">
        <v>94</v>
      </c>
      <c r="X54" s="2" t="s">
        <v>103</v>
      </c>
      <c r="Y54" s="3">
        <v>0</v>
      </c>
      <c r="Z54" t="str">
        <f>INDEX(Assets!$J:$J,MATCH(UPPER(TRIM(B54)),Assets!$A:$A,0))</f>
        <v>Cedar</v>
      </c>
      <c r="AA54">
        <f t="shared" si="0"/>
        <v>247.07759999999999</v>
      </c>
      <c r="AB54" s="21">
        <f t="shared" si="1"/>
        <v>45870</v>
      </c>
      <c r="AC54">
        <f>SUMIFS(Production!$H:$H,Production!$A:$A,UPPER(TRIM(B54)),Production!$B:$B,AB54)-SUMIFS(Production!$I:$I,Production!$A:$A,UPPER(TRIM(B54)),Production!$B:$B,AB54)</f>
        <v>44</v>
      </c>
      <c r="AD54">
        <f t="shared" si="2"/>
        <v>10871.4144</v>
      </c>
    </row>
    <row r="55" spans="1:30" ht="21" customHeight="1">
      <c r="A55" s="2" t="s">
        <v>206</v>
      </c>
      <c r="B55" s="9" t="s">
        <v>26</v>
      </c>
      <c r="C55" s="5">
        <v>45890.5</v>
      </c>
      <c r="D55" s="4">
        <v>45891.153333333335</v>
      </c>
      <c r="E55" s="2" t="s">
        <v>83</v>
      </c>
      <c r="F55" s="2" t="s">
        <v>115</v>
      </c>
      <c r="G55" s="3">
        <v>4.18</v>
      </c>
      <c r="H55" s="3">
        <v>2.71</v>
      </c>
      <c r="I55" s="3">
        <v>0</v>
      </c>
      <c r="J55" s="3">
        <v>6.75</v>
      </c>
      <c r="K55" s="3">
        <v>2.04</v>
      </c>
      <c r="L55" s="3">
        <v>15.68</v>
      </c>
      <c r="M55" s="3">
        <v>439.04</v>
      </c>
      <c r="N55" s="3">
        <v>0.28000000000000003</v>
      </c>
      <c r="O55" s="2" t="s">
        <v>207</v>
      </c>
      <c r="P55" s="4">
        <v>45890.674166666664</v>
      </c>
      <c r="Q55" s="4">
        <v>45891.153333333335</v>
      </c>
      <c r="R55" s="2" t="s">
        <v>86</v>
      </c>
      <c r="S55" s="3">
        <v>6.75</v>
      </c>
      <c r="T55" s="2">
        <v>85</v>
      </c>
      <c r="U55" s="3">
        <v>7693</v>
      </c>
      <c r="V55" s="3">
        <v>0</v>
      </c>
      <c r="W55" s="2" t="s">
        <v>94</v>
      </c>
      <c r="X55" s="2" t="s">
        <v>117</v>
      </c>
      <c r="Y55" s="3">
        <v>0</v>
      </c>
      <c r="Z55" t="str">
        <f>INDEX(Assets!$J:$J,MATCH(UPPER(TRIM(B55)),Assets!$A:$A,0))</f>
        <v>Cedar</v>
      </c>
      <c r="AA55">
        <f t="shared" si="0"/>
        <v>316.10880000000003</v>
      </c>
      <c r="AB55" s="21">
        <f t="shared" si="1"/>
        <v>45870</v>
      </c>
      <c r="AC55">
        <f>SUMIFS(Production!$H:$H,Production!$A:$A,UPPER(TRIM(B55)),Production!$B:$B,AB55)-SUMIFS(Production!$I:$I,Production!$A:$A,UPPER(TRIM(B55)),Production!$B:$B,AB55)</f>
        <v>44</v>
      </c>
      <c r="AD55">
        <f t="shared" si="2"/>
        <v>13908.787200000001</v>
      </c>
    </row>
    <row r="56" spans="1:30" ht="21" customHeight="1">
      <c r="A56" s="2" t="s">
        <v>208</v>
      </c>
      <c r="B56" s="9" t="s">
        <v>26</v>
      </c>
      <c r="C56" s="5">
        <v>45908.5</v>
      </c>
      <c r="D56" s="4">
        <v>45909.224166666667</v>
      </c>
      <c r="E56" s="2" t="s">
        <v>83</v>
      </c>
      <c r="F56" s="2" t="s">
        <v>119</v>
      </c>
      <c r="G56" s="3">
        <v>3.5</v>
      </c>
      <c r="H56" s="3">
        <v>1.92</v>
      </c>
      <c r="I56" s="3">
        <v>0</v>
      </c>
      <c r="J56" s="3">
        <v>11.44</v>
      </c>
      <c r="K56" s="3">
        <v>0.52</v>
      </c>
      <c r="L56" s="3">
        <v>17.38</v>
      </c>
      <c r="M56" s="3">
        <v>486.64</v>
      </c>
      <c r="N56" s="3">
        <v>0.14000000000000001</v>
      </c>
      <c r="O56" s="2" t="s">
        <v>209</v>
      </c>
      <c r="P56" s="4">
        <v>45908.645833333328</v>
      </c>
      <c r="Q56" s="4">
        <v>45909.224166666667</v>
      </c>
      <c r="R56" s="2" t="s">
        <v>86</v>
      </c>
      <c r="S56" s="3">
        <v>22.88</v>
      </c>
      <c r="T56" s="2">
        <v>85</v>
      </c>
      <c r="U56" s="3">
        <v>7945</v>
      </c>
      <c r="V56" s="3">
        <v>0</v>
      </c>
      <c r="W56" s="2" t="s">
        <v>94</v>
      </c>
      <c r="X56" s="2" t="s">
        <v>121</v>
      </c>
      <c r="Y56" s="3">
        <v>0</v>
      </c>
      <c r="Z56" t="str">
        <f>INDEX(Assets!$J:$J,MATCH(UPPER(TRIM(B56)),Assets!$A:$A,0))</f>
        <v>Cedar</v>
      </c>
      <c r="AA56">
        <f t="shared" si="0"/>
        <v>418.5104</v>
      </c>
      <c r="AB56" s="21">
        <f t="shared" si="1"/>
        <v>45901</v>
      </c>
      <c r="AC56">
        <f>SUMIFS(Production!$H:$H,Production!$A:$A,UPPER(TRIM(B56)),Production!$B:$B,AB56)-SUMIFS(Production!$I:$I,Production!$A:$A,UPPER(TRIM(B56)),Production!$B:$B,AB56)</f>
        <v>41</v>
      </c>
      <c r="AD56">
        <f t="shared" si="2"/>
        <v>17158.9264</v>
      </c>
    </row>
    <row r="57" spans="1:30" ht="21" customHeight="1">
      <c r="A57" s="2" t="s">
        <v>210</v>
      </c>
      <c r="B57" s="9" t="s">
        <v>26</v>
      </c>
      <c r="C57" s="5">
        <v>45922.5</v>
      </c>
      <c r="D57" s="4">
        <v>45922.918749999997</v>
      </c>
      <c r="E57" s="2" t="s">
        <v>83</v>
      </c>
      <c r="F57" s="2" t="s">
        <v>101</v>
      </c>
      <c r="G57" s="3">
        <v>0.89</v>
      </c>
      <c r="H57" s="3">
        <v>3.48</v>
      </c>
      <c r="I57" s="3">
        <v>0</v>
      </c>
      <c r="J57" s="3">
        <v>4.1399999999999997</v>
      </c>
      <c r="K57" s="3">
        <v>1.54</v>
      </c>
      <c r="L57" s="3">
        <v>10.050000000000001</v>
      </c>
      <c r="M57" s="3">
        <v>281.39999999999998</v>
      </c>
      <c r="N57" s="3">
        <v>0.09</v>
      </c>
      <c r="O57" s="2" t="s">
        <v>211</v>
      </c>
      <c r="P57" s="4">
        <v>45922.537083333329</v>
      </c>
      <c r="Q57" s="4">
        <v>45922.918749999997</v>
      </c>
      <c r="R57" s="2" t="s">
        <v>86</v>
      </c>
      <c r="S57" s="3">
        <v>8.2799999999999994</v>
      </c>
      <c r="T57" s="2">
        <v>85</v>
      </c>
      <c r="U57" s="3">
        <v>5881</v>
      </c>
      <c r="V57" s="3">
        <v>0</v>
      </c>
      <c r="W57" s="2" t="s">
        <v>94</v>
      </c>
      <c r="X57" s="2" t="s">
        <v>103</v>
      </c>
      <c r="Y57" s="3">
        <v>0</v>
      </c>
      <c r="Z57" t="str">
        <f>INDEX(Assets!$J:$J,MATCH(UPPER(TRIM(B57)),Assets!$A:$A,0))</f>
        <v>Cedar</v>
      </c>
      <c r="AA57">
        <f t="shared" si="0"/>
        <v>256.07400000000001</v>
      </c>
      <c r="AB57" s="21">
        <f t="shared" si="1"/>
        <v>45901</v>
      </c>
      <c r="AC57">
        <f>SUMIFS(Production!$H:$H,Production!$A:$A,UPPER(TRIM(B57)),Production!$B:$B,AB57)-SUMIFS(Production!$I:$I,Production!$A:$A,UPPER(TRIM(B57)),Production!$B:$B,AB57)</f>
        <v>41</v>
      </c>
      <c r="AD57">
        <f t="shared" si="2"/>
        <v>10499.034</v>
      </c>
    </row>
    <row r="58" spans="1:30" ht="21" customHeight="1">
      <c r="A58" s="2" t="s">
        <v>212</v>
      </c>
      <c r="B58" s="9" t="s">
        <v>26</v>
      </c>
      <c r="C58" s="5">
        <v>45936.5</v>
      </c>
      <c r="D58" s="4">
        <v>45937.083750000005</v>
      </c>
      <c r="E58" s="2" t="s">
        <v>83</v>
      </c>
      <c r="F58" s="2" t="s">
        <v>97</v>
      </c>
      <c r="G58" s="3">
        <v>1.92</v>
      </c>
      <c r="H58" s="3">
        <v>2.68</v>
      </c>
      <c r="I58" s="3">
        <v>0</v>
      </c>
      <c r="J58" s="3">
        <v>7.31</v>
      </c>
      <c r="K58" s="3">
        <v>2.1</v>
      </c>
      <c r="L58" s="3">
        <v>14.01</v>
      </c>
      <c r="M58" s="3">
        <v>392.28</v>
      </c>
      <c r="N58" s="3">
        <v>0.27</v>
      </c>
      <c r="O58" s="2" t="s">
        <v>213</v>
      </c>
      <c r="P58" s="4">
        <v>45936.58</v>
      </c>
      <c r="Q58" s="4">
        <v>45937.083750000005</v>
      </c>
      <c r="R58" s="2" t="s">
        <v>86</v>
      </c>
      <c r="S58" s="3">
        <v>7.31</v>
      </c>
      <c r="T58" s="2">
        <v>85</v>
      </c>
      <c r="U58" s="3">
        <v>5038</v>
      </c>
      <c r="V58" s="3">
        <v>0</v>
      </c>
      <c r="W58" s="2" t="s">
        <v>94</v>
      </c>
      <c r="X58" s="2" t="s">
        <v>99</v>
      </c>
      <c r="Y58" s="3">
        <v>0</v>
      </c>
      <c r="Z58" t="str">
        <f>INDEX(Assets!$J:$J,MATCH(UPPER(TRIM(B58)),Assets!$A:$A,0))</f>
        <v>Cedar</v>
      </c>
      <c r="AA58">
        <f t="shared" si="0"/>
        <v>286.36439999999999</v>
      </c>
      <c r="AB58" s="21">
        <f t="shared" si="1"/>
        <v>45931</v>
      </c>
      <c r="AC58">
        <f>SUMIFS(Production!$H:$H,Production!$A:$A,UPPER(TRIM(B58)),Production!$B:$B,AB58)-SUMIFS(Production!$I:$I,Production!$A:$A,UPPER(TRIM(B58)),Production!$B:$B,AB58)</f>
        <v>40</v>
      </c>
      <c r="AD58">
        <f t="shared" si="2"/>
        <v>11454.575999999999</v>
      </c>
    </row>
    <row r="59" spans="1:30" ht="21" customHeight="1">
      <c r="A59" s="2" t="s">
        <v>214</v>
      </c>
      <c r="B59" s="9" t="s">
        <v>26</v>
      </c>
      <c r="C59" s="5">
        <v>45958.5</v>
      </c>
      <c r="D59" s="4">
        <v>45958.818749999999</v>
      </c>
      <c r="E59" s="2" t="s">
        <v>90</v>
      </c>
      <c r="F59" s="2" t="s">
        <v>91</v>
      </c>
      <c r="G59" s="3">
        <v>0</v>
      </c>
      <c r="H59" s="3">
        <v>0</v>
      </c>
      <c r="I59" s="3">
        <v>0</v>
      </c>
      <c r="J59" s="3">
        <v>7.65</v>
      </c>
      <c r="K59" s="3">
        <v>0</v>
      </c>
      <c r="L59" s="3">
        <v>7.65</v>
      </c>
      <c r="M59" s="3">
        <v>214.2</v>
      </c>
      <c r="N59" s="3">
        <v>0.25</v>
      </c>
      <c r="O59" s="2" t="s">
        <v>215</v>
      </c>
      <c r="P59" s="4">
        <v>45958.5</v>
      </c>
      <c r="Q59" s="4">
        <v>45958.818749999999</v>
      </c>
      <c r="R59" s="2" t="s">
        <v>93</v>
      </c>
      <c r="S59" s="3">
        <v>7.65</v>
      </c>
      <c r="T59" s="2">
        <v>85</v>
      </c>
      <c r="U59" s="3">
        <v>562</v>
      </c>
      <c r="V59" s="3">
        <v>3095</v>
      </c>
      <c r="W59" s="2" t="s">
        <v>94</v>
      </c>
      <c r="X59" s="2" t="s">
        <v>95</v>
      </c>
      <c r="Y59" s="3">
        <v>0</v>
      </c>
      <c r="Z59" t="str">
        <f>INDEX(Assets!$J:$J,MATCH(UPPER(TRIM(B59)),Assets!$A:$A,0))</f>
        <v>Cedar</v>
      </c>
      <c r="AA59">
        <f t="shared" si="0"/>
        <v>160.64999999999998</v>
      </c>
      <c r="AB59" s="21">
        <f t="shared" si="1"/>
        <v>45931</v>
      </c>
      <c r="AC59">
        <f>SUMIFS(Production!$H:$H,Production!$A:$A,UPPER(TRIM(B59)),Production!$B:$B,AB59)-SUMIFS(Production!$I:$I,Production!$A:$A,UPPER(TRIM(B59)),Production!$B:$B,AB59)</f>
        <v>40</v>
      </c>
      <c r="AD59">
        <f t="shared" si="2"/>
        <v>6425.9999999999991</v>
      </c>
    </row>
    <row r="60" spans="1:30" ht="21" customHeight="1">
      <c r="A60" s="2" t="s">
        <v>216</v>
      </c>
      <c r="B60" s="9" t="s">
        <v>26</v>
      </c>
      <c r="C60" s="5">
        <v>45968.5</v>
      </c>
      <c r="D60" s="4">
        <v>45969.215833333335</v>
      </c>
      <c r="E60" s="2" t="s">
        <v>83</v>
      </c>
      <c r="F60" s="2" t="s">
        <v>101</v>
      </c>
      <c r="G60" s="3">
        <v>4.49</v>
      </c>
      <c r="H60" s="3">
        <v>1.59</v>
      </c>
      <c r="I60" s="3">
        <v>0</v>
      </c>
      <c r="J60" s="3">
        <v>9.99</v>
      </c>
      <c r="K60" s="3">
        <v>1.1100000000000001</v>
      </c>
      <c r="L60" s="3">
        <v>17.18</v>
      </c>
      <c r="M60" s="3">
        <v>481.04</v>
      </c>
      <c r="N60" s="3">
        <v>0.22</v>
      </c>
      <c r="O60" s="2" t="s">
        <v>217</v>
      </c>
      <c r="P60" s="4">
        <v>45968.687083333338</v>
      </c>
      <c r="Q60" s="4">
        <v>45969.215833333335</v>
      </c>
      <c r="R60" s="2" t="s">
        <v>86</v>
      </c>
      <c r="S60" s="3">
        <v>19.98</v>
      </c>
      <c r="T60" s="2">
        <v>85</v>
      </c>
      <c r="U60" s="3"/>
      <c r="V60" s="3">
        <v>1048</v>
      </c>
      <c r="W60" s="2" t="s">
        <v>87</v>
      </c>
      <c r="X60" s="2" t="s">
        <v>103</v>
      </c>
      <c r="Y60" s="3">
        <v>0</v>
      </c>
      <c r="Z60" t="str">
        <f>INDEX(Assets!$J:$J,MATCH(UPPER(TRIM(B60)),Assets!$A:$A,0))</f>
        <v>Cedar</v>
      </c>
      <c r="AA60">
        <f t="shared" si="0"/>
        <v>375.21120000000002</v>
      </c>
      <c r="AB60" s="21">
        <f t="shared" si="1"/>
        <v>45962</v>
      </c>
      <c r="AC60">
        <f>SUMIFS(Production!$H:$H,Production!$A:$A,UPPER(TRIM(B60)),Production!$B:$B,AB60)-SUMIFS(Production!$I:$I,Production!$A:$A,UPPER(TRIM(B60)),Production!$B:$B,AB60)</f>
        <v>42</v>
      </c>
      <c r="AD60">
        <f t="shared" si="2"/>
        <v>15758.870400000002</v>
      </c>
    </row>
    <row r="61" spans="1:30" ht="21" customHeight="1">
      <c r="A61" s="2" t="s">
        <v>218</v>
      </c>
      <c r="B61" s="9" t="s">
        <v>26</v>
      </c>
      <c r="C61" s="5">
        <v>45995.5</v>
      </c>
      <c r="D61" s="4">
        <v>45996.332500000004</v>
      </c>
      <c r="E61" s="2" t="s">
        <v>83</v>
      </c>
      <c r="F61" s="2" t="s">
        <v>119</v>
      </c>
      <c r="G61" s="3">
        <v>4.18</v>
      </c>
      <c r="H61" s="3">
        <v>1.74</v>
      </c>
      <c r="I61" s="3">
        <v>0</v>
      </c>
      <c r="J61" s="3">
        <v>12.98</v>
      </c>
      <c r="K61" s="3">
        <v>1.08</v>
      </c>
      <c r="L61" s="3">
        <v>19.98</v>
      </c>
      <c r="M61" s="3">
        <v>559.44000000000005</v>
      </c>
      <c r="N61" s="3">
        <v>0.26</v>
      </c>
      <c r="O61" s="2" t="s">
        <v>219</v>
      </c>
      <c r="P61" s="4">
        <v>45995.674166666664</v>
      </c>
      <c r="Q61" s="4">
        <v>45996.332500000004</v>
      </c>
      <c r="R61" s="2" t="s">
        <v>86</v>
      </c>
      <c r="S61" s="3">
        <v>12.98</v>
      </c>
      <c r="T61" s="2">
        <v>85</v>
      </c>
      <c r="U61" s="3">
        <v>5363</v>
      </c>
      <c r="V61" s="3">
        <v>0</v>
      </c>
      <c r="W61" s="2" t="s">
        <v>94</v>
      </c>
      <c r="X61" s="2" t="s">
        <v>121</v>
      </c>
      <c r="Y61" s="3">
        <v>0</v>
      </c>
      <c r="Z61" t="str">
        <f>INDEX(Assets!$J:$J,MATCH(UPPER(TRIM(B61)),Assets!$A:$A,0))</f>
        <v>Cedar</v>
      </c>
      <c r="AA61">
        <f t="shared" si="0"/>
        <v>413.98560000000003</v>
      </c>
      <c r="AB61" s="21">
        <f t="shared" si="1"/>
        <v>45992</v>
      </c>
      <c r="AC61">
        <f>SUMIFS(Production!$H:$H,Production!$A:$A,UPPER(TRIM(B61)),Production!$B:$B,AB61)-SUMIFS(Production!$I:$I,Production!$A:$A,UPPER(TRIM(B61)),Production!$B:$B,AB61)</f>
        <v>43</v>
      </c>
      <c r="AD61">
        <f t="shared" si="2"/>
        <v>17801.380800000003</v>
      </c>
    </row>
    <row r="62" spans="1:30" ht="21" customHeight="1">
      <c r="A62" s="2" t="s">
        <v>220</v>
      </c>
      <c r="B62" s="9" t="s">
        <v>28</v>
      </c>
      <c r="C62" s="5">
        <v>45664.5</v>
      </c>
      <c r="D62" s="4">
        <v>45665.751250000001</v>
      </c>
      <c r="E62" s="2" t="s">
        <v>83</v>
      </c>
      <c r="F62" s="2" t="s">
        <v>119</v>
      </c>
      <c r="G62" s="3">
        <v>2.2400000000000002</v>
      </c>
      <c r="H62" s="3">
        <v>6.45</v>
      </c>
      <c r="I62" s="3">
        <v>10.08</v>
      </c>
      <c r="J62" s="3">
        <v>9.81</v>
      </c>
      <c r="K62" s="3">
        <v>1.45</v>
      </c>
      <c r="L62" s="3">
        <v>30.03</v>
      </c>
      <c r="M62" s="3">
        <v>900.9</v>
      </c>
      <c r="N62" s="3">
        <v>0.28999999999999998</v>
      </c>
      <c r="O62" s="2" t="s">
        <v>221</v>
      </c>
      <c r="P62" s="4">
        <v>45664.593333333338</v>
      </c>
      <c r="Q62" s="4">
        <v>45665.751250000001</v>
      </c>
      <c r="R62" s="2" t="s">
        <v>86</v>
      </c>
      <c r="S62" s="3">
        <v>9.81</v>
      </c>
      <c r="T62" s="2">
        <v>85</v>
      </c>
      <c r="U62" s="3">
        <v>2191</v>
      </c>
      <c r="V62" s="3">
        <v>0</v>
      </c>
      <c r="W62" s="2" t="s">
        <v>94</v>
      </c>
      <c r="X62" s="2" t="s">
        <v>121</v>
      </c>
      <c r="Y62" s="3">
        <v>0.5</v>
      </c>
      <c r="Z62" t="str">
        <f>INDEX(Assets!$J:$J,MATCH(UPPER(TRIM(B62)),Assets!$A:$A,0))</f>
        <v>Mesa</v>
      </c>
      <c r="AA62">
        <f t="shared" si="0"/>
        <v>639.6389999999999</v>
      </c>
      <c r="AB62" s="21">
        <f t="shared" si="1"/>
        <v>45658</v>
      </c>
      <c r="AC62">
        <f>SUMIFS(Production!$H:$H,Production!$A:$A,UPPER(TRIM(B62)),Production!$B:$B,AB62)-SUMIFS(Production!$I:$I,Production!$A:$A,UPPER(TRIM(B62)),Production!$B:$B,AB62)</f>
        <v>49.2</v>
      </c>
      <c r="AD62">
        <f t="shared" si="2"/>
        <v>31470.238799999996</v>
      </c>
    </row>
    <row r="63" spans="1:30" ht="21" customHeight="1">
      <c r="A63" s="2" t="s">
        <v>222</v>
      </c>
      <c r="B63" s="9" t="s">
        <v>28</v>
      </c>
      <c r="C63" s="5">
        <v>45685.5</v>
      </c>
      <c r="D63" s="4">
        <v>45685.630833333329</v>
      </c>
      <c r="E63" s="2" t="s">
        <v>90</v>
      </c>
      <c r="F63" s="2" t="s">
        <v>91</v>
      </c>
      <c r="G63" s="3">
        <v>0</v>
      </c>
      <c r="H63" s="3">
        <v>0</v>
      </c>
      <c r="I63" s="3">
        <v>0</v>
      </c>
      <c r="J63" s="3">
        <v>3.14</v>
      </c>
      <c r="K63" s="3">
        <v>0</v>
      </c>
      <c r="L63" s="3">
        <v>3.14</v>
      </c>
      <c r="M63" s="3">
        <v>94.2</v>
      </c>
      <c r="N63" s="3">
        <v>0.25</v>
      </c>
      <c r="O63" s="2" t="s">
        <v>223</v>
      </c>
      <c r="P63" s="4">
        <v>45685.5</v>
      </c>
      <c r="Q63" s="4">
        <v>45685.630833333329</v>
      </c>
      <c r="R63" s="2" t="s">
        <v>93</v>
      </c>
      <c r="S63" s="3">
        <v>6.28</v>
      </c>
      <c r="T63" s="2">
        <v>85</v>
      </c>
      <c r="U63" s="3">
        <v>863</v>
      </c>
      <c r="V63" s="3">
        <v>0</v>
      </c>
      <c r="W63" s="2" t="s">
        <v>94</v>
      </c>
      <c r="X63" s="2" t="s">
        <v>95</v>
      </c>
      <c r="Y63" s="3">
        <v>0</v>
      </c>
      <c r="Z63" t="str">
        <f>INDEX(Assets!$J:$J,MATCH(UPPER(TRIM(B63)),Assets!$A:$A,0))</f>
        <v>Mesa</v>
      </c>
      <c r="AA63">
        <f t="shared" si="0"/>
        <v>70.650000000000006</v>
      </c>
      <c r="AB63" s="21">
        <f t="shared" si="1"/>
        <v>45658</v>
      </c>
      <c r="AC63">
        <f>SUMIFS(Production!$H:$H,Production!$A:$A,UPPER(TRIM(B63)),Production!$B:$B,AB63)-SUMIFS(Production!$I:$I,Production!$A:$A,UPPER(TRIM(B63)),Production!$B:$B,AB63)</f>
        <v>49.2</v>
      </c>
      <c r="AD63">
        <f t="shared" si="2"/>
        <v>3475.9800000000005</v>
      </c>
    </row>
    <row r="64" spans="1:30" ht="21" customHeight="1">
      <c r="A64" s="2" t="s">
        <v>224</v>
      </c>
      <c r="B64" s="9" t="s">
        <v>28</v>
      </c>
      <c r="C64" s="5">
        <v>45693.5</v>
      </c>
      <c r="D64" s="4">
        <v>45694.702916666662</v>
      </c>
      <c r="E64" s="2" t="s">
        <v>83</v>
      </c>
      <c r="F64" s="2" t="s">
        <v>101</v>
      </c>
      <c r="G64" s="3">
        <v>3.41</v>
      </c>
      <c r="H64" s="3">
        <v>5.48</v>
      </c>
      <c r="I64" s="3">
        <v>11.23</v>
      </c>
      <c r="J64" s="3">
        <v>7.08</v>
      </c>
      <c r="K64" s="3">
        <v>1.67</v>
      </c>
      <c r="L64" s="3">
        <v>28.87</v>
      </c>
      <c r="M64" s="3">
        <v>866.1</v>
      </c>
      <c r="N64" s="3">
        <v>0.16</v>
      </c>
      <c r="O64" s="2" t="s">
        <v>225</v>
      </c>
      <c r="P64" s="4">
        <v>45693.642083333332</v>
      </c>
      <c r="Q64" s="4">
        <v>45694.702916666662</v>
      </c>
      <c r="R64" s="2" t="s">
        <v>86</v>
      </c>
      <c r="S64" s="3">
        <v>14.16</v>
      </c>
      <c r="T64" s="2">
        <v>85</v>
      </c>
      <c r="U64" s="3">
        <v>3552</v>
      </c>
      <c r="V64" s="3">
        <v>0</v>
      </c>
      <c r="W64" s="2" t="s">
        <v>94</v>
      </c>
      <c r="X64" s="2" t="s">
        <v>103</v>
      </c>
      <c r="Y64" s="3">
        <v>0</v>
      </c>
      <c r="Z64" t="str">
        <f>INDEX(Assets!$J:$J,MATCH(UPPER(TRIM(B64)),Assets!$A:$A,0))</f>
        <v>Mesa</v>
      </c>
      <c r="AA64">
        <f t="shared" si="0"/>
        <v>727.524</v>
      </c>
      <c r="AB64" s="21">
        <f t="shared" si="1"/>
        <v>45689</v>
      </c>
      <c r="AC64">
        <f>SUMIFS(Production!$H:$H,Production!$A:$A,UPPER(TRIM(B64)),Production!$B:$B,AB64)-SUMIFS(Production!$I:$I,Production!$A:$A,UPPER(TRIM(B64)),Production!$B:$B,AB64)</f>
        <v>47.2</v>
      </c>
      <c r="AD64">
        <f t="shared" si="2"/>
        <v>34339.132799999999</v>
      </c>
    </row>
    <row r="65" spans="1:30" ht="21" customHeight="1">
      <c r="A65" s="2" t="s">
        <v>226</v>
      </c>
      <c r="B65" s="9" t="s">
        <v>28</v>
      </c>
      <c r="C65" s="5">
        <v>45710.5</v>
      </c>
      <c r="D65" s="4">
        <v>45711.320416666669</v>
      </c>
      <c r="E65" s="2" t="s">
        <v>83</v>
      </c>
      <c r="F65" s="2" t="s">
        <v>101</v>
      </c>
      <c r="G65" s="3">
        <v>3.99</v>
      </c>
      <c r="H65" s="3">
        <v>6.96</v>
      </c>
      <c r="I65" s="3">
        <v>0</v>
      </c>
      <c r="J65" s="3">
        <v>8</v>
      </c>
      <c r="K65" s="3">
        <v>0.74</v>
      </c>
      <c r="L65" s="3">
        <v>19.690000000000001</v>
      </c>
      <c r="M65" s="3">
        <v>590.70000000000005</v>
      </c>
      <c r="N65" s="3">
        <v>0.16</v>
      </c>
      <c r="O65" s="2" t="s">
        <v>227</v>
      </c>
      <c r="P65" s="4">
        <v>45710.666249999995</v>
      </c>
      <c r="Q65" s="4">
        <v>45711.320416666669</v>
      </c>
      <c r="R65" s="2" t="s">
        <v>86</v>
      </c>
      <c r="S65" s="3">
        <v>8</v>
      </c>
      <c r="T65" s="2">
        <v>85</v>
      </c>
      <c r="U65" s="3">
        <v>3697</v>
      </c>
      <c r="V65" s="3">
        <v>0</v>
      </c>
      <c r="W65" s="2" t="s">
        <v>94</v>
      </c>
      <c r="X65" s="2" t="s">
        <v>103</v>
      </c>
      <c r="Y65" s="3">
        <v>0</v>
      </c>
      <c r="Z65" t="str">
        <f>INDEX(Assets!$J:$J,MATCH(UPPER(TRIM(B65)),Assets!$A:$A,0))</f>
        <v>Mesa</v>
      </c>
      <c r="AA65">
        <f t="shared" si="0"/>
        <v>496.18800000000005</v>
      </c>
      <c r="AB65" s="21">
        <f t="shared" si="1"/>
        <v>45689</v>
      </c>
      <c r="AC65">
        <f>SUMIFS(Production!$H:$H,Production!$A:$A,UPPER(TRIM(B65)),Production!$B:$B,AB65)-SUMIFS(Production!$I:$I,Production!$A:$A,UPPER(TRIM(B65)),Production!$B:$B,AB65)</f>
        <v>47.2</v>
      </c>
      <c r="AD65">
        <f t="shared" si="2"/>
        <v>23420.073600000003</v>
      </c>
    </row>
    <row r="66" spans="1:30" ht="21" customHeight="1">
      <c r="A66" s="2" t="s">
        <v>228</v>
      </c>
      <c r="B66" s="9" t="s">
        <v>28</v>
      </c>
      <c r="C66" s="5">
        <v>45722.5</v>
      </c>
      <c r="D66" s="4">
        <v>45723.196250000001</v>
      </c>
      <c r="E66" s="2" t="s">
        <v>83</v>
      </c>
      <c r="F66" s="2" t="s">
        <v>97</v>
      </c>
      <c r="G66" s="3">
        <v>4.22</v>
      </c>
      <c r="H66" s="3">
        <v>2.0099999999999998</v>
      </c>
      <c r="I66" s="3">
        <v>0</v>
      </c>
      <c r="J66" s="3">
        <v>8.3699999999999992</v>
      </c>
      <c r="K66" s="3">
        <v>2.11</v>
      </c>
      <c r="L66" s="3">
        <v>16.71</v>
      </c>
      <c r="M66" s="3">
        <v>501.3</v>
      </c>
      <c r="N66" s="3">
        <v>0.17</v>
      </c>
      <c r="O66" s="2" t="s">
        <v>229</v>
      </c>
      <c r="P66" s="4">
        <v>45722.675833333335</v>
      </c>
      <c r="Q66" s="4">
        <v>45723.196250000001</v>
      </c>
      <c r="R66" s="2" t="s">
        <v>86</v>
      </c>
      <c r="S66" s="3">
        <v>16.739999999999998</v>
      </c>
      <c r="T66" s="2">
        <v>85</v>
      </c>
      <c r="U66" s="3">
        <v>9553</v>
      </c>
      <c r="V66" s="3">
        <v>0</v>
      </c>
      <c r="W66" s="2" t="s">
        <v>94</v>
      </c>
      <c r="X66" s="2" t="s">
        <v>99</v>
      </c>
      <c r="Y66" s="3">
        <v>0.5</v>
      </c>
      <c r="Z66" t="str">
        <f>INDEX(Assets!$J:$J,MATCH(UPPER(TRIM(B66)),Assets!$A:$A,0))</f>
        <v>Mesa</v>
      </c>
      <c r="AA66">
        <f t="shared" ref="AA66:AA129" si="3">M66*(1-N66)</f>
        <v>416.07900000000001</v>
      </c>
      <c r="AB66" s="21">
        <f t="shared" ref="AB66:AB129" si="4">DATE(YEAR(C66),MONTH(C66),1)</f>
        <v>45717</v>
      </c>
      <c r="AC66">
        <f>SUMIFS(Production!$H:$H,Production!$A:$A,UPPER(TRIM(B66)),Production!$B:$B,AB66)-SUMIFS(Production!$I:$I,Production!$A:$A,UPPER(TRIM(B66)),Production!$B:$B,AB66)</f>
        <v>45.2</v>
      </c>
      <c r="AD66">
        <f t="shared" ref="AD66:AD129" si="5">AA66*AC66</f>
        <v>18806.770800000002</v>
      </c>
    </row>
    <row r="67" spans="1:30" ht="21" customHeight="1">
      <c r="A67" s="2" t="s">
        <v>230</v>
      </c>
      <c r="B67" s="9" t="s">
        <v>28</v>
      </c>
      <c r="C67" s="5">
        <v>45755.5</v>
      </c>
      <c r="D67" s="4">
        <v>45757.076666666668</v>
      </c>
      <c r="E67" s="2" t="s">
        <v>83</v>
      </c>
      <c r="F67" s="2" t="s">
        <v>119</v>
      </c>
      <c r="G67" s="3">
        <v>1.1299999999999999</v>
      </c>
      <c r="H67" s="3">
        <v>3.98</v>
      </c>
      <c r="I67" s="3">
        <v>20.36</v>
      </c>
      <c r="J67" s="3">
        <v>11.38</v>
      </c>
      <c r="K67" s="3">
        <v>0.99</v>
      </c>
      <c r="L67" s="3">
        <v>37.840000000000003</v>
      </c>
      <c r="M67" s="3">
        <v>1135.2</v>
      </c>
      <c r="N67" s="3">
        <v>0.14000000000000001</v>
      </c>
      <c r="O67" s="2" t="s">
        <v>231</v>
      </c>
      <c r="P67" s="4">
        <v>45755.547083333338</v>
      </c>
      <c r="Q67" s="4">
        <v>45757.076666666668</v>
      </c>
      <c r="R67" s="2" t="s">
        <v>86</v>
      </c>
      <c r="S67" s="3">
        <v>11.38</v>
      </c>
      <c r="T67" s="2">
        <v>85</v>
      </c>
      <c r="U67" s="3">
        <v>8404</v>
      </c>
      <c r="V67" s="3">
        <v>0</v>
      </c>
      <c r="W67" s="2" t="s">
        <v>94</v>
      </c>
      <c r="X67" s="2" t="s">
        <v>121</v>
      </c>
      <c r="Y67" s="3">
        <v>0</v>
      </c>
      <c r="Z67" t="str">
        <f>INDEX(Assets!$J:$J,MATCH(UPPER(TRIM(B67)),Assets!$A:$A,0))</f>
        <v>Mesa</v>
      </c>
      <c r="AA67">
        <f t="shared" si="3"/>
        <v>976.27200000000005</v>
      </c>
      <c r="AB67" s="21">
        <f t="shared" si="4"/>
        <v>45748</v>
      </c>
      <c r="AC67">
        <f>SUMIFS(Production!$H:$H,Production!$A:$A,UPPER(TRIM(B67)),Production!$B:$B,AB67)-SUMIFS(Production!$I:$I,Production!$A:$A,UPPER(TRIM(B67)),Production!$B:$B,AB67)</f>
        <v>43.2</v>
      </c>
      <c r="AD67">
        <f t="shared" si="5"/>
        <v>42174.950400000002</v>
      </c>
    </row>
    <row r="68" spans="1:30" ht="21" customHeight="1">
      <c r="A68" s="2" t="s">
        <v>232</v>
      </c>
      <c r="B68" s="9" t="s">
        <v>28</v>
      </c>
      <c r="C68" s="5">
        <v>45775.5</v>
      </c>
      <c r="D68" s="4">
        <v>45775.779166666667</v>
      </c>
      <c r="E68" s="2" t="s">
        <v>90</v>
      </c>
      <c r="F68" s="2" t="s">
        <v>91</v>
      </c>
      <c r="G68" s="3">
        <v>0</v>
      </c>
      <c r="H68" s="3">
        <v>0</v>
      </c>
      <c r="I68" s="3">
        <v>0</v>
      </c>
      <c r="J68" s="3">
        <v>6.7</v>
      </c>
      <c r="K68" s="3">
        <v>0</v>
      </c>
      <c r="L68" s="3">
        <v>6.7</v>
      </c>
      <c r="M68" s="3">
        <v>201</v>
      </c>
      <c r="N68" s="3">
        <v>0.25</v>
      </c>
      <c r="O68" s="2" t="s">
        <v>233</v>
      </c>
      <c r="P68" s="4">
        <v>45775.5</v>
      </c>
      <c r="Q68" s="4">
        <v>45775.779166666667</v>
      </c>
      <c r="R68" s="2" t="s">
        <v>93</v>
      </c>
      <c r="S68" s="3">
        <v>6.7</v>
      </c>
      <c r="T68" s="2">
        <v>85</v>
      </c>
      <c r="U68" s="3">
        <v>1595</v>
      </c>
      <c r="V68" s="3">
        <v>0</v>
      </c>
      <c r="W68" s="2" t="s">
        <v>94</v>
      </c>
      <c r="X68" s="2" t="s">
        <v>95</v>
      </c>
      <c r="Y68" s="3">
        <v>0</v>
      </c>
      <c r="Z68" t="str">
        <f>INDEX(Assets!$J:$J,MATCH(UPPER(TRIM(B68)),Assets!$A:$A,0))</f>
        <v>Mesa</v>
      </c>
      <c r="AA68">
        <f t="shared" si="3"/>
        <v>150.75</v>
      </c>
      <c r="AB68" s="21">
        <f t="shared" si="4"/>
        <v>45748</v>
      </c>
      <c r="AC68">
        <f>SUMIFS(Production!$H:$H,Production!$A:$A,UPPER(TRIM(B68)),Production!$B:$B,AB68)-SUMIFS(Production!$I:$I,Production!$A:$A,UPPER(TRIM(B68)),Production!$B:$B,AB68)</f>
        <v>43.2</v>
      </c>
      <c r="AD68">
        <f t="shared" si="5"/>
        <v>6512.4000000000005</v>
      </c>
    </row>
    <row r="69" spans="1:30" ht="21" customHeight="1">
      <c r="A69" s="2" t="s">
        <v>234</v>
      </c>
      <c r="B69" s="9" t="s">
        <v>28</v>
      </c>
      <c r="C69" s="5">
        <v>45781.5</v>
      </c>
      <c r="D69" s="4">
        <v>45782.445416666669</v>
      </c>
      <c r="E69" s="2" t="s">
        <v>83</v>
      </c>
      <c r="F69" s="2" t="s">
        <v>119</v>
      </c>
      <c r="G69" s="3">
        <v>4.2</v>
      </c>
      <c r="H69" s="3">
        <v>4.09</v>
      </c>
      <c r="I69" s="3">
        <v>0</v>
      </c>
      <c r="J69" s="3">
        <v>12.14</v>
      </c>
      <c r="K69" s="3">
        <v>2.2599999999999998</v>
      </c>
      <c r="L69" s="3">
        <v>22.69</v>
      </c>
      <c r="M69" s="3">
        <v>680.7</v>
      </c>
      <c r="N69" s="3">
        <v>0.11</v>
      </c>
      <c r="O69" s="2" t="s">
        <v>235</v>
      </c>
      <c r="P69" s="4">
        <v>45781.675000000003</v>
      </c>
      <c r="Q69" s="4">
        <v>45782.445416666669</v>
      </c>
      <c r="R69" s="2" t="s">
        <v>86</v>
      </c>
      <c r="S69" s="3">
        <v>12.14</v>
      </c>
      <c r="T69" s="2">
        <v>85</v>
      </c>
      <c r="U69" s="3">
        <v>6620</v>
      </c>
      <c r="V69" s="3">
        <v>1262</v>
      </c>
      <c r="W69" s="2" t="s">
        <v>94</v>
      </c>
      <c r="X69" s="2" t="s">
        <v>121</v>
      </c>
      <c r="Y69" s="3">
        <v>0</v>
      </c>
      <c r="Z69" t="str">
        <f>INDEX(Assets!$J:$J,MATCH(UPPER(TRIM(B69)),Assets!$A:$A,0))</f>
        <v>Mesa</v>
      </c>
      <c r="AA69">
        <f t="shared" si="3"/>
        <v>605.82300000000009</v>
      </c>
      <c r="AB69" s="21">
        <f t="shared" si="4"/>
        <v>45778</v>
      </c>
      <c r="AC69">
        <f>SUMIFS(Production!$H:$H,Production!$A:$A,UPPER(TRIM(B69)),Production!$B:$B,AB69)-SUMIFS(Production!$I:$I,Production!$A:$A,UPPER(TRIM(B69)),Production!$B:$B,AB69)</f>
        <v>41.2</v>
      </c>
      <c r="AD69">
        <f t="shared" si="5"/>
        <v>24959.907600000006</v>
      </c>
    </row>
    <row r="70" spans="1:30" ht="21" customHeight="1">
      <c r="A70" s="2" t="s">
        <v>236</v>
      </c>
      <c r="B70" s="9" t="s">
        <v>28</v>
      </c>
      <c r="C70" s="5">
        <v>45815.5</v>
      </c>
      <c r="D70" s="4">
        <v>45816.199583333335</v>
      </c>
      <c r="E70" s="2" t="s">
        <v>83</v>
      </c>
      <c r="F70" s="2" t="s">
        <v>97</v>
      </c>
      <c r="G70" s="3">
        <v>2.71</v>
      </c>
      <c r="H70" s="3">
        <v>7.06</v>
      </c>
      <c r="I70" s="3">
        <v>0</v>
      </c>
      <c r="J70" s="3">
        <v>5.34</v>
      </c>
      <c r="K70" s="3">
        <v>1.68</v>
      </c>
      <c r="L70" s="3">
        <v>16.79</v>
      </c>
      <c r="M70" s="3">
        <v>503.7</v>
      </c>
      <c r="N70" s="3">
        <v>0.21</v>
      </c>
      <c r="O70" s="2" t="s">
        <v>237</v>
      </c>
      <c r="P70" s="4">
        <v>45815.612916666665</v>
      </c>
      <c r="Q70" s="4">
        <v>45816.199583333335</v>
      </c>
      <c r="R70" s="2" t="s">
        <v>86</v>
      </c>
      <c r="S70" s="3">
        <v>5.34</v>
      </c>
      <c r="T70" s="2">
        <v>85</v>
      </c>
      <c r="U70" s="3">
        <v>2903</v>
      </c>
      <c r="V70" s="3">
        <v>0</v>
      </c>
      <c r="W70" s="2" t="s">
        <v>94</v>
      </c>
      <c r="X70" s="2" t="s">
        <v>99</v>
      </c>
      <c r="Y70" s="3">
        <v>0.5</v>
      </c>
      <c r="Z70" t="str">
        <f>INDEX(Assets!$J:$J,MATCH(UPPER(TRIM(B70)),Assets!$A:$A,0))</f>
        <v>Mesa</v>
      </c>
      <c r="AA70">
        <f t="shared" si="3"/>
        <v>397.923</v>
      </c>
      <c r="AB70" s="21">
        <f t="shared" si="4"/>
        <v>45809</v>
      </c>
      <c r="AC70">
        <f>SUMIFS(Production!$H:$H,Production!$A:$A,UPPER(TRIM(B70)),Production!$B:$B,AB70)-SUMIFS(Production!$I:$I,Production!$A:$A,UPPER(TRIM(B70)),Production!$B:$B,AB70)</f>
        <v>42.2</v>
      </c>
      <c r="AD70">
        <f t="shared" si="5"/>
        <v>16792.350600000002</v>
      </c>
    </row>
    <row r="71" spans="1:30" ht="21" customHeight="1">
      <c r="A71" s="2" t="s">
        <v>238</v>
      </c>
      <c r="B71" s="9" t="s">
        <v>28</v>
      </c>
      <c r="C71" s="5">
        <v>45829.5</v>
      </c>
      <c r="D71" s="4">
        <v>45830.879583333328</v>
      </c>
      <c r="E71" s="2" t="s">
        <v>83</v>
      </c>
      <c r="F71" s="2" t="s">
        <v>119</v>
      </c>
      <c r="G71" s="3">
        <v>1.3</v>
      </c>
      <c r="H71" s="3">
        <v>3.64</v>
      </c>
      <c r="I71" s="3">
        <v>14.75</v>
      </c>
      <c r="J71" s="3">
        <v>12.06</v>
      </c>
      <c r="K71" s="3">
        <v>1.36</v>
      </c>
      <c r="L71" s="3">
        <v>33.11</v>
      </c>
      <c r="M71" s="3">
        <v>993.3</v>
      </c>
      <c r="N71" s="3">
        <v>0.28000000000000003</v>
      </c>
      <c r="O71" s="2" t="s">
        <v>239</v>
      </c>
      <c r="P71" s="4">
        <v>45829.554166666669</v>
      </c>
      <c r="Q71" s="4">
        <v>45830.879583333328</v>
      </c>
      <c r="R71" s="2" t="s">
        <v>86</v>
      </c>
      <c r="S71" s="3">
        <v>12.06</v>
      </c>
      <c r="T71" s="2">
        <v>85</v>
      </c>
      <c r="U71" s="3">
        <v>1321</v>
      </c>
      <c r="V71" s="3">
        <v>0</v>
      </c>
      <c r="W71" s="2" t="s">
        <v>94</v>
      </c>
      <c r="X71" s="2" t="s">
        <v>121</v>
      </c>
      <c r="Y71" s="3">
        <v>0</v>
      </c>
      <c r="Z71" t="str">
        <f>INDEX(Assets!$J:$J,MATCH(UPPER(TRIM(B71)),Assets!$A:$A,0))</f>
        <v>Mesa</v>
      </c>
      <c r="AA71">
        <f t="shared" si="3"/>
        <v>715.17599999999993</v>
      </c>
      <c r="AB71" s="21">
        <f t="shared" si="4"/>
        <v>45809</v>
      </c>
      <c r="AC71">
        <f>SUMIFS(Production!$H:$H,Production!$A:$A,UPPER(TRIM(B71)),Production!$B:$B,AB71)-SUMIFS(Production!$I:$I,Production!$A:$A,UPPER(TRIM(B71)),Production!$B:$B,AB71)</f>
        <v>42.2</v>
      </c>
      <c r="AD71">
        <f t="shared" si="5"/>
        <v>30180.427199999998</v>
      </c>
    </row>
    <row r="72" spans="1:30" ht="21" customHeight="1">
      <c r="A72" s="2" t="s">
        <v>240</v>
      </c>
      <c r="B72" s="9" t="s">
        <v>28</v>
      </c>
      <c r="C72" s="5">
        <v>45847.5</v>
      </c>
      <c r="D72" s="4">
        <v>45848.130833333329</v>
      </c>
      <c r="E72" s="2" t="s">
        <v>83</v>
      </c>
      <c r="F72" s="2" t="s">
        <v>119</v>
      </c>
      <c r="G72" s="3">
        <v>1.99</v>
      </c>
      <c r="H72" s="3">
        <v>1.74</v>
      </c>
      <c r="I72" s="3">
        <v>0</v>
      </c>
      <c r="J72" s="3">
        <v>10.58</v>
      </c>
      <c r="K72" s="3">
        <v>0.83</v>
      </c>
      <c r="L72" s="3">
        <v>15.14</v>
      </c>
      <c r="M72" s="3">
        <v>454.2</v>
      </c>
      <c r="N72" s="3">
        <v>0.11</v>
      </c>
      <c r="O72" s="2" t="s">
        <v>241</v>
      </c>
      <c r="P72" s="4">
        <v>45847.582916666666</v>
      </c>
      <c r="Q72" s="4">
        <v>45848.130833333329</v>
      </c>
      <c r="R72" s="2" t="s">
        <v>86</v>
      </c>
      <c r="S72" s="3">
        <v>21.16</v>
      </c>
      <c r="T72" s="2">
        <v>85</v>
      </c>
      <c r="U72" s="3">
        <v>7056</v>
      </c>
      <c r="V72" s="3">
        <v>0</v>
      </c>
      <c r="W72" s="2" t="s">
        <v>94</v>
      </c>
      <c r="X72" s="2" t="s">
        <v>121</v>
      </c>
      <c r="Y72" s="3">
        <v>0</v>
      </c>
      <c r="Z72" t="str">
        <f>INDEX(Assets!$J:$J,MATCH(UPPER(TRIM(B72)),Assets!$A:$A,0))</f>
        <v>Mesa</v>
      </c>
      <c r="AA72">
        <f t="shared" si="3"/>
        <v>404.238</v>
      </c>
      <c r="AB72" s="21">
        <f t="shared" si="4"/>
        <v>45839</v>
      </c>
      <c r="AC72">
        <f>SUMIFS(Production!$H:$H,Production!$A:$A,UPPER(TRIM(B72)),Production!$B:$B,AB72)-SUMIFS(Production!$I:$I,Production!$A:$A,UPPER(TRIM(B72)),Production!$B:$B,AB72)</f>
        <v>44.2</v>
      </c>
      <c r="AD72">
        <f t="shared" si="5"/>
        <v>17867.319600000003</v>
      </c>
    </row>
    <row r="73" spans="1:30" ht="21" customHeight="1">
      <c r="A73" s="2" t="s">
        <v>242</v>
      </c>
      <c r="B73" s="9" t="s">
        <v>28</v>
      </c>
      <c r="C73" s="5">
        <v>45866.5</v>
      </c>
      <c r="D73" s="4">
        <v>45866.668333333335</v>
      </c>
      <c r="E73" s="2" t="s">
        <v>90</v>
      </c>
      <c r="F73" s="2" t="s">
        <v>91</v>
      </c>
      <c r="G73" s="3">
        <v>0</v>
      </c>
      <c r="H73" s="3">
        <v>0</v>
      </c>
      <c r="I73" s="3">
        <v>0</v>
      </c>
      <c r="J73" s="3">
        <v>4.04</v>
      </c>
      <c r="K73" s="3">
        <v>0</v>
      </c>
      <c r="L73" s="3">
        <f>SUM(G73:K73)</f>
        <v>4.04</v>
      </c>
      <c r="M73" s="3">
        <v>121.2</v>
      </c>
      <c r="N73" s="3">
        <v>0.25</v>
      </c>
      <c r="O73" s="2" t="s">
        <v>243</v>
      </c>
      <c r="P73" s="4">
        <v>45866.5</v>
      </c>
      <c r="Q73" s="4">
        <v>45866.668333333335</v>
      </c>
      <c r="R73" s="2" t="s">
        <v>93</v>
      </c>
      <c r="S73" s="3">
        <v>4.04</v>
      </c>
      <c r="T73" s="2">
        <v>85</v>
      </c>
      <c r="U73" s="3">
        <v>473</v>
      </c>
      <c r="V73" s="3">
        <v>0</v>
      </c>
      <c r="W73" s="2" t="s">
        <v>94</v>
      </c>
      <c r="X73" s="2" t="s">
        <v>95</v>
      </c>
      <c r="Y73" s="3">
        <v>0</v>
      </c>
      <c r="Z73" t="str">
        <f>INDEX(Assets!$J:$J,MATCH(UPPER(TRIM(B73)),Assets!$A:$A,0))</f>
        <v>Mesa</v>
      </c>
      <c r="AA73">
        <f t="shared" si="3"/>
        <v>90.9</v>
      </c>
      <c r="AB73" s="21">
        <f t="shared" si="4"/>
        <v>45839</v>
      </c>
      <c r="AC73">
        <f>SUMIFS(Production!$H:$H,Production!$A:$A,UPPER(TRIM(B73)),Production!$B:$B,AB73)-SUMIFS(Production!$I:$I,Production!$A:$A,UPPER(TRIM(B73)),Production!$B:$B,AB73)</f>
        <v>44.2</v>
      </c>
      <c r="AD73">
        <f t="shared" si="5"/>
        <v>4017.7800000000007</v>
      </c>
    </row>
    <row r="74" spans="1:30" ht="21" customHeight="1">
      <c r="A74" s="2" t="s">
        <v>244</v>
      </c>
      <c r="B74" s="9" t="s">
        <v>28</v>
      </c>
      <c r="C74" s="5">
        <v>45874.5</v>
      </c>
      <c r="D74" s="4">
        <v>45875.900416666671</v>
      </c>
      <c r="E74" s="2" t="s">
        <v>83</v>
      </c>
      <c r="F74" s="2" t="s">
        <v>101</v>
      </c>
      <c r="G74" s="3">
        <v>2.77</v>
      </c>
      <c r="H74" s="3">
        <v>3.1</v>
      </c>
      <c r="I74" s="3">
        <v>23.35</v>
      </c>
      <c r="J74" s="3">
        <v>2.57</v>
      </c>
      <c r="K74" s="3">
        <v>1.82</v>
      </c>
      <c r="L74" s="3">
        <v>33.61</v>
      </c>
      <c r="M74" s="3">
        <v>1008.3</v>
      </c>
      <c r="N74" s="3">
        <v>0.21</v>
      </c>
      <c r="O74" s="2" t="s">
        <v>245</v>
      </c>
      <c r="P74" s="4">
        <v>45874.615416666667</v>
      </c>
      <c r="Q74" s="4">
        <v>45875.900416666671</v>
      </c>
      <c r="R74" s="2" t="s">
        <v>86</v>
      </c>
      <c r="S74" s="3">
        <v>2.57</v>
      </c>
      <c r="T74" s="2">
        <v>85</v>
      </c>
      <c r="U74" s="3">
        <v>2254</v>
      </c>
      <c r="V74" s="3">
        <v>0</v>
      </c>
      <c r="W74" s="2" t="s">
        <v>94</v>
      </c>
      <c r="X74" s="2" t="s">
        <v>103</v>
      </c>
      <c r="Y74" s="3">
        <v>0</v>
      </c>
      <c r="Z74" t="str">
        <f>INDEX(Assets!$J:$J,MATCH(UPPER(TRIM(B74)),Assets!$A:$A,0))</f>
        <v>Mesa</v>
      </c>
      <c r="AA74">
        <f t="shared" si="3"/>
        <v>796.55700000000002</v>
      </c>
      <c r="AB74" s="21">
        <f t="shared" si="4"/>
        <v>45870</v>
      </c>
      <c r="AC74">
        <f>SUMIFS(Production!$H:$H,Production!$A:$A,UPPER(TRIM(B74)),Production!$B:$B,AB74)-SUMIFS(Production!$I:$I,Production!$A:$A,UPPER(TRIM(B74)),Production!$B:$B,AB74)</f>
        <v>43.2</v>
      </c>
      <c r="AD74">
        <f t="shared" si="5"/>
        <v>34411.2624</v>
      </c>
    </row>
    <row r="75" spans="1:30" ht="21" customHeight="1">
      <c r="A75" s="2" t="s">
        <v>246</v>
      </c>
      <c r="B75" s="9" t="s">
        <v>28</v>
      </c>
      <c r="C75" s="5">
        <v>45890.5</v>
      </c>
      <c r="D75" s="4">
        <v>45891.585416666669</v>
      </c>
      <c r="E75" s="2" t="s">
        <v>83</v>
      </c>
      <c r="F75" s="2" t="s">
        <v>119</v>
      </c>
      <c r="G75" s="3">
        <v>4.6500000000000004</v>
      </c>
      <c r="H75" s="3">
        <v>3.3</v>
      </c>
      <c r="I75" s="3">
        <v>9.44</v>
      </c>
      <c r="J75" s="3">
        <v>6.5</v>
      </c>
      <c r="K75" s="3">
        <v>2.16</v>
      </c>
      <c r="L75" s="3">
        <v>26.05</v>
      </c>
      <c r="M75" s="3">
        <v>781.5</v>
      </c>
      <c r="N75" s="3">
        <v>0.23</v>
      </c>
      <c r="O75" s="2" t="s">
        <v>247</v>
      </c>
      <c r="P75" s="4">
        <v>45890.693749999999</v>
      </c>
      <c r="Q75" s="4">
        <v>45891.585416666669</v>
      </c>
      <c r="R75" s="2" t="s">
        <v>86</v>
      </c>
      <c r="S75" s="3">
        <v>6.5</v>
      </c>
      <c r="T75" s="2">
        <v>85</v>
      </c>
      <c r="U75" s="3">
        <v>2448</v>
      </c>
      <c r="V75" s="3">
        <v>1200</v>
      </c>
      <c r="W75" s="2" t="s">
        <v>94</v>
      </c>
      <c r="X75" s="2" t="s">
        <v>121</v>
      </c>
      <c r="Y75" s="3">
        <v>0</v>
      </c>
      <c r="Z75" t="str">
        <f>INDEX(Assets!$J:$J,MATCH(UPPER(TRIM(B75)),Assets!$A:$A,0))</f>
        <v>Mesa</v>
      </c>
      <c r="AA75">
        <f t="shared" si="3"/>
        <v>601.755</v>
      </c>
      <c r="AB75" s="21">
        <f t="shared" si="4"/>
        <v>45870</v>
      </c>
      <c r="AC75">
        <f>SUMIFS(Production!$H:$H,Production!$A:$A,UPPER(TRIM(B75)),Production!$B:$B,AB75)-SUMIFS(Production!$I:$I,Production!$A:$A,UPPER(TRIM(B75)),Production!$B:$B,AB75)</f>
        <v>43.2</v>
      </c>
      <c r="AD75">
        <f t="shared" si="5"/>
        <v>25995.816000000003</v>
      </c>
    </row>
    <row r="76" spans="1:30" ht="21" customHeight="1">
      <c r="A76" s="2" t="s">
        <v>248</v>
      </c>
      <c r="B76" s="9" t="s">
        <v>28</v>
      </c>
      <c r="C76" s="5">
        <v>45908.5</v>
      </c>
      <c r="D76" s="4">
        <v>45909.127083333333</v>
      </c>
      <c r="E76" s="2" t="s">
        <v>83</v>
      </c>
      <c r="F76" s="2" t="s">
        <v>84</v>
      </c>
      <c r="G76" s="3">
        <v>1.89</v>
      </c>
      <c r="H76" s="3">
        <v>4.7699999999999996</v>
      </c>
      <c r="I76" s="3">
        <v>0</v>
      </c>
      <c r="J76" s="3">
        <v>6.11</v>
      </c>
      <c r="K76" s="3">
        <v>2.2799999999999998</v>
      </c>
      <c r="L76" s="3">
        <v>15.05</v>
      </c>
      <c r="M76" s="3">
        <v>451.5</v>
      </c>
      <c r="N76" s="3">
        <v>0.16</v>
      </c>
      <c r="O76" s="2" t="s">
        <v>249</v>
      </c>
      <c r="P76" s="4">
        <v>45908.578750000001</v>
      </c>
      <c r="Q76" s="4">
        <v>45909.127083333333</v>
      </c>
      <c r="R76" s="2" t="s">
        <v>86</v>
      </c>
      <c r="S76" s="3">
        <v>12.22</v>
      </c>
      <c r="T76" s="2">
        <v>85</v>
      </c>
      <c r="U76" s="3">
        <v>1264</v>
      </c>
      <c r="V76" s="3">
        <v>0</v>
      </c>
      <c r="W76" s="2" t="s">
        <v>94</v>
      </c>
      <c r="X76" s="2" t="s">
        <v>88</v>
      </c>
      <c r="Y76" s="3">
        <v>0</v>
      </c>
      <c r="Z76" t="str">
        <f>INDEX(Assets!$J:$J,MATCH(UPPER(TRIM(B76)),Assets!$A:$A,0))</f>
        <v>Mesa</v>
      </c>
      <c r="AA76">
        <f t="shared" si="3"/>
        <v>379.26</v>
      </c>
      <c r="AB76" s="21">
        <f t="shared" si="4"/>
        <v>45901</v>
      </c>
      <c r="AC76">
        <f>SUMIFS(Production!$H:$H,Production!$A:$A,UPPER(TRIM(B76)),Production!$B:$B,AB76)-SUMIFS(Production!$I:$I,Production!$A:$A,UPPER(TRIM(B76)),Production!$B:$B,AB76)</f>
        <v>40.200000000000003</v>
      </c>
      <c r="AD76">
        <f t="shared" si="5"/>
        <v>15246.252</v>
      </c>
    </row>
    <row r="77" spans="1:30" ht="21" customHeight="1">
      <c r="A77" s="2" t="s">
        <v>250</v>
      </c>
      <c r="B77" s="9" t="s">
        <v>28</v>
      </c>
      <c r="C77" s="5">
        <v>45919.5</v>
      </c>
      <c r="D77" s="4">
        <v>45920.072916666672</v>
      </c>
      <c r="E77" s="2" t="s">
        <v>83</v>
      </c>
      <c r="F77" s="2" t="s">
        <v>101</v>
      </c>
      <c r="G77" s="3">
        <v>3.04</v>
      </c>
      <c r="H77" s="3">
        <v>6.65</v>
      </c>
      <c r="I77" s="3">
        <v>0</v>
      </c>
      <c r="J77" s="3">
        <v>3.35</v>
      </c>
      <c r="K77" s="3">
        <v>0.71</v>
      </c>
      <c r="L77" s="3">
        <v>13.75</v>
      </c>
      <c r="M77" s="3">
        <v>412.5</v>
      </c>
      <c r="N77" s="3">
        <v>0.19</v>
      </c>
      <c r="O77" s="2" t="s">
        <v>251</v>
      </c>
      <c r="P77" s="4">
        <v>45919.626666666663</v>
      </c>
      <c r="Q77" s="4">
        <v>45920.072916666672</v>
      </c>
      <c r="R77" s="2" t="s">
        <v>86</v>
      </c>
      <c r="S77" s="3">
        <v>3.35</v>
      </c>
      <c r="T77" s="2">
        <v>85</v>
      </c>
      <c r="U77" s="3">
        <v>2692</v>
      </c>
      <c r="V77" s="3">
        <v>0</v>
      </c>
      <c r="W77" s="2" t="s">
        <v>94</v>
      </c>
      <c r="X77" s="2" t="s">
        <v>103</v>
      </c>
      <c r="Y77" s="3">
        <v>0</v>
      </c>
      <c r="Z77" t="str">
        <f>INDEX(Assets!$J:$J,MATCH(UPPER(TRIM(B77)),Assets!$A:$A,0))</f>
        <v>Mesa</v>
      </c>
      <c r="AA77">
        <f t="shared" si="3"/>
        <v>334.125</v>
      </c>
      <c r="AB77" s="21">
        <f t="shared" si="4"/>
        <v>45901</v>
      </c>
      <c r="AC77">
        <f>SUMIFS(Production!$H:$H,Production!$A:$A,UPPER(TRIM(B77)),Production!$B:$B,AB77)-SUMIFS(Production!$I:$I,Production!$A:$A,UPPER(TRIM(B77)),Production!$B:$B,AB77)</f>
        <v>40.200000000000003</v>
      </c>
      <c r="AD77">
        <f t="shared" si="5"/>
        <v>13431.825000000001</v>
      </c>
    </row>
    <row r="78" spans="1:30" ht="21" customHeight="1">
      <c r="A78" s="2" t="s">
        <v>252</v>
      </c>
      <c r="B78" s="9" t="s">
        <v>28</v>
      </c>
      <c r="C78" s="5">
        <v>45935.5</v>
      </c>
      <c r="D78" s="4">
        <v>45936.095000000001</v>
      </c>
      <c r="E78" s="2" t="s">
        <v>83</v>
      </c>
      <c r="F78" s="2" t="s">
        <v>101</v>
      </c>
      <c r="G78" s="3">
        <v>1.02</v>
      </c>
      <c r="H78" s="3">
        <v>5.04</v>
      </c>
      <c r="I78" s="3">
        <v>0</v>
      </c>
      <c r="J78" s="3">
        <v>6.19</v>
      </c>
      <c r="K78" s="3">
        <v>2.0299999999999998</v>
      </c>
      <c r="L78" s="3">
        <v>14.28</v>
      </c>
      <c r="M78" s="3">
        <v>428.4</v>
      </c>
      <c r="N78" s="3">
        <v>0.17</v>
      </c>
      <c r="O78" s="2" t="s">
        <v>253</v>
      </c>
      <c r="P78" s="4">
        <v>45935.542499999996</v>
      </c>
      <c r="Q78" s="4">
        <v>45936.095000000001</v>
      </c>
      <c r="R78" s="2" t="s">
        <v>86</v>
      </c>
      <c r="S78" s="3">
        <v>6.19</v>
      </c>
      <c r="T78" s="2">
        <v>85</v>
      </c>
      <c r="U78" s="3">
        <v>5363</v>
      </c>
      <c r="V78" s="3">
        <v>0</v>
      </c>
      <c r="W78" s="2" t="s">
        <v>94</v>
      </c>
      <c r="X78" s="2" t="s">
        <v>103</v>
      </c>
      <c r="Y78" s="3">
        <v>0</v>
      </c>
      <c r="Z78" t="str">
        <f>INDEX(Assets!$J:$J,MATCH(UPPER(TRIM(B78)),Assets!$A:$A,0))</f>
        <v>Mesa</v>
      </c>
      <c r="AA78">
        <f t="shared" si="3"/>
        <v>355.57199999999995</v>
      </c>
      <c r="AB78" s="21">
        <f t="shared" si="4"/>
        <v>45931</v>
      </c>
      <c r="AC78">
        <f>SUMIFS(Production!$H:$H,Production!$A:$A,UPPER(TRIM(B78)),Production!$B:$B,AB78)-SUMIFS(Production!$I:$I,Production!$A:$A,UPPER(TRIM(B78)),Production!$B:$B,AB78)</f>
        <v>39.200000000000003</v>
      </c>
      <c r="AD78">
        <f t="shared" si="5"/>
        <v>13938.422399999999</v>
      </c>
    </row>
    <row r="79" spans="1:30" ht="21" customHeight="1">
      <c r="A79" s="2" t="s">
        <v>254</v>
      </c>
      <c r="B79" s="9" t="s">
        <v>28</v>
      </c>
      <c r="C79" s="5">
        <v>45951.5</v>
      </c>
      <c r="D79" s="4">
        <v>45952.338749999995</v>
      </c>
      <c r="E79" s="2" t="s">
        <v>83</v>
      </c>
      <c r="F79" s="2" t="s">
        <v>115</v>
      </c>
      <c r="G79" s="3">
        <v>2.57</v>
      </c>
      <c r="H79" s="3">
        <v>5.85</v>
      </c>
      <c r="I79" s="3">
        <v>0</v>
      </c>
      <c r="J79" s="3">
        <v>9.6199999999999992</v>
      </c>
      <c r="K79" s="3">
        <v>2.09</v>
      </c>
      <c r="L79" s="3">
        <v>20.13</v>
      </c>
      <c r="M79" s="3">
        <v>603.9</v>
      </c>
      <c r="N79" s="3">
        <v>0.2</v>
      </c>
      <c r="O79" s="2" t="s">
        <v>255</v>
      </c>
      <c r="P79" s="4">
        <v>45951.607083333336</v>
      </c>
      <c r="Q79" s="4">
        <v>45952.338749999995</v>
      </c>
      <c r="R79" s="2" t="s">
        <v>86</v>
      </c>
      <c r="S79" s="3">
        <v>9.6199999999999992</v>
      </c>
      <c r="T79" s="2">
        <v>85</v>
      </c>
      <c r="U79" s="3">
        <v>4175</v>
      </c>
      <c r="V79" s="3">
        <v>0</v>
      </c>
      <c r="W79" s="2" t="s">
        <v>94</v>
      </c>
      <c r="X79" s="2" t="s">
        <v>117</v>
      </c>
      <c r="Y79" s="3">
        <v>0</v>
      </c>
      <c r="Z79" t="str">
        <f>INDEX(Assets!$J:$J,MATCH(UPPER(TRIM(B79)),Assets!$A:$A,0))</f>
        <v>Mesa</v>
      </c>
      <c r="AA79">
        <f t="shared" si="3"/>
        <v>483.12</v>
      </c>
      <c r="AB79" s="21">
        <f t="shared" si="4"/>
        <v>45931</v>
      </c>
      <c r="AC79">
        <f>SUMIFS(Production!$H:$H,Production!$A:$A,UPPER(TRIM(B79)),Production!$B:$B,AB79)-SUMIFS(Production!$I:$I,Production!$A:$A,UPPER(TRIM(B79)),Production!$B:$B,AB79)</f>
        <v>39.200000000000003</v>
      </c>
      <c r="AD79">
        <f t="shared" si="5"/>
        <v>18938.304</v>
      </c>
    </row>
    <row r="80" spans="1:30" ht="21" customHeight="1">
      <c r="A80" s="2" t="s">
        <v>256</v>
      </c>
      <c r="B80" s="9" t="s">
        <v>28</v>
      </c>
      <c r="C80" s="5">
        <v>45958.5</v>
      </c>
      <c r="D80" s="4">
        <v>45958.626666666663</v>
      </c>
      <c r="E80" s="2" t="s">
        <v>90</v>
      </c>
      <c r="F80" s="2" t="s">
        <v>91</v>
      </c>
      <c r="G80" s="3">
        <v>0</v>
      </c>
      <c r="H80" s="3">
        <v>0</v>
      </c>
      <c r="I80" s="3">
        <v>0</v>
      </c>
      <c r="J80" s="3">
        <v>3.04</v>
      </c>
      <c r="K80" s="3">
        <v>0</v>
      </c>
      <c r="L80" s="3">
        <v>3.04</v>
      </c>
      <c r="M80" s="3">
        <v>91.2</v>
      </c>
      <c r="N80" s="3">
        <v>0.25</v>
      </c>
      <c r="O80" s="2" t="s">
        <v>257</v>
      </c>
      <c r="P80" s="4">
        <v>45958.5</v>
      </c>
      <c r="Q80" s="4">
        <v>45958.626666666663</v>
      </c>
      <c r="R80" s="2" t="s">
        <v>93</v>
      </c>
      <c r="S80" s="3">
        <v>6.08</v>
      </c>
      <c r="T80" s="2">
        <v>85</v>
      </c>
      <c r="U80" s="3">
        <v>622</v>
      </c>
      <c r="V80" s="3">
        <v>0</v>
      </c>
      <c r="W80" s="2" t="s">
        <v>94</v>
      </c>
      <c r="X80" s="2" t="s">
        <v>95</v>
      </c>
      <c r="Y80" s="3">
        <v>0</v>
      </c>
      <c r="Z80" t="str">
        <f>INDEX(Assets!$J:$J,MATCH(UPPER(TRIM(B80)),Assets!$A:$A,0))</f>
        <v>Mesa</v>
      </c>
      <c r="AA80">
        <f t="shared" si="3"/>
        <v>68.400000000000006</v>
      </c>
      <c r="AB80" s="21">
        <f t="shared" si="4"/>
        <v>45931</v>
      </c>
      <c r="AC80">
        <f>SUMIFS(Production!$H:$H,Production!$A:$A,UPPER(TRIM(B80)),Production!$B:$B,AB80)-SUMIFS(Production!$I:$I,Production!$A:$A,UPPER(TRIM(B80)),Production!$B:$B,AB80)</f>
        <v>39.200000000000003</v>
      </c>
      <c r="AD80">
        <f t="shared" si="5"/>
        <v>2681.28</v>
      </c>
    </row>
    <row r="81" spans="1:30" ht="21" customHeight="1">
      <c r="A81" s="2" t="s">
        <v>258</v>
      </c>
      <c r="B81" s="9" t="s">
        <v>28</v>
      </c>
      <c r="C81" s="5">
        <v>45967.5</v>
      </c>
      <c r="D81" s="4">
        <v>45968.697916666672</v>
      </c>
      <c r="E81" s="2" t="s">
        <v>83</v>
      </c>
      <c r="F81" s="2" t="s">
        <v>84</v>
      </c>
      <c r="G81" s="3">
        <v>1.8</v>
      </c>
      <c r="H81" s="3">
        <v>4.7300000000000004</v>
      </c>
      <c r="I81" s="3">
        <v>11.85</v>
      </c>
      <c r="J81" s="3">
        <v>7.98</v>
      </c>
      <c r="K81" s="3">
        <v>2.39</v>
      </c>
      <c r="L81" s="3">
        <v>28.75</v>
      </c>
      <c r="M81" s="3">
        <v>862.5</v>
      </c>
      <c r="N81" s="3">
        <v>0.21</v>
      </c>
      <c r="O81" s="2" t="s">
        <v>259</v>
      </c>
      <c r="P81" s="4">
        <v>45967.574999999997</v>
      </c>
      <c r="Q81" s="4">
        <v>45968.697916666672</v>
      </c>
      <c r="R81" s="2" t="s">
        <v>86</v>
      </c>
      <c r="S81" s="3">
        <v>15.96</v>
      </c>
      <c r="T81" s="2">
        <v>85</v>
      </c>
      <c r="U81" s="3">
        <v>5005</v>
      </c>
      <c r="V81" s="3">
        <v>0</v>
      </c>
      <c r="W81" s="2" t="s">
        <v>94</v>
      </c>
      <c r="X81" s="2" t="s">
        <v>88</v>
      </c>
      <c r="Y81" s="3">
        <v>0</v>
      </c>
      <c r="Z81" t="str">
        <f>INDEX(Assets!$J:$J,MATCH(UPPER(TRIM(B81)),Assets!$A:$A,0))</f>
        <v>Mesa</v>
      </c>
      <c r="AA81">
        <f t="shared" si="3"/>
        <v>681.375</v>
      </c>
      <c r="AB81" s="21">
        <f t="shared" si="4"/>
        <v>45962</v>
      </c>
      <c r="AC81">
        <f>SUMIFS(Production!$H:$H,Production!$A:$A,UPPER(TRIM(B81)),Production!$B:$B,AB81)-SUMIFS(Production!$I:$I,Production!$A:$A,UPPER(TRIM(B81)),Production!$B:$B,AB81)</f>
        <v>41.2</v>
      </c>
      <c r="AD81">
        <f t="shared" si="5"/>
        <v>28072.65</v>
      </c>
    </row>
    <row r="82" spans="1:30" ht="21" customHeight="1">
      <c r="A82" s="2" t="s">
        <v>260</v>
      </c>
      <c r="B82" s="9" t="s">
        <v>28</v>
      </c>
      <c r="C82" s="5">
        <v>45997.5</v>
      </c>
      <c r="D82" s="4">
        <v>45998.251250000001</v>
      </c>
      <c r="E82" s="2" t="s">
        <v>83</v>
      </c>
      <c r="F82" s="2" t="s">
        <v>84</v>
      </c>
      <c r="G82" s="3">
        <v>4.5</v>
      </c>
      <c r="H82" s="3">
        <v>1.95</v>
      </c>
      <c r="I82" s="3">
        <v>0</v>
      </c>
      <c r="J82" s="3">
        <v>9.4600000000000009</v>
      </c>
      <c r="K82" s="3">
        <v>2.12</v>
      </c>
      <c r="L82" s="3">
        <v>18.03</v>
      </c>
      <c r="M82" s="3">
        <v>540.9</v>
      </c>
      <c r="N82" s="3">
        <v>0.28000000000000003</v>
      </c>
      <c r="O82" s="2" t="s">
        <v>261</v>
      </c>
      <c r="P82" s="4">
        <v>45997.6875</v>
      </c>
      <c r="Q82" s="4">
        <v>45998.251250000001</v>
      </c>
      <c r="R82" s="2" t="s">
        <v>86</v>
      </c>
      <c r="S82" s="3">
        <v>18.920000000000002</v>
      </c>
      <c r="T82" s="2">
        <v>85</v>
      </c>
      <c r="U82" s="3">
        <v>7805</v>
      </c>
      <c r="V82" s="3">
        <v>0</v>
      </c>
      <c r="W82" s="2" t="s">
        <v>94</v>
      </c>
      <c r="X82" s="2" t="s">
        <v>88</v>
      </c>
      <c r="Y82" s="3">
        <v>0</v>
      </c>
      <c r="Z82" t="str">
        <f>INDEX(Assets!$J:$J,MATCH(UPPER(TRIM(B82)),Assets!$A:$A,0))</f>
        <v>Mesa</v>
      </c>
      <c r="AA82">
        <f t="shared" si="3"/>
        <v>389.44799999999998</v>
      </c>
      <c r="AB82" s="21">
        <f t="shared" si="4"/>
        <v>45992</v>
      </c>
      <c r="AC82">
        <f>SUMIFS(Production!$H:$H,Production!$A:$A,UPPER(TRIM(B82)),Production!$B:$B,AB82)-SUMIFS(Production!$I:$I,Production!$A:$A,UPPER(TRIM(B82)),Production!$B:$B,AB82)</f>
        <v>42.2</v>
      </c>
      <c r="AD82">
        <f t="shared" si="5"/>
        <v>16434.705600000001</v>
      </c>
    </row>
    <row r="83" spans="1:30" ht="21" customHeight="1">
      <c r="A83" s="2" t="s">
        <v>262</v>
      </c>
      <c r="B83" s="9" t="s">
        <v>31</v>
      </c>
      <c r="C83" s="5">
        <v>45661.5</v>
      </c>
      <c r="D83" s="4">
        <v>45662.155416666668</v>
      </c>
      <c r="E83" s="2" t="s">
        <v>83</v>
      </c>
      <c r="F83" s="2" t="s">
        <v>119</v>
      </c>
      <c r="G83" s="3">
        <v>0.89</v>
      </c>
      <c r="H83" s="3">
        <v>1.51</v>
      </c>
      <c r="I83" s="3">
        <v>0</v>
      </c>
      <c r="J83" s="3">
        <v>12.28</v>
      </c>
      <c r="K83" s="3">
        <v>1.05</v>
      </c>
      <c r="L83" s="3">
        <v>15.73</v>
      </c>
      <c r="M83" s="3">
        <v>346.06</v>
      </c>
      <c r="N83" s="3">
        <v>0.16</v>
      </c>
      <c r="O83" s="2" t="s">
        <v>263</v>
      </c>
      <c r="P83" s="4">
        <v>45661.537083333329</v>
      </c>
      <c r="Q83" s="4">
        <v>45662.155416666668</v>
      </c>
      <c r="R83" s="2" t="s">
        <v>86</v>
      </c>
      <c r="S83" s="3">
        <v>24.56</v>
      </c>
      <c r="T83" s="2">
        <v>85</v>
      </c>
      <c r="U83" s="3">
        <v>7080</v>
      </c>
      <c r="V83" s="3">
        <v>0</v>
      </c>
      <c r="W83" s="2" t="s">
        <v>94</v>
      </c>
      <c r="X83" s="2" t="s">
        <v>121</v>
      </c>
      <c r="Y83" s="3">
        <v>0</v>
      </c>
      <c r="Z83" t="str">
        <f>INDEX(Assets!$J:$J,MATCH(UPPER(TRIM(B83)),Assets!$A:$A,0))</f>
        <v>Mesa</v>
      </c>
      <c r="AA83">
        <f t="shared" si="3"/>
        <v>290.69040000000001</v>
      </c>
      <c r="AB83" s="21">
        <f t="shared" si="4"/>
        <v>45658</v>
      </c>
      <c r="AC83">
        <f>SUMIFS(Production!$H:$H,Production!$A:$A,UPPER(TRIM(B83)),Production!$B:$B,AB83)-SUMIFS(Production!$I:$I,Production!$A:$A,UPPER(TRIM(B83)),Production!$B:$B,AB83)</f>
        <v>49.2</v>
      </c>
      <c r="AD83">
        <f t="shared" si="5"/>
        <v>14301.967680000002</v>
      </c>
    </row>
    <row r="84" spans="1:30" ht="21" customHeight="1">
      <c r="A84" s="2" t="s">
        <v>264</v>
      </c>
      <c r="B84" s="9" t="s">
        <v>31</v>
      </c>
      <c r="C84" s="5">
        <v>45679.5</v>
      </c>
      <c r="D84" s="4">
        <v>45679.941666666666</v>
      </c>
      <c r="E84" s="2" t="s">
        <v>83</v>
      </c>
      <c r="F84" s="2" t="s">
        <v>115</v>
      </c>
      <c r="G84" s="3">
        <v>3.48</v>
      </c>
      <c r="H84" s="3">
        <v>2.35</v>
      </c>
      <c r="I84" s="3">
        <v>0</v>
      </c>
      <c r="J84" s="3">
        <v>3.02</v>
      </c>
      <c r="K84" s="3">
        <v>1.75</v>
      </c>
      <c r="L84" s="3">
        <v>10.6</v>
      </c>
      <c r="M84" s="3">
        <v>233.2</v>
      </c>
      <c r="N84" s="3">
        <v>0.19</v>
      </c>
      <c r="O84" s="2" t="s">
        <v>265</v>
      </c>
      <c r="P84" s="4">
        <v>45679.645000000004</v>
      </c>
      <c r="Q84" s="4">
        <v>45679.941666666666</v>
      </c>
      <c r="R84" s="2" t="s">
        <v>86</v>
      </c>
      <c r="S84" s="3">
        <v>3.02</v>
      </c>
      <c r="T84" s="2">
        <v>85</v>
      </c>
      <c r="U84" s="3">
        <v>8491</v>
      </c>
      <c r="V84" s="3">
        <v>0</v>
      </c>
      <c r="W84" s="2" t="s">
        <v>94</v>
      </c>
      <c r="X84" s="2" t="s">
        <v>117</v>
      </c>
      <c r="Y84" s="3">
        <v>0</v>
      </c>
      <c r="Z84" t="str">
        <f>INDEX(Assets!$J:$J,MATCH(UPPER(TRIM(B84)),Assets!$A:$A,0))</f>
        <v>Mesa</v>
      </c>
      <c r="AA84">
        <f t="shared" si="3"/>
        <v>188.892</v>
      </c>
      <c r="AB84" s="21">
        <f t="shared" si="4"/>
        <v>45658</v>
      </c>
      <c r="AC84">
        <f>SUMIFS(Production!$H:$H,Production!$A:$A,UPPER(TRIM(B84)),Production!$B:$B,AB84)-SUMIFS(Production!$I:$I,Production!$A:$A,UPPER(TRIM(B84)),Production!$B:$B,AB84)</f>
        <v>49.2</v>
      </c>
      <c r="AD84">
        <f t="shared" si="5"/>
        <v>9293.4863999999998</v>
      </c>
    </row>
    <row r="85" spans="1:30" ht="21" customHeight="1">
      <c r="A85" s="2" t="s">
        <v>266</v>
      </c>
      <c r="B85" s="9" t="s">
        <v>31</v>
      </c>
      <c r="C85" s="5">
        <v>45685.5</v>
      </c>
      <c r="D85" s="4">
        <v>45685.741249999999</v>
      </c>
      <c r="E85" s="2" t="s">
        <v>90</v>
      </c>
      <c r="F85" s="2" t="s">
        <v>91</v>
      </c>
      <c r="G85" s="3">
        <v>0</v>
      </c>
      <c r="H85" s="3">
        <v>0</v>
      </c>
      <c r="I85" s="3">
        <v>0</v>
      </c>
      <c r="J85" s="3">
        <v>5.79</v>
      </c>
      <c r="K85" s="3">
        <v>0</v>
      </c>
      <c r="L85" s="3">
        <v>5.79</v>
      </c>
      <c r="M85" s="3">
        <v>127.38</v>
      </c>
      <c r="N85" s="3">
        <v>0.25</v>
      </c>
      <c r="O85" s="2" t="s">
        <v>267</v>
      </c>
      <c r="P85" s="4">
        <v>45685.5</v>
      </c>
      <c r="Q85" s="4">
        <v>45685.741249999999</v>
      </c>
      <c r="R85" s="2" t="s">
        <v>93</v>
      </c>
      <c r="S85" s="3">
        <v>5.79</v>
      </c>
      <c r="T85" s="2">
        <v>85</v>
      </c>
      <c r="U85" s="3">
        <v>1069</v>
      </c>
      <c r="V85" s="3">
        <v>0</v>
      </c>
      <c r="W85" s="2" t="s">
        <v>94</v>
      </c>
      <c r="X85" s="2" t="s">
        <v>95</v>
      </c>
      <c r="Y85" s="3">
        <v>0</v>
      </c>
      <c r="Z85" t="str">
        <f>INDEX(Assets!$J:$J,MATCH(UPPER(TRIM(B85)),Assets!$A:$A,0))</f>
        <v>Mesa</v>
      </c>
      <c r="AA85">
        <f t="shared" si="3"/>
        <v>95.534999999999997</v>
      </c>
      <c r="AB85" s="21">
        <f t="shared" si="4"/>
        <v>45658</v>
      </c>
      <c r="AC85">
        <f>SUMIFS(Production!$H:$H,Production!$A:$A,UPPER(TRIM(B85)),Production!$B:$B,AB85)-SUMIFS(Production!$I:$I,Production!$A:$A,UPPER(TRIM(B85)),Production!$B:$B,AB85)</f>
        <v>49.2</v>
      </c>
      <c r="AD85">
        <f t="shared" si="5"/>
        <v>4700.3220000000001</v>
      </c>
    </row>
    <row r="86" spans="1:30" ht="21" customHeight="1">
      <c r="A86" s="2" t="s">
        <v>268</v>
      </c>
      <c r="B86" s="9" t="s">
        <v>31</v>
      </c>
      <c r="C86" s="5">
        <v>45697.5</v>
      </c>
      <c r="D86" s="4">
        <v>45698.176666666666</v>
      </c>
      <c r="E86" s="2" t="s">
        <v>83</v>
      </c>
      <c r="F86" s="2" t="s">
        <v>119</v>
      </c>
      <c r="G86" s="3">
        <v>3.78</v>
      </c>
      <c r="H86" s="3">
        <v>1.91</v>
      </c>
      <c r="I86" s="3">
        <v>0</v>
      </c>
      <c r="J86" s="3">
        <v>8.83</v>
      </c>
      <c r="K86" s="3">
        <v>1.72</v>
      </c>
      <c r="L86" s="3">
        <v>16.239999999999998</v>
      </c>
      <c r="M86" s="3">
        <v>357.28</v>
      </c>
      <c r="N86" s="3">
        <v>0.15</v>
      </c>
      <c r="O86" s="2" t="s">
        <v>269</v>
      </c>
      <c r="P86" s="4">
        <v>45697.657500000001</v>
      </c>
      <c r="Q86" s="4">
        <v>45698.176666666666</v>
      </c>
      <c r="R86" s="2" t="s">
        <v>86</v>
      </c>
      <c r="S86" s="3">
        <v>8.83</v>
      </c>
      <c r="T86" s="2">
        <v>85</v>
      </c>
      <c r="U86" s="3">
        <v>6668</v>
      </c>
      <c r="V86" s="3">
        <v>0</v>
      </c>
      <c r="W86" s="2" t="s">
        <v>94</v>
      </c>
      <c r="X86" s="2" t="s">
        <v>121</v>
      </c>
      <c r="Y86" s="3">
        <v>0</v>
      </c>
      <c r="Z86" t="str">
        <f>INDEX(Assets!$J:$J,MATCH(UPPER(TRIM(B86)),Assets!$A:$A,0))</f>
        <v>Mesa</v>
      </c>
      <c r="AA86">
        <f t="shared" si="3"/>
        <v>303.68799999999999</v>
      </c>
      <c r="AB86" s="21">
        <f t="shared" si="4"/>
        <v>45689</v>
      </c>
      <c r="AC86">
        <f>SUMIFS(Production!$H:$H,Production!$A:$A,UPPER(TRIM(B86)),Production!$B:$B,AB86)-SUMIFS(Production!$I:$I,Production!$A:$A,UPPER(TRIM(B86)),Production!$B:$B,AB86)</f>
        <v>47.2</v>
      </c>
      <c r="AD86">
        <f t="shared" si="5"/>
        <v>14334.0736</v>
      </c>
    </row>
    <row r="87" spans="1:30" ht="21" customHeight="1">
      <c r="A87" s="2" t="s">
        <v>270</v>
      </c>
      <c r="B87" s="9" t="s">
        <v>31</v>
      </c>
      <c r="C87" s="5">
        <v>45707.5</v>
      </c>
      <c r="D87" s="4">
        <v>45708.182083333333</v>
      </c>
      <c r="E87" s="2" t="s">
        <v>83</v>
      </c>
      <c r="F87" s="2" t="s">
        <v>97</v>
      </c>
      <c r="G87" s="3">
        <v>1.01</v>
      </c>
      <c r="H87" s="3">
        <v>5.95</v>
      </c>
      <c r="I87" s="3">
        <v>0</v>
      </c>
      <c r="J87" s="3">
        <v>8.64</v>
      </c>
      <c r="K87" s="3">
        <v>0.77</v>
      </c>
      <c r="L87" s="3">
        <v>16.37</v>
      </c>
      <c r="M87" s="3">
        <v>360.14</v>
      </c>
      <c r="N87" s="3">
        <v>0.13</v>
      </c>
      <c r="O87" s="2" t="s">
        <v>271</v>
      </c>
      <c r="P87" s="4">
        <v>45707.542083333334</v>
      </c>
      <c r="Q87" s="4">
        <v>45708.182083333333</v>
      </c>
      <c r="R87" s="2" t="s">
        <v>86</v>
      </c>
      <c r="S87" s="3">
        <v>8.64</v>
      </c>
      <c r="T87" s="2">
        <v>85</v>
      </c>
      <c r="U87" s="3">
        <v>5807</v>
      </c>
      <c r="V87" s="3">
        <v>0</v>
      </c>
      <c r="W87" s="2" t="s">
        <v>94</v>
      </c>
      <c r="X87" s="2" t="s">
        <v>99</v>
      </c>
      <c r="Y87" s="3">
        <v>0</v>
      </c>
      <c r="Z87" t="str">
        <f>INDEX(Assets!$J:$J,MATCH(UPPER(TRIM(B87)),Assets!$A:$A,0))</f>
        <v>Mesa</v>
      </c>
      <c r="AA87">
        <f t="shared" si="3"/>
        <v>313.3218</v>
      </c>
      <c r="AB87" s="21">
        <f t="shared" si="4"/>
        <v>45689</v>
      </c>
      <c r="AC87">
        <f>SUMIFS(Production!$H:$H,Production!$A:$A,UPPER(TRIM(B87)),Production!$B:$B,AB87)-SUMIFS(Production!$I:$I,Production!$A:$A,UPPER(TRIM(B87)),Production!$B:$B,AB87)</f>
        <v>47.2</v>
      </c>
      <c r="AD87">
        <f t="shared" si="5"/>
        <v>14788.78896</v>
      </c>
    </row>
    <row r="88" spans="1:30" ht="21" customHeight="1">
      <c r="A88" s="2" t="s">
        <v>272</v>
      </c>
      <c r="B88" s="9" t="s">
        <v>31</v>
      </c>
      <c r="C88" s="5">
        <v>45720.5</v>
      </c>
      <c r="D88" s="4">
        <v>45721.940416666665</v>
      </c>
      <c r="E88" s="2" t="s">
        <v>83</v>
      </c>
      <c r="F88" s="2" t="s">
        <v>101</v>
      </c>
      <c r="G88" s="3">
        <v>3.61</v>
      </c>
      <c r="H88" s="3">
        <v>6.54</v>
      </c>
      <c r="I88" s="3">
        <v>14.02</v>
      </c>
      <c r="J88" s="3">
        <v>9.14</v>
      </c>
      <c r="K88" s="3">
        <v>1.26</v>
      </c>
      <c r="L88" s="3">
        <v>34.57</v>
      </c>
      <c r="M88" s="3">
        <v>760.54</v>
      </c>
      <c r="N88" s="3">
        <v>0.11</v>
      </c>
      <c r="O88" s="2" t="s">
        <v>273</v>
      </c>
      <c r="P88" s="4">
        <v>45720.650416666671</v>
      </c>
      <c r="Q88" s="4">
        <v>45721.940416666665</v>
      </c>
      <c r="R88" s="2" t="s">
        <v>86</v>
      </c>
      <c r="S88" s="3">
        <v>18.28</v>
      </c>
      <c r="T88" s="2">
        <v>85</v>
      </c>
      <c r="U88" s="3">
        <v>8814</v>
      </c>
      <c r="V88" s="3">
        <v>0</v>
      </c>
      <c r="W88" s="2" t="s">
        <v>94</v>
      </c>
      <c r="X88" s="2" t="s">
        <v>103</v>
      </c>
      <c r="Y88" s="3">
        <v>0</v>
      </c>
      <c r="Z88" t="str">
        <f>INDEX(Assets!$J:$J,MATCH(UPPER(TRIM(B88)),Assets!$A:$A,0))</f>
        <v>Mesa</v>
      </c>
      <c r="AA88">
        <f t="shared" si="3"/>
        <v>676.88059999999996</v>
      </c>
      <c r="AB88" s="21">
        <f t="shared" si="4"/>
        <v>45717</v>
      </c>
      <c r="AC88">
        <f>SUMIFS(Production!$H:$H,Production!$A:$A,UPPER(TRIM(B88)),Production!$B:$B,AB88)-SUMIFS(Production!$I:$I,Production!$A:$A,UPPER(TRIM(B88)),Production!$B:$B,AB88)</f>
        <v>45.2</v>
      </c>
      <c r="AD88">
        <f t="shared" si="5"/>
        <v>30595.003120000001</v>
      </c>
    </row>
    <row r="89" spans="1:30" ht="21" customHeight="1">
      <c r="A89" s="2" t="s">
        <v>274</v>
      </c>
      <c r="B89" s="9" t="s">
        <v>31</v>
      </c>
      <c r="C89" s="5">
        <v>45735.5</v>
      </c>
      <c r="D89" s="4">
        <v>45736.472500000003</v>
      </c>
      <c r="E89" s="2" t="s">
        <v>83</v>
      </c>
      <c r="F89" s="2" t="s">
        <v>119</v>
      </c>
      <c r="G89" s="3">
        <v>2.5099999999999998</v>
      </c>
      <c r="H89" s="3">
        <v>6.83</v>
      </c>
      <c r="I89" s="3">
        <v>0</v>
      </c>
      <c r="J89" s="3">
        <v>12.41</v>
      </c>
      <c r="K89" s="3">
        <v>1.59</v>
      </c>
      <c r="L89" s="3">
        <v>23.34</v>
      </c>
      <c r="M89" s="3">
        <v>513.48</v>
      </c>
      <c r="N89" s="3">
        <v>0.18</v>
      </c>
      <c r="O89" s="2" t="s">
        <v>275</v>
      </c>
      <c r="P89" s="4">
        <v>45735.604583333334</v>
      </c>
      <c r="Q89" s="4">
        <v>45736.472500000003</v>
      </c>
      <c r="R89" s="2" t="s">
        <v>86</v>
      </c>
      <c r="S89" s="3">
        <v>12.41</v>
      </c>
      <c r="T89" s="2">
        <v>85</v>
      </c>
      <c r="U89" s="3"/>
      <c r="V89" s="3">
        <v>0</v>
      </c>
      <c r="W89" s="2" t="s">
        <v>87</v>
      </c>
      <c r="X89" s="2" t="s">
        <v>121</v>
      </c>
      <c r="Y89" s="3">
        <v>0</v>
      </c>
      <c r="Z89" t="str">
        <f>INDEX(Assets!$J:$J,MATCH(UPPER(TRIM(B89)),Assets!$A:$A,0))</f>
        <v>Mesa</v>
      </c>
      <c r="AA89">
        <f t="shared" si="3"/>
        <v>421.05360000000007</v>
      </c>
      <c r="AB89" s="21">
        <f t="shared" si="4"/>
        <v>45717</v>
      </c>
      <c r="AC89">
        <f>SUMIFS(Production!$H:$H,Production!$A:$A,UPPER(TRIM(B89)),Production!$B:$B,AB89)-SUMIFS(Production!$I:$I,Production!$A:$A,UPPER(TRIM(B89)),Production!$B:$B,AB89)</f>
        <v>45.2</v>
      </c>
      <c r="AD89">
        <f t="shared" si="5"/>
        <v>19031.622720000003</v>
      </c>
    </row>
    <row r="90" spans="1:30" ht="21" customHeight="1">
      <c r="A90" s="2" t="s">
        <v>276</v>
      </c>
      <c r="B90" s="9" t="s">
        <v>31</v>
      </c>
      <c r="C90" s="5">
        <v>45754.5</v>
      </c>
      <c r="D90" s="4">
        <v>45756.189583333333</v>
      </c>
      <c r="E90" s="2" t="s">
        <v>83</v>
      </c>
      <c r="F90" s="2" t="s">
        <v>119</v>
      </c>
      <c r="G90" s="3">
        <v>2.38</v>
      </c>
      <c r="H90" s="3">
        <v>3.21</v>
      </c>
      <c r="I90" s="3">
        <v>24.86</v>
      </c>
      <c r="J90" s="3">
        <v>8.59</v>
      </c>
      <c r="K90" s="3">
        <v>1.51</v>
      </c>
      <c r="L90" s="3">
        <v>40.549999999999997</v>
      </c>
      <c r="M90" s="3">
        <v>892.1</v>
      </c>
      <c r="N90" s="3">
        <v>0.14000000000000001</v>
      </c>
      <c r="O90" s="2" t="s">
        <v>277</v>
      </c>
      <c r="P90" s="4">
        <v>45754.599166666667</v>
      </c>
      <c r="Q90" s="4">
        <v>45756.189583333333</v>
      </c>
      <c r="R90" s="2" t="s">
        <v>86</v>
      </c>
      <c r="S90" s="3">
        <v>8.59</v>
      </c>
      <c r="T90" s="2">
        <v>85</v>
      </c>
      <c r="U90" s="3">
        <v>6464</v>
      </c>
      <c r="V90" s="3">
        <v>0</v>
      </c>
      <c r="W90" s="2" t="s">
        <v>94</v>
      </c>
      <c r="X90" s="2" t="s">
        <v>121</v>
      </c>
      <c r="Y90" s="3">
        <v>0</v>
      </c>
      <c r="Z90" t="str">
        <f>INDEX(Assets!$J:$J,MATCH(UPPER(TRIM(B90)),Assets!$A:$A,0))</f>
        <v>Mesa</v>
      </c>
      <c r="AA90">
        <f t="shared" si="3"/>
        <v>767.20600000000002</v>
      </c>
      <c r="AB90" s="21">
        <f t="shared" si="4"/>
        <v>45748</v>
      </c>
      <c r="AC90">
        <f>SUMIFS(Production!$H:$H,Production!$A:$A,UPPER(TRIM(B90)),Production!$B:$B,AB90)-SUMIFS(Production!$I:$I,Production!$A:$A,UPPER(TRIM(B90)),Production!$B:$B,AB90)</f>
        <v>43.2</v>
      </c>
      <c r="AD90">
        <f t="shared" si="5"/>
        <v>33143.299200000001</v>
      </c>
    </row>
    <row r="91" spans="1:30" ht="21" customHeight="1">
      <c r="A91" s="2" t="s">
        <v>278</v>
      </c>
      <c r="B91" s="9" t="s">
        <v>31</v>
      </c>
      <c r="C91" s="5">
        <v>45775.5</v>
      </c>
      <c r="D91" s="4">
        <v>45775.722083333334</v>
      </c>
      <c r="E91" s="2" t="s">
        <v>90</v>
      </c>
      <c r="F91" s="2" t="s">
        <v>91</v>
      </c>
      <c r="G91" s="3">
        <v>0</v>
      </c>
      <c r="H91" s="3">
        <v>0</v>
      </c>
      <c r="I91" s="3">
        <v>0</v>
      </c>
      <c r="J91" s="3">
        <v>5.33</v>
      </c>
      <c r="K91" s="3">
        <v>0</v>
      </c>
      <c r="L91" s="3">
        <v>5.33</v>
      </c>
      <c r="M91" s="3">
        <v>117.26</v>
      </c>
      <c r="N91" s="3">
        <v>0.25</v>
      </c>
      <c r="O91" s="2" t="s">
        <v>279</v>
      </c>
      <c r="P91" s="4">
        <v>45775.5</v>
      </c>
      <c r="Q91" s="4">
        <v>45775.722083333334</v>
      </c>
      <c r="R91" s="2" t="s">
        <v>93</v>
      </c>
      <c r="S91" s="3">
        <v>10.66</v>
      </c>
      <c r="T91" s="2">
        <v>85</v>
      </c>
      <c r="U91" s="3">
        <v>1125</v>
      </c>
      <c r="V91" s="3">
        <v>0</v>
      </c>
      <c r="W91" s="2" t="s">
        <v>94</v>
      </c>
      <c r="X91" s="2" t="s">
        <v>95</v>
      </c>
      <c r="Y91" s="3">
        <v>0</v>
      </c>
      <c r="Z91" t="str">
        <f>INDEX(Assets!$J:$J,MATCH(UPPER(TRIM(B91)),Assets!$A:$A,0))</f>
        <v>Mesa</v>
      </c>
      <c r="AA91">
        <f t="shared" si="3"/>
        <v>87.945000000000007</v>
      </c>
      <c r="AB91" s="21">
        <f t="shared" si="4"/>
        <v>45748</v>
      </c>
      <c r="AC91">
        <f>SUMIFS(Production!$H:$H,Production!$A:$A,UPPER(TRIM(B91)),Production!$B:$B,AB91)-SUMIFS(Production!$I:$I,Production!$A:$A,UPPER(TRIM(B91)),Production!$B:$B,AB91)</f>
        <v>43.2</v>
      </c>
      <c r="AD91">
        <f t="shared" si="5"/>
        <v>3799.2240000000006</v>
      </c>
    </row>
    <row r="92" spans="1:30" ht="21" customHeight="1">
      <c r="A92" s="2" t="s">
        <v>280</v>
      </c>
      <c r="B92" s="9" t="s">
        <v>31</v>
      </c>
      <c r="C92" s="5">
        <v>45781.5</v>
      </c>
      <c r="D92" s="4">
        <v>45782.064583333333</v>
      </c>
      <c r="E92" s="2" t="s">
        <v>83</v>
      </c>
      <c r="F92" s="2" t="s">
        <v>84</v>
      </c>
      <c r="G92" s="3">
        <v>1.27</v>
      </c>
      <c r="H92" s="3">
        <v>5.0999999999999996</v>
      </c>
      <c r="I92" s="3">
        <v>0</v>
      </c>
      <c r="J92" s="3">
        <v>6.41</v>
      </c>
      <c r="K92" s="3">
        <v>0.77</v>
      </c>
      <c r="L92" s="3">
        <v>13.55</v>
      </c>
      <c r="M92" s="3">
        <v>298.10000000000002</v>
      </c>
      <c r="N92" s="3">
        <v>0.28000000000000003</v>
      </c>
      <c r="O92" s="2" t="s">
        <v>281</v>
      </c>
      <c r="P92" s="4">
        <v>45781.552916666667</v>
      </c>
      <c r="Q92" s="4">
        <v>45782.064583333333</v>
      </c>
      <c r="R92" s="2" t="s">
        <v>86</v>
      </c>
      <c r="S92" s="3">
        <v>6.41</v>
      </c>
      <c r="T92" s="2">
        <v>85</v>
      </c>
      <c r="U92" s="3">
        <v>2702</v>
      </c>
      <c r="V92" s="3">
        <v>4513</v>
      </c>
      <c r="W92" s="2" t="s">
        <v>94</v>
      </c>
      <c r="X92" s="2" t="s">
        <v>88</v>
      </c>
      <c r="Y92" s="3">
        <v>0</v>
      </c>
      <c r="Z92" t="str">
        <f>INDEX(Assets!$J:$J,MATCH(UPPER(TRIM(B92)),Assets!$A:$A,0))</f>
        <v>Mesa</v>
      </c>
      <c r="AA92">
        <f t="shared" si="3"/>
        <v>214.63200000000001</v>
      </c>
      <c r="AB92" s="21">
        <f t="shared" si="4"/>
        <v>45778</v>
      </c>
      <c r="AC92">
        <f>SUMIFS(Production!$H:$H,Production!$A:$A,UPPER(TRIM(B92)),Production!$B:$B,AB92)-SUMIFS(Production!$I:$I,Production!$A:$A,UPPER(TRIM(B92)),Production!$B:$B,AB92)</f>
        <v>41.2</v>
      </c>
      <c r="AD92">
        <f t="shared" si="5"/>
        <v>8842.8384000000005</v>
      </c>
    </row>
    <row r="93" spans="1:30" ht="21" customHeight="1">
      <c r="A93" s="2" t="s">
        <v>282</v>
      </c>
      <c r="B93" s="9" t="s">
        <v>31</v>
      </c>
      <c r="C93" s="5">
        <v>45798.5</v>
      </c>
      <c r="D93" s="4">
        <v>45799.08666666667</v>
      </c>
      <c r="E93" s="2" t="s">
        <v>83</v>
      </c>
      <c r="F93" s="2" t="s">
        <v>101</v>
      </c>
      <c r="G93" s="3">
        <v>1.1100000000000001</v>
      </c>
      <c r="H93" s="3">
        <v>3.27</v>
      </c>
      <c r="I93" s="3">
        <v>0</v>
      </c>
      <c r="J93" s="3">
        <v>7.99</v>
      </c>
      <c r="K93" s="3">
        <v>1.71</v>
      </c>
      <c r="L93" s="3">
        <v>14.08</v>
      </c>
      <c r="M93" s="3">
        <v>309.76</v>
      </c>
      <c r="N93" s="3">
        <v>0.23</v>
      </c>
      <c r="O93" s="2" t="s">
        <v>283</v>
      </c>
      <c r="P93" s="4">
        <v>45798.546249999999</v>
      </c>
      <c r="Q93" s="4">
        <v>45799.08666666667</v>
      </c>
      <c r="R93" s="2" t="s">
        <v>86</v>
      </c>
      <c r="S93" s="3">
        <v>7.99</v>
      </c>
      <c r="T93" s="2">
        <v>85</v>
      </c>
      <c r="U93" s="3">
        <v>9588</v>
      </c>
      <c r="V93" s="3">
        <v>3440</v>
      </c>
      <c r="W93" s="2" t="s">
        <v>94</v>
      </c>
      <c r="X93" s="2" t="s">
        <v>103</v>
      </c>
      <c r="Y93" s="3">
        <v>0</v>
      </c>
      <c r="Z93" t="str">
        <f>INDEX(Assets!$J:$J,MATCH(UPPER(TRIM(B93)),Assets!$A:$A,0))</f>
        <v>Mesa</v>
      </c>
      <c r="AA93">
        <f t="shared" si="3"/>
        <v>238.51519999999999</v>
      </c>
      <c r="AB93" s="21">
        <f t="shared" si="4"/>
        <v>45778</v>
      </c>
      <c r="AC93">
        <f>SUMIFS(Production!$H:$H,Production!$A:$A,UPPER(TRIM(B93)),Production!$B:$B,AB93)-SUMIFS(Production!$I:$I,Production!$A:$A,UPPER(TRIM(B93)),Production!$B:$B,AB93)</f>
        <v>41.2</v>
      </c>
      <c r="AD93">
        <f t="shared" si="5"/>
        <v>9826.8262400000003</v>
      </c>
    </row>
    <row r="94" spans="1:30" ht="21" customHeight="1">
      <c r="A94" s="2" t="s">
        <v>284</v>
      </c>
      <c r="B94" s="9" t="s">
        <v>31</v>
      </c>
      <c r="C94" s="5">
        <v>45815.5</v>
      </c>
      <c r="D94" s="4">
        <v>45816.142916666664</v>
      </c>
      <c r="E94" s="2" t="s">
        <v>83</v>
      </c>
      <c r="F94" s="2" t="s">
        <v>119</v>
      </c>
      <c r="G94" s="3">
        <v>1.05</v>
      </c>
      <c r="H94" s="3">
        <v>3.1</v>
      </c>
      <c r="I94" s="3">
        <v>0</v>
      </c>
      <c r="J94" s="3">
        <v>10.58</v>
      </c>
      <c r="K94" s="3">
        <v>0.7</v>
      </c>
      <c r="L94" s="3">
        <v>15.43</v>
      </c>
      <c r="M94" s="3">
        <v>339.46</v>
      </c>
      <c r="N94" s="3">
        <v>0.18</v>
      </c>
      <c r="O94" s="2" t="s">
        <v>285</v>
      </c>
      <c r="P94" s="4">
        <v>45815.543749999997</v>
      </c>
      <c r="Q94" s="4">
        <v>45816.142916666664</v>
      </c>
      <c r="R94" s="2" t="s">
        <v>86</v>
      </c>
      <c r="S94" s="3">
        <v>10.58</v>
      </c>
      <c r="T94" s="2">
        <v>85</v>
      </c>
      <c r="U94" s="3">
        <v>4717</v>
      </c>
      <c r="V94" s="3">
        <v>0</v>
      </c>
      <c r="W94" s="2" t="s">
        <v>94</v>
      </c>
      <c r="X94" s="2" t="s">
        <v>121</v>
      </c>
      <c r="Y94" s="3">
        <v>0</v>
      </c>
      <c r="Z94" t="str">
        <f>INDEX(Assets!$J:$J,MATCH(UPPER(TRIM(B94)),Assets!$A:$A,0))</f>
        <v>Mesa</v>
      </c>
      <c r="AA94">
        <f t="shared" si="3"/>
        <v>278.35719999999998</v>
      </c>
      <c r="AB94" s="21">
        <f t="shared" si="4"/>
        <v>45809</v>
      </c>
      <c r="AC94">
        <f>SUMIFS(Production!$H:$H,Production!$A:$A,UPPER(TRIM(B94)),Production!$B:$B,AB94)-SUMIFS(Production!$I:$I,Production!$A:$A,UPPER(TRIM(B94)),Production!$B:$B,AB94)</f>
        <v>42.2</v>
      </c>
      <c r="AD94">
        <f t="shared" si="5"/>
        <v>11746.673839999999</v>
      </c>
    </row>
    <row r="95" spans="1:30" ht="21" customHeight="1">
      <c r="A95" s="2" t="s">
        <v>286</v>
      </c>
      <c r="B95" s="9" t="s">
        <v>31</v>
      </c>
      <c r="C95" s="5">
        <v>45845.5</v>
      </c>
      <c r="D95" s="4">
        <v>45846.735416666663</v>
      </c>
      <c r="E95" s="2" t="s">
        <v>83</v>
      </c>
      <c r="F95" s="2" t="s">
        <v>101</v>
      </c>
      <c r="G95" s="3">
        <v>1.19</v>
      </c>
      <c r="H95" s="3">
        <v>6.35</v>
      </c>
      <c r="I95" s="3">
        <v>15.02</v>
      </c>
      <c r="J95" s="3">
        <v>5.73</v>
      </c>
      <c r="K95" s="3">
        <v>1.36</v>
      </c>
      <c r="L95" s="3">
        <v>29.65</v>
      </c>
      <c r="M95" s="3">
        <v>652.29999999999995</v>
      </c>
      <c r="N95" s="3">
        <v>0.28999999999999998</v>
      </c>
      <c r="O95" s="2" t="s">
        <v>287</v>
      </c>
      <c r="P95" s="4">
        <v>45845.549583333333</v>
      </c>
      <c r="Q95" s="4">
        <v>45846.735416666663</v>
      </c>
      <c r="R95" s="2" t="s">
        <v>86</v>
      </c>
      <c r="S95" s="3">
        <v>5.73</v>
      </c>
      <c r="T95" s="2">
        <v>85</v>
      </c>
      <c r="U95" s="3">
        <v>8202</v>
      </c>
      <c r="V95" s="3">
        <v>2509</v>
      </c>
      <c r="W95" s="2" t="s">
        <v>94</v>
      </c>
      <c r="X95" s="2" t="s">
        <v>103</v>
      </c>
      <c r="Y95" s="3">
        <v>0</v>
      </c>
      <c r="Z95" t="str">
        <f>INDEX(Assets!$J:$J,MATCH(UPPER(TRIM(B95)),Assets!$A:$A,0))</f>
        <v>Mesa</v>
      </c>
      <c r="AA95">
        <f t="shared" si="3"/>
        <v>463.13299999999992</v>
      </c>
      <c r="AB95" s="21">
        <f t="shared" si="4"/>
        <v>45839</v>
      </c>
      <c r="AC95">
        <f>SUMIFS(Production!$H:$H,Production!$A:$A,UPPER(TRIM(B95)),Production!$B:$B,AB95)-SUMIFS(Production!$I:$I,Production!$A:$A,UPPER(TRIM(B95)),Production!$B:$B,AB95)</f>
        <v>44.2</v>
      </c>
      <c r="AD95">
        <f t="shared" si="5"/>
        <v>20470.478599999999</v>
      </c>
    </row>
    <row r="96" spans="1:30" ht="21" customHeight="1">
      <c r="A96" s="2" t="s">
        <v>288</v>
      </c>
      <c r="B96" s="9" t="s">
        <v>31</v>
      </c>
      <c r="C96" s="5">
        <v>45858.5</v>
      </c>
      <c r="D96" s="4">
        <v>45859.3125</v>
      </c>
      <c r="E96" s="2" t="s">
        <v>83</v>
      </c>
      <c r="F96" s="2" t="s">
        <v>97</v>
      </c>
      <c r="G96" s="3">
        <v>3.62</v>
      </c>
      <c r="H96" s="3">
        <v>4.95</v>
      </c>
      <c r="I96" s="3">
        <v>0</v>
      </c>
      <c r="J96" s="3">
        <v>9.2100000000000009</v>
      </c>
      <c r="K96" s="3">
        <v>1.72</v>
      </c>
      <c r="L96" s="3">
        <v>19.5</v>
      </c>
      <c r="M96" s="3">
        <v>429</v>
      </c>
      <c r="N96" s="3">
        <v>0.1</v>
      </c>
      <c r="O96" s="2" t="s">
        <v>289</v>
      </c>
      <c r="P96" s="4">
        <v>45858.650833333333</v>
      </c>
      <c r="Q96" s="4">
        <v>45859.3125</v>
      </c>
      <c r="R96" s="2" t="s">
        <v>86</v>
      </c>
      <c r="S96" s="3">
        <v>9.2100000000000009</v>
      </c>
      <c r="T96" s="2">
        <v>85</v>
      </c>
      <c r="U96" s="3">
        <v>1584</v>
      </c>
      <c r="V96" s="3">
        <v>1321</v>
      </c>
      <c r="W96" s="2" t="s">
        <v>94</v>
      </c>
      <c r="X96" s="2" t="s">
        <v>99</v>
      </c>
      <c r="Y96" s="3">
        <v>0</v>
      </c>
      <c r="Z96" t="str">
        <f>INDEX(Assets!$J:$J,MATCH(UPPER(TRIM(B96)),Assets!$A:$A,0))</f>
        <v>Mesa</v>
      </c>
      <c r="AA96">
        <f t="shared" si="3"/>
        <v>386.1</v>
      </c>
      <c r="AB96" s="21">
        <f t="shared" si="4"/>
        <v>45839</v>
      </c>
      <c r="AC96">
        <f>SUMIFS(Production!$H:$H,Production!$A:$A,UPPER(TRIM(B96)),Production!$B:$B,AB96)-SUMIFS(Production!$I:$I,Production!$A:$A,UPPER(TRIM(B96)),Production!$B:$B,AB96)</f>
        <v>44.2</v>
      </c>
      <c r="AD96">
        <f t="shared" si="5"/>
        <v>17065.620000000003</v>
      </c>
    </row>
    <row r="97" spans="1:30" ht="21" customHeight="1">
      <c r="A97" s="2" t="s">
        <v>290</v>
      </c>
      <c r="B97" s="9" t="s">
        <v>31</v>
      </c>
      <c r="C97" s="5">
        <v>45866.5</v>
      </c>
      <c r="D97" s="4">
        <v>45866.702916666662</v>
      </c>
      <c r="E97" s="2" t="s">
        <v>90</v>
      </c>
      <c r="F97" s="2" t="s">
        <v>91</v>
      </c>
      <c r="G97" s="3">
        <v>0</v>
      </c>
      <c r="H97" s="3">
        <v>0</v>
      </c>
      <c r="I97" s="3">
        <v>0</v>
      </c>
      <c r="J97" s="3">
        <v>4.87</v>
      </c>
      <c r="K97" s="3">
        <v>0</v>
      </c>
      <c r="L97" s="3">
        <v>4.87</v>
      </c>
      <c r="M97" s="3">
        <v>107.14</v>
      </c>
      <c r="N97" s="3">
        <v>0.25</v>
      </c>
      <c r="O97" s="2" t="s">
        <v>291</v>
      </c>
      <c r="P97" s="4">
        <v>45866.5</v>
      </c>
      <c r="Q97" s="4">
        <v>45866.702916666662</v>
      </c>
      <c r="R97" s="2" t="s">
        <v>93</v>
      </c>
      <c r="S97" s="3">
        <v>9.74</v>
      </c>
      <c r="T97" s="2">
        <v>85</v>
      </c>
      <c r="U97" s="3">
        <v>1315</v>
      </c>
      <c r="V97" s="3">
        <v>0</v>
      </c>
      <c r="W97" s="2" t="s">
        <v>94</v>
      </c>
      <c r="X97" s="2" t="s">
        <v>95</v>
      </c>
      <c r="Y97" s="3">
        <v>0</v>
      </c>
      <c r="Z97" t="str">
        <f>INDEX(Assets!$J:$J,MATCH(UPPER(TRIM(B97)),Assets!$A:$A,0))</f>
        <v>Mesa</v>
      </c>
      <c r="AA97">
        <f t="shared" si="3"/>
        <v>80.355000000000004</v>
      </c>
      <c r="AB97" s="21">
        <f t="shared" si="4"/>
        <v>45839</v>
      </c>
      <c r="AC97">
        <f>SUMIFS(Production!$H:$H,Production!$A:$A,UPPER(TRIM(B97)),Production!$B:$B,AB97)-SUMIFS(Production!$I:$I,Production!$A:$A,UPPER(TRIM(B97)),Production!$B:$B,AB97)</f>
        <v>44.2</v>
      </c>
      <c r="AD97">
        <f t="shared" si="5"/>
        <v>3551.6910000000003</v>
      </c>
    </row>
    <row r="98" spans="1:30" ht="21" customHeight="1">
      <c r="A98" s="2" t="s">
        <v>292</v>
      </c>
      <c r="B98" s="9" t="s">
        <v>31</v>
      </c>
      <c r="C98" s="5">
        <v>45879.5</v>
      </c>
      <c r="D98" s="4">
        <v>45880.123749999999</v>
      </c>
      <c r="E98" s="2" t="s">
        <v>83</v>
      </c>
      <c r="F98" s="2" t="s">
        <v>84</v>
      </c>
      <c r="G98" s="3">
        <v>4.13</v>
      </c>
      <c r="H98" s="3">
        <v>4.6100000000000003</v>
      </c>
      <c r="I98" s="3">
        <v>0</v>
      </c>
      <c r="J98" s="3">
        <v>4.33</v>
      </c>
      <c r="K98" s="3">
        <v>1.9</v>
      </c>
      <c r="L98" s="3">
        <v>14.97</v>
      </c>
      <c r="M98" s="3">
        <v>329.34</v>
      </c>
      <c r="N98" s="3">
        <v>0.25</v>
      </c>
      <c r="O98" s="2" t="s">
        <v>293</v>
      </c>
      <c r="P98" s="4">
        <v>45879.672083333338</v>
      </c>
      <c r="Q98" s="4">
        <v>45880.123749999999</v>
      </c>
      <c r="R98" s="2" t="s">
        <v>86</v>
      </c>
      <c r="S98" s="3">
        <v>8.66</v>
      </c>
      <c r="T98" s="2">
        <v>85</v>
      </c>
      <c r="U98" s="3">
        <v>9012</v>
      </c>
      <c r="V98" s="3">
        <v>0</v>
      </c>
      <c r="W98" s="2" t="s">
        <v>94</v>
      </c>
      <c r="X98" s="2" t="s">
        <v>88</v>
      </c>
      <c r="Y98" s="3">
        <v>0</v>
      </c>
      <c r="Z98" t="str">
        <f>INDEX(Assets!$J:$J,MATCH(UPPER(TRIM(B98)),Assets!$A:$A,0))</f>
        <v>Mesa</v>
      </c>
      <c r="AA98">
        <f t="shared" si="3"/>
        <v>247.005</v>
      </c>
      <c r="AB98" s="21">
        <f t="shared" si="4"/>
        <v>45870</v>
      </c>
      <c r="AC98">
        <f>SUMIFS(Production!$H:$H,Production!$A:$A,UPPER(TRIM(B98)),Production!$B:$B,AB98)-SUMIFS(Production!$I:$I,Production!$A:$A,UPPER(TRIM(B98)),Production!$B:$B,AB98)</f>
        <v>43.2</v>
      </c>
      <c r="AD98">
        <f t="shared" si="5"/>
        <v>10670.616</v>
      </c>
    </row>
    <row r="99" spans="1:30" ht="21" customHeight="1">
      <c r="A99" s="2" t="s">
        <v>294</v>
      </c>
      <c r="B99" s="9" t="s">
        <v>31</v>
      </c>
      <c r="C99" s="5">
        <v>45888.5</v>
      </c>
      <c r="D99" s="4">
        <v>45890.422916666663</v>
      </c>
      <c r="E99" s="2" t="s">
        <v>83</v>
      </c>
      <c r="F99" s="2" t="s">
        <v>119</v>
      </c>
      <c r="G99" s="3">
        <v>3.7</v>
      </c>
      <c r="H99" s="3">
        <v>5.13</v>
      </c>
      <c r="I99" s="3">
        <v>23.58</v>
      </c>
      <c r="J99" s="3">
        <v>11.81</v>
      </c>
      <c r="K99" s="3">
        <v>1.93</v>
      </c>
      <c r="L99" s="3">
        <v>46.15</v>
      </c>
      <c r="M99" s="3">
        <v>1015.3</v>
      </c>
      <c r="N99" s="3">
        <v>0.26</v>
      </c>
      <c r="O99" s="2" t="s">
        <v>295</v>
      </c>
      <c r="P99" s="4">
        <v>45888.654166666667</v>
      </c>
      <c r="Q99" s="4">
        <v>45890.422916666663</v>
      </c>
      <c r="R99" s="2" t="s">
        <v>86</v>
      </c>
      <c r="S99" s="3">
        <v>23.62</v>
      </c>
      <c r="T99" s="2">
        <v>85</v>
      </c>
      <c r="U99" s="3">
        <v>5868</v>
      </c>
      <c r="V99" s="3">
        <v>0</v>
      </c>
      <c r="W99" s="2" t="s">
        <v>94</v>
      </c>
      <c r="X99" s="2" t="s">
        <v>121</v>
      </c>
      <c r="Y99" s="3">
        <v>0</v>
      </c>
      <c r="Z99" t="str">
        <f>INDEX(Assets!$J:$J,MATCH(UPPER(TRIM(B99)),Assets!$A:$A,0))</f>
        <v>Mesa</v>
      </c>
      <c r="AA99">
        <f t="shared" si="3"/>
        <v>751.322</v>
      </c>
      <c r="AB99" s="21">
        <f t="shared" si="4"/>
        <v>45870</v>
      </c>
      <c r="AC99">
        <f>SUMIFS(Production!$H:$H,Production!$A:$A,UPPER(TRIM(B99)),Production!$B:$B,AB99)-SUMIFS(Production!$I:$I,Production!$A:$A,UPPER(TRIM(B99)),Production!$B:$B,AB99)</f>
        <v>43.2</v>
      </c>
      <c r="AD99">
        <f t="shared" si="5"/>
        <v>32457.110400000001</v>
      </c>
    </row>
    <row r="100" spans="1:30" ht="21" customHeight="1">
      <c r="A100" s="2" t="s">
        <v>296</v>
      </c>
      <c r="B100" s="9" t="s">
        <v>31</v>
      </c>
      <c r="C100" s="5">
        <v>45909.5</v>
      </c>
      <c r="D100" s="4">
        <v>45910.782500000001</v>
      </c>
      <c r="E100" s="2" t="s">
        <v>83</v>
      </c>
      <c r="F100" s="2" t="s">
        <v>119</v>
      </c>
      <c r="G100" s="3">
        <v>2.86</v>
      </c>
      <c r="H100" s="3">
        <v>5.49</v>
      </c>
      <c r="I100" s="3">
        <v>8.9700000000000006</v>
      </c>
      <c r="J100" s="3">
        <v>12.41</v>
      </c>
      <c r="K100" s="3">
        <v>1.05</v>
      </c>
      <c r="L100" s="3">
        <v>30.78</v>
      </c>
      <c r="M100" s="3">
        <v>677.16</v>
      </c>
      <c r="N100" s="3">
        <v>0.18</v>
      </c>
      <c r="O100" s="2" t="s">
        <v>297</v>
      </c>
      <c r="P100" s="4">
        <v>45909.619166666671</v>
      </c>
      <c r="Q100" s="4">
        <v>45910.782500000001</v>
      </c>
      <c r="R100" s="2" t="s">
        <v>86</v>
      </c>
      <c r="S100" s="3">
        <v>24.82</v>
      </c>
      <c r="T100" s="2">
        <v>85</v>
      </c>
      <c r="U100" s="3">
        <v>2330</v>
      </c>
      <c r="V100" s="3">
        <v>0</v>
      </c>
      <c r="W100" s="2" t="s">
        <v>94</v>
      </c>
      <c r="X100" s="2" t="s">
        <v>121</v>
      </c>
      <c r="Y100" s="3">
        <v>0</v>
      </c>
      <c r="Z100" t="str">
        <f>INDEX(Assets!$J:$J,MATCH(UPPER(TRIM(B100)),Assets!$A:$A,0))</f>
        <v>Mesa</v>
      </c>
      <c r="AA100">
        <f t="shared" si="3"/>
        <v>555.27120000000002</v>
      </c>
      <c r="AB100" s="21">
        <f t="shared" si="4"/>
        <v>45901</v>
      </c>
      <c r="AC100">
        <f>SUMIFS(Production!$H:$H,Production!$A:$A,UPPER(TRIM(B100)),Production!$B:$B,AB100)-SUMIFS(Production!$I:$I,Production!$A:$A,UPPER(TRIM(B100)),Production!$B:$B,AB100)</f>
        <v>40.200000000000003</v>
      </c>
      <c r="AD100">
        <f t="shared" si="5"/>
        <v>22321.902240000003</v>
      </c>
    </row>
    <row r="101" spans="1:30" ht="21" customHeight="1">
      <c r="A101" s="2" t="s">
        <v>298</v>
      </c>
      <c r="B101" s="9" t="s">
        <v>31</v>
      </c>
      <c r="C101" s="5">
        <v>45937.5</v>
      </c>
      <c r="D101" s="4">
        <v>45938.233749999999</v>
      </c>
      <c r="E101" s="2" t="s">
        <v>83</v>
      </c>
      <c r="F101" s="2" t="s">
        <v>97</v>
      </c>
      <c r="G101" s="3">
        <v>2.7</v>
      </c>
      <c r="H101" s="3">
        <v>3.49</v>
      </c>
      <c r="I101" s="3">
        <v>0</v>
      </c>
      <c r="J101" s="3">
        <v>9.2200000000000006</v>
      </c>
      <c r="K101" s="3">
        <v>2.2000000000000002</v>
      </c>
      <c r="L101" s="3">
        <v>17.61</v>
      </c>
      <c r="M101" s="3">
        <v>387.42</v>
      </c>
      <c r="N101" s="3">
        <v>0.15</v>
      </c>
      <c r="O101" s="2" t="s">
        <v>299</v>
      </c>
      <c r="P101" s="4">
        <v>45937.612500000003</v>
      </c>
      <c r="Q101" s="4">
        <v>45938.233749999999</v>
      </c>
      <c r="R101" s="2" t="s">
        <v>86</v>
      </c>
      <c r="S101" s="3">
        <v>9.2200000000000006</v>
      </c>
      <c r="T101" s="2">
        <v>85</v>
      </c>
      <c r="U101" s="3">
        <v>5124</v>
      </c>
      <c r="V101" s="3">
        <v>0</v>
      </c>
      <c r="W101" s="2" t="s">
        <v>94</v>
      </c>
      <c r="X101" s="2" t="s">
        <v>99</v>
      </c>
      <c r="Y101" s="3">
        <v>0</v>
      </c>
      <c r="Z101" t="str">
        <f>INDEX(Assets!$J:$J,MATCH(UPPER(TRIM(B101)),Assets!$A:$A,0))</f>
        <v>Mesa</v>
      </c>
      <c r="AA101">
        <f t="shared" si="3"/>
        <v>329.30700000000002</v>
      </c>
      <c r="AB101" s="21">
        <f t="shared" si="4"/>
        <v>45931</v>
      </c>
      <c r="AC101">
        <f>SUMIFS(Production!$H:$H,Production!$A:$A,UPPER(TRIM(B101)),Production!$B:$B,AB101)-SUMIFS(Production!$I:$I,Production!$A:$A,UPPER(TRIM(B101)),Production!$B:$B,AB101)</f>
        <v>39.200000000000003</v>
      </c>
      <c r="AD101">
        <f t="shared" si="5"/>
        <v>12908.834400000002</v>
      </c>
    </row>
    <row r="102" spans="1:30" ht="21" customHeight="1">
      <c r="A102" s="2" t="s">
        <v>300</v>
      </c>
      <c r="B102" s="9" t="s">
        <v>31</v>
      </c>
      <c r="C102" s="5">
        <v>45949.5</v>
      </c>
      <c r="D102" s="4">
        <v>45950.680833333332</v>
      </c>
      <c r="E102" s="2" t="s">
        <v>83</v>
      </c>
      <c r="F102" s="2" t="s">
        <v>101</v>
      </c>
      <c r="G102" s="3">
        <v>1.42</v>
      </c>
      <c r="H102" s="3">
        <v>2.95</v>
      </c>
      <c r="I102" s="3">
        <v>15.09</v>
      </c>
      <c r="J102" s="3">
        <v>6.41</v>
      </c>
      <c r="K102" s="3">
        <v>2.4700000000000002</v>
      </c>
      <c r="L102" s="3">
        <v>28.34</v>
      </c>
      <c r="M102" s="3">
        <v>623.48</v>
      </c>
      <c r="N102" s="3">
        <v>0.12</v>
      </c>
      <c r="O102" s="2" t="s">
        <v>301</v>
      </c>
      <c r="P102" s="4">
        <v>45949.559166666666</v>
      </c>
      <c r="Q102" s="4">
        <v>45950.680833333332</v>
      </c>
      <c r="R102" s="2" t="s">
        <v>86</v>
      </c>
      <c r="S102" s="3">
        <v>12.82</v>
      </c>
      <c r="T102" s="2">
        <v>85</v>
      </c>
      <c r="U102" s="3">
        <v>1444</v>
      </c>
      <c r="V102" s="3">
        <v>0</v>
      </c>
      <c r="W102" s="2" t="s">
        <v>94</v>
      </c>
      <c r="X102" s="2" t="s">
        <v>103</v>
      </c>
      <c r="Y102" s="3">
        <v>0</v>
      </c>
      <c r="Z102" t="str">
        <f>INDEX(Assets!$J:$J,MATCH(UPPER(TRIM(B102)),Assets!$A:$A,0))</f>
        <v>Mesa</v>
      </c>
      <c r="AA102">
        <f t="shared" si="3"/>
        <v>548.66240000000005</v>
      </c>
      <c r="AB102" s="21">
        <f t="shared" si="4"/>
        <v>45931</v>
      </c>
      <c r="AC102">
        <f>SUMIFS(Production!$H:$H,Production!$A:$A,UPPER(TRIM(B102)),Production!$B:$B,AB102)-SUMIFS(Production!$I:$I,Production!$A:$A,UPPER(TRIM(B102)),Production!$B:$B,AB102)</f>
        <v>39.200000000000003</v>
      </c>
      <c r="AD102">
        <f t="shared" si="5"/>
        <v>21507.566080000004</v>
      </c>
    </row>
    <row r="103" spans="1:30" ht="21" customHeight="1">
      <c r="A103" s="2" t="s">
        <v>302</v>
      </c>
      <c r="B103" s="9" t="s">
        <v>31</v>
      </c>
      <c r="C103" s="5">
        <v>45958.5</v>
      </c>
      <c r="D103" s="4">
        <v>45958.644166666665</v>
      </c>
      <c r="E103" s="2" t="s">
        <v>90</v>
      </c>
      <c r="F103" s="2" t="s">
        <v>91</v>
      </c>
      <c r="G103" s="3">
        <v>0</v>
      </c>
      <c r="H103" s="3">
        <v>0</v>
      </c>
      <c r="I103" s="3">
        <v>0</v>
      </c>
      <c r="J103" s="3">
        <v>3.46</v>
      </c>
      <c r="K103" s="3">
        <v>0</v>
      </c>
      <c r="L103" s="3">
        <v>3.46</v>
      </c>
      <c r="M103" s="3">
        <v>76.12</v>
      </c>
      <c r="N103" s="3">
        <v>0.25</v>
      </c>
      <c r="O103" s="2" t="s">
        <v>303</v>
      </c>
      <c r="P103" s="4">
        <v>45958.5</v>
      </c>
      <c r="Q103" s="4">
        <v>45958.644166666665</v>
      </c>
      <c r="R103" s="2" t="s">
        <v>93</v>
      </c>
      <c r="S103" s="3">
        <v>3.46</v>
      </c>
      <c r="T103" s="2">
        <v>85</v>
      </c>
      <c r="U103" s="3">
        <v>758</v>
      </c>
      <c r="V103" s="3">
        <v>0</v>
      </c>
      <c r="W103" s="2" t="s">
        <v>94</v>
      </c>
      <c r="X103" s="2" t="s">
        <v>95</v>
      </c>
      <c r="Y103" s="3">
        <v>0</v>
      </c>
      <c r="Z103" t="str">
        <f>INDEX(Assets!$J:$J,MATCH(UPPER(TRIM(B103)),Assets!$A:$A,0))</f>
        <v>Mesa</v>
      </c>
      <c r="AA103">
        <f t="shared" si="3"/>
        <v>57.09</v>
      </c>
      <c r="AB103" s="21">
        <f t="shared" si="4"/>
        <v>45931</v>
      </c>
      <c r="AC103">
        <f>SUMIFS(Production!$H:$H,Production!$A:$A,UPPER(TRIM(B103)),Production!$B:$B,AB103)-SUMIFS(Production!$I:$I,Production!$A:$A,UPPER(TRIM(B103)),Production!$B:$B,AB103)</f>
        <v>39.200000000000003</v>
      </c>
      <c r="AD103">
        <f t="shared" si="5"/>
        <v>2237.9280000000003</v>
      </c>
    </row>
    <row r="104" spans="1:30" ht="21" customHeight="1">
      <c r="A104" s="2" t="s">
        <v>304</v>
      </c>
      <c r="B104" s="9" t="s">
        <v>31</v>
      </c>
      <c r="C104" s="5">
        <v>45967.5</v>
      </c>
      <c r="D104" s="4">
        <v>45968.269583333335</v>
      </c>
      <c r="E104" s="2" t="s">
        <v>83</v>
      </c>
      <c r="F104" s="2" t="s">
        <v>84</v>
      </c>
      <c r="G104" s="3">
        <v>1.39</v>
      </c>
      <c r="H104" s="3">
        <v>5.67</v>
      </c>
      <c r="I104" s="3">
        <v>0</v>
      </c>
      <c r="J104" s="3">
        <v>9.84</v>
      </c>
      <c r="K104" s="3">
        <v>1.57</v>
      </c>
      <c r="L104" s="3">
        <v>18.47</v>
      </c>
      <c r="M104" s="3">
        <v>406.34</v>
      </c>
      <c r="N104" s="3">
        <v>0.28999999999999998</v>
      </c>
      <c r="O104" s="2" t="s">
        <v>305</v>
      </c>
      <c r="P104" s="4">
        <v>45967.557916666672</v>
      </c>
      <c r="Q104" s="4">
        <v>45968.269583333335</v>
      </c>
      <c r="R104" s="2" t="s">
        <v>86</v>
      </c>
      <c r="S104" s="3">
        <v>9.84</v>
      </c>
      <c r="T104" s="2">
        <v>85</v>
      </c>
      <c r="U104" s="3">
        <v>8473</v>
      </c>
      <c r="V104" s="3">
        <v>4224</v>
      </c>
      <c r="W104" s="2" t="s">
        <v>94</v>
      </c>
      <c r="X104" s="2" t="s">
        <v>88</v>
      </c>
      <c r="Y104" s="3">
        <v>0</v>
      </c>
      <c r="Z104" t="str">
        <f>INDEX(Assets!$J:$J,MATCH(UPPER(TRIM(B104)),Assets!$A:$A,0))</f>
        <v>Mesa</v>
      </c>
      <c r="AA104">
        <f t="shared" si="3"/>
        <v>288.50139999999999</v>
      </c>
      <c r="AB104" s="21">
        <f t="shared" si="4"/>
        <v>45962</v>
      </c>
      <c r="AC104">
        <f>SUMIFS(Production!$H:$H,Production!$A:$A,UPPER(TRIM(B104)),Production!$B:$B,AB104)-SUMIFS(Production!$I:$I,Production!$A:$A,UPPER(TRIM(B104)),Production!$B:$B,AB104)</f>
        <v>41.2</v>
      </c>
      <c r="AD104">
        <f t="shared" si="5"/>
        <v>11886.257680000001</v>
      </c>
    </row>
    <row r="105" spans="1:30" ht="21" customHeight="1">
      <c r="A105" s="2" t="s">
        <v>306</v>
      </c>
      <c r="B105" s="9" t="s">
        <v>31</v>
      </c>
      <c r="C105" s="5">
        <v>45983.5</v>
      </c>
      <c r="D105" s="4">
        <v>45984.675000000003</v>
      </c>
      <c r="E105" s="2" t="s">
        <v>83</v>
      </c>
      <c r="F105" s="2" t="s">
        <v>101</v>
      </c>
      <c r="G105" s="3">
        <v>1.01</v>
      </c>
      <c r="H105" s="3">
        <v>4.12</v>
      </c>
      <c r="I105" s="3">
        <v>19.399999999999999</v>
      </c>
      <c r="J105" s="3">
        <v>2.96</v>
      </c>
      <c r="K105" s="3">
        <v>0.71</v>
      </c>
      <c r="L105" s="3">
        <v>28.2</v>
      </c>
      <c r="M105" s="3">
        <v>620.4</v>
      </c>
      <c r="N105" s="3">
        <v>0.24</v>
      </c>
      <c r="O105" s="2" t="s">
        <v>307</v>
      </c>
      <c r="P105" s="4">
        <v>45983.542083333334</v>
      </c>
      <c r="Q105" s="4">
        <v>45984.675000000003</v>
      </c>
      <c r="R105" s="2" t="s">
        <v>86</v>
      </c>
      <c r="S105" s="3">
        <v>2.96</v>
      </c>
      <c r="T105" s="2">
        <v>85</v>
      </c>
      <c r="U105" s="3">
        <v>1874</v>
      </c>
      <c r="V105" s="3">
        <v>0</v>
      </c>
      <c r="W105" s="2" t="s">
        <v>94</v>
      </c>
      <c r="X105" s="2" t="s">
        <v>103</v>
      </c>
      <c r="Y105" s="3">
        <v>0</v>
      </c>
      <c r="Z105" t="str">
        <f>INDEX(Assets!$J:$J,MATCH(UPPER(TRIM(B105)),Assets!$A:$A,0))</f>
        <v>Mesa</v>
      </c>
      <c r="AA105">
        <f t="shared" si="3"/>
        <v>471.50399999999996</v>
      </c>
      <c r="AB105" s="21">
        <f t="shared" si="4"/>
        <v>45962</v>
      </c>
      <c r="AC105">
        <f>SUMIFS(Production!$H:$H,Production!$A:$A,UPPER(TRIM(B105)),Production!$B:$B,AB105)-SUMIFS(Production!$I:$I,Production!$A:$A,UPPER(TRIM(B105)),Production!$B:$B,AB105)</f>
        <v>41.2</v>
      </c>
      <c r="AD105">
        <f t="shared" si="5"/>
        <v>19425.964800000002</v>
      </c>
    </row>
    <row r="106" spans="1:30" ht="21" customHeight="1">
      <c r="A106" s="2" t="s">
        <v>308</v>
      </c>
      <c r="B106" s="9" t="s">
        <v>31</v>
      </c>
      <c r="C106" s="5">
        <v>46001.5</v>
      </c>
      <c r="D106" s="4">
        <v>46002.255833333329</v>
      </c>
      <c r="E106" s="2" t="s">
        <v>83</v>
      </c>
      <c r="F106" s="2" t="s">
        <v>115</v>
      </c>
      <c r="G106" s="3">
        <v>2.08</v>
      </c>
      <c r="H106" s="3">
        <v>3.57</v>
      </c>
      <c r="I106" s="3">
        <v>9.6199999999999992</v>
      </c>
      <c r="J106" s="3">
        <v>2.2000000000000002</v>
      </c>
      <c r="K106" s="3">
        <v>0.67</v>
      </c>
      <c r="L106" s="3">
        <v>18.14</v>
      </c>
      <c r="M106" s="3">
        <v>399.08</v>
      </c>
      <c r="N106" s="3">
        <v>0.27</v>
      </c>
      <c r="O106" s="2" t="s">
        <v>309</v>
      </c>
      <c r="P106" s="4">
        <v>46001.58666666667</v>
      </c>
      <c r="Q106" s="4">
        <v>46002.255833333329</v>
      </c>
      <c r="R106" s="2" t="s">
        <v>86</v>
      </c>
      <c r="S106" s="3">
        <v>4.4000000000000004</v>
      </c>
      <c r="T106" s="2">
        <v>85</v>
      </c>
      <c r="U106" s="3">
        <v>3196</v>
      </c>
      <c r="V106" s="3">
        <v>0</v>
      </c>
      <c r="W106" s="2" t="s">
        <v>94</v>
      </c>
      <c r="X106" s="2" t="s">
        <v>117</v>
      </c>
      <c r="Y106" s="3">
        <v>0</v>
      </c>
      <c r="Z106" t="str">
        <f>INDEX(Assets!$J:$J,MATCH(UPPER(TRIM(B106)),Assets!$A:$A,0))</f>
        <v>Mesa</v>
      </c>
      <c r="AA106">
        <f t="shared" si="3"/>
        <v>291.32839999999999</v>
      </c>
      <c r="AB106" s="21">
        <f t="shared" si="4"/>
        <v>45992</v>
      </c>
      <c r="AC106">
        <f>SUMIFS(Production!$H:$H,Production!$A:$A,UPPER(TRIM(B106)),Production!$B:$B,AB106)-SUMIFS(Production!$I:$I,Production!$A:$A,UPPER(TRIM(B106)),Production!$B:$B,AB106)</f>
        <v>42.2</v>
      </c>
      <c r="AD106">
        <f t="shared" si="5"/>
        <v>12294.05848</v>
      </c>
    </row>
    <row r="107" spans="1:30" ht="21" customHeight="1">
      <c r="A107" s="2" t="s">
        <v>310</v>
      </c>
      <c r="B107" s="9" t="s">
        <v>32</v>
      </c>
      <c r="C107" s="5">
        <v>45666.5</v>
      </c>
      <c r="D107" s="4">
        <v>45667.040000000001</v>
      </c>
      <c r="E107" s="2" t="s">
        <v>83</v>
      </c>
      <c r="F107" s="2" t="s">
        <v>119</v>
      </c>
      <c r="G107" s="3">
        <v>1.29</v>
      </c>
      <c r="H107" s="3">
        <v>4.8099999999999996</v>
      </c>
      <c r="I107" s="3">
        <v>0</v>
      </c>
      <c r="J107" s="3">
        <v>6.04</v>
      </c>
      <c r="K107" s="3">
        <v>0.82</v>
      </c>
      <c r="L107" s="3">
        <v>12.96</v>
      </c>
      <c r="M107" s="3">
        <v>259.2</v>
      </c>
      <c r="N107" s="3">
        <v>0.1</v>
      </c>
      <c r="O107" s="2" t="s">
        <v>311</v>
      </c>
      <c r="P107" s="4">
        <v>45666.553749999999</v>
      </c>
      <c r="Q107" s="4">
        <v>45667.040000000001</v>
      </c>
      <c r="R107" s="2" t="s">
        <v>86</v>
      </c>
      <c r="S107" s="3">
        <v>6.04</v>
      </c>
      <c r="T107" s="2">
        <v>85</v>
      </c>
      <c r="U107" s="3">
        <v>2834</v>
      </c>
      <c r="V107" s="3">
        <v>0</v>
      </c>
      <c r="W107" s="2" t="s">
        <v>94</v>
      </c>
      <c r="X107" s="2" t="s">
        <v>121</v>
      </c>
      <c r="Y107" s="3">
        <v>0</v>
      </c>
      <c r="Z107" t="str">
        <f>INDEX(Assets!$J:$J,MATCH(UPPER(TRIM(B107)),Assets!$A:$A,0))</f>
        <v>Mesa</v>
      </c>
      <c r="AA107">
        <f t="shared" si="3"/>
        <v>233.28</v>
      </c>
      <c r="AB107" s="21">
        <f t="shared" si="4"/>
        <v>45658</v>
      </c>
      <c r="AC107">
        <f>SUMIFS(Production!$H:$H,Production!$A:$A,UPPER(TRIM(B107)),Production!$B:$B,AB107)-SUMIFS(Production!$I:$I,Production!$A:$A,UPPER(TRIM(B107)),Production!$B:$B,AB107)</f>
        <v>49.2</v>
      </c>
      <c r="AD107">
        <f t="shared" si="5"/>
        <v>11477.376</v>
      </c>
    </row>
    <row r="108" spans="1:30" ht="21" customHeight="1">
      <c r="A108" s="2" t="s">
        <v>312</v>
      </c>
      <c r="B108" s="9" t="s">
        <v>32</v>
      </c>
      <c r="C108" s="5">
        <v>45685.5</v>
      </c>
      <c r="D108" s="4">
        <v>45685.635416666672</v>
      </c>
      <c r="E108" s="2" t="s">
        <v>90</v>
      </c>
      <c r="F108" s="2" t="s">
        <v>91</v>
      </c>
      <c r="G108" s="3">
        <v>0</v>
      </c>
      <c r="H108" s="3">
        <v>0</v>
      </c>
      <c r="I108" s="3">
        <v>0</v>
      </c>
      <c r="J108" s="3">
        <v>3.25</v>
      </c>
      <c r="K108" s="3">
        <v>0</v>
      </c>
      <c r="L108" s="3">
        <v>3.25</v>
      </c>
      <c r="M108" s="3">
        <v>65</v>
      </c>
      <c r="N108" s="3">
        <v>0.25</v>
      </c>
      <c r="O108" s="2" t="s">
        <v>313</v>
      </c>
      <c r="P108" s="4">
        <v>45685.5</v>
      </c>
      <c r="Q108" s="4">
        <v>45685.635416666672</v>
      </c>
      <c r="R108" s="2" t="s">
        <v>93</v>
      </c>
      <c r="S108" s="3">
        <v>6.5</v>
      </c>
      <c r="T108" s="2">
        <v>85</v>
      </c>
      <c r="U108" s="3">
        <v>1648</v>
      </c>
      <c r="V108" s="3">
        <v>0</v>
      </c>
      <c r="W108" s="2" t="s">
        <v>94</v>
      </c>
      <c r="X108" s="2" t="s">
        <v>95</v>
      </c>
      <c r="Y108" s="3">
        <v>0</v>
      </c>
      <c r="Z108" t="str">
        <f>INDEX(Assets!$J:$J,MATCH(UPPER(TRIM(B108)),Assets!$A:$A,0))</f>
        <v>Mesa</v>
      </c>
      <c r="AA108">
        <f t="shared" si="3"/>
        <v>48.75</v>
      </c>
      <c r="AB108" s="21">
        <f t="shared" si="4"/>
        <v>45658</v>
      </c>
      <c r="AC108">
        <f>SUMIFS(Production!$H:$H,Production!$A:$A,UPPER(TRIM(B108)),Production!$B:$B,AB108)-SUMIFS(Production!$I:$I,Production!$A:$A,UPPER(TRIM(B108)),Production!$B:$B,AB108)</f>
        <v>49.2</v>
      </c>
      <c r="AD108">
        <f t="shared" si="5"/>
        <v>2398.5</v>
      </c>
    </row>
    <row r="109" spans="1:30" ht="21" customHeight="1">
      <c r="A109" s="2" t="s">
        <v>314</v>
      </c>
      <c r="B109" s="9" t="s">
        <v>32</v>
      </c>
      <c r="C109" s="5">
        <v>45694.5</v>
      </c>
      <c r="D109" s="4">
        <v>45694.932916666672</v>
      </c>
      <c r="E109" s="2" t="s">
        <v>83</v>
      </c>
      <c r="F109" s="2" t="s">
        <v>101</v>
      </c>
      <c r="G109" s="3">
        <v>3.58</v>
      </c>
      <c r="H109" s="3">
        <v>2.76</v>
      </c>
      <c r="I109" s="3">
        <v>0</v>
      </c>
      <c r="J109" s="3">
        <v>3.48</v>
      </c>
      <c r="K109" s="3">
        <v>0.56999999999999995</v>
      </c>
      <c r="L109" s="3">
        <v>10.39</v>
      </c>
      <c r="M109" s="3">
        <v>207.8</v>
      </c>
      <c r="N109" s="3">
        <v>0.26</v>
      </c>
      <c r="O109" s="2" t="s">
        <v>315</v>
      </c>
      <c r="P109" s="4">
        <v>45694.64916666667</v>
      </c>
      <c r="Q109" s="4">
        <v>45694.932916666672</v>
      </c>
      <c r="R109" s="2" t="s">
        <v>86</v>
      </c>
      <c r="S109" s="3">
        <v>3.48</v>
      </c>
      <c r="T109" s="2">
        <v>85</v>
      </c>
      <c r="U109" s="3">
        <v>7035</v>
      </c>
      <c r="V109" s="3">
        <v>0</v>
      </c>
      <c r="W109" s="2" t="s">
        <v>94</v>
      </c>
      <c r="X109" s="2" t="s">
        <v>103</v>
      </c>
      <c r="Y109" s="3">
        <v>0</v>
      </c>
      <c r="Z109" t="str">
        <f>INDEX(Assets!$J:$J,MATCH(UPPER(TRIM(B109)),Assets!$A:$A,0))</f>
        <v>Mesa</v>
      </c>
      <c r="AA109">
        <f t="shared" si="3"/>
        <v>153.77200000000002</v>
      </c>
      <c r="AB109" s="21">
        <f t="shared" si="4"/>
        <v>45689</v>
      </c>
      <c r="AC109">
        <f>SUMIFS(Production!$H:$H,Production!$A:$A,UPPER(TRIM(B109)),Production!$B:$B,AB109)-SUMIFS(Production!$I:$I,Production!$A:$A,UPPER(TRIM(B109)),Production!$B:$B,AB109)</f>
        <v>47.2</v>
      </c>
      <c r="AD109">
        <f t="shared" si="5"/>
        <v>7258.0384000000013</v>
      </c>
    </row>
    <row r="110" spans="1:30" ht="21" customHeight="1">
      <c r="A110" s="2" t="s">
        <v>316</v>
      </c>
      <c r="B110" s="9" t="s">
        <v>32</v>
      </c>
      <c r="C110" s="5">
        <v>45721.5</v>
      </c>
      <c r="D110" s="4">
        <v>45721.786250000005</v>
      </c>
      <c r="E110" s="2" t="s">
        <v>83</v>
      </c>
      <c r="F110" s="2" t="s">
        <v>115</v>
      </c>
      <c r="G110" s="3">
        <v>1.49</v>
      </c>
      <c r="H110" s="3">
        <v>2.5099999999999998</v>
      </c>
      <c r="I110" s="3">
        <v>0</v>
      </c>
      <c r="J110" s="3">
        <v>2.14</v>
      </c>
      <c r="K110" s="3">
        <v>0.73</v>
      </c>
      <c r="L110" s="3">
        <v>6.87</v>
      </c>
      <c r="M110" s="3">
        <v>137.4</v>
      </c>
      <c r="N110" s="3">
        <v>0.12</v>
      </c>
      <c r="O110" s="2" t="s">
        <v>317</v>
      </c>
      <c r="P110" s="4">
        <v>45721.562083333338</v>
      </c>
      <c r="Q110" s="4">
        <v>45721.786250000005</v>
      </c>
      <c r="R110" s="2" t="s">
        <v>86</v>
      </c>
      <c r="S110" s="3">
        <v>4.28</v>
      </c>
      <c r="T110" s="2">
        <v>85</v>
      </c>
      <c r="U110" s="3">
        <v>8067</v>
      </c>
      <c r="V110" s="3">
        <v>0</v>
      </c>
      <c r="W110" s="2" t="s">
        <v>94</v>
      </c>
      <c r="X110" s="2" t="s">
        <v>117</v>
      </c>
      <c r="Y110" s="3">
        <v>0</v>
      </c>
      <c r="Z110" t="str">
        <f>INDEX(Assets!$J:$J,MATCH(UPPER(TRIM(B110)),Assets!$A:$A,0))</f>
        <v>Mesa</v>
      </c>
      <c r="AA110">
        <f t="shared" si="3"/>
        <v>120.91200000000001</v>
      </c>
      <c r="AB110" s="21">
        <f t="shared" si="4"/>
        <v>45717</v>
      </c>
      <c r="AC110">
        <f>SUMIFS(Production!$H:$H,Production!$A:$A,UPPER(TRIM(B110)),Production!$B:$B,AB110)-SUMIFS(Production!$I:$I,Production!$A:$A,UPPER(TRIM(B110)),Production!$B:$B,AB110)</f>
        <v>45.2</v>
      </c>
      <c r="AD110">
        <f t="shared" si="5"/>
        <v>5465.2224000000006</v>
      </c>
    </row>
    <row r="111" spans="1:30" ht="21" customHeight="1">
      <c r="A111" s="2" t="s">
        <v>318</v>
      </c>
      <c r="B111" s="9" t="s">
        <v>32</v>
      </c>
      <c r="C111" s="5">
        <v>45735.5</v>
      </c>
      <c r="D111" s="4">
        <v>45736.210416666669</v>
      </c>
      <c r="E111" s="2" t="s">
        <v>83</v>
      </c>
      <c r="F111" s="2" t="s">
        <v>119</v>
      </c>
      <c r="G111" s="3">
        <v>0.81</v>
      </c>
      <c r="H111" s="3">
        <v>3.34</v>
      </c>
      <c r="I111" s="3">
        <v>0</v>
      </c>
      <c r="J111" s="3">
        <v>10.9</v>
      </c>
      <c r="K111" s="3">
        <v>2</v>
      </c>
      <c r="L111" s="3">
        <v>17.05</v>
      </c>
      <c r="M111" s="3">
        <v>341</v>
      </c>
      <c r="N111" s="3">
        <v>0.27</v>
      </c>
      <c r="O111" s="2" t="s">
        <v>319</v>
      </c>
      <c r="P111" s="4">
        <v>45735.533750000002</v>
      </c>
      <c r="Q111" s="4">
        <v>45736.210416666669</v>
      </c>
      <c r="R111" s="2" t="s">
        <v>86</v>
      </c>
      <c r="S111" s="3">
        <v>10.9</v>
      </c>
      <c r="T111" s="2">
        <v>85</v>
      </c>
      <c r="U111" s="3">
        <v>5637</v>
      </c>
      <c r="V111" s="3">
        <v>0</v>
      </c>
      <c r="W111" s="2" t="s">
        <v>94</v>
      </c>
      <c r="X111" s="2" t="s">
        <v>121</v>
      </c>
      <c r="Y111" s="3">
        <v>0</v>
      </c>
      <c r="Z111" t="str">
        <f>INDEX(Assets!$J:$J,MATCH(UPPER(TRIM(B111)),Assets!$A:$A,0))</f>
        <v>Mesa</v>
      </c>
      <c r="AA111">
        <f t="shared" si="3"/>
        <v>248.93</v>
      </c>
      <c r="AB111" s="21">
        <f t="shared" si="4"/>
        <v>45717</v>
      </c>
      <c r="AC111">
        <f>SUMIFS(Production!$H:$H,Production!$A:$A,UPPER(TRIM(B111)),Production!$B:$B,AB111)-SUMIFS(Production!$I:$I,Production!$A:$A,UPPER(TRIM(B111)),Production!$B:$B,AB111)</f>
        <v>45.2</v>
      </c>
      <c r="AD111">
        <f t="shared" si="5"/>
        <v>11251.636</v>
      </c>
    </row>
    <row r="112" spans="1:30" ht="21" customHeight="1">
      <c r="A112" s="2" t="s">
        <v>320</v>
      </c>
      <c r="B112" s="9" t="s">
        <v>32</v>
      </c>
      <c r="C112" s="5">
        <v>45756.5</v>
      </c>
      <c r="D112" s="4">
        <v>45757.162916666668</v>
      </c>
      <c r="E112" s="2" t="s">
        <v>83</v>
      </c>
      <c r="F112" s="2" t="s">
        <v>101</v>
      </c>
      <c r="G112" s="3">
        <v>3.11</v>
      </c>
      <c r="H112" s="3">
        <v>3.3</v>
      </c>
      <c r="I112" s="3">
        <v>0</v>
      </c>
      <c r="J112" s="3">
        <v>8.44</v>
      </c>
      <c r="K112" s="3">
        <v>1.06</v>
      </c>
      <c r="L112" s="3">
        <v>15.91</v>
      </c>
      <c r="M112" s="3">
        <v>318.2</v>
      </c>
      <c r="N112" s="3">
        <v>0.3</v>
      </c>
      <c r="O112" s="2" t="s">
        <v>321</v>
      </c>
      <c r="P112" s="4">
        <v>45756.629583333328</v>
      </c>
      <c r="Q112" s="4">
        <v>45757.162916666668</v>
      </c>
      <c r="R112" s="2" t="s">
        <v>86</v>
      </c>
      <c r="S112" s="3">
        <v>8.44</v>
      </c>
      <c r="T112" s="2">
        <v>85</v>
      </c>
      <c r="U112" s="3">
        <v>4090</v>
      </c>
      <c r="V112" s="3">
        <v>1200</v>
      </c>
      <c r="W112" s="2" t="s">
        <v>94</v>
      </c>
      <c r="X112" s="2" t="s">
        <v>103</v>
      </c>
      <c r="Y112" s="3">
        <v>0</v>
      </c>
      <c r="Z112" t="str">
        <f>INDEX(Assets!$J:$J,MATCH(UPPER(TRIM(B112)),Assets!$A:$A,0))</f>
        <v>Mesa</v>
      </c>
      <c r="AA112">
        <f t="shared" si="3"/>
        <v>222.73999999999998</v>
      </c>
      <c r="AB112" s="21">
        <f t="shared" si="4"/>
        <v>45748</v>
      </c>
      <c r="AC112">
        <f>SUMIFS(Production!$H:$H,Production!$A:$A,UPPER(TRIM(B112)),Production!$B:$B,AB112)-SUMIFS(Production!$I:$I,Production!$A:$A,UPPER(TRIM(B112)),Production!$B:$B,AB112)</f>
        <v>43.2</v>
      </c>
      <c r="AD112">
        <f t="shared" si="5"/>
        <v>9622.3680000000004</v>
      </c>
    </row>
    <row r="113" spans="1:30" ht="21" customHeight="1">
      <c r="A113" s="2" t="s">
        <v>322</v>
      </c>
      <c r="B113" s="9" t="s">
        <v>32</v>
      </c>
      <c r="C113" s="5">
        <v>45766.5</v>
      </c>
      <c r="D113" s="4">
        <v>45767.266250000001</v>
      </c>
      <c r="E113" s="2" t="s">
        <v>83</v>
      </c>
      <c r="F113" s="2" t="s">
        <v>119</v>
      </c>
      <c r="G113" s="3">
        <v>3.37</v>
      </c>
      <c r="H113" s="3">
        <v>1.89</v>
      </c>
      <c r="I113" s="3">
        <v>0</v>
      </c>
      <c r="J113" s="3">
        <v>12.25</v>
      </c>
      <c r="K113" s="3">
        <v>0.88</v>
      </c>
      <c r="L113" s="3">
        <v>18.39</v>
      </c>
      <c r="M113" s="3">
        <v>367.8</v>
      </c>
      <c r="N113" s="3">
        <v>0.28000000000000003</v>
      </c>
      <c r="O113" s="2" t="s">
        <v>323</v>
      </c>
      <c r="P113" s="4">
        <v>45766.640416666662</v>
      </c>
      <c r="Q113" s="4">
        <v>45767.266250000001</v>
      </c>
      <c r="R113" s="2" t="s">
        <v>86</v>
      </c>
      <c r="S113" s="3">
        <v>24.5</v>
      </c>
      <c r="T113" s="2">
        <v>85</v>
      </c>
      <c r="U113" s="3">
        <v>5898</v>
      </c>
      <c r="V113" s="3">
        <v>0</v>
      </c>
      <c r="W113" s="2" t="s">
        <v>94</v>
      </c>
      <c r="X113" s="2" t="s">
        <v>121</v>
      </c>
      <c r="Y113" s="3">
        <v>0</v>
      </c>
      <c r="Z113" t="str">
        <f>INDEX(Assets!$J:$J,MATCH(UPPER(TRIM(B113)),Assets!$A:$A,0))</f>
        <v>Mesa</v>
      </c>
      <c r="AA113">
        <f t="shared" si="3"/>
        <v>264.81599999999997</v>
      </c>
      <c r="AB113" s="21">
        <f t="shared" si="4"/>
        <v>45748</v>
      </c>
      <c r="AC113">
        <f>SUMIFS(Production!$H:$H,Production!$A:$A,UPPER(TRIM(B113)),Production!$B:$B,AB113)-SUMIFS(Production!$I:$I,Production!$A:$A,UPPER(TRIM(B113)),Production!$B:$B,AB113)</f>
        <v>43.2</v>
      </c>
      <c r="AD113">
        <f t="shared" si="5"/>
        <v>11440.0512</v>
      </c>
    </row>
    <row r="114" spans="1:30" ht="21" customHeight="1">
      <c r="A114" s="2" t="s">
        <v>324</v>
      </c>
      <c r="B114" s="9" t="s">
        <v>32</v>
      </c>
      <c r="C114" s="5">
        <v>45775.5</v>
      </c>
      <c r="D114" s="4">
        <v>45775.720416666663</v>
      </c>
      <c r="E114" s="2" t="s">
        <v>90</v>
      </c>
      <c r="F114" s="2" t="s">
        <v>91</v>
      </c>
      <c r="G114" s="3">
        <v>0</v>
      </c>
      <c r="H114" s="3">
        <v>0</v>
      </c>
      <c r="I114" s="3">
        <v>0</v>
      </c>
      <c r="J114" s="3">
        <v>5.29</v>
      </c>
      <c r="K114" s="3">
        <v>0</v>
      </c>
      <c r="L114" s="3">
        <v>5.29</v>
      </c>
      <c r="M114" s="3">
        <v>105.8</v>
      </c>
      <c r="N114" s="3">
        <v>0.25</v>
      </c>
      <c r="O114" s="2" t="s">
        <v>325</v>
      </c>
      <c r="P114" s="4">
        <v>45775.5</v>
      </c>
      <c r="Q114" s="4">
        <v>45775.720416666663</v>
      </c>
      <c r="R114" s="2" t="s">
        <v>93</v>
      </c>
      <c r="S114" s="3">
        <v>5.29</v>
      </c>
      <c r="T114" s="2">
        <v>85</v>
      </c>
      <c r="U114" s="3">
        <v>1649</v>
      </c>
      <c r="V114" s="3">
        <v>0</v>
      </c>
      <c r="W114" s="2" t="s">
        <v>94</v>
      </c>
      <c r="X114" s="2" t="s">
        <v>95</v>
      </c>
      <c r="Y114" s="3">
        <v>0</v>
      </c>
      <c r="Z114" t="str">
        <f>INDEX(Assets!$J:$J,MATCH(UPPER(TRIM(B114)),Assets!$A:$A,0))</f>
        <v>Mesa</v>
      </c>
      <c r="AA114">
        <f t="shared" si="3"/>
        <v>79.349999999999994</v>
      </c>
      <c r="AB114" s="21">
        <f t="shared" si="4"/>
        <v>45748</v>
      </c>
      <c r="AC114">
        <f>SUMIFS(Production!$H:$H,Production!$A:$A,UPPER(TRIM(B114)),Production!$B:$B,AB114)-SUMIFS(Production!$I:$I,Production!$A:$A,UPPER(TRIM(B114)),Production!$B:$B,AB114)</f>
        <v>43.2</v>
      </c>
      <c r="AD114">
        <f t="shared" si="5"/>
        <v>3427.92</v>
      </c>
    </row>
    <row r="115" spans="1:30" ht="21" customHeight="1">
      <c r="A115" s="2" t="s">
        <v>326</v>
      </c>
      <c r="B115" s="9" t="s">
        <v>32</v>
      </c>
      <c r="C115" s="5">
        <v>45781.5</v>
      </c>
      <c r="D115" s="4">
        <v>45782.282083333332</v>
      </c>
      <c r="E115" s="2" t="s">
        <v>83</v>
      </c>
      <c r="F115" s="2" t="s">
        <v>119</v>
      </c>
      <c r="G115" s="3">
        <v>1.99</v>
      </c>
      <c r="H115" s="3">
        <v>5.64</v>
      </c>
      <c r="I115" s="3">
        <v>0</v>
      </c>
      <c r="J115" s="3">
        <v>9.1300000000000008</v>
      </c>
      <c r="K115" s="3">
        <v>2.0099999999999998</v>
      </c>
      <c r="L115" s="3">
        <v>18.77</v>
      </c>
      <c r="M115" s="3">
        <v>375.4</v>
      </c>
      <c r="N115" s="3">
        <v>0.1</v>
      </c>
      <c r="O115" s="2" t="s">
        <v>327</v>
      </c>
      <c r="P115" s="4">
        <v>45781.582916666666</v>
      </c>
      <c r="Q115" s="4">
        <v>45782.282083333332</v>
      </c>
      <c r="R115" s="2" t="s">
        <v>86</v>
      </c>
      <c r="S115" s="3">
        <v>9.1300000000000008</v>
      </c>
      <c r="T115" s="2">
        <v>85</v>
      </c>
      <c r="U115" s="3">
        <v>8354</v>
      </c>
      <c r="V115" s="3">
        <v>0</v>
      </c>
      <c r="W115" s="2" t="s">
        <v>94</v>
      </c>
      <c r="X115" s="2" t="s">
        <v>121</v>
      </c>
      <c r="Y115" s="3">
        <v>0</v>
      </c>
      <c r="Z115" t="str">
        <f>INDEX(Assets!$J:$J,MATCH(UPPER(TRIM(B115)),Assets!$A:$A,0))</f>
        <v>Mesa</v>
      </c>
      <c r="AA115">
        <f t="shared" si="3"/>
        <v>337.86</v>
      </c>
      <c r="AB115" s="21">
        <f t="shared" si="4"/>
        <v>45778</v>
      </c>
      <c r="AC115">
        <f>SUMIFS(Production!$H:$H,Production!$A:$A,UPPER(TRIM(B115)),Production!$B:$B,AB115)-SUMIFS(Production!$I:$I,Production!$A:$A,UPPER(TRIM(B115)),Production!$B:$B,AB115)</f>
        <v>41.2</v>
      </c>
      <c r="AD115">
        <f t="shared" si="5"/>
        <v>13919.832000000002</v>
      </c>
    </row>
    <row r="116" spans="1:30" ht="21" customHeight="1">
      <c r="A116" s="2" t="s">
        <v>328</v>
      </c>
      <c r="B116" s="9" t="s">
        <v>32</v>
      </c>
      <c r="C116" s="5">
        <v>45796.5</v>
      </c>
      <c r="D116" s="4">
        <v>45798.213749999995</v>
      </c>
      <c r="E116" s="2" t="s">
        <v>83</v>
      </c>
      <c r="F116" s="2" t="s">
        <v>119</v>
      </c>
      <c r="G116" s="3">
        <v>4.05</v>
      </c>
      <c r="H116" s="3">
        <v>3.56</v>
      </c>
      <c r="I116" s="3">
        <v>20.82</v>
      </c>
      <c r="J116" s="3">
        <v>12.05</v>
      </c>
      <c r="K116" s="3">
        <v>0.65</v>
      </c>
      <c r="L116" s="3">
        <v>41.13</v>
      </c>
      <c r="M116" s="3">
        <v>822.6</v>
      </c>
      <c r="N116" s="3">
        <v>0.13</v>
      </c>
      <c r="O116" s="2" t="s">
        <v>329</v>
      </c>
      <c r="P116" s="4">
        <v>45796.668749999997</v>
      </c>
      <c r="Q116" s="4">
        <v>45798.213749999995</v>
      </c>
      <c r="R116" s="2" t="s">
        <v>86</v>
      </c>
      <c r="S116" s="3">
        <v>12.05</v>
      </c>
      <c r="T116" s="2">
        <v>85</v>
      </c>
      <c r="U116" s="3">
        <v>7318</v>
      </c>
      <c r="V116" s="3">
        <v>0</v>
      </c>
      <c r="W116" s="2" t="s">
        <v>94</v>
      </c>
      <c r="X116" s="2" t="s">
        <v>121</v>
      </c>
      <c r="Y116" s="3">
        <v>0</v>
      </c>
      <c r="Z116" t="str">
        <f>INDEX(Assets!$J:$J,MATCH(UPPER(TRIM(B116)),Assets!$A:$A,0))</f>
        <v>Mesa</v>
      </c>
      <c r="AA116">
        <f t="shared" si="3"/>
        <v>715.66200000000003</v>
      </c>
      <c r="AB116" s="21">
        <f t="shared" si="4"/>
        <v>45778</v>
      </c>
      <c r="AC116">
        <f>SUMIFS(Production!$H:$H,Production!$A:$A,UPPER(TRIM(B116)),Production!$B:$B,AB116)-SUMIFS(Production!$I:$I,Production!$A:$A,UPPER(TRIM(B116)),Production!$B:$B,AB116)</f>
        <v>41.2</v>
      </c>
      <c r="AD116">
        <f t="shared" si="5"/>
        <v>29485.274400000002</v>
      </c>
    </row>
    <row r="117" spans="1:30" ht="21" customHeight="1">
      <c r="A117" s="2" t="s">
        <v>330</v>
      </c>
      <c r="B117" s="9" t="s">
        <v>32</v>
      </c>
      <c r="C117" s="5">
        <v>45815.5</v>
      </c>
      <c r="D117" s="4">
        <v>45816.277499999997</v>
      </c>
      <c r="E117" s="2" t="s">
        <v>83</v>
      </c>
      <c r="F117" s="2" t="s">
        <v>119</v>
      </c>
      <c r="G117" s="3">
        <v>0.98</v>
      </c>
      <c r="H117" s="3">
        <v>4.37</v>
      </c>
      <c r="I117" s="3">
        <v>0</v>
      </c>
      <c r="J117" s="3">
        <v>11.59</v>
      </c>
      <c r="K117" s="3">
        <v>1.72</v>
      </c>
      <c r="L117" s="3">
        <v>18.66</v>
      </c>
      <c r="M117" s="3">
        <v>373.2</v>
      </c>
      <c r="N117" s="3">
        <v>0.21</v>
      </c>
      <c r="O117" s="2" t="s">
        <v>331</v>
      </c>
      <c r="P117" s="4">
        <v>45815.540833333333</v>
      </c>
      <c r="Q117" s="4">
        <v>45816.277499999997</v>
      </c>
      <c r="R117" s="2" t="s">
        <v>86</v>
      </c>
      <c r="S117" s="3">
        <v>11.59</v>
      </c>
      <c r="T117" s="2">
        <v>85</v>
      </c>
      <c r="U117" s="3">
        <v>5400</v>
      </c>
      <c r="V117" s="3">
        <v>2515</v>
      </c>
      <c r="W117" s="2" t="s">
        <v>94</v>
      </c>
      <c r="X117" s="2" t="s">
        <v>121</v>
      </c>
      <c r="Y117" s="3">
        <v>0</v>
      </c>
      <c r="Z117" t="str">
        <f>INDEX(Assets!$J:$J,MATCH(UPPER(TRIM(B117)),Assets!$A:$A,0))</f>
        <v>Mesa</v>
      </c>
      <c r="AA117">
        <f t="shared" si="3"/>
        <v>294.82800000000003</v>
      </c>
      <c r="AB117" s="21">
        <f t="shared" si="4"/>
        <v>45809</v>
      </c>
      <c r="AC117">
        <f>SUMIFS(Production!$H:$H,Production!$A:$A,UPPER(TRIM(B117)),Production!$B:$B,AB117)-SUMIFS(Production!$I:$I,Production!$A:$A,UPPER(TRIM(B117)),Production!$B:$B,AB117)</f>
        <v>42.2</v>
      </c>
      <c r="AD117">
        <f t="shared" si="5"/>
        <v>12441.741600000003</v>
      </c>
    </row>
    <row r="118" spans="1:30" ht="21" customHeight="1">
      <c r="A118" s="2" t="s">
        <v>332</v>
      </c>
      <c r="B118" s="9" t="s">
        <v>32</v>
      </c>
      <c r="C118" s="5">
        <v>45829.5</v>
      </c>
      <c r="D118" s="4">
        <v>45829.963333333333</v>
      </c>
      <c r="E118" s="2" t="s">
        <v>83</v>
      </c>
      <c r="F118" s="2" t="s">
        <v>101</v>
      </c>
      <c r="G118" s="3">
        <v>1.06</v>
      </c>
      <c r="H118" s="3">
        <v>1.89</v>
      </c>
      <c r="I118" s="3">
        <v>0</v>
      </c>
      <c r="J118" s="3">
        <v>7.06</v>
      </c>
      <c r="K118" s="3">
        <v>1.1100000000000001</v>
      </c>
      <c r="L118" s="3">
        <v>11.12</v>
      </c>
      <c r="M118" s="3">
        <v>222.4</v>
      </c>
      <c r="N118" s="3">
        <v>0.14000000000000001</v>
      </c>
      <c r="O118" s="2" t="s">
        <v>333</v>
      </c>
      <c r="P118" s="4">
        <v>45829.544166666667</v>
      </c>
      <c r="Q118" s="4">
        <v>45829.963333333333</v>
      </c>
      <c r="R118" s="2" t="s">
        <v>86</v>
      </c>
      <c r="S118" s="3">
        <v>14.12</v>
      </c>
      <c r="T118" s="2">
        <v>85</v>
      </c>
      <c r="U118" s="3"/>
      <c r="V118" s="3">
        <v>0</v>
      </c>
      <c r="W118" s="2" t="s">
        <v>87</v>
      </c>
      <c r="X118" s="2" t="s">
        <v>103</v>
      </c>
      <c r="Y118" s="3">
        <v>0</v>
      </c>
      <c r="Z118" t="str">
        <f>INDEX(Assets!$J:$J,MATCH(UPPER(TRIM(B118)),Assets!$A:$A,0))</f>
        <v>Mesa</v>
      </c>
      <c r="AA118">
        <f t="shared" si="3"/>
        <v>191.26400000000001</v>
      </c>
      <c r="AB118" s="21">
        <f t="shared" si="4"/>
        <v>45809</v>
      </c>
      <c r="AC118">
        <f>SUMIFS(Production!$H:$H,Production!$A:$A,UPPER(TRIM(B118)),Production!$B:$B,AB118)-SUMIFS(Production!$I:$I,Production!$A:$A,UPPER(TRIM(B118)),Production!$B:$B,AB118)</f>
        <v>42.2</v>
      </c>
      <c r="AD118">
        <f t="shared" si="5"/>
        <v>8071.3408000000009</v>
      </c>
    </row>
    <row r="119" spans="1:30" ht="21" customHeight="1">
      <c r="A119" s="2" t="s">
        <v>334</v>
      </c>
      <c r="B119" s="9" t="s">
        <v>32</v>
      </c>
      <c r="C119" s="5">
        <v>45846.5</v>
      </c>
      <c r="D119" s="4">
        <v>45847.683333333334</v>
      </c>
      <c r="E119" s="2" t="s">
        <v>83</v>
      </c>
      <c r="F119" s="2" t="s">
        <v>119</v>
      </c>
      <c r="G119" s="3">
        <v>3.96</v>
      </c>
      <c r="H119" s="3">
        <v>3.03</v>
      </c>
      <c r="I119" s="3">
        <v>12.41</v>
      </c>
      <c r="J119" s="3">
        <v>7.42</v>
      </c>
      <c r="K119" s="3">
        <v>1.58</v>
      </c>
      <c r="L119" s="3">
        <v>28.4</v>
      </c>
      <c r="M119" s="3">
        <v>568</v>
      </c>
      <c r="N119" s="3">
        <v>0.25</v>
      </c>
      <c r="O119" s="2" t="s">
        <v>335</v>
      </c>
      <c r="P119" s="4">
        <v>45846.665000000001</v>
      </c>
      <c r="Q119" s="4">
        <v>45847.683333333334</v>
      </c>
      <c r="R119" s="2" t="s">
        <v>86</v>
      </c>
      <c r="S119" s="3">
        <v>14.84</v>
      </c>
      <c r="T119" s="2">
        <v>85</v>
      </c>
      <c r="U119" s="3">
        <v>8994</v>
      </c>
      <c r="V119" s="3">
        <v>1715</v>
      </c>
      <c r="W119" s="2" t="s">
        <v>94</v>
      </c>
      <c r="X119" s="2" t="s">
        <v>121</v>
      </c>
      <c r="Y119" s="3">
        <v>0</v>
      </c>
      <c r="Z119" t="str">
        <f>INDEX(Assets!$J:$J,MATCH(UPPER(TRIM(B119)),Assets!$A:$A,0))</f>
        <v>Mesa</v>
      </c>
      <c r="AA119">
        <f t="shared" si="3"/>
        <v>426</v>
      </c>
      <c r="AB119" s="21">
        <f t="shared" si="4"/>
        <v>45839</v>
      </c>
      <c r="AC119">
        <f>SUMIFS(Production!$H:$H,Production!$A:$A,UPPER(TRIM(B119)),Production!$B:$B,AB119)-SUMIFS(Production!$I:$I,Production!$A:$A,UPPER(TRIM(B119)),Production!$B:$B,AB119)</f>
        <v>44.2</v>
      </c>
      <c r="AD119">
        <f t="shared" si="5"/>
        <v>18829.2</v>
      </c>
    </row>
    <row r="120" spans="1:30" ht="21" customHeight="1">
      <c r="A120" s="2" t="s">
        <v>336</v>
      </c>
      <c r="B120" s="9" t="s">
        <v>32</v>
      </c>
      <c r="C120" s="5">
        <v>45860.5</v>
      </c>
      <c r="D120" s="4">
        <v>45861.597083333334</v>
      </c>
      <c r="E120" s="2" t="s">
        <v>83</v>
      </c>
      <c r="F120" s="2" t="s">
        <v>101</v>
      </c>
      <c r="G120" s="3">
        <v>3.37</v>
      </c>
      <c r="H120" s="3">
        <v>5.68</v>
      </c>
      <c r="I120" s="3">
        <v>8.1999999999999993</v>
      </c>
      <c r="J120" s="3">
        <v>8.4600000000000009</v>
      </c>
      <c r="K120" s="3">
        <v>0.62</v>
      </c>
      <c r="L120" s="3">
        <v>26.33</v>
      </c>
      <c r="M120" s="3">
        <v>526.6</v>
      </c>
      <c r="N120" s="3">
        <v>0.24</v>
      </c>
      <c r="O120" s="2" t="s">
        <v>337</v>
      </c>
      <c r="P120" s="4">
        <v>45860.640416666662</v>
      </c>
      <c r="Q120" s="4">
        <v>45861.597083333334</v>
      </c>
      <c r="R120" s="2" t="s">
        <v>86</v>
      </c>
      <c r="S120" s="3">
        <v>16.920000000000002</v>
      </c>
      <c r="T120" s="2">
        <v>85</v>
      </c>
      <c r="U120" s="3">
        <v>7618</v>
      </c>
      <c r="V120" s="3">
        <v>0</v>
      </c>
      <c r="W120" s="2" t="s">
        <v>94</v>
      </c>
      <c r="X120" s="2" t="s">
        <v>103</v>
      </c>
      <c r="Y120" s="3">
        <v>0</v>
      </c>
      <c r="Z120" t="str">
        <f>INDEX(Assets!$J:$J,MATCH(UPPER(TRIM(B120)),Assets!$A:$A,0))</f>
        <v>Mesa</v>
      </c>
      <c r="AA120">
        <f t="shared" si="3"/>
        <v>400.21600000000001</v>
      </c>
      <c r="AB120" s="21">
        <f t="shared" si="4"/>
        <v>45839</v>
      </c>
      <c r="AC120">
        <f>SUMIFS(Production!$H:$H,Production!$A:$A,UPPER(TRIM(B120)),Production!$B:$B,AB120)-SUMIFS(Production!$I:$I,Production!$A:$A,UPPER(TRIM(B120)),Production!$B:$B,AB120)</f>
        <v>44.2</v>
      </c>
      <c r="AD120">
        <f t="shared" si="5"/>
        <v>17689.547200000001</v>
      </c>
    </row>
    <row r="121" spans="1:30" ht="21" customHeight="1">
      <c r="A121" s="2" t="s">
        <v>338</v>
      </c>
      <c r="B121" s="9" t="s">
        <v>32</v>
      </c>
      <c r="C121" s="5">
        <v>45866.5</v>
      </c>
      <c r="D121" s="4">
        <v>45866.635833333334</v>
      </c>
      <c r="E121" s="2" t="s">
        <v>90</v>
      </c>
      <c r="F121" s="2" t="s">
        <v>91</v>
      </c>
      <c r="G121" s="3">
        <v>0</v>
      </c>
      <c r="H121" s="3">
        <v>0</v>
      </c>
      <c r="I121" s="3">
        <v>0</v>
      </c>
      <c r="J121" s="3">
        <v>3.26</v>
      </c>
      <c r="K121" s="3">
        <v>0</v>
      </c>
      <c r="L121" s="3">
        <v>3.26</v>
      </c>
      <c r="M121" s="3">
        <v>65.2</v>
      </c>
      <c r="N121" s="3">
        <v>0.25</v>
      </c>
      <c r="O121" s="2" t="s">
        <v>339</v>
      </c>
      <c r="P121" s="4">
        <v>45866.5</v>
      </c>
      <c r="Q121" s="4">
        <v>45866.635833333334</v>
      </c>
      <c r="R121" s="2" t="s">
        <v>93</v>
      </c>
      <c r="S121" s="3">
        <v>3.26</v>
      </c>
      <c r="T121" s="2">
        <v>85</v>
      </c>
      <c r="U121" s="3">
        <v>1787</v>
      </c>
      <c r="V121" s="3">
        <v>2423</v>
      </c>
      <c r="W121" s="2" t="s">
        <v>94</v>
      </c>
      <c r="X121" s="2" t="s">
        <v>95</v>
      </c>
      <c r="Y121" s="3">
        <v>0</v>
      </c>
      <c r="Z121" t="str">
        <f>INDEX(Assets!$J:$J,MATCH(UPPER(TRIM(B121)),Assets!$A:$A,0))</f>
        <v>Mesa</v>
      </c>
      <c r="AA121">
        <f t="shared" si="3"/>
        <v>48.900000000000006</v>
      </c>
      <c r="AB121" s="21">
        <f t="shared" si="4"/>
        <v>45839</v>
      </c>
      <c r="AC121">
        <f>SUMIFS(Production!$H:$H,Production!$A:$A,UPPER(TRIM(B121)),Production!$B:$B,AB121)-SUMIFS(Production!$I:$I,Production!$A:$A,UPPER(TRIM(B121)),Production!$B:$B,AB121)</f>
        <v>44.2</v>
      </c>
      <c r="AD121">
        <f t="shared" si="5"/>
        <v>2161.3800000000006</v>
      </c>
    </row>
    <row r="122" spans="1:30" ht="21" customHeight="1">
      <c r="A122" s="2" t="s">
        <v>340</v>
      </c>
      <c r="B122" s="9" t="s">
        <v>32</v>
      </c>
      <c r="C122" s="5">
        <v>45879.5</v>
      </c>
      <c r="D122" s="4">
        <v>45879.974583333329</v>
      </c>
      <c r="E122" s="2" t="s">
        <v>83</v>
      </c>
      <c r="F122" s="2" t="s">
        <v>115</v>
      </c>
      <c r="G122" s="3">
        <v>2.5299999999999998</v>
      </c>
      <c r="H122" s="3">
        <v>3.07</v>
      </c>
      <c r="I122" s="3">
        <v>0</v>
      </c>
      <c r="J122" s="3">
        <v>3.96</v>
      </c>
      <c r="K122" s="3">
        <v>1.83</v>
      </c>
      <c r="L122" s="3">
        <v>11.39</v>
      </c>
      <c r="M122" s="3">
        <v>227.8</v>
      </c>
      <c r="N122" s="3">
        <v>0.12</v>
      </c>
      <c r="O122" s="2" t="s">
        <v>341</v>
      </c>
      <c r="P122" s="4">
        <v>45879.605416666665</v>
      </c>
      <c r="Q122" s="4">
        <v>45879.974583333329</v>
      </c>
      <c r="R122" s="2" t="s">
        <v>86</v>
      </c>
      <c r="S122" s="3">
        <v>3.96</v>
      </c>
      <c r="T122" s="2">
        <v>85</v>
      </c>
      <c r="U122" s="3">
        <v>1500</v>
      </c>
      <c r="V122" s="3">
        <v>0</v>
      </c>
      <c r="W122" s="2" t="s">
        <v>94</v>
      </c>
      <c r="X122" s="2" t="s">
        <v>117</v>
      </c>
      <c r="Y122" s="3">
        <v>0</v>
      </c>
      <c r="Z122" t="str">
        <f>INDEX(Assets!$J:$J,MATCH(UPPER(TRIM(B122)),Assets!$A:$A,0))</f>
        <v>Mesa</v>
      </c>
      <c r="AA122">
        <f t="shared" si="3"/>
        <v>200.464</v>
      </c>
      <c r="AB122" s="21">
        <f t="shared" si="4"/>
        <v>45870</v>
      </c>
      <c r="AC122">
        <f>SUMIFS(Production!$H:$H,Production!$A:$A,UPPER(TRIM(B122)),Production!$B:$B,AB122)-SUMIFS(Production!$I:$I,Production!$A:$A,UPPER(TRIM(B122)),Production!$B:$B,AB122)</f>
        <v>43.2</v>
      </c>
      <c r="AD122">
        <f t="shared" si="5"/>
        <v>8660.0447999999997</v>
      </c>
    </row>
    <row r="123" spans="1:30" ht="21" customHeight="1">
      <c r="A123" s="2" t="s">
        <v>342</v>
      </c>
      <c r="B123" s="9" t="s">
        <v>32</v>
      </c>
      <c r="C123" s="5">
        <v>45889.5</v>
      </c>
      <c r="D123" s="4">
        <v>45890.25</v>
      </c>
      <c r="E123" s="2" t="s">
        <v>83</v>
      </c>
      <c r="F123" s="2" t="s">
        <v>84</v>
      </c>
      <c r="G123" s="3">
        <v>2.4700000000000002</v>
      </c>
      <c r="H123" s="3">
        <v>5.91</v>
      </c>
      <c r="I123" s="3">
        <v>0</v>
      </c>
      <c r="J123" s="3">
        <v>8.9</v>
      </c>
      <c r="K123" s="3">
        <v>0.72</v>
      </c>
      <c r="L123" s="3">
        <v>18</v>
      </c>
      <c r="M123" s="3">
        <v>360</v>
      </c>
      <c r="N123" s="3">
        <v>0.12</v>
      </c>
      <c r="O123" s="2" t="s">
        <v>343</v>
      </c>
      <c r="P123" s="4">
        <v>45889.60291666667</v>
      </c>
      <c r="Q123" s="4">
        <v>45890.25</v>
      </c>
      <c r="R123" s="2" t="s">
        <v>86</v>
      </c>
      <c r="S123" s="3">
        <v>8.9</v>
      </c>
      <c r="T123" s="2">
        <v>85</v>
      </c>
      <c r="U123" s="3">
        <v>1508</v>
      </c>
      <c r="V123" s="3">
        <v>0</v>
      </c>
      <c r="W123" s="2" t="s">
        <v>94</v>
      </c>
      <c r="X123" s="2" t="s">
        <v>88</v>
      </c>
      <c r="Y123" s="3">
        <v>0</v>
      </c>
      <c r="Z123" t="str">
        <f>INDEX(Assets!$J:$J,MATCH(UPPER(TRIM(B123)),Assets!$A:$A,0))</f>
        <v>Mesa</v>
      </c>
      <c r="AA123">
        <f t="shared" si="3"/>
        <v>316.8</v>
      </c>
      <c r="AB123" s="21">
        <f t="shared" si="4"/>
        <v>45870</v>
      </c>
      <c r="AC123">
        <f>SUMIFS(Production!$H:$H,Production!$A:$A,UPPER(TRIM(B123)),Production!$B:$B,AB123)-SUMIFS(Production!$I:$I,Production!$A:$A,UPPER(TRIM(B123)),Production!$B:$B,AB123)</f>
        <v>43.2</v>
      </c>
      <c r="AD123">
        <f t="shared" si="5"/>
        <v>13685.760000000002</v>
      </c>
    </row>
    <row r="124" spans="1:30" ht="21" customHeight="1">
      <c r="A124" s="2" t="s">
        <v>344</v>
      </c>
      <c r="B124" s="9" t="s">
        <v>32</v>
      </c>
      <c r="C124" s="5">
        <v>45907.5</v>
      </c>
      <c r="D124" s="4">
        <v>45908.28833333333</v>
      </c>
      <c r="E124" s="2" t="s">
        <v>83</v>
      </c>
      <c r="F124" s="2" t="s">
        <v>119</v>
      </c>
      <c r="G124" s="3">
        <v>2.15</v>
      </c>
      <c r="H124" s="3">
        <v>4.51</v>
      </c>
      <c r="I124" s="3">
        <v>0</v>
      </c>
      <c r="J124" s="3">
        <v>11</v>
      </c>
      <c r="K124" s="3">
        <v>1.26</v>
      </c>
      <c r="L124" s="3">
        <v>18.920000000000002</v>
      </c>
      <c r="M124" s="3">
        <v>378.4</v>
      </c>
      <c r="N124" s="3">
        <v>0.26</v>
      </c>
      <c r="O124" s="2" t="s">
        <v>345</v>
      </c>
      <c r="P124" s="4">
        <v>45907.589583333334</v>
      </c>
      <c r="Q124" s="4">
        <v>45908.28833333333</v>
      </c>
      <c r="R124" s="2" t="s">
        <v>86</v>
      </c>
      <c r="S124" s="3">
        <v>22</v>
      </c>
      <c r="T124" s="2">
        <v>85</v>
      </c>
      <c r="U124" s="3">
        <v>1454</v>
      </c>
      <c r="V124" s="3">
        <v>0</v>
      </c>
      <c r="W124" s="2" t="s">
        <v>94</v>
      </c>
      <c r="X124" s="2" t="s">
        <v>121</v>
      </c>
      <c r="Y124" s="3">
        <v>0</v>
      </c>
      <c r="Z124" t="str">
        <f>INDEX(Assets!$J:$J,MATCH(UPPER(TRIM(B124)),Assets!$A:$A,0))</f>
        <v>Mesa</v>
      </c>
      <c r="AA124">
        <f t="shared" si="3"/>
        <v>280.01599999999996</v>
      </c>
      <c r="AB124" s="21">
        <f t="shared" si="4"/>
        <v>45901</v>
      </c>
      <c r="AC124">
        <f>SUMIFS(Production!$H:$H,Production!$A:$A,UPPER(TRIM(B124)),Production!$B:$B,AB124)-SUMIFS(Production!$I:$I,Production!$A:$A,UPPER(TRIM(B124)),Production!$B:$B,AB124)</f>
        <v>40.200000000000003</v>
      </c>
      <c r="AD124">
        <f t="shared" si="5"/>
        <v>11256.643199999999</v>
      </c>
    </row>
    <row r="125" spans="1:30" ht="21" customHeight="1">
      <c r="A125" s="2" t="s">
        <v>346</v>
      </c>
      <c r="B125" s="9" t="s">
        <v>32</v>
      </c>
      <c r="C125" s="5">
        <v>45937.5</v>
      </c>
      <c r="D125" s="4">
        <v>45938.365416666667</v>
      </c>
      <c r="E125" s="2" t="s">
        <v>83</v>
      </c>
      <c r="F125" s="2" t="s">
        <v>119</v>
      </c>
      <c r="G125" s="3">
        <v>3.03</v>
      </c>
      <c r="H125" s="3">
        <v>7.29</v>
      </c>
      <c r="I125" s="3">
        <v>0</v>
      </c>
      <c r="J125" s="3">
        <v>9.07</v>
      </c>
      <c r="K125" s="3">
        <v>1.38</v>
      </c>
      <c r="L125" s="3">
        <v>20.77</v>
      </c>
      <c r="M125" s="3">
        <v>415.4</v>
      </c>
      <c r="N125" s="3">
        <v>0.09</v>
      </c>
      <c r="O125" s="2" t="s">
        <v>347</v>
      </c>
      <c r="P125" s="4">
        <v>45937.626250000001</v>
      </c>
      <c r="Q125" s="4">
        <v>45938.365416666667</v>
      </c>
      <c r="R125" s="2" t="s">
        <v>86</v>
      </c>
      <c r="S125" s="3">
        <v>18.14</v>
      </c>
      <c r="T125" s="2">
        <v>85</v>
      </c>
      <c r="U125" s="3">
        <v>6073</v>
      </c>
      <c r="V125" s="3">
        <v>0</v>
      </c>
      <c r="W125" s="2" t="s">
        <v>94</v>
      </c>
      <c r="X125" s="2" t="s">
        <v>121</v>
      </c>
      <c r="Y125" s="3">
        <v>0</v>
      </c>
      <c r="Z125" t="str">
        <f>INDEX(Assets!$J:$J,MATCH(UPPER(TRIM(B125)),Assets!$A:$A,0))</f>
        <v>Mesa</v>
      </c>
      <c r="AA125">
        <f t="shared" si="3"/>
        <v>378.01400000000001</v>
      </c>
      <c r="AB125" s="21">
        <f t="shared" si="4"/>
        <v>45931</v>
      </c>
      <c r="AC125">
        <f>SUMIFS(Production!$H:$H,Production!$A:$A,UPPER(TRIM(B125)),Production!$B:$B,AB125)-SUMIFS(Production!$I:$I,Production!$A:$A,UPPER(TRIM(B125)),Production!$B:$B,AB125)</f>
        <v>39.200000000000003</v>
      </c>
      <c r="AD125">
        <f t="shared" si="5"/>
        <v>14818.148800000001</v>
      </c>
    </row>
    <row r="126" spans="1:30" ht="21" customHeight="1">
      <c r="A126" s="2" t="s">
        <v>348</v>
      </c>
      <c r="B126" s="9" t="s">
        <v>32</v>
      </c>
      <c r="C126" s="5">
        <v>45950.5</v>
      </c>
      <c r="D126" s="4">
        <v>45952.073749999996</v>
      </c>
      <c r="E126" s="2" t="s">
        <v>83</v>
      </c>
      <c r="F126" s="2" t="s">
        <v>119</v>
      </c>
      <c r="G126" s="3">
        <v>3.21</v>
      </c>
      <c r="H126" s="3">
        <v>5.9</v>
      </c>
      <c r="I126" s="3">
        <v>18.64</v>
      </c>
      <c r="J126" s="3">
        <v>8.58</v>
      </c>
      <c r="K126" s="3">
        <v>1.44</v>
      </c>
      <c r="L126" s="3">
        <v>37.770000000000003</v>
      </c>
      <c r="M126" s="3">
        <v>755.4</v>
      </c>
      <c r="N126" s="3">
        <v>0.13</v>
      </c>
      <c r="O126" s="2" t="s">
        <v>349</v>
      </c>
      <c r="P126" s="4">
        <v>45950.633750000001</v>
      </c>
      <c r="Q126" s="4">
        <v>45952.073749999996</v>
      </c>
      <c r="R126" s="2" t="s">
        <v>86</v>
      </c>
      <c r="S126" s="3">
        <v>17.16</v>
      </c>
      <c r="T126" s="2">
        <v>85</v>
      </c>
      <c r="U126" s="3">
        <v>1219</v>
      </c>
      <c r="V126" s="3">
        <v>0</v>
      </c>
      <c r="W126" s="2" t="s">
        <v>94</v>
      </c>
      <c r="X126" s="2" t="s">
        <v>121</v>
      </c>
      <c r="Y126" s="3">
        <v>0</v>
      </c>
      <c r="Z126" t="str">
        <f>INDEX(Assets!$J:$J,MATCH(UPPER(TRIM(B126)),Assets!$A:$A,0))</f>
        <v>Mesa</v>
      </c>
      <c r="AA126">
        <f t="shared" si="3"/>
        <v>657.19799999999998</v>
      </c>
      <c r="AB126" s="21">
        <f t="shared" si="4"/>
        <v>45931</v>
      </c>
      <c r="AC126">
        <f>SUMIFS(Production!$H:$H,Production!$A:$A,UPPER(TRIM(B126)),Production!$B:$B,AB126)-SUMIFS(Production!$I:$I,Production!$A:$A,UPPER(TRIM(B126)),Production!$B:$B,AB126)</f>
        <v>39.200000000000003</v>
      </c>
      <c r="AD126">
        <f t="shared" si="5"/>
        <v>25762.161599999999</v>
      </c>
    </row>
    <row r="127" spans="1:30" ht="21" customHeight="1">
      <c r="A127" s="2" t="s">
        <v>350</v>
      </c>
      <c r="B127" s="9" t="s">
        <v>32</v>
      </c>
      <c r="C127" s="5">
        <v>45958.5</v>
      </c>
      <c r="D127" s="4">
        <v>45958.682499999995</v>
      </c>
      <c r="E127" s="2" t="s">
        <v>90</v>
      </c>
      <c r="F127" s="2" t="s">
        <v>91</v>
      </c>
      <c r="G127" s="3">
        <v>0</v>
      </c>
      <c r="H127" s="3">
        <v>0</v>
      </c>
      <c r="I127" s="3">
        <v>0</v>
      </c>
      <c r="J127" s="3">
        <v>4.38</v>
      </c>
      <c r="K127" s="3">
        <v>0</v>
      </c>
      <c r="L127" s="3">
        <v>4.38</v>
      </c>
      <c r="M127" s="3">
        <v>87.6</v>
      </c>
      <c r="N127" s="3">
        <v>0.25</v>
      </c>
      <c r="O127" s="2" t="s">
        <v>351</v>
      </c>
      <c r="P127" s="4">
        <v>45958.5</v>
      </c>
      <c r="Q127" s="4">
        <v>45958.682499999995</v>
      </c>
      <c r="R127" s="2" t="s">
        <v>93</v>
      </c>
      <c r="S127" s="3">
        <v>4.38</v>
      </c>
      <c r="T127" s="2">
        <v>85</v>
      </c>
      <c r="U127" s="3">
        <v>1740</v>
      </c>
      <c r="V127" s="3">
        <v>0</v>
      </c>
      <c r="W127" s="2" t="s">
        <v>94</v>
      </c>
      <c r="X127" s="2" t="s">
        <v>95</v>
      </c>
      <c r="Y127" s="3">
        <v>0</v>
      </c>
      <c r="Z127" t="str">
        <f>INDEX(Assets!$J:$J,MATCH(UPPER(TRIM(B127)),Assets!$A:$A,0))</f>
        <v>Mesa</v>
      </c>
      <c r="AA127">
        <f t="shared" si="3"/>
        <v>65.699999999999989</v>
      </c>
      <c r="AB127" s="21">
        <f t="shared" si="4"/>
        <v>45931</v>
      </c>
      <c r="AC127">
        <f>SUMIFS(Production!$H:$H,Production!$A:$A,UPPER(TRIM(B127)),Production!$B:$B,AB127)-SUMIFS(Production!$I:$I,Production!$A:$A,UPPER(TRIM(B127)),Production!$B:$B,AB127)</f>
        <v>39.200000000000003</v>
      </c>
      <c r="AD127">
        <f t="shared" si="5"/>
        <v>2575.4399999999996</v>
      </c>
    </row>
    <row r="128" spans="1:30" ht="21" customHeight="1">
      <c r="A128" s="2" t="s">
        <v>352</v>
      </c>
      <c r="B128" s="9" t="s">
        <v>32</v>
      </c>
      <c r="C128" s="5">
        <v>45965.5</v>
      </c>
      <c r="D128" s="4">
        <v>45967.137916666667</v>
      </c>
      <c r="E128" s="2" t="s">
        <v>83</v>
      </c>
      <c r="F128" s="2" t="s">
        <v>97</v>
      </c>
      <c r="G128" s="3">
        <v>3.89</v>
      </c>
      <c r="H128" s="3">
        <v>3.65</v>
      </c>
      <c r="I128" s="3">
        <v>24.22</v>
      </c>
      <c r="J128" s="3">
        <v>5.67</v>
      </c>
      <c r="K128" s="3">
        <v>1.88</v>
      </c>
      <c r="L128" s="3">
        <v>39.31</v>
      </c>
      <c r="M128" s="3">
        <v>786.2</v>
      </c>
      <c r="N128" s="3">
        <v>0.25</v>
      </c>
      <c r="O128" s="2" t="s">
        <v>353</v>
      </c>
      <c r="P128" s="4">
        <v>45965.662083333329</v>
      </c>
      <c r="Q128" s="4">
        <v>45967.137916666667</v>
      </c>
      <c r="R128" s="2" t="s">
        <v>86</v>
      </c>
      <c r="S128" s="3">
        <v>5.67</v>
      </c>
      <c r="T128" s="2">
        <v>85</v>
      </c>
      <c r="U128" s="3">
        <v>4418</v>
      </c>
      <c r="V128" s="3">
        <v>3689</v>
      </c>
      <c r="W128" s="2" t="s">
        <v>94</v>
      </c>
      <c r="X128" s="2" t="s">
        <v>99</v>
      </c>
      <c r="Y128" s="3">
        <v>0</v>
      </c>
      <c r="Z128" t="str">
        <f>INDEX(Assets!$J:$J,MATCH(UPPER(TRIM(B128)),Assets!$A:$A,0))</f>
        <v>Mesa</v>
      </c>
      <c r="AA128">
        <f t="shared" si="3"/>
        <v>589.65000000000009</v>
      </c>
      <c r="AB128" s="21">
        <f t="shared" si="4"/>
        <v>45962</v>
      </c>
      <c r="AC128">
        <f>SUMIFS(Production!$H:$H,Production!$A:$A,UPPER(TRIM(B128)),Production!$B:$B,AB128)-SUMIFS(Production!$I:$I,Production!$A:$A,UPPER(TRIM(B128)),Production!$B:$B,AB128)</f>
        <v>41.2</v>
      </c>
      <c r="AD128">
        <f t="shared" si="5"/>
        <v>24293.580000000005</v>
      </c>
    </row>
    <row r="129" spans="1:30" ht="21" customHeight="1">
      <c r="A129" s="2" t="s">
        <v>354</v>
      </c>
      <c r="B129" s="9" t="s">
        <v>32</v>
      </c>
      <c r="C129" s="5">
        <v>45998.5</v>
      </c>
      <c r="D129" s="4">
        <v>45999.811249999999</v>
      </c>
      <c r="E129" s="2" t="s">
        <v>83</v>
      </c>
      <c r="F129" s="2" t="s">
        <v>115</v>
      </c>
      <c r="G129" s="3">
        <v>3.66</v>
      </c>
      <c r="H129" s="3">
        <v>6.8</v>
      </c>
      <c r="I129" s="3">
        <v>10.7</v>
      </c>
      <c r="J129" s="3">
        <v>7.81</v>
      </c>
      <c r="K129" s="3">
        <v>2.5</v>
      </c>
      <c r="L129" s="3">
        <v>31.47</v>
      </c>
      <c r="M129" s="3">
        <v>629.4</v>
      </c>
      <c r="N129" s="3">
        <v>0.12</v>
      </c>
      <c r="O129" s="2" t="s">
        <v>355</v>
      </c>
      <c r="P129" s="4">
        <v>45998.652499999997</v>
      </c>
      <c r="Q129" s="4">
        <v>45999.811249999999</v>
      </c>
      <c r="R129" s="2" t="s">
        <v>86</v>
      </c>
      <c r="S129" s="3">
        <v>7.81</v>
      </c>
      <c r="T129" s="2">
        <v>85</v>
      </c>
      <c r="U129" s="3">
        <v>2776</v>
      </c>
      <c r="V129" s="3">
        <v>0</v>
      </c>
      <c r="W129" s="2" t="s">
        <v>94</v>
      </c>
      <c r="X129" s="2" t="s">
        <v>117</v>
      </c>
      <c r="Y129" s="3">
        <v>0</v>
      </c>
      <c r="Z129" t="str">
        <f>INDEX(Assets!$J:$J,MATCH(UPPER(TRIM(B129)),Assets!$A:$A,0))</f>
        <v>Mesa</v>
      </c>
      <c r="AA129">
        <f t="shared" si="3"/>
        <v>553.87199999999996</v>
      </c>
      <c r="AB129" s="21">
        <f t="shared" si="4"/>
        <v>45992</v>
      </c>
      <c r="AC129">
        <f>SUMIFS(Production!$H:$H,Production!$A:$A,UPPER(TRIM(B129)),Production!$B:$B,AB129)-SUMIFS(Production!$I:$I,Production!$A:$A,UPPER(TRIM(B129)),Production!$B:$B,AB129)</f>
        <v>42.2</v>
      </c>
      <c r="AD129">
        <f t="shared" si="5"/>
        <v>23373.398399999998</v>
      </c>
    </row>
    <row r="130" spans="1:30" ht="21" customHeight="1">
      <c r="A130" s="2" t="s">
        <v>356</v>
      </c>
      <c r="B130" s="9" t="s">
        <v>33</v>
      </c>
      <c r="C130" s="5">
        <v>45667.5</v>
      </c>
      <c r="D130" s="4">
        <v>45668.08458333333</v>
      </c>
      <c r="E130" s="2" t="s">
        <v>83</v>
      </c>
      <c r="F130" s="2" t="s">
        <v>119</v>
      </c>
      <c r="G130" s="3">
        <v>2.27</v>
      </c>
      <c r="H130" s="3">
        <v>1.25</v>
      </c>
      <c r="I130" s="3">
        <v>0</v>
      </c>
      <c r="J130" s="3">
        <v>8.65</v>
      </c>
      <c r="K130" s="3">
        <v>1.86</v>
      </c>
      <c r="L130" s="3">
        <v>14.03</v>
      </c>
      <c r="M130" s="3">
        <v>336.72</v>
      </c>
      <c r="N130" s="3">
        <v>0.13</v>
      </c>
      <c r="O130" s="2" t="s">
        <v>357</v>
      </c>
      <c r="P130" s="4">
        <v>45667.594583333332</v>
      </c>
      <c r="Q130" s="4">
        <v>45668.08458333333</v>
      </c>
      <c r="R130" s="2" t="s">
        <v>86</v>
      </c>
      <c r="S130" s="3">
        <v>17.3</v>
      </c>
      <c r="T130" s="2">
        <v>85</v>
      </c>
      <c r="U130" s="3">
        <v>5432</v>
      </c>
      <c r="V130" s="3">
        <v>0</v>
      </c>
      <c r="W130" s="2" t="s">
        <v>94</v>
      </c>
      <c r="X130" s="2" t="s">
        <v>121</v>
      </c>
      <c r="Y130" s="3">
        <v>0.5</v>
      </c>
      <c r="Z130" t="str">
        <f>INDEX(Assets!$J:$J,MATCH(UPPER(TRIM(B130)),Assets!$A:$A,0))</f>
        <v>Juniper</v>
      </c>
      <c r="AA130">
        <f t="shared" ref="AA130:AA193" si="6">M130*(1-N130)</f>
        <v>292.94640000000004</v>
      </c>
      <c r="AB130" s="21">
        <f t="shared" ref="AB130:AB193" si="7">DATE(YEAR(C130),MONTH(C130),1)</f>
        <v>45658</v>
      </c>
      <c r="AC130">
        <f>SUMIFS(Production!$H:$H,Production!$A:$A,UPPER(TRIM(B130)),Production!$B:$B,AB130)-SUMIFS(Production!$I:$I,Production!$A:$A,UPPER(TRIM(B130)),Production!$B:$B,AB130)</f>
        <v>48.4</v>
      </c>
      <c r="AD130">
        <f t="shared" ref="AD130:AD193" si="8">AA130*AC130</f>
        <v>14178.605760000002</v>
      </c>
    </row>
    <row r="131" spans="1:30" ht="21" customHeight="1">
      <c r="A131" s="2" t="s">
        <v>358</v>
      </c>
      <c r="B131" s="9" t="s">
        <v>33</v>
      </c>
      <c r="C131" s="5">
        <v>45685.5</v>
      </c>
      <c r="D131" s="4">
        <v>45685.78</v>
      </c>
      <c r="E131" s="2" t="s">
        <v>90</v>
      </c>
      <c r="F131" s="2" t="s">
        <v>91</v>
      </c>
      <c r="G131" s="3">
        <v>0</v>
      </c>
      <c r="H131" s="3">
        <v>0</v>
      </c>
      <c r="I131" s="3">
        <v>0</v>
      </c>
      <c r="J131" s="3">
        <v>6.72</v>
      </c>
      <c r="K131" s="3">
        <v>0</v>
      </c>
      <c r="L131" s="3">
        <v>6.72</v>
      </c>
      <c r="M131" s="3">
        <v>161.28</v>
      </c>
      <c r="N131" s="3">
        <v>0.25</v>
      </c>
      <c r="O131" s="2" t="s">
        <v>359</v>
      </c>
      <c r="P131" s="4">
        <v>45685.5</v>
      </c>
      <c r="Q131" s="4">
        <v>45685.78</v>
      </c>
      <c r="R131" s="2" t="s">
        <v>93</v>
      </c>
      <c r="S131" s="3">
        <v>13.44</v>
      </c>
      <c r="T131" s="2">
        <v>85</v>
      </c>
      <c r="U131" s="3">
        <v>761</v>
      </c>
      <c r="V131" s="3">
        <v>0</v>
      </c>
      <c r="W131" s="2" t="s">
        <v>94</v>
      </c>
      <c r="X131" s="2" t="s">
        <v>95</v>
      </c>
      <c r="Y131" s="3">
        <v>0</v>
      </c>
      <c r="Z131" t="str">
        <f>INDEX(Assets!$J:$J,MATCH(UPPER(TRIM(B131)),Assets!$A:$A,0))</f>
        <v>Juniper</v>
      </c>
      <c r="AA131">
        <f t="shared" si="6"/>
        <v>120.96000000000001</v>
      </c>
      <c r="AB131" s="21">
        <f t="shared" si="7"/>
        <v>45658</v>
      </c>
      <c r="AC131">
        <f>SUMIFS(Production!$H:$H,Production!$A:$A,UPPER(TRIM(B131)),Production!$B:$B,AB131)-SUMIFS(Production!$I:$I,Production!$A:$A,UPPER(TRIM(B131)),Production!$B:$B,AB131)</f>
        <v>48.4</v>
      </c>
      <c r="AD131">
        <f t="shared" si="8"/>
        <v>5854.4639999999999</v>
      </c>
    </row>
    <row r="132" spans="1:30" ht="21" customHeight="1">
      <c r="A132" s="2" t="s">
        <v>360</v>
      </c>
      <c r="B132" s="9" t="s">
        <v>33</v>
      </c>
      <c r="C132" s="5">
        <v>45693.5</v>
      </c>
      <c r="D132" s="4">
        <v>45694.035000000003</v>
      </c>
      <c r="E132" s="2" t="s">
        <v>83</v>
      </c>
      <c r="F132" s="2" t="s">
        <v>84</v>
      </c>
      <c r="G132" s="3">
        <v>2.2000000000000002</v>
      </c>
      <c r="H132" s="3">
        <v>1.44</v>
      </c>
      <c r="I132" s="3">
        <v>0</v>
      </c>
      <c r="J132" s="3">
        <v>7.26</v>
      </c>
      <c r="K132" s="3">
        <v>1.94</v>
      </c>
      <c r="L132" s="3">
        <v>12.84</v>
      </c>
      <c r="M132" s="3">
        <v>308.16000000000003</v>
      </c>
      <c r="N132" s="3">
        <v>0.23</v>
      </c>
      <c r="O132" s="2" t="s">
        <v>361</v>
      </c>
      <c r="P132" s="4">
        <v>45693.591666666667</v>
      </c>
      <c r="Q132" s="4">
        <v>45694.035000000003</v>
      </c>
      <c r="R132" s="2" t="s">
        <v>86</v>
      </c>
      <c r="S132" s="3">
        <v>7.26</v>
      </c>
      <c r="T132" s="2">
        <v>85</v>
      </c>
      <c r="U132" s="3">
        <v>9474</v>
      </c>
      <c r="V132" s="3">
        <v>0</v>
      </c>
      <c r="W132" s="2" t="s">
        <v>94</v>
      </c>
      <c r="X132" s="2" t="s">
        <v>88</v>
      </c>
      <c r="Y132" s="3">
        <v>0</v>
      </c>
      <c r="Z132" t="str">
        <f>INDEX(Assets!$J:$J,MATCH(UPPER(TRIM(B132)),Assets!$A:$A,0))</f>
        <v>Juniper</v>
      </c>
      <c r="AA132">
        <f t="shared" si="6"/>
        <v>237.28320000000002</v>
      </c>
      <c r="AB132" s="21">
        <f t="shared" si="7"/>
        <v>45689</v>
      </c>
      <c r="AC132">
        <f>SUMIFS(Production!$H:$H,Production!$A:$A,UPPER(TRIM(B132)),Production!$B:$B,AB132)-SUMIFS(Production!$I:$I,Production!$A:$A,UPPER(TRIM(B132)),Production!$B:$B,AB132)</f>
        <v>46.4</v>
      </c>
      <c r="AD132">
        <f t="shared" si="8"/>
        <v>11009.940480000001</v>
      </c>
    </row>
    <row r="133" spans="1:30" ht="21" customHeight="1">
      <c r="A133" s="2" t="s">
        <v>362</v>
      </c>
      <c r="B133" s="9" t="s">
        <v>33</v>
      </c>
      <c r="C133" s="5">
        <v>45722.5</v>
      </c>
      <c r="D133" s="4">
        <v>45723.136249999996</v>
      </c>
      <c r="E133" s="2" t="s">
        <v>83</v>
      </c>
      <c r="F133" s="2" t="s">
        <v>119</v>
      </c>
      <c r="G133" s="3">
        <v>2.12</v>
      </c>
      <c r="H133" s="3">
        <v>2.37</v>
      </c>
      <c r="I133" s="3">
        <v>0</v>
      </c>
      <c r="J133" s="3">
        <v>8.8800000000000008</v>
      </c>
      <c r="K133" s="3">
        <v>1.9</v>
      </c>
      <c r="L133" s="3">
        <v>15.27</v>
      </c>
      <c r="M133" s="3">
        <v>366.48</v>
      </c>
      <c r="N133" s="3">
        <v>0.15</v>
      </c>
      <c r="O133" s="2" t="s">
        <v>363</v>
      </c>
      <c r="P133" s="4">
        <v>45722.588333333333</v>
      </c>
      <c r="Q133" s="4">
        <v>45723.136249999996</v>
      </c>
      <c r="R133" s="2" t="s">
        <v>86</v>
      </c>
      <c r="S133" s="3">
        <v>17.760000000000002</v>
      </c>
      <c r="T133" s="2">
        <v>85</v>
      </c>
      <c r="U133" s="3">
        <v>4756</v>
      </c>
      <c r="V133" s="3">
        <v>0</v>
      </c>
      <c r="W133" s="2" t="s">
        <v>94</v>
      </c>
      <c r="X133" s="2" t="s">
        <v>121</v>
      </c>
      <c r="Y133" s="3">
        <v>0</v>
      </c>
      <c r="Z133" t="str">
        <f>INDEX(Assets!$J:$J,MATCH(UPPER(TRIM(B133)),Assets!$A:$A,0))</f>
        <v>Juniper</v>
      </c>
      <c r="AA133">
        <f t="shared" si="6"/>
        <v>311.50799999999998</v>
      </c>
      <c r="AB133" s="21">
        <f t="shared" si="7"/>
        <v>45717</v>
      </c>
      <c r="AC133">
        <f>SUMIFS(Production!$H:$H,Production!$A:$A,UPPER(TRIM(B133)),Production!$B:$B,AB133)-SUMIFS(Production!$I:$I,Production!$A:$A,UPPER(TRIM(B133)),Production!$B:$B,AB133)</f>
        <v>44.4</v>
      </c>
      <c r="AD133">
        <f t="shared" si="8"/>
        <v>13830.955199999999</v>
      </c>
    </row>
    <row r="134" spans="1:30" ht="21" customHeight="1">
      <c r="A134" s="2" t="s">
        <v>364</v>
      </c>
      <c r="B134" s="9" t="s">
        <v>33</v>
      </c>
      <c r="C134" s="5">
        <v>45754.5</v>
      </c>
      <c r="D134" s="4">
        <v>45755.000833333332</v>
      </c>
      <c r="E134" s="2" t="s">
        <v>83</v>
      </c>
      <c r="F134" s="2" t="s">
        <v>84</v>
      </c>
      <c r="G134" s="3">
        <v>0.94</v>
      </c>
      <c r="H134" s="3">
        <v>3.45</v>
      </c>
      <c r="I134" s="3">
        <v>0</v>
      </c>
      <c r="J134" s="3">
        <v>6.03</v>
      </c>
      <c r="K134" s="3">
        <v>1.6</v>
      </c>
      <c r="L134" s="3">
        <v>12.02</v>
      </c>
      <c r="M134" s="3">
        <v>288.48</v>
      </c>
      <c r="N134" s="3">
        <v>0.3</v>
      </c>
      <c r="O134" s="2" t="s">
        <v>365</v>
      </c>
      <c r="P134" s="4">
        <v>45754.539166666669</v>
      </c>
      <c r="Q134" s="4">
        <v>45755.000833333332</v>
      </c>
      <c r="R134" s="2" t="s">
        <v>86</v>
      </c>
      <c r="S134" s="3">
        <v>12.06</v>
      </c>
      <c r="T134" s="2">
        <v>85</v>
      </c>
      <c r="U134" s="3">
        <v>4483</v>
      </c>
      <c r="V134" s="3">
        <v>0</v>
      </c>
      <c r="W134" s="2" t="s">
        <v>94</v>
      </c>
      <c r="X134" s="2" t="s">
        <v>88</v>
      </c>
      <c r="Y134" s="3">
        <v>0.5</v>
      </c>
      <c r="Z134" t="str">
        <f>INDEX(Assets!$J:$J,MATCH(UPPER(TRIM(B134)),Assets!$A:$A,0))</f>
        <v>Juniper</v>
      </c>
      <c r="AA134">
        <f t="shared" si="6"/>
        <v>201.93600000000001</v>
      </c>
      <c r="AB134" s="21">
        <f t="shared" si="7"/>
        <v>45748</v>
      </c>
      <c r="AC134">
        <f>SUMIFS(Production!$H:$H,Production!$A:$A,UPPER(TRIM(B134)),Production!$B:$B,AB134)-SUMIFS(Production!$I:$I,Production!$A:$A,UPPER(TRIM(B134)),Production!$B:$B,AB134)</f>
        <v>42.4</v>
      </c>
      <c r="AD134">
        <f t="shared" si="8"/>
        <v>8562.0864000000001</v>
      </c>
    </row>
    <row r="135" spans="1:30" ht="21" customHeight="1">
      <c r="A135" s="2" t="s">
        <v>366</v>
      </c>
      <c r="B135" s="9" t="s">
        <v>33</v>
      </c>
      <c r="C135" s="5">
        <v>45775.5</v>
      </c>
      <c r="D135" s="4">
        <v>45775.70958333333</v>
      </c>
      <c r="E135" s="2" t="s">
        <v>90</v>
      </c>
      <c r="F135" s="2" t="s">
        <v>91</v>
      </c>
      <c r="G135" s="3">
        <v>0</v>
      </c>
      <c r="H135" s="3">
        <v>0</v>
      </c>
      <c r="I135" s="3">
        <v>0</v>
      </c>
      <c r="J135" s="3">
        <v>5.03</v>
      </c>
      <c r="K135" s="3">
        <v>0</v>
      </c>
      <c r="L135" s="3">
        <v>5.03</v>
      </c>
      <c r="M135" s="3">
        <v>120.72</v>
      </c>
      <c r="N135" s="3">
        <v>0.25</v>
      </c>
      <c r="O135" s="2" t="s">
        <v>367</v>
      </c>
      <c r="P135" s="4">
        <v>45775.5</v>
      </c>
      <c r="Q135" s="4">
        <v>45775.70958333333</v>
      </c>
      <c r="R135" s="2" t="s">
        <v>93</v>
      </c>
      <c r="S135" s="3">
        <v>10.06</v>
      </c>
      <c r="T135" s="2">
        <v>85</v>
      </c>
      <c r="U135" s="3">
        <v>1261</v>
      </c>
      <c r="V135" s="3">
        <v>0</v>
      </c>
      <c r="W135" s="2" t="s">
        <v>94</v>
      </c>
      <c r="X135" s="2" t="s">
        <v>95</v>
      </c>
      <c r="Y135" s="3">
        <v>0</v>
      </c>
      <c r="Z135" t="str">
        <f>INDEX(Assets!$J:$J,MATCH(UPPER(TRIM(B135)),Assets!$A:$A,0))</f>
        <v>Juniper</v>
      </c>
      <c r="AA135">
        <f t="shared" si="6"/>
        <v>90.539999999999992</v>
      </c>
      <c r="AB135" s="21">
        <f t="shared" si="7"/>
        <v>45748</v>
      </c>
      <c r="AC135">
        <f>SUMIFS(Production!$H:$H,Production!$A:$A,UPPER(TRIM(B135)),Production!$B:$B,AB135)-SUMIFS(Production!$I:$I,Production!$A:$A,UPPER(TRIM(B135)),Production!$B:$B,AB135)</f>
        <v>42.4</v>
      </c>
      <c r="AD135">
        <f t="shared" si="8"/>
        <v>3838.8959999999997</v>
      </c>
    </row>
    <row r="136" spans="1:30" ht="21" customHeight="1">
      <c r="A136" s="2" t="s">
        <v>368</v>
      </c>
      <c r="B136" s="9" t="s">
        <v>33</v>
      </c>
      <c r="C136" s="5">
        <v>45782.5</v>
      </c>
      <c r="D136" s="4">
        <v>45783.154166666667</v>
      </c>
      <c r="E136" s="2" t="s">
        <v>83</v>
      </c>
      <c r="F136" s="2" t="s">
        <v>119</v>
      </c>
      <c r="G136" s="3">
        <v>1.04</v>
      </c>
      <c r="H136" s="3">
        <v>2.5299999999999998</v>
      </c>
      <c r="I136" s="3">
        <v>0</v>
      </c>
      <c r="J136" s="3">
        <v>10.59</v>
      </c>
      <c r="K136" s="3">
        <v>1.54</v>
      </c>
      <c r="L136" s="3">
        <v>15.7</v>
      </c>
      <c r="M136" s="3">
        <v>376.8</v>
      </c>
      <c r="N136" s="3">
        <v>0.3</v>
      </c>
      <c r="O136" s="2" t="s">
        <v>369</v>
      </c>
      <c r="P136" s="4">
        <v>45782.543333333335</v>
      </c>
      <c r="Q136" s="4">
        <v>45783.154166666667</v>
      </c>
      <c r="R136" s="2" t="s">
        <v>86</v>
      </c>
      <c r="S136" s="3">
        <v>10.59</v>
      </c>
      <c r="T136" s="2">
        <v>85</v>
      </c>
      <c r="U136" s="3">
        <v>9375</v>
      </c>
      <c r="V136" s="3">
        <v>0</v>
      </c>
      <c r="W136" s="2" t="s">
        <v>94</v>
      </c>
      <c r="X136" s="2" t="s">
        <v>121</v>
      </c>
      <c r="Y136" s="3">
        <v>0</v>
      </c>
      <c r="Z136" t="str">
        <f>INDEX(Assets!$J:$J,MATCH(UPPER(TRIM(B136)),Assets!$A:$A,0))</f>
        <v>Juniper</v>
      </c>
      <c r="AA136">
        <f t="shared" si="6"/>
        <v>263.76</v>
      </c>
      <c r="AB136" s="21">
        <f t="shared" si="7"/>
        <v>45778</v>
      </c>
      <c r="AC136">
        <f>SUMIFS(Production!$H:$H,Production!$A:$A,UPPER(TRIM(B136)),Production!$B:$B,AB136)-SUMIFS(Production!$I:$I,Production!$A:$A,UPPER(TRIM(B136)),Production!$B:$B,AB136)</f>
        <v>40.4</v>
      </c>
      <c r="AD136">
        <f t="shared" si="8"/>
        <v>10655.903999999999</v>
      </c>
    </row>
    <row r="137" spans="1:30" ht="21" customHeight="1">
      <c r="A137" s="2" t="s">
        <v>370</v>
      </c>
      <c r="B137" s="9" t="s">
        <v>33</v>
      </c>
      <c r="C137" s="5">
        <v>45815.5</v>
      </c>
      <c r="D137" s="4">
        <v>45816.276666666672</v>
      </c>
      <c r="E137" s="2" t="s">
        <v>83</v>
      </c>
      <c r="F137" s="2" t="s">
        <v>97</v>
      </c>
      <c r="G137" s="3">
        <v>4.5199999999999996</v>
      </c>
      <c r="H137" s="3">
        <v>2.97</v>
      </c>
      <c r="I137" s="3">
        <v>0</v>
      </c>
      <c r="J137" s="3">
        <v>9.5500000000000007</v>
      </c>
      <c r="K137" s="3">
        <v>1.6</v>
      </c>
      <c r="L137" s="3">
        <v>18.64</v>
      </c>
      <c r="M137" s="3">
        <v>447.36</v>
      </c>
      <c r="N137" s="3">
        <v>0.12</v>
      </c>
      <c r="O137" s="2" t="s">
        <v>371</v>
      </c>
      <c r="P137" s="4">
        <v>45815.688333333332</v>
      </c>
      <c r="Q137" s="4">
        <v>45816.276666666672</v>
      </c>
      <c r="R137" s="2" t="s">
        <v>86</v>
      </c>
      <c r="S137" s="3">
        <v>9.5500000000000007</v>
      </c>
      <c r="T137" s="2">
        <v>85</v>
      </c>
      <c r="U137" s="3">
        <v>4128</v>
      </c>
      <c r="V137" s="3">
        <v>0</v>
      </c>
      <c r="W137" s="2" t="s">
        <v>94</v>
      </c>
      <c r="X137" s="2" t="s">
        <v>99</v>
      </c>
      <c r="Y137" s="3">
        <v>0</v>
      </c>
      <c r="Z137" t="str">
        <f>INDEX(Assets!$J:$J,MATCH(UPPER(TRIM(B137)),Assets!$A:$A,0))</f>
        <v>Juniper</v>
      </c>
      <c r="AA137">
        <f t="shared" si="6"/>
        <v>393.67680000000001</v>
      </c>
      <c r="AB137" s="21">
        <f t="shared" si="7"/>
        <v>45809</v>
      </c>
      <c r="AC137">
        <f>SUMIFS(Production!$H:$H,Production!$A:$A,UPPER(TRIM(B137)),Production!$B:$B,AB137)-SUMIFS(Production!$I:$I,Production!$A:$A,UPPER(TRIM(B137)),Production!$B:$B,AB137)</f>
        <v>41.4</v>
      </c>
      <c r="AD137">
        <f t="shared" si="8"/>
        <v>16298.219520000001</v>
      </c>
    </row>
    <row r="138" spans="1:30" ht="21" customHeight="1">
      <c r="A138" s="2" t="s">
        <v>372</v>
      </c>
      <c r="B138" s="9" t="s">
        <v>33</v>
      </c>
      <c r="C138" s="5">
        <v>45846.5</v>
      </c>
      <c r="D138" s="4">
        <v>45847.274583333332</v>
      </c>
      <c r="E138" s="2" t="s">
        <v>83</v>
      </c>
      <c r="F138" s="2" t="s">
        <v>119</v>
      </c>
      <c r="G138" s="3">
        <v>2.17</v>
      </c>
      <c r="H138" s="3">
        <v>2.76</v>
      </c>
      <c r="I138" s="3">
        <v>0</v>
      </c>
      <c r="J138" s="3">
        <v>12.12</v>
      </c>
      <c r="K138" s="3">
        <v>1.54</v>
      </c>
      <c r="L138" s="3">
        <v>18.59</v>
      </c>
      <c r="M138" s="3">
        <v>446.16</v>
      </c>
      <c r="N138" s="3">
        <v>0.14000000000000001</v>
      </c>
      <c r="O138" s="2" t="s">
        <v>373</v>
      </c>
      <c r="P138" s="4">
        <v>45846.590416666666</v>
      </c>
      <c r="Q138" s="4">
        <v>45847.274583333332</v>
      </c>
      <c r="R138" s="2" t="s">
        <v>86</v>
      </c>
      <c r="S138" s="3">
        <v>12.12</v>
      </c>
      <c r="T138" s="2">
        <v>85</v>
      </c>
      <c r="U138" s="3">
        <v>3307</v>
      </c>
      <c r="V138" s="3">
        <v>1328</v>
      </c>
      <c r="W138" s="2" t="s">
        <v>94</v>
      </c>
      <c r="X138" s="2" t="s">
        <v>121</v>
      </c>
      <c r="Y138" s="3">
        <v>0.5</v>
      </c>
      <c r="Z138" t="str">
        <f>INDEX(Assets!$J:$J,MATCH(UPPER(TRIM(B138)),Assets!$A:$A,0))</f>
        <v>Juniper</v>
      </c>
      <c r="AA138">
        <f t="shared" si="6"/>
        <v>383.69760000000002</v>
      </c>
      <c r="AB138" s="21">
        <f t="shared" si="7"/>
        <v>45839</v>
      </c>
      <c r="AC138">
        <f>SUMIFS(Production!$H:$H,Production!$A:$A,UPPER(TRIM(B138)),Production!$B:$B,AB138)-SUMIFS(Production!$I:$I,Production!$A:$A,UPPER(TRIM(B138)),Production!$B:$B,AB138)</f>
        <v>43.4</v>
      </c>
      <c r="AD138">
        <f t="shared" si="8"/>
        <v>16652.475839999999</v>
      </c>
    </row>
    <row r="139" spans="1:30" ht="21" customHeight="1">
      <c r="A139" s="2" t="s">
        <v>374</v>
      </c>
      <c r="B139" s="9" t="s">
        <v>33</v>
      </c>
      <c r="C139" s="5">
        <v>45866.5</v>
      </c>
      <c r="D139" s="4">
        <v>45866.743750000001</v>
      </c>
      <c r="E139" s="2" t="s">
        <v>90</v>
      </c>
      <c r="F139" s="2" t="s">
        <v>91</v>
      </c>
      <c r="G139" s="3">
        <v>0</v>
      </c>
      <c r="H139" s="3">
        <v>0</v>
      </c>
      <c r="I139" s="3">
        <v>0</v>
      </c>
      <c r="J139" s="3">
        <v>5.85</v>
      </c>
      <c r="K139" s="3">
        <v>0</v>
      </c>
      <c r="L139" s="3">
        <v>5.85</v>
      </c>
      <c r="M139" s="3">
        <v>140.4</v>
      </c>
      <c r="N139" s="3">
        <v>0.25</v>
      </c>
      <c r="O139" s="2" t="s">
        <v>375</v>
      </c>
      <c r="P139" s="4">
        <v>45866.5</v>
      </c>
      <c r="Q139" s="4">
        <v>45866.743750000001</v>
      </c>
      <c r="R139" s="2" t="s">
        <v>93</v>
      </c>
      <c r="S139" s="3">
        <v>5.85</v>
      </c>
      <c r="T139" s="2">
        <v>85</v>
      </c>
      <c r="U139" s="3">
        <v>802</v>
      </c>
      <c r="V139" s="3">
        <v>0</v>
      </c>
      <c r="W139" s="2" t="s">
        <v>94</v>
      </c>
      <c r="X139" s="2" t="s">
        <v>95</v>
      </c>
      <c r="Y139" s="3">
        <v>0</v>
      </c>
      <c r="Z139" t="str">
        <f>INDEX(Assets!$J:$J,MATCH(UPPER(TRIM(B139)),Assets!$A:$A,0))</f>
        <v>Juniper</v>
      </c>
      <c r="AA139">
        <f t="shared" si="6"/>
        <v>105.30000000000001</v>
      </c>
      <c r="AB139" s="21">
        <f t="shared" si="7"/>
        <v>45839</v>
      </c>
      <c r="AC139">
        <f>SUMIFS(Production!$H:$H,Production!$A:$A,UPPER(TRIM(B139)),Production!$B:$B,AB139)-SUMIFS(Production!$I:$I,Production!$A:$A,UPPER(TRIM(B139)),Production!$B:$B,AB139)</f>
        <v>43.4</v>
      </c>
      <c r="AD139">
        <f t="shared" si="8"/>
        <v>4570.0200000000004</v>
      </c>
    </row>
    <row r="140" spans="1:30" ht="21" customHeight="1">
      <c r="A140" s="2" t="s">
        <v>376</v>
      </c>
      <c r="B140" s="9" t="s">
        <v>33</v>
      </c>
      <c r="C140" s="5">
        <v>45875.5</v>
      </c>
      <c r="D140" s="4">
        <v>45876.025000000001</v>
      </c>
      <c r="E140" s="2" t="s">
        <v>83</v>
      </c>
      <c r="F140" s="2" t="s">
        <v>119</v>
      </c>
      <c r="G140" s="3">
        <v>2.2400000000000002</v>
      </c>
      <c r="H140" s="3">
        <v>2.4900000000000002</v>
      </c>
      <c r="I140" s="3">
        <v>0</v>
      </c>
      <c r="J140" s="3">
        <v>7.19</v>
      </c>
      <c r="K140" s="3">
        <v>0.68</v>
      </c>
      <c r="L140" s="3">
        <v>12.6</v>
      </c>
      <c r="M140" s="3">
        <v>302.39999999999998</v>
      </c>
      <c r="N140" s="3">
        <v>0.13</v>
      </c>
      <c r="O140" s="2" t="s">
        <v>377</v>
      </c>
      <c r="P140" s="4">
        <v>45875.593333333338</v>
      </c>
      <c r="Q140" s="4">
        <v>45876.025000000001</v>
      </c>
      <c r="R140" s="2" t="s">
        <v>86</v>
      </c>
      <c r="S140" s="3">
        <v>7.19</v>
      </c>
      <c r="T140" s="2">
        <v>85</v>
      </c>
      <c r="U140" s="3">
        <v>7091</v>
      </c>
      <c r="V140" s="3">
        <v>0</v>
      </c>
      <c r="W140" s="2" t="s">
        <v>94</v>
      </c>
      <c r="X140" s="2" t="s">
        <v>121</v>
      </c>
      <c r="Y140" s="3">
        <v>0</v>
      </c>
      <c r="Z140" t="str">
        <f>INDEX(Assets!$J:$J,MATCH(UPPER(TRIM(B140)),Assets!$A:$A,0))</f>
        <v>Juniper</v>
      </c>
      <c r="AA140">
        <f t="shared" si="6"/>
        <v>263.08799999999997</v>
      </c>
      <c r="AB140" s="21">
        <f t="shared" si="7"/>
        <v>45870</v>
      </c>
      <c r="AC140">
        <f>SUMIFS(Production!$H:$H,Production!$A:$A,UPPER(TRIM(B140)),Production!$B:$B,AB140)-SUMIFS(Production!$I:$I,Production!$A:$A,UPPER(TRIM(B140)),Production!$B:$B,AB140)</f>
        <v>42.4</v>
      </c>
      <c r="AD140">
        <f t="shared" si="8"/>
        <v>11154.931199999997</v>
      </c>
    </row>
    <row r="141" spans="1:30" ht="21" customHeight="1">
      <c r="A141" s="2" t="s">
        <v>378</v>
      </c>
      <c r="B141" s="9" t="s">
        <v>33</v>
      </c>
      <c r="C141" s="5">
        <v>45908.5</v>
      </c>
      <c r="D141" s="4">
        <v>45909.192500000005</v>
      </c>
      <c r="E141" s="2" t="s">
        <v>83</v>
      </c>
      <c r="F141" s="2" t="s">
        <v>119</v>
      </c>
      <c r="G141" s="3">
        <v>3.21</v>
      </c>
      <c r="H141" s="3">
        <v>1.77</v>
      </c>
      <c r="I141" s="3">
        <v>0</v>
      </c>
      <c r="J141" s="3">
        <v>10.74</v>
      </c>
      <c r="K141" s="3">
        <v>0.9</v>
      </c>
      <c r="L141" s="3">
        <v>16.62</v>
      </c>
      <c r="M141" s="3">
        <v>398.88</v>
      </c>
      <c r="N141" s="3">
        <v>0.23</v>
      </c>
      <c r="O141" s="2" t="s">
        <v>379</v>
      </c>
      <c r="P141" s="4">
        <v>45908.633750000001</v>
      </c>
      <c r="Q141" s="4">
        <v>45909.192500000005</v>
      </c>
      <c r="R141" s="2" t="s">
        <v>86</v>
      </c>
      <c r="S141" s="3">
        <v>21.48</v>
      </c>
      <c r="T141" s="2">
        <v>85</v>
      </c>
      <c r="U141" s="3">
        <v>3436</v>
      </c>
      <c r="V141" s="3">
        <v>1975</v>
      </c>
      <c r="W141" s="2" t="s">
        <v>94</v>
      </c>
      <c r="X141" s="2" t="s">
        <v>121</v>
      </c>
      <c r="Y141" s="3">
        <v>0</v>
      </c>
      <c r="Z141" t="str">
        <f>INDEX(Assets!$J:$J,MATCH(UPPER(TRIM(B141)),Assets!$A:$A,0))</f>
        <v>Juniper</v>
      </c>
      <c r="AA141">
        <f t="shared" si="6"/>
        <v>307.13760000000002</v>
      </c>
      <c r="AB141" s="21">
        <f t="shared" si="7"/>
        <v>45901</v>
      </c>
      <c r="AC141">
        <f>SUMIFS(Production!$H:$H,Production!$A:$A,UPPER(TRIM(B141)),Production!$B:$B,AB141)-SUMIFS(Production!$I:$I,Production!$A:$A,UPPER(TRIM(B141)),Production!$B:$B,AB141)</f>
        <v>39.4</v>
      </c>
      <c r="AD141">
        <f t="shared" si="8"/>
        <v>12101.221440000001</v>
      </c>
    </row>
    <row r="142" spans="1:30" ht="21" customHeight="1">
      <c r="A142" s="2" t="s">
        <v>380</v>
      </c>
      <c r="B142" s="9" t="s">
        <v>33</v>
      </c>
      <c r="C142" s="5">
        <v>45937.5</v>
      </c>
      <c r="D142" s="4">
        <v>45938.159583333334</v>
      </c>
      <c r="E142" s="2" t="s">
        <v>83</v>
      </c>
      <c r="F142" s="2" t="s">
        <v>119</v>
      </c>
      <c r="G142" s="3">
        <v>4.5199999999999996</v>
      </c>
      <c r="H142" s="3">
        <v>1.84</v>
      </c>
      <c r="I142" s="3">
        <v>0</v>
      </c>
      <c r="J142" s="3">
        <v>7.73</v>
      </c>
      <c r="K142" s="3">
        <v>1.74</v>
      </c>
      <c r="L142" s="3">
        <v>15.83</v>
      </c>
      <c r="M142" s="3">
        <v>379.92</v>
      </c>
      <c r="N142" s="3">
        <v>0.28999999999999998</v>
      </c>
      <c r="O142" s="2" t="s">
        <v>381</v>
      </c>
      <c r="P142" s="4">
        <v>45937.688333333332</v>
      </c>
      <c r="Q142" s="4">
        <v>45938.159583333334</v>
      </c>
      <c r="R142" s="2" t="s">
        <v>86</v>
      </c>
      <c r="S142" s="3">
        <v>7.73</v>
      </c>
      <c r="T142" s="2">
        <v>85</v>
      </c>
      <c r="U142" s="3">
        <v>7345</v>
      </c>
      <c r="V142" s="3">
        <v>0</v>
      </c>
      <c r="W142" s="2" t="s">
        <v>94</v>
      </c>
      <c r="X142" s="2" t="s">
        <v>121</v>
      </c>
      <c r="Y142" s="3">
        <v>0</v>
      </c>
      <c r="Z142" t="str">
        <f>INDEX(Assets!$J:$J,MATCH(UPPER(TRIM(B142)),Assets!$A:$A,0))</f>
        <v>Juniper</v>
      </c>
      <c r="AA142">
        <f t="shared" si="6"/>
        <v>269.7432</v>
      </c>
      <c r="AB142" s="21">
        <f t="shared" si="7"/>
        <v>45931</v>
      </c>
      <c r="AC142">
        <f>SUMIFS(Production!$H:$H,Production!$A:$A,UPPER(TRIM(B142)),Production!$B:$B,AB142)-SUMIFS(Production!$I:$I,Production!$A:$A,UPPER(TRIM(B142)),Production!$B:$B,AB142)</f>
        <v>38.4</v>
      </c>
      <c r="AD142">
        <f t="shared" si="8"/>
        <v>10358.13888</v>
      </c>
    </row>
    <row r="143" spans="1:30" ht="21" customHeight="1">
      <c r="A143" s="2" t="s">
        <v>382</v>
      </c>
      <c r="B143" s="9" t="s">
        <v>33</v>
      </c>
      <c r="C143" s="5">
        <v>45958.5</v>
      </c>
      <c r="D143" s="4">
        <v>45958.7</v>
      </c>
      <c r="E143" s="2" t="s">
        <v>90</v>
      </c>
      <c r="F143" s="2" t="s">
        <v>91</v>
      </c>
      <c r="G143" s="3">
        <v>0</v>
      </c>
      <c r="H143" s="3">
        <v>0</v>
      </c>
      <c r="I143" s="3">
        <v>0</v>
      </c>
      <c r="J143" s="3">
        <v>4.8</v>
      </c>
      <c r="K143" s="3">
        <v>0</v>
      </c>
      <c r="L143" s="3">
        <v>4.8</v>
      </c>
      <c r="M143" s="3">
        <v>115.2</v>
      </c>
      <c r="N143" s="3">
        <v>0.25</v>
      </c>
      <c r="O143" s="2" t="s">
        <v>383</v>
      </c>
      <c r="P143" s="4">
        <v>45958.5</v>
      </c>
      <c r="Q143" s="4">
        <v>45958.7</v>
      </c>
      <c r="R143" s="2" t="s">
        <v>93</v>
      </c>
      <c r="S143" s="3">
        <v>4.8</v>
      </c>
      <c r="T143" s="2">
        <v>85</v>
      </c>
      <c r="U143" s="3">
        <v>1048</v>
      </c>
      <c r="V143" s="3">
        <v>0</v>
      </c>
      <c r="W143" s="2" t="s">
        <v>94</v>
      </c>
      <c r="X143" s="2" t="s">
        <v>95</v>
      </c>
      <c r="Y143" s="3">
        <v>0</v>
      </c>
      <c r="Z143" t="str">
        <f>INDEX(Assets!$J:$J,MATCH(UPPER(TRIM(B143)),Assets!$A:$A,0))</f>
        <v>Juniper</v>
      </c>
      <c r="AA143">
        <f t="shared" si="6"/>
        <v>86.4</v>
      </c>
      <c r="AB143" s="21">
        <f t="shared" si="7"/>
        <v>45931</v>
      </c>
      <c r="AC143">
        <f>SUMIFS(Production!$H:$H,Production!$A:$A,UPPER(TRIM(B143)),Production!$B:$B,AB143)-SUMIFS(Production!$I:$I,Production!$A:$A,UPPER(TRIM(B143)),Production!$B:$B,AB143)</f>
        <v>38.4</v>
      </c>
      <c r="AD143">
        <f t="shared" si="8"/>
        <v>3317.76</v>
      </c>
    </row>
    <row r="144" spans="1:30" ht="21" customHeight="1">
      <c r="A144" s="2" t="s">
        <v>384</v>
      </c>
      <c r="B144" s="9" t="s">
        <v>33</v>
      </c>
      <c r="C144" s="5">
        <v>45969.5</v>
      </c>
      <c r="D144" s="4">
        <v>45970.536666666667</v>
      </c>
      <c r="E144" s="2" t="s">
        <v>83</v>
      </c>
      <c r="F144" s="2" t="s">
        <v>97</v>
      </c>
      <c r="G144" s="3">
        <v>4.72</v>
      </c>
      <c r="H144" s="3">
        <v>1.2</v>
      </c>
      <c r="I144" s="3">
        <v>14.81</v>
      </c>
      <c r="J144" s="3">
        <v>3.26</v>
      </c>
      <c r="K144" s="3">
        <v>0.89</v>
      </c>
      <c r="L144" s="3">
        <v>24.88</v>
      </c>
      <c r="M144" s="3">
        <v>597.12</v>
      </c>
      <c r="N144" s="3">
        <v>0.14000000000000001</v>
      </c>
      <c r="O144" s="2" t="s">
        <v>385</v>
      </c>
      <c r="P144" s="4">
        <v>45969.69666666667</v>
      </c>
      <c r="Q144" s="4">
        <v>45970.536666666667</v>
      </c>
      <c r="R144" s="2" t="s">
        <v>86</v>
      </c>
      <c r="S144" s="3">
        <v>3.26</v>
      </c>
      <c r="T144" s="2">
        <v>85</v>
      </c>
      <c r="U144" s="3">
        <v>7817</v>
      </c>
      <c r="V144" s="3">
        <v>0</v>
      </c>
      <c r="W144" s="2" t="s">
        <v>94</v>
      </c>
      <c r="X144" s="2" t="s">
        <v>99</v>
      </c>
      <c r="Y144" s="3">
        <v>0</v>
      </c>
      <c r="Z144" t="str">
        <f>INDEX(Assets!$J:$J,MATCH(UPPER(TRIM(B144)),Assets!$A:$A,0))</f>
        <v>Juniper</v>
      </c>
      <c r="AA144">
        <f t="shared" si="6"/>
        <v>513.52319999999997</v>
      </c>
      <c r="AB144" s="21">
        <f t="shared" si="7"/>
        <v>45962</v>
      </c>
      <c r="AC144">
        <f>SUMIFS(Production!$H:$H,Production!$A:$A,UPPER(TRIM(B144)),Production!$B:$B,AB144)-SUMIFS(Production!$I:$I,Production!$A:$A,UPPER(TRIM(B144)),Production!$B:$B,AB144)</f>
        <v>40.4</v>
      </c>
      <c r="AD144">
        <f t="shared" si="8"/>
        <v>20746.33728</v>
      </c>
    </row>
    <row r="145" spans="1:30" ht="21" customHeight="1">
      <c r="A145" s="2" t="s">
        <v>386</v>
      </c>
      <c r="B145" s="9" t="s">
        <v>33</v>
      </c>
      <c r="C145" s="5">
        <v>46000.5</v>
      </c>
      <c r="D145" s="4">
        <v>46001.154583333337</v>
      </c>
      <c r="E145" s="2" t="s">
        <v>83</v>
      </c>
      <c r="F145" s="2" t="s">
        <v>101</v>
      </c>
      <c r="G145" s="3">
        <v>3.66</v>
      </c>
      <c r="H145" s="3">
        <v>2.76</v>
      </c>
      <c r="I145" s="3">
        <v>0</v>
      </c>
      <c r="J145" s="3">
        <v>7.99</v>
      </c>
      <c r="K145" s="3">
        <v>1.3</v>
      </c>
      <c r="L145" s="3">
        <v>15.71</v>
      </c>
      <c r="M145" s="3">
        <v>377.04</v>
      </c>
      <c r="N145" s="3">
        <v>0.24</v>
      </c>
      <c r="O145" s="2" t="s">
        <v>387</v>
      </c>
      <c r="P145" s="4">
        <v>46000.652499999997</v>
      </c>
      <c r="Q145" s="4">
        <v>46001.154583333337</v>
      </c>
      <c r="R145" s="2" t="s">
        <v>86</v>
      </c>
      <c r="S145" s="3">
        <v>15.98</v>
      </c>
      <c r="T145" s="2">
        <v>85</v>
      </c>
      <c r="U145" s="3">
        <v>6272</v>
      </c>
      <c r="V145" s="3">
        <v>3327</v>
      </c>
      <c r="W145" s="2" t="s">
        <v>94</v>
      </c>
      <c r="X145" s="2" t="s">
        <v>103</v>
      </c>
      <c r="Y145" s="3">
        <v>0</v>
      </c>
      <c r="Z145" t="str">
        <f>INDEX(Assets!$J:$J,MATCH(UPPER(TRIM(B145)),Assets!$A:$A,0))</f>
        <v>Juniper</v>
      </c>
      <c r="AA145">
        <f t="shared" si="6"/>
        <v>286.55040000000002</v>
      </c>
      <c r="AB145" s="21">
        <f t="shared" si="7"/>
        <v>45992</v>
      </c>
      <c r="AC145">
        <f>SUMIFS(Production!$H:$H,Production!$A:$A,UPPER(TRIM(B145)),Production!$B:$B,AB145)-SUMIFS(Production!$I:$I,Production!$A:$A,UPPER(TRIM(B145)),Production!$B:$B,AB145)</f>
        <v>41.4</v>
      </c>
      <c r="AD145">
        <f t="shared" si="8"/>
        <v>11863.18656</v>
      </c>
    </row>
    <row r="146" spans="1:30" ht="21" customHeight="1">
      <c r="A146" s="2" t="s">
        <v>388</v>
      </c>
      <c r="B146" s="9" t="s">
        <v>36</v>
      </c>
      <c r="C146" s="5">
        <v>45662.5</v>
      </c>
      <c r="D146" s="4">
        <v>45663.221666666665</v>
      </c>
      <c r="E146" s="2" t="s">
        <v>83</v>
      </c>
      <c r="F146" s="2" t="s">
        <v>119</v>
      </c>
      <c r="G146" s="3">
        <v>4.1900000000000004</v>
      </c>
      <c r="H146" s="3">
        <v>1.61</v>
      </c>
      <c r="I146" s="3">
        <v>0</v>
      </c>
      <c r="J146" s="3">
        <v>9.85</v>
      </c>
      <c r="K146" s="3">
        <v>1.67</v>
      </c>
      <c r="L146" s="3">
        <v>17.32</v>
      </c>
      <c r="M146" s="3">
        <v>311.76</v>
      </c>
      <c r="N146" s="3">
        <v>0.14000000000000001</v>
      </c>
      <c r="O146" s="2" t="s">
        <v>389</v>
      </c>
      <c r="P146" s="4">
        <v>45662.674583333333</v>
      </c>
      <c r="Q146" s="4">
        <v>45663.221666666665</v>
      </c>
      <c r="R146" s="2" t="s">
        <v>86</v>
      </c>
      <c r="S146" s="3">
        <v>9.85</v>
      </c>
      <c r="T146" s="2">
        <v>85</v>
      </c>
      <c r="U146" s="3">
        <v>8833</v>
      </c>
      <c r="V146" s="3">
        <v>0</v>
      </c>
      <c r="W146" s="2" t="s">
        <v>94</v>
      </c>
      <c r="X146" s="2" t="s">
        <v>121</v>
      </c>
      <c r="Y146" s="3">
        <v>0</v>
      </c>
      <c r="Z146" t="str">
        <f>INDEX(Assets!$J:$J,MATCH(UPPER(TRIM(B146)),Assets!$A:$A,0))</f>
        <v>Juniper</v>
      </c>
      <c r="AA146">
        <f t="shared" si="6"/>
        <v>268.11359999999996</v>
      </c>
      <c r="AB146" s="21">
        <f t="shared" si="7"/>
        <v>45658</v>
      </c>
      <c r="AC146">
        <f>SUMIFS(Production!$H:$H,Production!$A:$A,UPPER(TRIM(B146)),Production!$B:$B,AB146)-SUMIFS(Production!$I:$I,Production!$A:$A,UPPER(TRIM(B146)),Production!$B:$B,AB146)</f>
        <v>48.4</v>
      </c>
      <c r="AD146">
        <f t="shared" si="8"/>
        <v>12976.698239999998</v>
      </c>
    </row>
    <row r="147" spans="1:30" ht="21" customHeight="1">
      <c r="A147" s="2" t="s">
        <v>390</v>
      </c>
      <c r="B147" s="9" t="s">
        <v>36</v>
      </c>
      <c r="C147" s="5">
        <v>45678.5</v>
      </c>
      <c r="D147" s="4">
        <v>45680.083333333328</v>
      </c>
      <c r="E147" s="2" t="s">
        <v>83</v>
      </c>
      <c r="F147" s="2" t="s">
        <v>84</v>
      </c>
      <c r="G147" s="3">
        <v>3.69</v>
      </c>
      <c r="H147" s="3">
        <v>2.52</v>
      </c>
      <c r="I147" s="3">
        <v>24.77</v>
      </c>
      <c r="J147" s="3">
        <v>5.84</v>
      </c>
      <c r="K147" s="3">
        <v>1.18</v>
      </c>
      <c r="L147" s="3">
        <v>38</v>
      </c>
      <c r="M147" s="3">
        <v>684</v>
      </c>
      <c r="N147" s="3">
        <v>0.21</v>
      </c>
      <c r="O147" s="2" t="s">
        <v>391</v>
      </c>
      <c r="P147" s="4">
        <v>45678.653749999998</v>
      </c>
      <c r="Q147" s="4">
        <v>45680.083333333328</v>
      </c>
      <c r="R147" s="2" t="s">
        <v>86</v>
      </c>
      <c r="S147" s="3">
        <v>11.68</v>
      </c>
      <c r="T147" s="2">
        <v>85</v>
      </c>
      <c r="U147" s="3"/>
      <c r="V147" s="3">
        <v>0</v>
      </c>
      <c r="W147" s="2" t="s">
        <v>87</v>
      </c>
      <c r="X147" s="2" t="s">
        <v>88</v>
      </c>
      <c r="Y147" s="3">
        <v>0</v>
      </c>
      <c r="Z147" t="str">
        <f>INDEX(Assets!$J:$J,MATCH(UPPER(TRIM(B147)),Assets!$A:$A,0))</f>
        <v>Juniper</v>
      </c>
      <c r="AA147">
        <f t="shared" si="6"/>
        <v>540.36</v>
      </c>
      <c r="AB147" s="21">
        <f t="shared" si="7"/>
        <v>45658</v>
      </c>
      <c r="AC147">
        <f>SUMIFS(Production!$H:$H,Production!$A:$A,UPPER(TRIM(B147)),Production!$B:$B,AB147)-SUMIFS(Production!$I:$I,Production!$A:$A,UPPER(TRIM(B147)),Production!$B:$B,AB147)</f>
        <v>48.4</v>
      </c>
      <c r="AD147">
        <f t="shared" si="8"/>
        <v>26153.423999999999</v>
      </c>
    </row>
    <row r="148" spans="1:30" ht="21" customHeight="1">
      <c r="A148" s="2" t="s">
        <v>392</v>
      </c>
      <c r="B148" s="9" t="s">
        <v>36</v>
      </c>
      <c r="C148" s="5">
        <v>45685.5</v>
      </c>
      <c r="D148" s="4">
        <v>45685.824999999997</v>
      </c>
      <c r="E148" s="2" t="s">
        <v>90</v>
      </c>
      <c r="F148" s="2" t="s">
        <v>91</v>
      </c>
      <c r="G148" s="3">
        <v>0</v>
      </c>
      <c r="H148" s="3">
        <v>0</v>
      </c>
      <c r="I148" s="3">
        <v>0</v>
      </c>
      <c r="J148" s="3">
        <v>7.8</v>
      </c>
      <c r="K148" s="3">
        <v>0</v>
      </c>
      <c r="L148" s="3">
        <v>7.8</v>
      </c>
      <c r="M148" s="3">
        <v>140.4</v>
      </c>
      <c r="N148" s="3">
        <v>0.25</v>
      </c>
      <c r="O148" s="2" t="s">
        <v>393</v>
      </c>
      <c r="P148" s="4">
        <v>45685.5</v>
      </c>
      <c r="Q148" s="4">
        <v>45685.824999999997</v>
      </c>
      <c r="R148" s="2" t="s">
        <v>93</v>
      </c>
      <c r="S148" s="3">
        <v>15.6</v>
      </c>
      <c r="T148" s="2">
        <v>85</v>
      </c>
      <c r="U148" s="3">
        <v>1198</v>
      </c>
      <c r="V148" s="3">
        <v>0</v>
      </c>
      <c r="W148" s="2" t="s">
        <v>94</v>
      </c>
      <c r="X148" s="2" t="s">
        <v>95</v>
      </c>
      <c r="Y148" s="3">
        <v>0</v>
      </c>
      <c r="Z148" t="str">
        <f>INDEX(Assets!$J:$J,MATCH(UPPER(TRIM(B148)),Assets!$A:$A,0))</f>
        <v>Juniper</v>
      </c>
      <c r="AA148">
        <f t="shared" si="6"/>
        <v>105.30000000000001</v>
      </c>
      <c r="AB148" s="21">
        <f t="shared" si="7"/>
        <v>45658</v>
      </c>
      <c r="AC148">
        <f>SUMIFS(Production!$H:$H,Production!$A:$A,UPPER(TRIM(B148)),Production!$B:$B,AB148)-SUMIFS(Production!$I:$I,Production!$A:$A,UPPER(TRIM(B148)),Production!$B:$B,AB148)</f>
        <v>48.4</v>
      </c>
      <c r="AD148">
        <f t="shared" si="8"/>
        <v>5096.5200000000004</v>
      </c>
    </row>
    <row r="149" spans="1:30" ht="21" customHeight="1">
      <c r="A149" s="2" t="s">
        <v>394</v>
      </c>
      <c r="B149" s="9" t="s">
        <v>36</v>
      </c>
      <c r="C149" s="5">
        <v>45695.5</v>
      </c>
      <c r="D149" s="4">
        <v>45697.068333333329</v>
      </c>
      <c r="E149" s="2" t="s">
        <v>83</v>
      </c>
      <c r="F149" s="2" t="s">
        <v>84</v>
      </c>
      <c r="G149" s="3">
        <v>3.79</v>
      </c>
      <c r="H149" s="3">
        <v>1.43</v>
      </c>
      <c r="I149" s="3">
        <v>25.89</v>
      </c>
      <c r="J149" s="3">
        <v>5.33</v>
      </c>
      <c r="K149" s="3">
        <v>1.2</v>
      </c>
      <c r="L149" s="3">
        <v>37.64</v>
      </c>
      <c r="M149" s="3">
        <v>677.52</v>
      </c>
      <c r="N149" s="3">
        <v>0.09</v>
      </c>
      <c r="O149" s="2" t="s">
        <v>395</v>
      </c>
      <c r="P149" s="4">
        <v>45695.657916666663</v>
      </c>
      <c r="Q149" s="4">
        <v>45697.068333333329</v>
      </c>
      <c r="R149" s="2" t="s">
        <v>86</v>
      </c>
      <c r="S149" s="3">
        <v>10.66</v>
      </c>
      <c r="T149" s="2">
        <v>85</v>
      </c>
      <c r="U149" s="3">
        <v>6507</v>
      </c>
      <c r="V149" s="3">
        <v>0</v>
      </c>
      <c r="W149" s="2" t="s">
        <v>94</v>
      </c>
      <c r="X149" s="2" t="s">
        <v>88</v>
      </c>
      <c r="Y149" s="3">
        <v>0</v>
      </c>
      <c r="Z149" t="str">
        <f>INDEX(Assets!$J:$J,MATCH(UPPER(TRIM(B149)),Assets!$A:$A,0))</f>
        <v>Juniper</v>
      </c>
      <c r="AA149">
        <f t="shared" si="6"/>
        <v>616.54319999999996</v>
      </c>
      <c r="AB149" s="21">
        <f t="shared" si="7"/>
        <v>45689</v>
      </c>
      <c r="AC149">
        <f>SUMIFS(Production!$H:$H,Production!$A:$A,UPPER(TRIM(B149)),Production!$B:$B,AB149)-SUMIFS(Production!$I:$I,Production!$A:$A,UPPER(TRIM(B149)),Production!$B:$B,AB149)</f>
        <v>46.4</v>
      </c>
      <c r="AD149">
        <f t="shared" si="8"/>
        <v>28607.604479999998</v>
      </c>
    </row>
    <row r="150" spans="1:30" ht="21" customHeight="1">
      <c r="A150" s="2" t="s">
        <v>396</v>
      </c>
      <c r="B150" s="9" t="s">
        <v>36</v>
      </c>
      <c r="C150" s="5">
        <v>45726.5</v>
      </c>
      <c r="D150" s="4">
        <v>45726.89708333333</v>
      </c>
      <c r="E150" s="2" t="s">
        <v>83</v>
      </c>
      <c r="F150" s="2" t="s">
        <v>97</v>
      </c>
      <c r="G150" s="3">
        <v>3.48</v>
      </c>
      <c r="H150" s="3">
        <v>2.5299999999999998</v>
      </c>
      <c r="I150" s="3">
        <v>0</v>
      </c>
      <c r="J150" s="3">
        <v>2.92</v>
      </c>
      <c r="K150" s="3">
        <v>0.6</v>
      </c>
      <c r="L150" s="3">
        <v>9.5299999999999994</v>
      </c>
      <c r="M150" s="3">
        <v>171.54</v>
      </c>
      <c r="N150" s="3">
        <v>0.09</v>
      </c>
      <c r="O150" s="2" t="s">
        <v>397</v>
      </c>
      <c r="P150" s="4">
        <v>45726.645000000004</v>
      </c>
      <c r="Q150" s="4">
        <v>45726.89708333333</v>
      </c>
      <c r="R150" s="2" t="s">
        <v>86</v>
      </c>
      <c r="S150" s="3">
        <v>2.92</v>
      </c>
      <c r="T150" s="2">
        <v>85</v>
      </c>
      <c r="U150" s="3">
        <v>5738</v>
      </c>
      <c r="V150" s="3">
        <v>0</v>
      </c>
      <c r="W150" s="2" t="s">
        <v>94</v>
      </c>
      <c r="X150" s="2" t="s">
        <v>99</v>
      </c>
      <c r="Y150" s="3">
        <v>0</v>
      </c>
      <c r="Z150" t="str">
        <f>INDEX(Assets!$J:$J,MATCH(UPPER(TRIM(B150)),Assets!$A:$A,0))</f>
        <v>Juniper</v>
      </c>
      <c r="AA150">
        <f t="shared" si="6"/>
        <v>156.10139999999998</v>
      </c>
      <c r="AB150" s="21">
        <f t="shared" si="7"/>
        <v>45717</v>
      </c>
      <c r="AC150">
        <f>SUMIFS(Production!$H:$H,Production!$A:$A,UPPER(TRIM(B150)),Production!$B:$B,AB150)-SUMIFS(Production!$I:$I,Production!$A:$A,UPPER(TRIM(B150)),Production!$B:$B,AB150)</f>
        <v>44.4</v>
      </c>
      <c r="AD150">
        <f t="shared" si="8"/>
        <v>6930.9021599999987</v>
      </c>
    </row>
    <row r="151" spans="1:30" ht="21" customHeight="1">
      <c r="A151" s="2" t="s">
        <v>398</v>
      </c>
      <c r="B151" s="9" t="s">
        <v>36</v>
      </c>
      <c r="C151" s="5">
        <v>45735.5</v>
      </c>
      <c r="D151" s="4">
        <v>45736.063333333332</v>
      </c>
      <c r="E151" s="2" t="s">
        <v>83</v>
      </c>
      <c r="F151" s="2" t="s">
        <v>84</v>
      </c>
      <c r="G151" s="3">
        <v>2.62</v>
      </c>
      <c r="H151" s="3">
        <v>1.05</v>
      </c>
      <c r="I151" s="3">
        <v>0</v>
      </c>
      <c r="J151" s="3">
        <v>8.5</v>
      </c>
      <c r="K151" s="3">
        <v>1.35</v>
      </c>
      <c r="L151" s="3">
        <v>13.52</v>
      </c>
      <c r="M151" s="3">
        <v>243.36</v>
      </c>
      <c r="N151" s="3">
        <v>0.27</v>
      </c>
      <c r="O151" s="2" t="s">
        <v>399</v>
      </c>
      <c r="P151" s="4">
        <v>45735.609166666662</v>
      </c>
      <c r="Q151" s="4">
        <v>45736.063333333332</v>
      </c>
      <c r="R151" s="2" t="s">
        <v>86</v>
      </c>
      <c r="S151" s="3">
        <v>8.5</v>
      </c>
      <c r="T151" s="2">
        <v>85</v>
      </c>
      <c r="U151" s="3">
        <v>2243</v>
      </c>
      <c r="V151" s="3">
        <v>0</v>
      </c>
      <c r="W151" s="2" t="s">
        <v>94</v>
      </c>
      <c r="X151" s="2" t="s">
        <v>88</v>
      </c>
      <c r="Y151" s="3">
        <v>0</v>
      </c>
      <c r="Z151" t="str">
        <f>INDEX(Assets!$J:$J,MATCH(UPPER(TRIM(B151)),Assets!$A:$A,0))</f>
        <v>Juniper</v>
      </c>
      <c r="AA151">
        <f t="shared" si="6"/>
        <v>177.65280000000001</v>
      </c>
      <c r="AB151" s="21">
        <f t="shared" si="7"/>
        <v>45717</v>
      </c>
      <c r="AC151">
        <f>SUMIFS(Production!$H:$H,Production!$A:$A,UPPER(TRIM(B151)),Production!$B:$B,AB151)-SUMIFS(Production!$I:$I,Production!$A:$A,UPPER(TRIM(B151)),Production!$B:$B,AB151)</f>
        <v>44.4</v>
      </c>
      <c r="AD151">
        <f t="shared" si="8"/>
        <v>7887.7843200000007</v>
      </c>
    </row>
    <row r="152" spans="1:30" ht="21" customHeight="1">
      <c r="A152" s="2" t="s">
        <v>400</v>
      </c>
      <c r="B152" s="9" t="s">
        <v>36</v>
      </c>
      <c r="C152" s="5">
        <v>45756.5</v>
      </c>
      <c r="D152" s="4">
        <v>45757.081250000003</v>
      </c>
      <c r="E152" s="2" t="s">
        <v>83</v>
      </c>
      <c r="F152" s="2" t="s">
        <v>119</v>
      </c>
      <c r="G152" s="3">
        <v>4.26</v>
      </c>
      <c r="H152" s="3">
        <v>1.0900000000000001</v>
      </c>
      <c r="I152" s="3">
        <v>0</v>
      </c>
      <c r="J152" s="3">
        <v>7.5</v>
      </c>
      <c r="K152" s="3">
        <v>1.1000000000000001</v>
      </c>
      <c r="L152" s="3">
        <v>13.95</v>
      </c>
      <c r="M152" s="3">
        <v>251.1</v>
      </c>
      <c r="N152" s="3">
        <v>0.23</v>
      </c>
      <c r="O152" s="2" t="s">
        <v>401</v>
      </c>
      <c r="P152" s="4">
        <v>45756.677500000005</v>
      </c>
      <c r="Q152" s="4">
        <v>45757.081250000003</v>
      </c>
      <c r="R152" s="2" t="s">
        <v>86</v>
      </c>
      <c r="S152" s="3">
        <v>7.5</v>
      </c>
      <c r="T152" s="2">
        <v>85</v>
      </c>
      <c r="U152" s="3">
        <v>2151</v>
      </c>
      <c r="V152" s="3">
        <v>0</v>
      </c>
      <c r="W152" s="2" t="s">
        <v>94</v>
      </c>
      <c r="X152" s="2" t="s">
        <v>121</v>
      </c>
      <c r="Y152" s="3">
        <v>0</v>
      </c>
      <c r="Z152" t="str">
        <f>INDEX(Assets!$J:$J,MATCH(UPPER(TRIM(B152)),Assets!$A:$A,0))</f>
        <v>Juniper</v>
      </c>
      <c r="AA152">
        <f t="shared" si="6"/>
        <v>193.34700000000001</v>
      </c>
      <c r="AB152" s="21">
        <f t="shared" si="7"/>
        <v>45748</v>
      </c>
      <c r="AC152">
        <f>SUMIFS(Production!$H:$H,Production!$A:$A,UPPER(TRIM(B152)),Production!$B:$B,AB152)-SUMIFS(Production!$I:$I,Production!$A:$A,UPPER(TRIM(B152)),Production!$B:$B,AB152)</f>
        <v>42.4</v>
      </c>
      <c r="AD152">
        <f t="shared" si="8"/>
        <v>8197.9128000000001</v>
      </c>
    </row>
    <row r="153" spans="1:30" ht="21" customHeight="1">
      <c r="A153" s="2" t="s">
        <v>402</v>
      </c>
      <c r="B153" s="9" t="s">
        <v>36</v>
      </c>
      <c r="C153" s="5">
        <v>45775.5</v>
      </c>
      <c r="D153" s="4">
        <v>45775.794999999998</v>
      </c>
      <c r="E153" s="2" t="s">
        <v>90</v>
      </c>
      <c r="F153" s="2" t="s">
        <v>91</v>
      </c>
      <c r="G153" s="3">
        <v>0</v>
      </c>
      <c r="H153" s="3">
        <v>0</v>
      </c>
      <c r="I153" s="3">
        <v>0</v>
      </c>
      <c r="J153" s="3">
        <v>7.08</v>
      </c>
      <c r="K153" s="3">
        <v>0</v>
      </c>
      <c r="L153" s="3">
        <v>7.08</v>
      </c>
      <c r="M153" s="3">
        <v>127.44</v>
      </c>
      <c r="N153" s="3">
        <v>0.25</v>
      </c>
      <c r="O153" s="2" t="s">
        <v>403</v>
      </c>
      <c r="P153" s="4">
        <v>45775.5</v>
      </c>
      <c r="Q153" s="4">
        <v>45775.794999999998</v>
      </c>
      <c r="R153" s="2" t="s">
        <v>93</v>
      </c>
      <c r="S153" s="3">
        <v>7.08</v>
      </c>
      <c r="T153" s="2">
        <v>85</v>
      </c>
      <c r="U153" s="3">
        <v>914</v>
      </c>
      <c r="V153" s="3">
        <v>0</v>
      </c>
      <c r="W153" s="2" t="s">
        <v>94</v>
      </c>
      <c r="X153" s="2" t="s">
        <v>95</v>
      </c>
      <c r="Y153" s="3">
        <v>0</v>
      </c>
      <c r="Z153" t="str">
        <f>INDEX(Assets!$J:$J,MATCH(UPPER(TRIM(B153)),Assets!$A:$A,0))</f>
        <v>Juniper</v>
      </c>
      <c r="AA153">
        <f t="shared" si="6"/>
        <v>95.58</v>
      </c>
      <c r="AB153" s="21">
        <f t="shared" si="7"/>
        <v>45748</v>
      </c>
      <c r="AC153">
        <f>SUMIFS(Production!$H:$H,Production!$A:$A,UPPER(TRIM(B153)),Production!$B:$B,AB153)-SUMIFS(Production!$I:$I,Production!$A:$A,UPPER(TRIM(B153)),Production!$B:$B,AB153)</f>
        <v>42.4</v>
      </c>
      <c r="AD153">
        <f t="shared" si="8"/>
        <v>4052.5919999999996</v>
      </c>
    </row>
    <row r="154" spans="1:30" ht="21" customHeight="1">
      <c r="A154" s="2" t="s">
        <v>404</v>
      </c>
      <c r="B154" s="9" t="s">
        <v>36</v>
      </c>
      <c r="C154" s="5">
        <v>45787.5</v>
      </c>
      <c r="D154" s="4">
        <v>45788.107083333336</v>
      </c>
      <c r="E154" s="2" t="s">
        <v>83</v>
      </c>
      <c r="F154" s="2" t="s">
        <v>119</v>
      </c>
      <c r="G154" s="3">
        <v>1.38</v>
      </c>
      <c r="H154" s="3">
        <v>2.38</v>
      </c>
      <c r="I154" s="3">
        <v>0</v>
      </c>
      <c r="J154" s="3">
        <v>8.91</v>
      </c>
      <c r="K154" s="3">
        <v>1.9</v>
      </c>
      <c r="L154" s="3">
        <v>14.57</v>
      </c>
      <c r="M154" s="3">
        <v>262.26</v>
      </c>
      <c r="N154" s="3">
        <v>0.12</v>
      </c>
      <c r="O154" s="2" t="s">
        <v>405</v>
      </c>
      <c r="P154" s="4">
        <v>45787.557499999995</v>
      </c>
      <c r="Q154" s="4">
        <v>45788.107083333336</v>
      </c>
      <c r="R154" s="2" t="s">
        <v>86</v>
      </c>
      <c r="S154" s="3">
        <v>8.91</v>
      </c>
      <c r="T154" s="2">
        <v>85</v>
      </c>
      <c r="U154" s="3">
        <v>7209</v>
      </c>
      <c r="V154" s="3">
        <v>0</v>
      </c>
      <c r="W154" s="2" t="s">
        <v>94</v>
      </c>
      <c r="X154" s="2" t="s">
        <v>121</v>
      </c>
      <c r="Y154" s="3">
        <v>0</v>
      </c>
      <c r="Z154" t="str">
        <f>INDEX(Assets!$J:$J,MATCH(UPPER(TRIM(B154)),Assets!$A:$A,0))</f>
        <v>Juniper</v>
      </c>
      <c r="AA154">
        <f t="shared" si="6"/>
        <v>230.78879999999998</v>
      </c>
      <c r="AB154" s="21">
        <f t="shared" si="7"/>
        <v>45778</v>
      </c>
      <c r="AC154">
        <f>SUMIFS(Production!$H:$H,Production!$A:$A,UPPER(TRIM(B154)),Production!$B:$B,AB154)-SUMIFS(Production!$I:$I,Production!$A:$A,UPPER(TRIM(B154)),Production!$B:$B,AB154)</f>
        <v>40.4</v>
      </c>
      <c r="AD154">
        <f t="shared" si="8"/>
        <v>9323.8675199999998</v>
      </c>
    </row>
    <row r="155" spans="1:30" ht="21" customHeight="1">
      <c r="A155" s="2" t="s">
        <v>406</v>
      </c>
      <c r="B155" s="9" t="s">
        <v>36</v>
      </c>
      <c r="C155" s="5">
        <v>45814.5</v>
      </c>
      <c r="D155" s="4">
        <v>45815.204583333332</v>
      </c>
      <c r="E155" s="2" t="s">
        <v>83</v>
      </c>
      <c r="F155" s="2" t="s">
        <v>119</v>
      </c>
      <c r="G155" s="3">
        <v>1.1100000000000001</v>
      </c>
      <c r="H155" s="3">
        <v>3.42</v>
      </c>
      <c r="I155" s="3">
        <v>0</v>
      </c>
      <c r="J155" s="3">
        <v>11.15</v>
      </c>
      <c r="K155" s="3">
        <v>1.23</v>
      </c>
      <c r="L155" s="3">
        <v>16.91</v>
      </c>
      <c r="M155" s="3">
        <v>304.38</v>
      </c>
      <c r="N155" s="3">
        <v>0.25</v>
      </c>
      <c r="O155" s="2" t="s">
        <v>407</v>
      </c>
      <c r="P155" s="4">
        <v>45814.546249999999</v>
      </c>
      <c r="Q155" s="4">
        <v>45815.204583333332</v>
      </c>
      <c r="R155" s="2" t="s">
        <v>86</v>
      </c>
      <c r="S155" s="3">
        <v>11.15</v>
      </c>
      <c r="T155" s="2">
        <v>85</v>
      </c>
      <c r="U155" s="3">
        <v>8345</v>
      </c>
      <c r="V155" s="3">
        <v>0</v>
      </c>
      <c r="W155" s="2" t="s">
        <v>94</v>
      </c>
      <c r="X155" s="2" t="s">
        <v>121</v>
      </c>
      <c r="Y155" s="3">
        <v>0</v>
      </c>
      <c r="Z155" t="str">
        <f>INDEX(Assets!$J:$J,MATCH(UPPER(TRIM(B155)),Assets!$A:$A,0))</f>
        <v>Juniper</v>
      </c>
      <c r="AA155">
        <f t="shared" si="6"/>
        <v>228.285</v>
      </c>
      <c r="AB155" s="21">
        <f t="shared" si="7"/>
        <v>45809</v>
      </c>
      <c r="AC155">
        <f>SUMIFS(Production!$H:$H,Production!$A:$A,UPPER(TRIM(B155)),Production!$B:$B,AB155)-SUMIFS(Production!$I:$I,Production!$A:$A,UPPER(TRIM(B155)),Production!$B:$B,AB155)</f>
        <v>41.4</v>
      </c>
      <c r="AD155">
        <f t="shared" si="8"/>
        <v>9450.9989999999998</v>
      </c>
    </row>
    <row r="156" spans="1:30" ht="21" customHeight="1">
      <c r="A156" s="2" t="s">
        <v>408</v>
      </c>
      <c r="B156" s="9" t="s">
        <v>36</v>
      </c>
      <c r="C156" s="5">
        <v>45843.5</v>
      </c>
      <c r="D156" s="4">
        <v>45844.968333333338</v>
      </c>
      <c r="E156" s="2" t="s">
        <v>83</v>
      </c>
      <c r="F156" s="2" t="s">
        <v>101</v>
      </c>
      <c r="G156" s="3">
        <v>0.95</v>
      </c>
      <c r="H156" s="3">
        <v>1.62</v>
      </c>
      <c r="I156" s="3">
        <v>22.96</v>
      </c>
      <c r="J156" s="3">
        <v>8.2899999999999991</v>
      </c>
      <c r="K156" s="3">
        <v>1.42</v>
      </c>
      <c r="L156" s="3">
        <v>35.24</v>
      </c>
      <c r="M156" s="3">
        <v>634.32000000000005</v>
      </c>
      <c r="N156" s="3">
        <v>0.15</v>
      </c>
      <c r="O156" s="2" t="s">
        <v>409</v>
      </c>
      <c r="P156" s="4">
        <v>45843.539583333331</v>
      </c>
      <c r="Q156" s="4">
        <v>45844.968333333338</v>
      </c>
      <c r="R156" s="2" t="s">
        <v>86</v>
      </c>
      <c r="S156" s="3">
        <v>8.2899999999999991</v>
      </c>
      <c r="T156" s="2">
        <v>85</v>
      </c>
      <c r="U156" s="3">
        <v>5670</v>
      </c>
      <c r="V156" s="3">
        <v>4365</v>
      </c>
      <c r="W156" s="2" t="s">
        <v>94</v>
      </c>
      <c r="X156" s="2" t="s">
        <v>103</v>
      </c>
      <c r="Y156" s="3">
        <v>0</v>
      </c>
      <c r="Z156" t="str">
        <f>INDEX(Assets!$J:$J,MATCH(UPPER(TRIM(B156)),Assets!$A:$A,0))</f>
        <v>Juniper</v>
      </c>
      <c r="AA156">
        <f t="shared" si="6"/>
        <v>539.17200000000003</v>
      </c>
      <c r="AB156" s="21">
        <f t="shared" si="7"/>
        <v>45839</v>
      </c>
      <c r="AC156">
        <f>SUMIFS(Production!$H:$H,Production!$A:$A,UPPER(TRIM(B156)),Production!$B:$B,AB156)-SUMIFS(Production!$I:$I,Production!$A:$A,UPPER(TRIM(B156)),Production!$B:$B,AB156)</f>
        <v>43.4</v>
      </c>
      <c r="AD156">
        <f t="shared" si="8"/>
        <v>23400.0648</v>
      </c>
    </row>
    <row r="157" spans="1:30" ht="21" customHeight="1">
      <c r="A157" s="2" t="s">
        <v>410</v>
      </c>
      <c r="B157" s="9" t="s">
        <v>36</v>
      </c>
      <c r="C157" s="5">
        <v>45866.5</v>
      </c>
      <c r="D157" s="4">
        <v>45866.638333333336</v>
      </c>
      <c r="E157" s="2" t="s">
        <v>90</v>
      </c>
      <c r="F157" s="2" t="s">
        <v>91</v>
      </c>
      <c r="G157" s="3">
        <v>0</v>
      </c>
      <c r="H157" s="3">
        <v>0</v>
      </c>
      <c r="I157" s="3">
        <v>0</v>
      </c>
      <c r="J157" s="3">
        <v>3.32</v>
      </c>
      <c r="K157" s="3">
        <v>0</v>
      </c>
      <c r="L157" s="3">
        <v>3.32</v>
      </c>
      <c r="M157" s="3">
        <v>59.76</v>
      </c>
      <c r="N157" s="3">
        <v>0.25</v>
      </c>
      <c r="O157" s="2" t="s">
        <v>411</v>
      </c>
      <c r="P157" s="4">
        <v>45866.5</v>
      </c>
      <c r="Q157" s="4">
        <v>45866.638333333336</v>
      </c>
      <c r="R157" s="2" t="s">
        <v>93</v>
      </c>
      <c r="S157" s="3">
        <v>6.64</v>
      </c>
      <c r="T157" s="2">
        <v>85</v>
      </c>
      <c r="U157" s="3">
        <v>1434</v>
      </c>
      <c r="V157" s="3">
        <v>2832</v>
      </c>
      <c r="W157" s="2" t="s">
        <v>94</v>
      </c>
      <c r="X157" s="2" t="s">
        <v>95</v>
      </c>
      <c r="Y157" s="3">
        <v>0</v>
      </c>
      <c r="Z157" t="str">
        <f>INDEX(Assets!$J:$J,MATCH(UPPER(TRIM(B157)),Assets!$A:$A,0))</f>
        <v>Juniper</v>
      </c>
      <c r="AA157">
        <f t="shared" si="6"/>
        <v>44.82</v>
      </c>
      <c r="AB157" s="21">
        <f t="shared" si="7"/>
        <v>45839</v>
      </c>
      <c r="AC157">
        <f>SUMIFS(Production!$H:$H,Production!$A:$A,UPPER(TRIM(B157)),Production!$B:$B,AB157)-SUMIFS(Production!$I:$I,Production!$A:$A,UPPER(TRIM(B157)),Production!$B:$B,AB157)</f>
        <v>43.4</v>
      </c>
      <c r="AD157">
        <f t="shared" si="8"/>
        <v>1945.1879999999999</v>
      </c>
    </row>
    <row r="158" spans="1:30" ht="21" customHeight="1">
      <c r="A158" s="2" t="s">
        <v>412</v>
      </c>
      <c r="B158" s="9" t="s">
        <v>36</v>
      </c>
      <c r="C158" s="5">
        <v>45874.5</v>
      </c>
      <c r="D158" s="4">
        <v>45874.945</v>
      </c>
      <c r="E158" s="2" t="s">
        <v>83</v>
      </c>
      <c r="F158" s="2" t="s">
        <v>119</v>
      </c>
      <c r="G158" s="3">
        <v>1.59</v>
      </c>
      <c r="H158" s="3">
        <v>1.75</v>
      </c>
      <c r="I158" s="3">
        <v>0</v>
      </c>
      <c r="J158" s="3">
        <v>5.45</v>
      </c>
      <c r="K158" s="3">
        <v>1.89</v>
      </c>
      <c r="L158" s="3">
        <v>10.68</v>
      </c>
      <c r="M158" s="3">
        <v>192.24</v>
      </c>
      <c r="N158" s="3">
        <v>0.22</v>
      </c>
      <c r="O158" s="2" t="s">
        <v>413</v>
      </c>
      <c r="P158" s="4">
        <v>45874.566250000003</v>
      </c>
      <c r="Q158" s="4">
        <v>45874.945</v>
      </c>
      <c r="R158" s="2" t="s">
        <v>86</v>
      </c>
      <c r="S158" s="3">
        <v>10.9</v>
      </c>
      <c r="T158" s="2">
        <v>85</v>
      </c>
      <c r="U158" s="3">
        <v>9572</v>
      </c>
      <c r="V158" s="3">
        <v>0</v>
      </c>
      <c r="W158" s="2" t="s">
        <v>94</v>
      </c>
      <c r="X158" s="2" t="s">
        <v>121</v>
      </c>
      <c r="Y158" s="3">
        <v>0</v>
      </c>
      <c r="Z158" t="str">
        <f>INDEX(Assets!$J:$J,MATCH(UPPER(TRIM(B158)),Assets!$A:$A,0))</f>
        <v>Juniper</v>
      </c>
      <c r="AA158">
        <f t="shared" si="6"/>
        <v>149.94720000000001</v>
      </c>
      <c r="AB158" s="21">
        <f t="shared" si="7"/>
        <v>45870</v>
      </c>
      <c r="AC158">
        <f>SUMIFS(Production!$H:$H,Production!$A:$A,UPPER(TRIM(B158)),Production!$B:$B,AB158)-SUMIFS(Production!$I:$I,Production!$A:$A,UPPER(TRIM(B158)),Production!$B:$B,AB158)</f>
        <v>42.4</v>
      </c>
      <c r="AD158">
        <f t="shared" si="8"/>
        <v>6357.7612800000006</v>
      </c>
    </row>
    <row r="159" spans="1:30" ht="21" customHeight="1">
      <c r="A159" s="2" t="s">
        <v>414</v>
      </c>
      <c r="B159" s="9" t="s">
        <v>36</v>
      </c>
      <c r="C159" s="5">
        <v>45907.5</v>
      </c>
      <c r="D159" s="4">
        <v>45908.187083333338</v>
      </c>
      <c r="E159" s="2" t="s">
        <v>83</v>
      </c>
      <c r="F159" s="2" t="s">
        <v>119</v>
      </c>
      <c r="G159" s="3">
        <v>1.58</v>
      </c>
      <c r="H159" s="3">
        <v>1.55</v>
      </c>
      <c r="I159" s="3">
        <v>0</v>
      </c>
      <c r="J159" s="3">
        <v>11.42</v>
      </c>
      <c r="K159" s="3">
        <v>1.94</v>
      </c>
      <c r="L159" s="3">
        <v>16.489999999999998</v>
      </c>
      <c r="M159" s="3">
        <v>296.82</v>
      </c>
      <c r="N159" s="3">
        <v>0.25</v>
      </c>
      <c r="O159" s="2" t="s">
        <v>415</v>
      </c>
      <c r="P159" s="4">
        <v>45907.565833333334</v>
      </c>
      <c r="Q159" s="4">
        <v>45908.187083333338</v>
      </c>
      <c r="R159" s="2" t="s">
        <v>86</v>
      </c>
      <c r="S159" s="3">
        <v>11.42</v>
      </c>
      <c r="T159" s="2">
        <v>85</v>
      </c>
      <c r="U159" s="3">
        <v>3467</v>
      </c>
      <c r="V159" s="3">
        <v>0</v>
      </c>
      <c r="W159" s="2" t="s">
        <v>94</v>
      </c>
      <c r="X159" s="2" t="s">
        <v>121</v>
      </c>
      <c r="Y159" s="3">
        <v>0</v>
      </c>
      <c r="Z159" t="str">
        <f>INDEX(Assets!$J:$J,MATCH(UPPER(TRIM(B159)),Assets!$A:$A,0))</f>
        <v>Juniper</v>
      </c>
      <c r="AA159">
        <f t="shared" si="6"/>
        <v>222.61500000000001</v>
      </c>
      <c r="AB159" s="21">
        <f t="shared" si="7"/>
        <v>45901</v>
      </c>
      <c r="AC159">
        <f>SUMIFS(Production!$H:$H,Production!$A:$A,UPPER(TRIM(B159)),Production!$B:$B,AB159)-SUMIFS(Production!$I:$I,Production!$A:$A,UPPER(TRIM(B159)),Production!$B:$B,AB159)</f>
        <v>39.4</v>
      </c>
      <c r="AD159">
        <f t="shared" si="8"/>
        <v>8771.0310000000009</v>
      </c>
    </row>
    <row r="160" spans="1:30" ht="21" customHeight="1">
      <c r="A160" s="2" t="s">
        <v>416</v>
      </c>
      <c r="B160" s="9" t="s">
        <v>36</v>
      </c>
      <c r="C160" s="5">
        <v>45939.5</v>
      </c>
      <c r="D160" s="4">
        <v>45940.104583333334</v>
      </c>
      <c r="E160" s="2" t="s">
        <v>83</v>
      </c>
      <c r="F160" s="2" t="s">
        <v>115</v>
      </c>
      <c r="G160" s="3">
        <v>3.89</v>
      </c>
      <c r="H160" s="3">
        <v>1.82</v>
      </c>
      <c r="I160" s="3">
        <v>0</v>
      </c>
      <c r="J160" s="3">
        <v>7.37</v>
      </c>
      <c r="K160" s="3">
        <v>1.43</v>
      </c>
      <c r="L160" s="3">
        <v>14.51</v>
      </c>
      <c r="M160" s="3">
        <v>261.18</v>
      </c>
      <c r="N160" s="3">
        <v>0.11</v>
      </c>
      <c r="O160" s="2" t="s">
        <v>417</v>
      </c>
      <c r="P160" s="4">
        <v>45939.662083333329</v>
      </c>
      <c r="Q160" s="4">
        <v>45940.104583333334</v>
      </c>
      <c r="R160" s="2" t="s">
        <v>86</v>
      </c>
      <c r="S160" s="3">
        <v>14.74</v>
      </c>
      <c r="T160" s="2">
        <v>85</v>
      </c>
      <c r="U160" s="3">
        <v>7017</v>
      </c>
      <c r="V160" s="3">
        <v>0</v>
      </c>
      <c r="W160" s="2" t="s">
        <v>94</v>
      </c>
      <c r="X160" s="2" t="s">
        <v>117</v>
      </c>
      <c r="Y160" s="3">
        <v>0</v>
      </c>
      <c r="Z160" t="str">
        <f>INDEX(Assets!$J:$J,MATCH(UPPER(TRIM(B160)),Assets!$A:$A,0))</f>
        <v>Juniper</v>
      </c>
      <c r="AA160">
        <f t="shared" si="6"/>
        <v>232.45020000000002</v>
      </c>
      <c r="AB160" s="21">
        <f t="shared" si="7"/>
        <v>45931</v>
      </c>
      <c r="AC160">
        <f>SUMIFS(Production!$H:$H,Production!$A:$A,UPPER(TRIM(B160)),Production!$B:$B,AB160)-SUMIFS(Production!$I:$I,Production!$A:$A,UPPER(TRIM(B160)),Production!$B:$B,AB160)</f>
        <v>38.4</v>
      </c>
      <c r="AD160">
        <f t="shared" si="8"/>
        <v>8926.0876800000005</v>
      </c>
    </row>
    <row r="161" spans="1:30" ht="21" customHeight="1">
      <c r="A161" s="2" t="s">
        <v>418</v>
      </c>
      <c r="B161" s="9" t="s">
        <v>36</v>
      </c>
      <c r="C161" s="5">
        <v>45949.5</v>
      </c>
      <c r="D161" s="4">
        <v>45950.033333333333</v>
      </c>
      <c r="E161" s="2" t="s">
        <v>83</v>
      </c>
      <c r="F161" s="2" t="s">
        <v>119</v>
      </c>
      <c r="G161" s="3">
        <v>3.3</v>
      </c>
      <c r="H161" s="3">
        <v>2.5499999999999998</v>
      </c>
      <c r="I161" s="3">
        <v>0</v>
      </c>
      <c r="J161" s="3">
        <v>5.15</v>
      </c>
      <c r="K161" s="3">
        <v>1.8</v>
      </c>
      <c r="L161" s="3">
        <v>12.8</v>
      </c>
      <c r="M161" s="3">
        <v>230.4</v>
      </c>
      <c r="N161" s="3">
        <v>0.1</v>
      </c>
      <c r="O161" s="2" t="s">
        <v>419</v>
      </c>
      <c r="P161" s="4">
        <v>45949.637499999997</v>
      </c>
      <c r="Q161" s="4">
        <v>45950.033333333333</v>
      </c>
      <c r="R161" s="2" t="s">
        <v>86</v>
      </c>
      <c r="S161" s="3">
        <v>5.15</v>
      </c>
      <c r="T161" s="2">
        <v>85</v>
      </c>
      <c r="U161" s="3">
        <v>8573</v>
      </c>
      <c r="V161" s="3">
        <v>0</v>
      </c>
      <c r="W161" s="2" t="s">
        <v>94</v>
      </c>
      <c r="X161" s="2" t="s">
        <v>121</v>
      </c>
      <c r="Y161" s="3">
        <v>0</v>
      </c>
      <c r="Z161" t="str">
        <f>INDEX(Assets!$J:$J,MATCH(UPPER(TRIM(B161)),Assets!$A:$A,0))</f>
        <v>Juniper</v>
      </c>
      <c r="AA161">
        <f t="shared" si="6"/>
        <v>207.36</v>
      </c>
      <c r="AB161" s="21">
        <f t="shared" si="7"/>
        <v>45931</v>
      </c>
      <c r="AC161">
        <f>SUMIFS(Production!$H:$H,Production!$A:$A,UPPER(TRIM(B161)),Production!$B:$B,AB161)-SUMIFS(Production!$I:$I,Production!$A:$A,UPPER(TRIM(B161)),Production!$B:$B,AB161)</f>
        <v>38.4</v>
      </c>
      <c r="AD161">
        <f t="shared" si="8"/>
        <v>7962.6239999999998</v>
      </c>
    </row>
    <row r="162" spans="1:30" ht="21" customHeight="1">
      <c r="A162" s="2" t="s">
        <v>420</v>
      </c>
      <c r="B162" s="9" t="s">
        <v>36</v>
      </c>
      <c r="C162" s="5">
        <v>45958.5</v>
      </c>
      <c r="D162" s="4">
        <v>45958.664166666669</v>
      </c>
      <c r="E162" s="2" t="s">
        <v>90</v>
      </c>
      <c r="F162" s="2" t="s">
        <v>91</v>
      </c>
      <c r="G162" s="3">
        <v>0</v>
      </c>
      <c r="H162" s="3">
        <v>0</v>
      </c>
      <c r="I162" s="3">
        <v>0</v>
      </c>
      <c r="J162" s="3">
        <v>3.94</v>
      </c>
      <c r="K162" s="3">
        <v>0</v>
      </c>
      <c r="L162" s="3">
        <v>3.94</v>
      </c>
      <c r="M162" s="3">
        <v>70.92</v>
      </c>
      <c r="N162" s="3">
        <v>0.25</v>
      </c>
      <c r="O162" s="2" t="s">
        <v>421</v>
      </c>
      <c r="P162" s="4">
        <v>45958.5</v>
      </c>
      <c r="Q162" s="4">
        <v>45958.664166666669</v>
      </c>
      <c r="R162" s="2" t="s">
        <v>93</v>
      </c>
      <c r="S162" s="3">
        <v>7.88</v>
      </c>
      <c r="T162" s="2">
        <v>85</v>
      </c>
      <c r="U162" s="3">
        <v>469</v>
      </c>
      <c r="V162" s="3">
        <v>0</v>
      </c>
      <c r="W162" s="2" t="s">
        <v>94</v>
      </c>
      <c r="X162" s="2" t="s">
        <v>95</v>
      </c>
      <c r="Y162" s="3">
        <v>0</v>
      </c>
      <c r="Z162" t="str">
        <f>INDEX(Assets!$J:$J,MATCH(UPPER(TRIM(B162)),Assets!$A:$A,0))</f>
        <v>Juniper</v>
      </c>
      <c r="AA162">
        <f t="shared" si="6"/>
        <v>53.19</v>
      </c>
      <c r="AB162" s="21">
        <f t="shared" si="7"/>
        <v>45931</v>
      </c>
      <c r="AC162">
        <f>SUMIFS(Production!$H:$H,Production!$A:$A,UPPER(TRIM(B162)),Production!$B:$B,AB162)-SUMIFS(Production!$I:$I,Production!$A:$A,UPPER(TRIM(B162)),Production!$B:$B,AB162)</f>
        <v>38.4</v>
      </c>
      <c r="AD162">
        <f t="shared" si="8"/>
        <v>2042.4959999999999</v>
      </c>
    </row>
    <row r="163" spans="1:30" ht="21" customHeight="1">
      <c r="A163" s="2" t="s">
        <v>422</v>
      </c>
      <c r="B163" s="9" t="s">
        <v>36</v>
      </c>
      <c r="C163" s="5">
        <v>45969.5</v>
      </c>
      <c r="D163" s="4">
        <v>45970.054583333331</v>
      </c>
      <c r="E163" s="2" t="s">
        <v>83</v>
      </c>
      <c r="F163" s="2" t="s">
        <v>119</v>
      </c>
      <c r="G163" s="3">
        <v>4.76</v>
      </c>
      <c r="H163" s="3">
        <v>2.31</v>
      </c>
      <c r="I163" s="3">
        <v>0</v>
      </c>
      <c r="J163" s="3">
        <v>5.42</v>
      </c>
      <c r="K163" s="3">
        <v>0.82</v>
      </c>
      <c r="L163" s="3">
        <v>13.31</v>
      </c>
      <c r="M163" s="3">
        <v>239.58</v>
      </c>
      <c r="N163" s="3">
        <v>0.21</v>
      </c>
      <c r="O163" s="2" t="s">
        <v>423</v>
      </c>
      <c r="P163" s="4">
        <v>45969.698333333334</v>
      </c>
      <c r="Q163" s="4">
        <v>45970.054583333331</v>
      </c>
      <c r="R163" s="2" t="s">
        <v>86</v>
      </c>
      <c r="S163" s="3">
        <v>5.42</v>
      </c>
      <c r="T163" s="2">
        <v>85</v>
      </c>
      <c r="U163" s="3">
        <v>8540</v>
      </c>
      <c r="V163" s="3">
        <v>0</v>
      </c>
      <c r="W163" s="2" t="s">
        <v>94</v>
      </c>
      <c r="X163" s="2" t="s">
        <v>121</v>
      </c>
      <c r="Y163" s="3">
        <v>0</v>
      </c>
      <c r="Z163" t="str">
        <f>INDEX(Assets!$J:$J,MATCH(UPPER(TRIM(B163)),Assets!$A:$A,0))</f>
        <v>Juniper</v>
      </c>
      <c r="AA163">
        <f t="shared" si="6"/>
        <v>189.26820000000001</v>
      </c>
      <c r="AB163" s="21">
        <f t="shared" si="7"/>
        <v>45962</v>
      </c>
      <c r="AC163">
        <f>SUMIFS(Production!$H:$H,Production!$A:$A,UPPER(TRIM(B163)),Production!$B:$B,AB163)-SUMIFS(Production!$I:$I,Production!$A:$A,UPPER(TRIM(B163)),Production!$B:$B,AB163)</f>
        <v>40.4</v>
      </c>
      <c r="AD163">
        <f t="shared" si="8"/>
        <v>7646.4352799999997</v>
      </c>
    </row>
    <row r="164" spans="1:30" ht="21" customHeight="1">
      <c r="A164" s="2" t="s">
        <v>424</v>
      </c>
      <c r="B164" s="9" t="s">
        <v>36</v>
      </c>
      <c r="C164" s="5">
        <v>45996.5</v>
      </c>
      <c r="D164" s="4">
        <v>45997.108749999999</v>
      </c>
      <c r="E164" s="2" t="s">
        <v>83</v>
      </c>
      <c r="F164" s="2" t="s">
        <v>97</v>
      </c>
      <c r="G164" s="3">
        <v>1.98</v>
      </c>
      <c r="H164" s="3">
        <v>1.1100000000000001</v>
      </c>
      <c r="I164" s="3">
        <v>0</v>
      </c>
      <c r="J164" s="3">
        <v>9.32</v>
      </c>
      <c r="K164" s="3">
        <v>2.2000000000000002</v>
      </c>
      <c r="L164" s="3">
        <v>14.61</v>
      </c>
      <c r="M164" s="3">
        <v>262.98</v>
      </c>
      <c r="N164" s="3">
        <v>0.21</v>
      </c>
      <c r="O164" s="2" t="s">
        <v>425</v>
      </c>
      <c r="P164" s="4">
        <v>45996.582500000004</v>
      </c>
      <c r="Q164" s="4">
        <v>45997.108749999999</v>
      </c>
      <c r="R164" s="2" t="s">
        <v>86</v>
      </c>
      <c r="S164" s="3">
        <v>9.32</v>
      </c>
      <c r="T164" s="2">
        <v>85</v>
      </c>
      <c r="U164" s="3">
        <v>3779</v>
      </c>
      <c r="V164" s="3">
        <v>2595</v>
      </c>
      <c r="W164" s="2" t="s">
        <v>94</v>
      </c>
      <c r="X164" s="2" t="s">
        <v>99</v>
      </c>
      <c r="Y164" s="3">
        <v>0</v>
      </c>
      <c r="Z164" t="str">
        <f>INDEX(Assets!$J:$J,MATCH(UPPER(TRIM(B164)),Assets!$A:$A,0))</f>
        <v>Juniper</v>
      </c>
      <c r="AA164">
        <f t="shared" si="6"/>
        <v>207.75420000000003</v>
      </c>
      <c r="AB164" s="21">
        <f t="shared" si="7"/>
        <v>45992</v>
      </c>
      <c r="AC164">
        <f>SUMIFS(Production!$H:$H,Production!$A:$A,UPPER(TRIM(B164)),Production!$B:$B,AB164)-SUMIFS(Production!$I:$I,Production!$A:$A,UPPER(TRIM(B164)),Production!$B:$B,AB164)</f>
        <v>41.4</v>
      </c>
      <c r="AD164">
        <f t="shared" si="8"/>
        <v>8601.0238800000006</v>
      </c>
    </row>
    <row r="165" spans="1:30" ht="21" customHeight="1">
      <c r="A165" s="2" t="s">
        <v>426</v>
      </c>
      <c r="B165" s="9" t="s">
        <v>37</v>
      </c>
      <c r="C165" s="5">
        <v>45663.5</v>
      </c>
      <c r="D165" s="4">
        <v>45664.044583333336</v>
      </c>
      <c r="E165" s="2" t="s">
        <v>83</v>
      </c>
      <c r="F165" s="2" t="s">
        <v>97</v>
      </c>
      <c r="G165" s="3">
        <v>4.3600000000000003</v>
      </c>
      <c r="H165" s="3">
        <v>2.6</v>
      </c>
      <c r="I165" s="3">
        <v>0</v>
      </c>
      <c r="J165" s="3">
        <v>5.25</v>
      </c>
      <c r="K165" s="3">
        <v>0.86</v>
      </c>
      <c r="L165" s="3">
        <v>13.07</v>
      </c>
      <c r="M165" s="3">
        <v>418.24</v>
      </c>
      <c r="N165" s="3">
        <v>0.25</v>
      </c>
      <c r="O165" s="2" t="s">
        <v>427</v>
      </c>
      <c r="P165" s="4">
        <v>45663.681666666671</v>
      </c>
      <c r="Q165" s="4">
        <v>45664.044583333336</v>
      </c>
      <c r="R165" s="2" t="s">
        <v>86</v>
      </c>
      <c r="S165" s="3">
        <v>5.25</v>
      </c>
      <c r="T165" s="2">
        <v>85</v>
      </c>
      <c r="U165" s="3">
        <v>5601</v>
      </c>
      <c r="V165" s="3">
        <v>0</v>
      </c>
      <c r="W165" s="2" t="s">
        <v>94</v>
      </c>
      <c r="X165" s="2" t="s">
        <v>99</v>
      </c>
      <c r="Y165" s="3">
        <v>0</v>
      </c>
      <c r="Z165" t="str">
        <f>INDEX(Assets!$J:$J,MATCH(UPPER(TRIM(B165)),Assets!$A:$A,0))</f>
        <v>Juniper</v>
      </c>
      <c r="AA165">
        <f t="shared" si="6"/>
        <v>313.68</v>
      </c>
      <c r="AB165" s="21">
        <f t="shared" si="7"/>
        <v>45658</v>
      </c>
      <c r="AC165">
        <f>SUMIFS(Production!$H:$H,Production!$A:$A,UPPER(TRIM(B165)),Production!$B:$B,AB165)-SUMIFS(Production!$I:$I,Production!$A:$A,UPPER(TRIM(B165)),Production!$B:$B,AB165)</f>
        <v>48.4</v>
      </c>
      <c r="AD165">
        <f t="shared" si="8"/>
        <v>15182.111999999999</v>
      </c>
    </row>
    <row r="166" spans="1:30" ht="21" customHeight="1">
      <c r="A166" s="2" t="s">
        <v>428</v>
      </c>
      <c r="B166" s="9" t="s">
        <v>37</v>
      </c>
      <c r="C166" s="5">
        <v>45685.5</v>
      </c>
      <c r="D166" s="4">
        <v>45685.63416666667</v>
      </c>
      <c r="E166" s="2" t="s">
        <v>90</v>
      </c>
      <c r="F166" s="2" t="s">
        <v>91</v>
      </c>
      <c r="G166" s="3">
        <v>0</v>
      </c>
      <c r="H166" s="3">
        <v>0</v>
      </c>
      <c r="I166" s="3">
        <v>0</v>
      </c>
      <c r="J166" s="3">
        <v>3.22</v>
      </c>
      <c r="K166" s="3">
        <v>0</v>
      </c>
      <c r="L166" s="3">
        <v>3.22</v>
      </c>
      <c r="M166" s="3">
        <v>103.04</v>
      </c>
      <c r="N166" s="3">
        <v>0.25</v>
      </c>
      <c r="O166" s="2" t="s">
        <v>429</v>
      </c>
      <c r="P166" s="4">
        <v>45685.5</v>
      </c>
      <c r="Q166" s="4">
        <v>45685.63416666667</v>
      </c>
      <c r="R166" s="2" t="s">
        <v>93</v>
      </c>
      <c r="S166" s="3">
        <v>6.44</v>
      </c>
      <c r="T166" s="2">
        <v>85</v>
      </c>
      <c r="U166" s="3">
        <v>729</v>
      </c>
      <c r="V166" s="3">
        <v>4428</v>
      </c>
      <c r="W166" s="2" t="s">
        <v>94</v>
      </c>
      <c r="X166" s="2" t="s">
        <v>95</v>
      </c>
      <c r="Y166" s="3">
        <v>0</v>
      </c>
      <c r="Z166" t="str">
        <f>INDEX(Assets!$J:$J,MATCH(UPPER(TRIM(B166)),Assets!$A:$A,0))</f>
        <v>Juniper</v>
      </c>
      <c r="AA166">
        <f t="shared" si="6"/>
        <v>77.28</v>
      </c>
      <c r="AB166" s="21">
        <f t="shared" si="7"/>
        <v>45658</v>
      </c>
      <c r="AC166">
        <f>SUMIFS(Production!$H:$H,Production!$A:$A,UPPER(TRIM(B166)),Production!$B:$B,AB166)-SUMIFS(Production!$I:$I,Production!$A:$A,UPPER(TRIM(B166)),Production!$B:$B,AB166)</f>
        <v>48.4</v>
      </c>
      <c r="AD166">
        <f t="shared" si="8"/>
        <v>3740.3519999999999</v>
      </c>
    </row>
    <row r="167" spans="1:30" ht="21" customHeight="1">
      <c r="A167" s="2" t="s">
        <v>430</v>
      </c>
      <c r="B167" s="9" t="s">
        <v>37</v>
      </c>
      <c r="C167" s="5">
        <v>45694.5</v>
      </c>
      <c r="D167" s="4">
        <v>45694.845000000001</v>
      </c>
      <c r="E167" s="2" t="s">
        <v>83</v>
      </c>
      <c r="F167" s="2" t="s">
        <v>97</v>
      </c>
      <c r="G167" s="3">
        <v>1.85</v>
      </c>
      <c r="H167" s="3">
        <v>0.71</v>
      </c>
      <c r="I167" s="3">
        <v>0</v>
      </c>
      <c r="J167" s="3">
        <v>3.97</v>
      </c>
      <c r="K167" s="3">
        <v>1.75</v>
      </c>
      <c r="L167" s="3">
        <v>8.2799999999999994</v>
      </c>
      <c r="M167" s="3">
        <v>264.95999999999998</v>
      </c>
      <c r="N167" s="3">
        <v>0.26</v>
      </c>
      <c r="O167" s="2" t="s">
        <v>431</v>
      </c>
      <c r="P167" s="4">
        <v>45694.577083333337</v>
      </c>
      <c r="Q167" s="4">
        <v>45694.845000000001</v>
      </c>
      <c r="R167" s="2" t="s">
        <v>86</v>
      </c>
      <c r="S167" s="3">
        <v>3.97</v>
      </c>
      <c r="T167" s="2">
        <v>85</v>
      </c>
      <c r="U167" s="3">
        <v>7762</v>
      </c>
      <c r="V167" s="3">
        <v>0</v>
      </c>
      <c r="W167" s="2" t="s">
        <v>94</v>
      </c>
      <c r="X167" s="2" t="s">
        <v>99</v>
      </c>
      <c r="Y167" s="3">
        <v>0</v>
      </c>
      <c r="Z167" t="str">
        <f>INDEX(Assets!$J:$J,MATCH(UPPER(TRIM(B167)),Assets!$A:$A,0))</f>
        <v>Juniper</v>
      </c>
      <c r="AA167">
        <f t="shared" si="6"/>
        <v>196.07039999999998</v>
      </c>
      <c r="AB167" s="21">
        <f t="shared" si="7"/>
        <v>45689</v>
      </c>
      <c r="AC167">
        <f>SUMIFS(Production!$H:$H,Production!$A:$A,UPPER(TRIM(B167)),Production!$B:$B,AB167)-SUMIFS(Production!$I:$I,Production!$A:$A,UPPER(TRIM(B167)),Production!$B:$B,AB167)</f>
        <v>46.4</v>
      </c>
      <c r="AD167">
        <f t="shared" si="8"/>
        <v>9097.6665599999978</v>
      </c>
    </row>
    <row r="168" spans="1:30" ht="21" customHeight="1">
      <c r="A168" s="2" t="s">
        <v>432</v>
      </c>
      <c r="B168" s="9" t="s">
        <v>37</v>
      </c>
      <c r="C168" s="5">
        <v>45725.5</v>
      </c>
      <c r="D168" s="4">
        <v>45725.994583333333</v>
      </c>
      <c r="E168" s="2" t="s">
        <v>83</v>
      </c>
      <c r="F168" s="2" t="s">
        <v>101</v>
      </c>
      <c r="G168" s="3">
        <v>1.68</v>
      </c>
      <c r="H168" s="3">
        <v>1.68</v>
      </c>
      <c r="I168" s="3">
        <v>0</v>
      </c>
      <c r="J168" s="3">
        <v>7.78</v>
      </c>
      <c r="K168" s="3">
        <v>0.73</v>
      </c>
      <c r="L168" s="3">
        <v>11.87</v>
      </c>
      <c r="M168" s="3">
        <v>379.84</v>
      </c>
      <c r="N168" s="3">
        <v>0.15</v>
      </c>
      <c r="O168" s="2" t="s">
        <v>433</v>
      </c>
      <c r="P168" s="4">
        <v>45725.57</v>
      </c>
      <c r="Q168" s="4">
        <v>45725.994583333333</v>
      </c>
      <c r="R168" s="2" t="s">
        <v>86</v>
      </c>
      <c r="S168" s="3">
        <v>15.56</v>
      </c>
      <c r="T168" s="2">
        <v>85</v>
      </c>
      <c r="U168" s="3">
        <v>1439</v>
      </c>
      <c r="V168" s="3">
        <v>0</v>
      </c>
      <c r="W168" s="2" t="s">
        <v>94</v>
      </c>
      <c r="X168" s="2" t="s">
        <v>103</v>
      </c>
      <c r="Y168" s="3">
        <v>0</v>
      </c>
      <c r="Z168" t="str">
        <f>INDEX(Assets!$J:$J,MATCH(UPPER(TRIM(B168)),Assets!$A:$A,0))</f>
        <v>Juniper</v>
      </c>
      <c r="AA168">
        <f t="shared" si="6"/>
        <v>322.86399999999998</v>
      </c>
      <c r="AB168" s="21">
        <f t="shared" si="7"/>
        <v>45717</v>
      </c>
      <c r="AC168">
        <f>SUMIFS(Production!$H:$H,Production!$A:$A,UPPER(TRIM(B168)),Production!$B:$B,AB168)-SUMIFS(Production!$I:$I,Production!$A:$A,UPPER(TRIM(B168)),Production!$B:$B,AB168)</f>
        <v>44.4</v>
      </c>
      <c r="AD168">
        <f t="shared" si="8"/>
        <v>14335.161599999998</v>
      </c>
    </row>
    <row r="169" spans="1:30" ht="21" customHeight="1">
      <c r="A169" s="2" t="s">
        <v>434</v>
      </c>
      <c r="B169" s="9" t="s">
        <v>37</v>
      </c>
      <c r="C169" s="5">
        <v>45756.5</v>
      </c>
      <c r="D169" s="4">
        <v>45757.140416666662</v>
      </c>
      <c r="E169" s="2" t="s">
        <v>83</v>
      </c>
      <c r="F169" s="2" t="s">
        <v>119</v>
      </c>
      <c r="G169" s="3">
        <v>1.06</v>
      </c>
      <c r="H169" s="3">
        <v>1.4</v>
      </c>
      <c r="I169" s="3">
        <v>0</v>
      </c>
      <c r="J169" s="3">
        <v>12.28</v>
      </c>
      <c r="K169" s="3">
        <v>0.63</v>
      </c>
      <c r="L169" s="3">
        <v>15.37</v>
      </c>
      <c r="M169" s="3">
        <v>491.84</v>
      </c>
      <c r="N169" s="3">
        <v>0.22</v>
      </c>
      <c r="O169" s="2" t="s">
        <v>435</v>
      </c>
      <c r="P169" s="4">
        <v>45756.544166666667</v>
      </c>
      <c r="Q169" s="4">
        <v>45757.140416666662</v>
      </c>
      <c r="R169" s="2" t="s">
        <v>86</v>
      </c>
      <c r="S169" s="3">
        <v>24.56</v>
      </c>
      <c r="T169" s="2">
        <v>85</v>
      </c>
      <c r="U169" s="3">
        <v>8953</v>
      </c>
      <c r="V169" s="3">
        <v>1284</v>
      </c>
      <c r="W169" s="2" t="s">
        <v>94</v>
      </c>
      <c r="X169" s="2" t="s">
        <v>121</v>
      </c>
      <c r="Y169" s="3">
        <v>0</v>
      </c>
      <c r="Z169" t="str">
        <f>INDEX(Assets!$J:$J,MATCH(UPPER(TRIM(B169)),Assets!$A:$A,0))</f>
        <v>Juniper</v>
      </c>
      <c r="AA169">
        <f t="shared" si="6"/>
        <v>383.6352</v>
      </c>
      <c r="AB169" s="21">
        <f t="shared" si="7"/>
        <v>45748</v>
      </c>
      <c r="AC169">
        <f>SUMIFS(Production!$H:$H,Production!$A:$A,UPPER(TRIM(B169)),Production!$B:$B,AB169)-SUMIFS(Production!$I:$I,Production!$A:$A,UPPER(TRIM(B169)),Production!$B:$B,AB169)</f>
        <v>42.4</v>
      </c>
      <c r="AD169">
        <f t="shared" si="8"/>
        <v>16266.13248</v>
      </c>
    </row>
    <row r="170" spans="1:30" ht="21" customHeight="1">
      <c r="A170" s="2" t="s">
        <v>436</v>
      </c>
      <c r="B170" s="9" t="s">
        <v>37</v>
      </c>
      <c r="C170" s="5">
        <v>45775.5</v>
      </c>
      <c r="D170" s="4">
        <v>45775.710833333331</v>
      </c>
      <c r="E170" s="2" t="s">
        <v>90</v>
      </c>
      <c r="F170" s="2" t="s">
        <v>91</v>
      </c>
      <c r="G170" s="3">
        <v>0</v>
      </c>
      <c r="H170" s="3">
        <v>0</v>
      </c>
      <c r="I170" s="3">
        <v>0</v>
      </c>
      <c r="J170" s="3">
        <v>5.0599999999999996</v>
      </c>
      <c r="K170" s="3">
        <v>0</v>
      </c>
      <c r="L170" s="3">
        <v>5.0599999999999996</v>
      </c>
      <c r="M170" s="3">
        <v>161.91999999999999</v>
      </c>
      <c r="N170" s="3">
        <v>0.25</v>
      </c>
      <c r="O170" s="2" t="s">
        <v>437</v>
      </c>
      <c r="P170" s="4">
        <v>45775.5</v>
      </c>
      <c r="Q170" s="4">
        <v>45775.710833333331</v>
      </c>
      <c r="R170" s="2" t="s">
        <v>93</v>
      </c>
      <c r="S170" s="3">
        <v>10.119999999999999</v>
      </c>
      <c r="T170" s="2">
        <v>85</v>
      </c>
      <c r="U170" s="3">
        <v>1062</v>
      </c>
      <c r="V170" s="3">
        <v>0</v>
      </c>
      <c r="W170" s="2" t="s">
        <v>94</v>
      </c>
      <c r="X170" s="2" t="s">
        <v>95</v>
      </c>
      <c r="Y170" s="3">
        <v>0</v>
      </c>
      <c r="Z170" t="str">
        <f>INDEX(Assets!$J:$J,MATCH(UPPER(TRIM(B170)),Assets!$A:$A,0))</f>
        <v>Juniper</v>
      </c>
      <c r="AA170">
        <f t="shared" si="6"/>
        <v>121.44</v>
      </c>
      <c r="AB170" s="21">
        <f t="shared" si="7"/>
        <v>45748</v>
      </c>
      <c r="AC170">
        <f>SUMIFS(Production!$H:$H,Production!$A:$A,UPPER(TRIM(B170)),Production!$B:$B,AB170)-SUMIFS(Production!$I:$I,Production!$A:$A,UPPER(TRIM(B170)),Production!$B:$B,AB170)</f>
        <v>42.4</v>
      </c>
      <c r="AD170">
        <f t="shared" si="8"/>
        <v>5149.0559999999996</v>
      </c>
    </row>
    <row r="171" spans="1:30" ht="21" customHeight="1">
      <c r="A171" s="2" t="s">
        <v>438</v>
      </c>
      <c r="B171" s="9" t="s">
        <v>37</v>
      </c>
      <c r="C171" s="5">
        <v>45784.5</v>
      </c>
      <c r="D171" s="4">
        <v>45785.00708333333</v>
      </c>
      <c r="E171" s="2" t="s">
        <v>83</v>
      </c>
      <c r="F171" s="2" t="s">
        <v>101</v>
      </c>
      <c r="G171" s="3">
        <v>2.34</v>
      </c>
      <c r="H171" s="3">
        <v>2.34</v>
      </c>
      <c r="I171" s="3">
        <v>0</v>
      </c>
      <c r="J171" s="3">
        <v>5.94</v>
      </c>
      <c r="K171" s="3">
        <v>1.55</v>
      </c>
      <c r="L171" s="3">
        <v>12.17</v>
      </c>
      <c r="M171" s="3">
        <v>389.44</v>
      </c>
      <c r="N171" s="3">
        <v>0.13</v>
      </c>
      <c r="O171" s="2" t="s">
        <v>439</v>
      </c>
      <c r="P171" s="4">
        <v>45784.597500000003</v>
      </c>
      <c r="Q171" s="4">
        <v>45785.00708333333</v>
      </c>
      <c r="R171" s="2" t="s">
        <v>86</v>
      </c>
      <c r="S171" s="3">
        <v>11.88</v>
      </c>
      <c r="T171" s="2">
        <v>85</v>
      </c>
      <c r="U171" s="3">
        <v>1271</v>
      </c>
      <c r="V171" s="3">
        <v>0</v>
      </c>
      <c r="W171" s="2" t="s">
        <v>94</v>
      </c>
      <c r="X171" s="2" t="s">
        <v>103</v>
      </c>
      <c r="Y171" s="3">
        <v>0</v>
      </c>
      <c r="Z171" t="str">
        <f>INDEX(Assets!$J:$J,MATCH(UPPER(TRIM(B171)),Assets!$A:$A,0))</f>
        <v>Juniper</v>
      </c>
      <c r="AA171">
        <f t="shared" si="6"/>
        <v>338.81279999999998</v>
      </c>
      <c r="AB171" s="21">
        <f t="shared" si="7"/>
        <v>45778</v>
      </c>
      <c r="AC171">
        <f>SUMIFS(Production!$H:$H,Production!$A:$A,UPPER(TRIM(B171)),Production!$B:$B,AB171)-SUMIFS(Production!$I:$I,Production!$A:$A,UPPER(TRIM(B171)),Production!$B:$B,AB171)</f>
        <v>40.4</v>
      </c>
      <c r="AD171">
        <f t="shared" si="8"/>
        <v>13688.037119999999</v>
      </c>
    </row>
    <row r="172" spans="1:30" ht="21" customHeight="1">
      <c r="A172" s="2" t="s">
        <v>440</v>
      </c>
      <c r="B172" s="9" t="s">
        <v>37</v>
      </c>
      <c r="C172" s="5">
        <v>45816.5</v>
      </c>
      <c r="D172" s="4">
        <v>45817.059583333335</v>
      </c>
      <c r="E172" s="2" t="s">
        <v>83</v>
      </c>
      <c r="F172" s="2" t="s">
        <v>119</v>
      </c>
      <c r="G172" s="3">
        <v>2.5</v>
      </c>
      <c r="H172" s="3">
        <v>2.2000000000000002</v>
      </c>
      <c r="I172" s="3">
        <v>0</v>
      </c>
      <c r="J172" s="3">
        <v>7.04</v>
      </c>
      <c r="K172" s="3">
        <v>1.69</v>
      </c>
      <c r="L172" s="3">
        <v>13.43</v>
      </c>
      <c r="M172" s="3">
        <v>429.76</v>
      </c>
      <c r="N172" s="3">
        <v>0.23</v>
      </c>
      <c r="O172" s="2" t="s">
        <v>441</v>
      </c>
      <c r="P172" s="4">
        <v>45816.604166666672</v>
      </c>
      <c r="Q172" s="4">
        <v>45817.059583333335</v>
      </c>
      <c r="R172" s="2" t="s">
        <v>86</v>
      </c>
      <c r="S172" s="3">
        <v>7.04</v>
      </c>
      <c r="T172" s="2">
        <v>85</v>
      </c>
      <c r="U172" s="3">
        <v>3512</v>
      </c>
      <c r="V172" s="3">
        <v>0</v>
      </c>
      <c r="W172" s="2" t="s">
        <v>94</v>
      </c>
      <c r="X172" s="2" t="s">
        <v>121</v>
      </c>
      <c r="Y172" s="3">
        <v>0</v>
      </c>
      <c r="Z172" t="str">
        <f>INDEX(Assets!$J:$J,MATCH(UPPER(TRIM(B172)),Assets!$A:$A,0))</f>
        <v>Juniper</v>
      </c>
      <c r="AA172">
        <f t="shared" si="6"/>
        <v>330.91520000000003</v>
      </c>
      <c r="AB172" s="21">
        <f t="shared" si="7"/>
        <v>45809</v>
      </c>
      <c r="AC172">
        <f>SUMIFS(Production!$H:$H,Production!$A:$A,UPPER(TRIM(B172)),Production!$B:$B,AB172)-SUMIFS(Production!$I:$I,Production!$A:$A,UPPER(TRIM(B172)),Production!$B:$B,AB172)</f>
        <v>41.4</v>
      </c>
      <c r="AD172">
        <f t="shared" si="8"/>
        <v>13699.889280000001</v>
      </c>
    </row>
    <row r="173" spans="1:30" ht="21" customHeight="1">
      <c r="A173" s="2" t="s">
        <v>442</v>
      </c>
      <c r="B173" s="9" t="s">
        <v>37</v>
      </c>
      <c r="C173" s="5">
        <v>45845.5</v>
      </c>
      <c r="D173" s="4">
        <v>45845.880416666667</v>
      </c>
      <c r="E173" s="2" t="s">
        <v>83</v>
      </c>
      <c r="F173" s="2" t="s">
        <v>115</v>
      </c>
      <c r="G173" s="3">
        <v>2.98</v>
      </c>
      <c r="H173" s="3">
        <v>1.21</v>
      </c>
      <c r="I173" s="3">
        <v>0</v>
      </c>
      <c r="J173" s="3">
        <v>2.92</v>
      </c>
      <c r="K173" s="3">
        <v>2.02</v>
      </c>
      <c r="L173" s="3">
        <v>9.1300000000000008</v>
      </c>
      <c r="M173" s="3">
        <v>292.16000000000003</v>
      </c>
      <c r="N173" s="3">
        <v>0.28000000000000003</v>
      </c>
      <c r="O173" s="2" t="s">
        <v>443</v>
      </c>
      <c r="P173" s="4">
        <v>45845.624166666668</v>
      </c>
      <c r="Q173" s="4">
        <v>45845.880416666667</v>
      </c>
      <c r="R173" s="2" t="s">
        <v>86</v>
      </c>
      <c r="S173" s="3">
        <v>2.92</v>
      </c>
      <c r="T173" s="2">
        <v>85</v>
      </c>
      <c r="U173" s="3">
        <v>1893</v>
      </c>
      <c r="V173" s="3">
        <v>0</v>
      </c>
      <c r="W173" s="2" t="s">
        <v>94</v>
      </c>
      <c r="X173" s="2" t="s">
        <v>117</v>
      </c>
      <c r="Y173" s="3">
        <v>0</v>
      </c>
      <c r="Z173" t="str">
        <f>INDEX(Assets!$J:$J,MATCH(UPPER(TRIM(B173)),Assets!$A:$A,0))</f>
        <v>Juniper</v>
      </c>
      <c r="AA173">
        <f t="shared" si="6"/>
        <v>210.3552</v>
      </c>
      <c r="AB173" s="21">
        <f t="shared" si="7"/>
        <v>45839</v>
      </c>
      <c r="AC173">
        <f>SUMIFS(Production!$H:$H,Production!$A:$A,UPPER(TRIM(B173)),Production!$B:$B,AB173)-SUMIFS(Production!$I:$I,Production!$A:$A,UPPER(TRIM(B173)),Production!$B:$B,AB173)</f>
        <v>43.4</v>
      </c>
      <c r="AD173">
        <f t="shared" si="8"/>
        <v>9129.4156800000001</v>
      </c>
    </row>
    <row r="174" spans="1:30" ht="21" customHeight="1">
      <c r="A174" s="2" t="s">
        <v>444</v>
      </c>
      <c r="B174" s="9" t="s">
        <v>37</v>
      </c>
      <c r="C174" s="5">
        <v>45866.5</v>
      </c>
      <c r="D174" s="4">
        <v>45866.751666666663</v>
      </c>
      <c r="E174" s="2" t="s">
        <v>90</v>
      </c>
      <c r="F174" s="2" t="s">
        <v>91</v>
      </c>
      <c r="G174" s="3">
        <v>0</v>
      </c>
      <c r="H174" s="3">
        <v>0</v>
      </c>
      <c r="I174" s="3">
        <v>0</v>
      </c>
      <c r="J174" s="3">
        <v>6.04</v>
      </c>
      <c r="K174" s="3">
        <v>0</v>
      </c>
      <c r="L174" s="3">
        <v>6.04</v>
      </c>
      <c r="M174" s="3">
        <v>193.28</v>
      </c>
      <c r="N174" s="3">
        <v>0.25</v>
      </c>
      <c r="O174" s="2" t="s">
        <v>445</v>
      </c>
      <c r="P174" s="4">
        <v>45866.5</v>
      </c>
      <c r="Q174" s="4">
        <v>45866.751666666663</v>
      </c>
      <c r="R174" s="2" t="s">
        <v>93</v>
      </c>
      <c r="S174" s="3">
        <v>6.04</v>
      </c>
      <c r="T174" s="2">
        <v>85</v>
      </c>
      <c r="U174" s="3">
        <v>1341</v>
      </c>
      <c r="V174" s="3">
        <v>0</v>
      </c>
      <c r="W174" s="2" t="s">
        <v>94</v>
      </c>
      <c r="X174" s="2" t="s">
        <v>95</v>
      </c>
      <c r="Y174" s="3">
        <v>0</v>
      </c>
      <c r="Z174" t="str">
        <f>INDEX(Assets!$J:$J,MATCH(UPPER(TRIM(B174)),Assets!$A:$A,0))</f>
        <v>Juniper</v>
      </c>
      <c r="AA174">
        <f t="shared" si="6"/>
        <v>144.96</v>
      </c>
      <c r="AB174" s="21">
        <f t="shared" si="7"/>
        <v>45839</v>
      </c>
      <c r="AC174">
        <f>SUMIFS(Production!$H:$H,Production!$A:$A,UPPER(TRIM(B174)),Production!$B:$B,AB174)-SUMIFS(Production!$I:$I,Production!$A:$A,UPPER(TRIM(B174)),Production!$B:$B,AB174)</f>
        <v>43.4</v>
      </c>
      <c r="AD174">
        <f t="shared" si="8"/>
        <v>6291.2640000000001</v>
      </c>
    </row>
    <row r="175" spans="1:30" ht="21" customHeight="1">
      <c r="A175" s="2" t="s">
        <v>446</v>
      </c>
      <c r="B175" s="9" t="s">
        <v>37</v>
      </c>
      <c r="C175" s="5">
        <v>45873.5</v>
      </c>
      <c r="D175" s="4">
        <v>45873.954583333332</v>
      </c>
      <c r="E175" s="2" t="s">
        <v>83</v>
      </c>
      <c r="F175" s="2" t="s">
        <v>101</v>
      </c>
      <c r="G175" s="3">
        <v>3.71</v>
      </c>
      <c r="H175" s="3">
        <v>2.2000000000000002</v>
      </c>
      <c r="I175" s="3">
        <v>0</v>
      </c>
      <c r="J175" s="3">
        <v>2.58</v>
      </c>
      <c r="K175" s="3">
        <v>2.42</v>
      </c>
      <c r="L175" s="3">
        <v>10.91</v>
      </c>
      <c r="M175" s="3">
        <v>349.12</v>
      </c>
      <c r="N175" s="3">
        <v>0.1</v>
      </c>
      <c r="O175" s="2" t="s">
        <v>447</v>
      </c>
      <c r="P175" s="4">
        <v>45873.654583333337</v>
      </c>
      <c r="Q175" s="4">
        <v>45873.954583333332</v>
      </c>
      <c r="R175" s="2" t="s">
        <v>86</v>
      </c>
      <c r="S175" s="3">
        <v>5.16</v>
      </c>
      <c r="T175" s="2">
        <v>85</v>
      </c>
      <c r="U175" s="3">
        <v>4667</v>
      </c>
      <c r="V175" s="3">
        <v>0</v>
      </c>
      <c r="W175" s="2" t="s">
        <v>94</v>
      </c>
      <c r="X175" s="2" t="s">
        <v>103</v>
      </c>
      <c r="Y175" s="3">
        <v>0</v>
      </c>
      <c r="Z175" t="str">
        <f>INDEX(Assets!$J:$J,MATCH(UPPER(TRIM(B175)),Assets!$A:$A,0))</f>
        <v>Juniper</v>
      </c>
      <c r="AA175">
        <f t="shared" si="6"/>
        <v>314.20800000000003</v>
      </c>
      <c r="AB175" s="21">
        <f t="shared" si="7"/>
        <v>45870</v>
      </c>
      <c r="AC175">
        <f>SUMIFS(Production!$H:$H,Production!$A:$A,UPPER(TRIM(B175)),Production!$B:$B,AB175)-SUMIFS(Production!$I:$I,Production!$A:$A,UPPER(TRIM(B175)),Production!$B:$B,AB175)</f>
        <v>42.4</v>
      </c>
      <c r="AD175">
        <f t="shared" si="8"/>
        <v>13322.4192</v>
      </c>
    </row>
    <row r="176" spans="1:30" ht="21" customHeight="1">
      <c r="A176" s="2" t="s">
        <v>448</v>
      </c>
      <c r="B176" s="9" t="s">
        <v>37</v>
      </c>
      <c r="C176" s="5">
        <v>45888.5</v>
      </c>
      <c r="D176" s="4">
        <v>45889.19666666667</v>
      </c>
      <c r="E176" s="2" t="s">
        <v>83</v>
      </c>
      <c r="F176" s="2" t="s">
        <v>119</v>
      </c>
      <c r="G176" s="3">
        <v>1.95</v>
      </c>
      <c r="H176" s="3">
        <v>2.81</v>
      </c>
      <c r="I176" s="3">
        <v>0</v>
      </c>
      <c r="J176" s="3">
        <v>10.1</v>
      </c>
      <c r="K176" s="3">
        <v>1.86</v>
      </c>
      <c r="L176" s="3">
        <v>16.72</v>
      </c>
      <c r="M176" s="3">
        <v>535.04</v>
      </c>
      <c r="N176" s="3">
        <v>0.14000000000000001</v>
      </c>
      <c r="O176" s="2" t="s">
        <v>449</v>
      </c>
      <c r="P176" s="4">
        <v>45888.581250000003</v>
      </c>
      <c r="Q176" s="4">
        <v>45889.19666666667</v>
      </c>
      <c r="R176" s="2" t="s">
        <v>86</v>
      </c>
      <c r="S176" s="3">
        <v>10.1</v>
      </c>
      <c r="T176" s="2">
        <v>85</v>
      </c>
      <c r="U176" s="3"/>
      <c r="V176" s="3">
        <v>3183</v>
      </c>
      <c r="W176" s="2" t="s">
        <v>87</v>
      </c>
      <c r="X176" s="2" t="s">
        <v>121</v>
      </c>
      <c r="Y176" s="3">
        <v>0</v>
      </c>
      <c r="Z176" t="str">
        <f>INDEX(Assets!$J:$J,MATCH(UPPER(TRIM(B176)),Assets!$A:$A,0))</f>
        <v>Juniper</v>
      </c>
      <c r="AA176">
        <f t="shared" si="6"/>
        <v>460.13439999999997</v>
      </c>
      <c r="AB176" s="21">
        <f t="shared" si="7"/>
        <v>45870</v>
      </c>
      <c r="AC176">
        <f>SUMIFS(Production!$H:$H,Production!$A:$A,UPPER(TRIM(B176)),Production!$B:$B,AB176)-SUMIFS(Production!$I:$I,Production!$A:$A,UPPER(TRIM(B176)),Production!$B:$B,AB176)</f>
        <v>42.4</v>
      </c>
      <c r="AD176">
        <f t="shared" si="8"/>
        <v>19509.698559999997</v>
      </c>
    </row>
    <row r="177" spans="1:30" ht="21" customHeight="1">
      <c r="A177" s="2" t="s">
        <v>450</v>
      </c>
      <c r="B177" s="9" t="s">
        <v>37</v>
      </c>
      <c r="C177" s="5">
        <v>45907.5</v>
      </c>
      <c r="D177" s="4">
        <v>45907.85083333333</v>
      </c>
      <c r="E177" s="2" t="s">
        <v>83</v>
      </c>
      <c r="F177" s="2" t="s">
        <v>84</v>
      </c>
      <c r="G177" s="3">
        <v>2.33</v>
      </c>
      <c r="H177" s="3">
        <v>2.74</v>
      </c>
      <c r="I177" s="3">
        <v>0</v>
      </c>
      <c r="J177" s="3">
        <v>2.59</v>
      </c>
      <c r="K177" s="3">
        <v>0.76</v>
      </c>
      <c r="L177" s="3">
        <v>8.42</v>
      </c>
      <c r="M177" s="3">
        <v>269.44</v>
      </c>
      <c r="N177" s="3">
        <v>0.1</v>
      </c>
      <c r="O177" s="2" t="s">
        <v>451</v>
      </c>
      <c r="P177" s="4">
        <v>45907.597083333334</v>
      </c>
      <c r="Q177" s="4">
        <v>45907.85083333333</v>
      </c>
      <c r="R177" s="2" t="s">
        <v>86</v>
      </c>
      <c r="S177" s="3">
        <v>2.59</v>
      </c>
      <c r="T177" s="2">
        <v>85</v>
      </c>
      <c r="U177" s="3">
        <v>3533</v>
      </c>
      <c r="V177" s="3">
        <v>1759</v>
      </c>
      <c r="W177" s="2" t="s">
        <v>94</v>
      </c>
      <c r="X177" s="2" t="s">
        <v>88</v>
      </c>
      <c r="Y177" s="3">
        <v>0</v>
      </c>
      <c r="Z177" t="str">
        <f>INDEX(Assets!$J:$J,MATCH(UPPER(TRIM(B177)),Assets!$A:$A,0))</f>
        <v>Juniper</v>
      </c>
      <c r="AA177">
        <f t="shared" si="6"/>
        <v>242.49600000000001</v>
      </c>
      <c r="AB177" s="21">
        <f t="shared" si="7"/>
        <v>45901</v>
      </c>
      <c r="AC177">
        <f>SUMIFS(Production!$H:$H,Production!$A:$A,UPPER(TRIM(B177)),Production!$B:$B,AB177)-SUMIFS(Production!$I:$I,Production!$A:$A,UPPER(TRIM(B177)),Production!$B:$B,AB177)</f>
        <v>39.4</v>
      </c>
      <c r="AD177">
        <f t="shared" si="8"/>
        <v>9554.3423999999995</v>
      </c>
    </row>
    <row r="178" spans="1:30" ht="21" customHeight="1">
      <c r="A178" s="2" t="s">
        <v>452</v>
      </c>
      <c r="B178" s="9" t="s">
        <v>37</v>
      </c>
      <c r="C178" s="5">
        <v>45936.5</v>
      </c>
      <c r="D178" s="4">
        <v>45937.064583333333</v>
      </c>
      <c r="E178" s="2" t="s">
        <v>83</v>
      </c>
      <c r="F178" s="2" t="s">
        <v>115</v>
      </c>
      <c r="G178" s="3">
        <v>3.01</v>
      </c>
      <c r="H178" s="3">
        <v>1.1100000000000001</v>
      </c>
      <c r="I178" s="3">
        <v>0</v>
      </c>
      <c r="J178" s="3">
        <v>8.06</v>
      </c>
      <c r="K178" s="3">
        <v>1.37</v>
      </c>
      <c r="L178" s="3">
        <v>13.55</v>
      </c>
      <c r="M178" s="3">
        <v>433.6</v>
      </c>
      <c r="N178" s="3">
        <v>0.17</v>
      </c>
      <c r="O178" s="2" t="s">
        <v>453</v>
      </c>
      <c r="P178" s="4">
        <v>45936.625416666662</v>
      </c>
      <c r="Q178" s="4">
        <v>45937.064583333333</v>
      </c>
      <c r="R178" s="2" t="s">
        <v>86</v>
      </c>
      <c r="S178" s="3">
        <v>8.06</v>
      </c>
      <c r="T178" s="2">
        <v>85</v>
      </c>
      <c r="U178" s="3">
        <v>5990</v>
      </c>
      <c r="V178" s="3">
        <v>0</v>
      </c>
      <c r="W178" s="2" t="s">
        <v>94</v>
      </c>
      <c r="X178" s="2" t="s">
        <v>117</v>
      </c>
      <c r="Y178" s="3">
        <v>0</v>
      </c>
      <c r="Z178" t="str">
        <f>INDEX(Assets!$J:$J,MATCH(UPPER(TRIM(B178)),Assets!$A:$A,0))</f>
        <v>Juniper</v>
      </c>
      <c r="AA178">
        <f t="shared" si="6"/>
        <v>359.88799999999998</v>
      </c>
      <c r="AB178" s="21">
        <f t="shared" si="7"/>
        <v>45931</v>
      </c>
      <c r="AC178">
        <f>SUMIFS(Production!$H:$H,Production!$A:$A,UPPER(TRIM(B178)),Production!$B:$B,AB178)-SUMIFS(Production!$I:$I,Production!$A:$A,UPPER(TRIM(B178)),Production!$B:$B,AB178)</f>
        <v>38.4</v>
      </c>
      <c r="AD178">
        <f t="shared" si="8"/>
        <v>13819.699199999999</v>
      </c>
    </row>
    <row r="179" spans="1:30" ht="21" customHeight="1">
      <c r="A179" s="2" t="s">
        <v>454</v>
      </c>
      <c r="B179" s="9" t="s">
        <v>37</v>
      </c>
      <c r="C179" s="5">
        <v>45958.5</v>
      </c>
      <c r="D179" s="4">
        <v>45958.758333333331</v>
      </c>
      <c r="E179" s="2" t="s">
        <v>90</v>
      </c>
      <c r="F179" s="2" t="s">
        <v>91</v>
      </c>
      <c r="G179" s="3">
        <v>0</v>
      </c>
      <c r="H179" s="3">
        <v>0</v>
      </c>
      <c r="I179" s="3">
        <v>0</v>
      </c>
      <c r="J179" s="3">
        <v>6.2</v>
      </c>
      <c r="K179" s="3">
        <v>0</v>
      </c>
      <c r="L179" s="3">
        <v>6.2</v>
      </c>
      <c r="M179" s="3">
        <v>198.4</v>
      </c>
      <c r="N179" s="3">
        <v>0.25</v>
      </c>
      <c r="O179" s="2" t="s">
        <v>455</v>
      </c>
      <c r="P179" s="4">
        <v>45958.5</v>
      </c>
      <c r="Q179" s="4">
        <v>45958.758333333331</v>
      </c>
      <c r="R179" s="2" t="s">
        <v>93</v>
      </c>
      <c r="S179" s="3">
        <v>12.4</v>
      </c>
      <c r="T179" s="2">
        <v>85</v>
      </c>
      <c r="U179" s="3">
        <v>1580</v>
      </c>
      <c r="V179" s="3">
        <v>0</v>
      </c>
      <c r="W179" s="2" t="s">
        <v>94</v>
      </c>
      <c r="X179" s="2" t="s">
        <v>95</v>
      </c>
      <c r="Y179" s="3">
        <v>0</v>
      </c>
      <c r="Z179" t="str">
        <f>INDEX(Assets!$J:$J,MATCH(UPPER(TRIM(B179)),Assets!$A:$A,0))</f>
        <v>Juniper</v>
      </c>
      <c r="AA179">
        <f t="shared" si="6"/>
        <v>148.80000000000001</v>
      </c>
      <c r="AB179" s="21">
        <f t="shared" si="7"/>
        <v>45931</v>
      </c>
      <c r="AC179">
        <f>SUMIFS(Production!$H:$H,Production!$A:$A,UPPER(TRIM(B179)),Production!$B:$B,AB179)-SUMIFS(Production!$I:$I,Production!$A:$A,UPPER(TRIM(B179)),Production!$B:$B,AB179)</f>
        <v>38.4</v>
      </c>
      <c r="AD179">
        <f t="shared" si="8"/>
        <v>5713.92</v>
      </c>
    </row>
    <row r="180" spans="1:30" ht="21" customHeight="1">
      <c r="A180" s="2" t="s">
        <v>456</v>
      </c>
      <c r="B180" s="9" t="s">
        <v>37</v>
      </c>
      <c r="C180" s="5">
        <v>45971.5</v>
      </c>
      <c r="D180" s="4">
        <v>45972.002083333333</v>
      </c>
      <c r="E180" s="2" t="s">
        <v>83</v>
      </c>
      <c r="F180" s="2" t="s">
        <v>115</v>
      </c>
      <c r="G180" s="3">
        <v>1.62</v>
      </c>
      <c r="H180" s="3">
        <v>2.02</v>
      </c>
      <c r="I180" s="3">
        <v>0</v>
      </c>
      <c r="J180" s="3">
        <v>7.79</v>
      </c>
      <c r="K180" s="3">
        <v>0.62</v>
      </c>
      <c r="L180" s="3">
        <v>12.05</v>
      </c>
      <c r="M180" s="3">
        <v>385.6</v>
      </c>
      <c r="N180" s="3">
        <v>0.23</v>
      </c>
      <c r="O180" s="2" t="s">
        <v>457</v>
      </c>
      <c r="P180" s="4">
        <v>45971.567500000005</v>
      </c>
      <c r="Q180" s="4">
        <v>45972.002083333333</v>
      </c>
      <c r="R180" s="2" t="s">
        <v>86</v>
      </c>
      <c r="S180" s="3">
        <v>7.79</v>
      </c>
      <c r="T180" s="2">
        <v>85</v>
      </c>
      <c r="U180" s="3">
        <v>5914</v>
      </c>
      <c r="V180" s="3">
        <v>0</v>
      </c>
      <c r="W180" s="2" t="s">
        <v>94</v>
      </c>
      <c r="X180" s="2" t="s">
        <v>117</v>
      </c>
      <c r="Y180" s="3">
        <v>0</v>
      </c>
      <c r="Z180" t="str">
        <f>INDEX(Assets!$J:$J,MATCH(UPPER(TRIM(B180)),Assets!$A:$A,0))</f>
        <v>Juniper</v>
      </c>
      <c r="AA180">
        <f t="shared" si="6"/>
        <v>296.91200000000003</v>
      </c>
      <c r="AB180" s="21">
        <f t="shared" si="7"/>
        <v>45962</v>
      </c>
      <c r="AC180">
        <f>SUMIFS(Production!$H:$H,Production!$A:$A,UPPER(TRIM(B180)),Production!$B:$B,AB180)-SUMIFS(Production!$I:$I,Production!$A:$A,UPPER(TRIM(B180)),Production!$B:$B,AB180)</f>
        <v>40.4</v>
      </c>
      <c r="AD180">
        <f t="shared" si="8"/>
        <v>11995.2448</v>
      </c>
    </row>
    <row r="181" spans="1:30" ht="21" customHeight="1">
      <c r="A181" s="2" t="s">
        <v>458</v>
      </c>
      <c r="B181" s="9" t="s">
        <v>37</v>
      </c>
      <c r="C181" s="5">
        <v>45997.5</v>
      </c>
      <c r="D181" s="4">
        <v>45997.853749999995</v>
      </c>
      <c r="E181" s="2" t="s">
        <v>83</v>
      </c>
      <c r="F181" s="2" t="s">
        <v>97</v>
      </c>
      <c r="G181" s="3">
        <v>1.42</v>
      </c>
      <c r="H181" s="3">
        <v>3.43</v>
      </c>
      <c r="I181" s="3">
        <v>0</v>
      </c>
      <c r="J181" s="3">
        <v>2.35</v>
      </c>
      <c r="K181" s="3">
        <v>1.29</v>
      </c>
      <c r="L181" s="3">
        <v>8.49</v>
      </c>
      <c r="M181" s="3">
        <v>271.68</v>
      </c>
      <c r="N181" s="3">
        <v>0.24</v>
      </c>
      <c r="O181" s="2" t="s">
        <v>459</v>
      </c>
      <c r="P181" s="4">
        <v>45997.559166666666</v>
      </c>
      <c r="Q181" s="4">
        <v>45997.853749999995</v>
      </c>
      <c r="R181" s="2" t="s">
        <v>86</v>
      </c>
      <c r="S181" s="3">
        <v>2.35</v>
      </c>
      <c r="T181" s="2">
        <v>85</v>
      </c>
      <c r="U181" s="3">
        <v>5967</v>
      </c>
      <c r="V181" s="3">
        <v>0</v>
      </c>
      <c r="W181" s="2" t="s">
        <v>94</v>
      </c>
      <c r="X181" s="2" t="s">
        <v>99</v>
      </c>
      <c r="Y181" s="3">
        <v>0</v>
      </c>
      <c r="Z181" t="str">
        <f>INDEX(Assets!$J:$J,MATCH(UPPER(TRIM(B181)),Assets!$A:$A,0))</f>
        <v>Juniper</v>
      </c>
      <c r="AA181">
        <f t="shared" si="6"/>
        <v>206.4768</v>
      </c>
      <c r="AB181" s="21">
        <f t="shared" si="7"/>
        <v>45992</v>
      </c>
      <c r="AC181">
        <f>SUMIFS(Production!$H:$H,Production!$A:$A,UPPER(TRIM(B181)),Production!$B:$B,AB181)-SUMIFS(Production!$I:$I,Production!$A:$A,UPPER(TRIM(B181)),Production!$B:$B,AB181)</f>
        <v>41.4</v>
      </c>
      <c r="AD181">
        <f t="shared" si="8"/>
        <v>8548.1395199999988</v>
      </c>
    </row>
    <row r="182" spans="1:30" ht="21" customHeight="1">
      <c r="A182" s="2" t="s">
        <v>460</v>
      </c>
      <c r="B182" s="9" t="s">
        <v>38</v>
      </c>
      <c r="C182" s="5">
        <v>45665.5</v>
      </c>
      <c r="D182" s="4">
        <v>45666.903749999998</v>
      </c>
      <c r="E182" s="2" t="s">
        <v>83</v>
      </c>
      <c r="F182" s="2" t="s">
        <v>119</v>
      </c>
      <c r="G182" s="3">
        <v>3.66</v>
      </c>
      <c r="H182" s="3">
        <v>7.95</v>
      </c>
      <c r="I182" s="3">
        <v>10.24</v>
      </c>
      <c r="J182" s="3">
        <v>10.18</v>
      </c>
      <c r="K182" s="3">
        <v>1.66</v>
      </c>
      <c r="L182" s="3">
        <v>33.69</v>
      </c>
      <c r="M182" s="3">
        <v>1179.1500000000001</v>
      </c>
      <c r="N182" s="3">
        <v>0.15</v>
      </c>
      <c r="O182" s="2" t="s">
        <v>461</v>
      </c>
      <c r="P182" s="4">
        <v>45665.652499999997</v>
      </c>
      <c r="Q182" s="4">
        <v>45666.903749999998</v>
      </c>
      <c r="R182" s="2" t="s">
        <v>86</v>
      </c>
      <c r="S182" s="3">
        <v>10.18</v>
      </c>
      <c r="T182" s="2">
        <v>85</v>
      </c>
      <c r="U182" s="3">
        <v>2554</v>
      </c>
      <c r="V182" s="3">
        <v>0</v>
      </c>
      <c r="W182" s="2" t="s">
        <v>94</v>
      </c>
      <c r="X182" s="2" t="s">
        <v>121</v>
      </c>
      <c r="Y182" s="3">
        <v>0.5</v>
      </c>
      <c r="Z182" t="str">
        <f>INDEX(Assets!$J:$J,MATCH(UPPER(TRIM(B182)),Assets!$A:$A,0))</f>
        <v>Arroyo</v>
      </c>
      <c r="AA182">
        <f t="shared" si="6"/>
        <v>1002.2775</v>
      </c>
      <c r="AB182" s="21">
        <f t="shared" si="7"/>
        <v>45658</v>
      </c>
      <c r="AC182">
        <f>SUMIFS(Production!$H:$H,Production!$A:$A,UPPER(TRIM(B182)),Production!$B:$B,AB182)-SUMIFS(Production!$I:$I,Production!$A:$A,UPPER(TRIM(B182)),Production!$B:$B,AB182)</f>
        <v>47.6</v>
      </c>
      <c r="AD182">
        <f t="shared" si="8"/>
        <v>47708.409</v>
      </c>
    </row>
    <row r="183" spans="1:30" ht="21" customHeight="1">
      <c r="A183" s="2" t="s">
        <v>462</v>
      </c>
      <c r="B183" s="9" t="s">
        <v>38</v>
      </c>
      <c r="C183" s="5">
        <v>45685.5</v>
      </c>
      <c r="D183" s="4">
        <v>45685.727500000001</v>
      </c>
      <c r="E183" s="2" t="s">
        <v>90</v>
      </c>
      <c r="F183" s="2" t="s">
        <v>91</v>
      </c>
      <c r="G183" s="3">
        <v>0</v>
      </c>
      <c r="H183" s="3">
        <v>0</v>
      </c>
      <c r="I183" s="3">
        <v>0</v>
      </c>
      <c r="J183" s="3">
        <v>5.46</v>
      </c>
      <c r="K183" s="3">
        <v>0</v>
      </c>
      <c r="L183" s="3">
        <v>5.46</v>
      </c>
      <c r="M183" s="3">
        <v>191.1</v>
      </c>
      <c r="N183" s="3">
        <v>0.25</v>
      </c>
      <c r="O183" s="2" t="s">
        <v>463</v>
      </c>
      <c r="P183" s="4">
        <v>45685.5</v>
      </c>
      <c r="Q183" s="4">
        <v>45685.727500000001</v>
      </c>
      <c r="R183" s="2" t="s">
        <v>93</v>
      </c>
      <c r="S183" s="3">
        <v>10.92</v>
      </c>
      <c r="T183" s="2">
        <v>85</v>
      </c>
      <c r="U183" s="3">
        <v>640</v>
      </c>
      <c r="V183" s="3">
        <v>0</v>
      </c>
      <c r="W183" s="2" t="s">
        <v>94</v>
      </c>
      <c r="X183" s="2" t="s">
        <v>95</v>
      </c>
      <c r="Y183" s="3">
        <v>0</v>
      </c>
      <c r="Z183" t="str">
        <f>INDEX(Assets!$J:$J,MATCH(UPPER(TRIM(B183)),Assets!$A:$A,0))</f>
        <v>Arroyo</v>
      </c>
      <c r="AA183">
        <f t="shared" si="6"/>
        <v>143.32499999999999</v>
      </c>
      <c r="AB183" s="21">
        <f t="shared" si="7"/>
        <v>45658</v>
      </c>
      <c r="AC183">
        <f>SUMIFS(Production!$H:$H,Production!$A:$A,UPPER(TRIM(B183)),Production!$B:$B,AB183)-SUMIFS(Production!$I:$I,Production!$A:$A,UPPER(TRIM(B183)),Production!$B:$B,AB183)</f>
        <v>47.6</v>
      </c>
      <c r="AD183">
        <f t="shared" si="8"/>
        <v>6822.2699999999995</v>
      </c>
    </row>
    <row r="184" spans="1:30" ht="21" customHeight="1">
      <c r="A184" s="2" t="s">
        <v>464</v>
      </c>
      <c r="B184" s="9" t="s">
        <v>38</v>
      </c>
      <c r="C184" s="5">
        <v>45697.5</v>
      </c>
      <c r="D184" s="4">
        <v>45698.74291666667</v>
      </c>
      <c r="E184" s="2" t="s">
        <v>83</v>
      </c>
      <c r="F184" s="2" t="s">
        <v>97</v>
      </c>
      <c r="G184" s="3">
        <v>5.15</v>
      </c>
      <c r="H184" s="3">
        <v>2.66</v>
      </c>
      <c r="I184" s="3">
        <v>17.2</v>
      </c>
      <c r="J184" s="3">
        <v>4.1500000000000004</v>
      </c>
      <c r="K184" s="3">
        <v>0.67</v>
      </c>
      <c r="L184" s="3">
        <v>29.83</v>
      </c>
      <c r="M184" s="3">
        <v>1044.05</v>
      </c>
      <c r="N184" s="3">
        <v>0.11</v>
      </c>
      <c r="O184" s="2" t="s">
        <v>465</v>
      </c>
      <c r="P184" s="4">
        <v>45697.714583333334</v>
      </c>
      <c r="Q184" s="4">
        <v>45698.74291666667</v>
      </c>
      <c r="R184" s="2" t="s">
        <v>86</v>
      </c>
      <c r="S184" s="3">
        <v>8.3000000000000007</v>
      </c>
      <c r="T184" s="2">
        <v>85</v>
      </c>
      <c r="U184" s="3">
        <v>3346</v>
      </c>
      <c r="V184" s="3">
        <v>0</v>
      </c>
      <c r="W184" s="2" t="s">
        <v>94</v>
      </c>
      <c r="X184" s="2" t="s">
        <v>99</v>
      </c>
      <c r="Y184" s="3">
        <v>0</v>
      </c>
      <c r="Z184" t="str">
        <f>INDEX(Assets!$J:$J,MATCH(UPPER(TRIM(B184)),Assets!$A:$A,0))</f>
        <v>Arroyo</v>
      </c>
      <c r="AA184">
        <f t="shared" si="6"/>
        <v>929.20449999999994</v>
      </c>
      <c r="AB184" s="21">
        <f t="shared" si="7"/>
        <v>45689</v>
      </c>
      <c r="AC184">
        <f>SUMIFS(Production!$H:$H,Production!$A:$A,UPPER(TRIM(B184)),Production!$B:$B,AB184)-SUMIFS(Production!$I:$I,Production!$A:$A,UPPER(TRIM(B184)),Production!$B:$B,AB184)</f>
        <v>45.6</v>
      </c>
      <c r="AD184">
        <f t="shared" si="8"/>
        <v>42371.725200000001</v>
      </c>
    </row>
    <row r="185" spans="1:30" ht="21" customHeight="1">
      <c r="A185" s="2" t="s">
        <v>466</v>
      </c>
      <c r="B185" s="9" t="s">
        <v>38</v>
      </c>
      <c r="C185" s="5">
        <v>45709.5</v>
      </c>
      <c r="D185" s="4">
        <v>45710.200833333336</v>
      </c>
      <c r="E185" s="2" t="s">
        <v>83</v>
      </c>
      <c r="F185" s="2" t="s">
        <v>84</v>
      </c>
      <c r="G185" s="3">
        <v>2.92</v>
      </c>
      <c r="H185" s="3">
        <v>3.79</v>
      </c>
      <c r="I185" s="3">
        <v>0</v>
      </c>
      <c r="J185" s="3">
        <v>8.39</v>
      </c>
      <c r="K185" s="3">
        <v>1.72</v>
      </c>
      <c r="L185" s="3">
        <v>16.82</v>
      </c>
      <c r="M185" s="3">
        <v>588.70000000000005</v>
      </c>
      <c r="N185" s="3">
        <v>0.11</v>
      </c>
      <c r="O185" s="2" t="s">
        <v>467</v>
      </c>
      <c r="P185" s="4">
        <v>45709.621666666666</v>
      </c>
      <c r="Q185" s="4">
        <v>45710.200833333336</v>
      </c>
      <c r="R185" s="2" t="s">
        <v>86</v>
      </c>
      <c r="S185" s="3">
        <v>16.78</v>
      </c>
      <c r="T185" s="2">
        <v>85</v>
      </c>
      <c r="U185" s="3">
        <v>3520</v>
      </c>
      <c r="V185" s="3">
        <v>0</v>
      </c>
      <c r="W185" s="2" t="s">
        <v>94</v>
      </c>
      <c r="X185" s="2" t="s">
        <v>88</v>
      </c>
      <c r="Y185" s="3">
        <v>0</v>
      </c>
      <c r="Z185" t="str">
        <f>INDEX(Assets!$J:$J,MATCH(UPPER(TRIM(B185)),Assets!$A:$A,0))</f>
        <v>Arroyo</v>
      </c>
      <c r="AA185">
        <f t="shared" si="6"/>
        <v>523.9430000000001</v>
      </c>
      <c r="AB185" s="21">
        <f t="shared" si="7"/>
        <v>45689</v>
      </c>
      <c r="AC185">
        <f>SUMIFS(Production!$H:$H,Production!$A:$A,UPPER(TRIM(B185)),Production!$B:$B,AB185)-SUMIFS(Production!$I:$I,Production!$A:$A,UPPER(TRIM(B185)),Production!$B:$B,AB185)</f>
        <v>45.6</v>
      </c>
      <c r="AD185">
        <f t="shared" si="8"/>
        <v>23891.800800000005</v>
      </c>
    </row>
    <row r="186" spans="1:30" ht="21" customHeight="1">
      <c r="A186" s="2" t="s">
        <v>468</v>
      </c>
      <c r="B186" s="9" t="s">
        <v>38</v>
      </c>
      <c r="C186" s="5">
        <v>45724.5</v>
      </c>
      <c r="D186" s="4">
        <v>45725.206666666665</v>
      </c>
      <c r="E186" s="2" t="s">
        <v>83</v>
      </c>
      <c r="F186" s="2" t="s">
        <v>97</v>
      </c>
      <c r="G186" s="3">
        <v>3.61</v>
      </c>
      <c r="H186" s="3">
        <v>5.2</v>
      </c>
      <c r="I186" s="3">
        <v>0</v>
      </c>
      <c r="J186" s="3">
        <v>7.4</v>
      </c>
      <c r="K186" s="3">
        <v>0.75</v>
      </c>
      <c r="L186" s="3">
        <v>16.96</v>
      </c>
      <c r="M186" s="3">
        <v>593.6</v>
      </c>
      <c r="N186" s="3">
        <v>0.17</v>
      </c>
      <c r="O186" s="2" t="s">
        <v>469</v>
      </c>
      <c r="P186" s="4">
        <v>45724.650416666671</v>
      </c>
      <c r="Q186" s="4">
        <v>45725.206666666665</v>
      </c>
      <c r="R186" s="2" t="s">
        <v>86</v>
      </c>
      <c r="S186" s="3">
        <v>7.4</v>
      </c>
      <c r="T186" s="2">
        <v>85</v>
      </c>
      <c r="U186" s="3">
        <v>7666</v>
      </c>
      <c r="V186" s="3">
        <v>2432</v>
      </c>
      <c r="W186" s="2" t="s">
        <v>94</v>
      </c>
      <c r="X186" s="2" t="s">
        <v>99</v>
      </c>
      <c r="Y186" s="3">
        <v>0.5</v>
      </c>
      <c r="Z186" t="str">
        <f>INDEX(Assets!$J:$J,MATCH(UPPER(TRIM(B186)),Assets!$A:$A,0))</f>
        <v>Arroyo</v>
      </c>
      <c r="AA186">
        <f t="shared" si="6"/>
        <v>492.68799999999999</v>
      </c>
      <c r="AB186" s="21">
        <f t="shared" si="7"/>
        <v>45717</v>
      </c>
      <c r="AC186">
        <f>SUMIFS(Production!$H:$H,Production!$A:$A,UPPER(TRIM(B186)),Production!$B:$B,AB186)-SUMIFS(Production!$I:$I,Production!$A:$A,UPPER(TRIM(B186)),Production!$B:$B,AB186)</f>
        <v>43.6</v>
      </c>
      <c r="AD186">
        <f t="shared" si="8"/>
        <v>21481.196800000002</v>
      </c>
    </row>
    <row r="187" spans="1:30" ht="21" customHeight="1">
      <c r="A187" s="2" t="s">
        <v>470</v>
      </c>
      <c r="B187" s="9" t="s">
        <v>38</v>
      </c>
      <c r="C187" s="5">
        <v>45735.5</v>
      </c>
      <c r="D187" s="4">
        <v>45736.495833333334</v>
      </c>
      <c r="E187" s="2" t="s">
        <v>83</v>
      </c>
      <c r="F187" s="2" t="s">
        <v>97</v>
      </c>
      <c r="G187" s="3">
        <v>2.31</v>
      </c>
      <c r="H187" s="3">
        <v>10.3</v>
      </c>
      <c r="I187" s="3">
        <v>0</v>
      </c>
      <c r="J187" s="3">
        <v>9.06</v>
      </c>
      <c r="K187" s="3">
        <v>2.23</v>
      </c>
      <c r="L187" s="3">
        <v>23.9</v>
      </c>
      <c r="M187" s="3">
        <v>836.5</v>
      </c>
      <c r="N187" s="3">
        <v>0.27</v>
      </c>
      <c r="O187" s="2" t="s">
        <v>471</v>
      </c>
      <c r="P187" s="4">
        <v>45735.596250000002</v>
      </c>
      <c r="Q187" s="4">
        <v>45736.495833333334</v>
      </c>
      <c r="R187" s="2" t="s">
        <v>86</v>
      </c>
      <c r="S187" s="3">
        <v>18.12</v>
      </c>
      <c r="T187" s="2">
        <v>85</v>
      </c>
      <c r="U187" s="3">
        <v>4517</v>
      </c>
      <c r="V187" s="3">
        <v>0</v>
      </c>
      <c r="W187" s="2" t="s">
        <v>94</v>
      </c>
      <c r="X187" s="2" t="s">
        <v>99</v>
      </c>
      <c r="Y187" s="3">
        <v>0</v>
      </c>
      <c r="Z187" t="str">
        <f>INDEX(Assets!$J:$J,MATCH(UPPER(TRIM(B187)),Assets!$A:$A,0))</f>
        <v>Arroyo</v>
      </c>
      <c r="AA187">
        <f t="shared" si="6"/>
        <v>610.64499999999998</v>
      </c>
      <c r="AB187" s="21">
        <f t="shared" si="7"/>
        <v>45717</v>
      </c>
      <c r="AC187">
        <f>SUMIFS(Production!$H:$H,Production!$A:$A,UPPER(TRIM(B187)),Production!$B:$B,AB187)-SUMIFS(Production!$I:$I,Production!$A:$A,UPPER(TRIM(B187)),Production!$B:$B,AB187)</f>
        <v>43.6</v>
      </c>
      <c r="AD187">
        <f t="shared" si="8"/>
        <v>26624.121999999999</v>
      </c>
    </row>
    <row r="188" spans="1:30" ht="21" customHeight="1">
      <c r="A188" s="2" t="s">
        <v>472</v>
      </c>
      <c r="B188" s="9" t="s">
        <v>38</v>
      </c>
      <c r="C188" s="5">
        <v>45755.5</v>
      </c>
      <c r="D188" s="4">
        <v>45756.391250000001</v>
      </c>
      <c r="E188" s="2" t="s">
        <v>83</v>
      </c>
      <c r="F188" s="2" t="s">
        <v>119</v>
      </c>
      <c r="G188" s="3">
        <v>3.07</v>
      </c>
      <c r="H188" s="3">
        <v>5.53</v>
      </c>
      <c r="I188" s="3">
        <v>0</v>
      </c>
      <c r="J188" s="3">
        <v>10.9</v>
      </c>
      <c r="K188" s="3">
        <v>1.89</v>
      </c>
      <c r="L188" s="3">
        <v>21.39</v>
      </c>
      <c r="M188" s="3">
        <v>748.65</v>
      </c>
      <c r="N188" s="3">
        <v>0.14000000000000001</v>
      </c>
      <c r="O188" s="2" t="s">
        <v>473</v>
      </c>
      <c r="P188" s="4">
        <v>45755.627916666665</v>
      </c>
      <c r="Q188" s="4">
        <v>45756.391250000001</v>
      </c>
      <c r="R188" s="2" t="s">
        <v>86</v>
      </c>
      <c r="S188" s="3">
        <v>10.9</v>
      </c>
      <c r="T188" s="2">
        <v>85</v>
      </c>
      <c r="U188" s="3">
        <v>7307</v>
      </c>
      <c r="V188" s="3">
        <v>0</v>
      </c>
      <c r="W188" s="2" t="s">
        <v>94</v>
      </c>
      <c r="X188" s="2" t="s">
        <v>121</v>
      </c>
      <c r="Y188" s="3">
        <v>0</v>
      </c>
      <c r="Z188" t="str">
        <f>INDEX(Assets!$J:$J,MATCH(UPPER(TRIM(B188)),Assets!$A:$A,0))</f>
        <v>Arroyo</v>
      </c>
      <c r="AA188">
        <f t="shared" si="6"/>
        <v>643.83899999999994</v>
      </c>
      <c r="AB188" s="21">
        <f t="shared" si="7"/>
        <v>45748</v>
      </c>
      <c r="AC188">
        <f>SUMIFS(Production!$H:$H,Production!$A:$A,UPPER(TRIM(B188)),Production!$B:$B,AB188)-SUMIFS(Production!$I:$I,Production!$A:$A,UPPER(TRIM(B188)),Production!$B:$B,AB188)</f>
        <v>41.6</v>
      </c>
      <c r="AD188">
        <f t="shared" si="8"/>
        <v>26783.702399999998</v>
      </c>
    </row>
    <row r="189" spans="1:30" ht="21" customHeight="1">
      <c r="A189" s="2" t="s">
        <v>474</v>
      </c>
      <c r="B189" s="9" t="s">
        <v>38</v>
      </c>
      <c r="C189" s="5">
        <v>45768.5</v>
      </c>
      <c r="D189" s="4">
        <v>45769.414166666669</v>
      </c>
      <c r="E189" s="2" t="s">
        <v>83</v>
      </c>
      <c r="F189" s="2" t="s">
        <v>119</v>
      </c>
      <c r="G189" s="3">
        <v>2.1</v>
      </c>
      <c r="H189" s="3">
        <v>8.65</v>
      </c>
      <c r="I189" s="3">
        <v>0</v>
      </c>
      <c r="J189" s="3">
        <v>10.02</v>
      </c>
      <c r="K189" s="3">
        <v>1.17</v>
      </c>
      <c r="L189" s="3">
        <v>21.94</v>
      </c>
      <c r="M189" s="3">
        <v>767.9</v>
      </c>
      <c r="N189" s="3">
        <v>0.08</v>
      </c>
      <c r="O189" s="2" t="s">
        <v>475</v>
      </c>
      <c r="P189" s="4">
        <v>45768.587500000001</v>
      </c>
      <c r="Q189" s="4">
        <v>45769.414166666669</v>
      </c>
      <c r="R189" s="2" t="s">
        <v>86</v>
      </c>
      <c r="S189" s="3">
        <v>20.04</v>
      </c>
      <c r="T189" s="2">
        <v>85</v>
      </c>
      <c r="U189" s="3">
        <v>9057</v>
      </c>
      <c r="V189" s="3">
        <v>0</v>
      </c>
      <c r="W189" s="2" t="s">
        <v>94</v>
      </c>
      <c r="X189" s="2" t="s">
        <v>121</v>
      </c>
      <c r="Y189" s="3">
        <v>0.5</v>
      </c>
      <c r="Z189" t="str">
        <f>INDEX(Assets!$J:$J,MATCH(UPPER(TRIM(B189)),Assets!$A:$A,0))</f>
        <v>Arroyo</v>
      </c>
      <c r="AA189">
        <f t="shared" si="6"/>
        <v>706.46799999999996</v>
      </c>
      <c r="AB189" s="21">
        <f t="shared" si="7"/>
        <v>45748</v>
      </c>
      <c r="AC189">
        <f>SUMIFS(Production!$H:$H,Production!$A:$A,UPPER(TRIM(B189)),Production!$B:$B,AB189)-SUMIFS(Production!$I:$I,Production!$A:$A,UPPER(TRIM(B189)),Production!$B:$B,AB189)</f>
        <v>41.6</v>
      </c>
      <c r="AD189">
        <f t="shared" si="8"/>
        <v>29389.068800000001</v>
      </c>
    </row>
    <row r="190" spans="1:30" ht="21" customHeight="1">
      <c r="A190" s="2" t="s">
        <v>476</v>
      </c>
      <c r="B190" s="9" t="s">
        <v>38</v>
      </c>
      <c r="C190" s="5">
        <v>45775.5</v>
      </c>
      <c r="D190" s="4">
        <v>45775.695</v>
      </c>
      <c r="E190" s="2" t="s">
        <v>90</v>
      </c>
      <c r="F190" s="2" t="s">
        <v>91</v>
      </c>
      <c r="G190" s="3">
        <v>0</v>
      </c>
      <c r="H190" s="3">
        <v>0</v>
      </c>
      <c r="I190" s="3">
        <v>0</v>
      </c>
      <c r="J190" s="3">
        <v>4.68</v>
      </c>
      <c r="K190" s="3">
        <v>0</v>
      </c>
      <c r="L190" s="3">
        <v>4.68</v>
      </c>
      <c r="M190" s="3">
        <v>163.80000000000001</v>
      </c>
      <c r="N190" s="3">
        <v>0.25</v>
      </c>
      <c r="O190" s="2" t="s">
        <v>477</v>
      </c>
      <c r="P190" s="4">
        <v>45775.5</v>
      </c>
      <c r="Q190" s="4">
        <v>45775.695</v>
      </c>
      <c r="R190" s="2" t="s">
        <v>93</v>
      </c>
      <c r="S190" s="3">
        <v>4.68</v>
      </c>
      <c r="T190" s="2">
        <v>85</v>
      </c>
      <c r="U190" s="3">
        <v>1174</v>
      </c>
      <c r="V190" s="3">
        <v>0</v>
      </c>
      <c r="W190" s="2" t="s">
        <v>94</v>
      </c>
      <c r="X190" s="2" t="s">
        <v>95</v>
      </c>
      <c r="Y190" s="3">
        <v>0</v>
      </c>
      <c r="Z190" t="str">
        <f>INDEX(Assets!$J:$J,MATCH(UPPER(TRIM(B190)),Assets!$A:$A,0))</f>
        <v>Arroyo</v>
      </c>
      <c r="AA190">
        <f t="shared" si="6"/>
        <v>122.85000000000001</v>
      </c>
      <c r="AB190" s="21">
        <f t="shared" si="7"/>
        <v>45748</v>
      </c>
      <c r="AC190">
        <f>SUMIFS(Production!$H:$H,Production!$A:$A,UPPER(TRIM(B190)),Production!$B:$B,AB190)-SUMIFS(Production!$I:$I,Production!$A:$A,UPPER(TRIM(B190)),Production!$B:$B,AB190)</f>
        <v>41.6</v>
      </c>
      <c r="AD190">
        <f t="shared" si="8"/>
        <v>5110.5600000000004</v>
      </c>
    </row>
    <row r="191" spans="1:30" ht="21" customHeight="1">
      <c r="A191" s="2" t="s">
        <v>478</v>
      </c>
      <c r="B191" s="9" t="s">
        <v>38</v>
      </c>
      <c r="C191" s="5">
        <v>45782.5</v>
      </c>
      <c r="D191" s="4">
        <v>45783.970416666663</v>
      </c>
      <c r="E191" s="2" t="s">
        <v>83</v>
      </c>
      <c r="F191" s="2" t="s">
        <v>115</v>
      </c>
      <c r="G191" s="3">
        <v>6.53</v>
      </c>
      <c r="H191" s="3">
        <v>2.29</v>
      </c>
      <c r="I191" s="3">
        <v>20.34</v>
      </c>
      <c r="J191" s="3">
        <v>3.76</v>
      </c>
      <c r="K191" s="3">
        <v>2.37</v>
      </c>
      <c r="L191" s="3">
        <v>35.29</v>
      </c>
      <c r="M191" s="3">
        <v>1235.1500000000001</v>
      </c>
      <c r="N191" s="3">
        <v>0.11</v>
      </c>
      <c r="O191" s="2" t="s">
        <v>479</v>
      </c>
      <c r="P191" s="4">
        <v>45782.77208333333</v>
      </c>
      <c r="Q191" s="4">
        <v>45783.970416666663</v>
      </c>
      <c r="R191" s="2" t="s">
        <v>86</v>
      </c>
      <c r="S191" s="3">
        <v>7.52</v>
      </c>
      <c r="T191" s="2">
        <v>85</v>
      </c>
      <c r="U191" s="3">
        <v>6301</v>
      </c>
      <c r="V191" s="3">
        <v>0</v>
      </c>
      <c r="W191" s="2" t="s">
        <v>94</v>
      </c>
      <c r="X191" s="2" t="s">
        <v>117</v>
      </c>
      <c r="Y191" s="3">
        <v>0</v>
      </c>
      <c r="Z191" t="str">
        <f>INDEX(Assets!$J:$J,MATCH(UPPER(TRIM(B191)),Assets!$A:$A,0))</f>
        <v>Arroyo</v>
      </c>
      <c r="AA191">
        <f t="shared" si="6"/>
        <v>1099.2835</v>
      </c>
      <c r="AB191" s="21">
        <f t="shared" si="7"/>
        <v>45778</v>
      </c>
      <c r="AC191">
        <f>SUMIFS(Production!$H:$H,Production!$A:$A,UPPER(TRIM(B191)),Production!$B:$B,AB191)-SUMIFS(Production!$I:$I,Production!$A:$A,UPPER(TRIM(B191)),Production!$B:$B,AB191)</f>
        <v>39.6</v>
      </c>
      <c r="AD191">
        <f t="shared" si="8"/>
        <v>43531.626600000003</v>
      </c>
    </row>
    <row r="192" spans="1:30" ht="21" customHeight="1">
      <c r="A192" s="2" t="s">
        <v>480</v>
      </c>
      <c r="B192" s="9" t="s">
        <v>38</v>
      </c>
      <c r="C192" s="5">
        <v>45798.5</v>
      </c>
      <c r="D192" s="4">
        <v>45799.087916666671</v>
      </c>
      <c r="E192" s="2" t="s">
        <v>83</v>
      </c>
      <c r="F192" s="2" t="s">
        <v>119</v>
      </c>
      <c r="G192" s="3">
        <v>2.42</v>
      </c>
      <c r="H192" s="3">
        <v>4.09</v>
      </c>
      <c r="I192" s="3">
        <v>0</v>
      </c>
      <c r="J192" s="3">
        <v>6.92</v>
      </c>
      <c r="K192" s="3">
        <v>0.68</v>
      </c>
      <c r="L192" s="3">
        <v>14.11</v>
      </c>
      <c r="M192" s="3">
        <v>493.85</v>
      </c>
      <c r="N192" s="3">
        <v>0.22</v>
      </c>
      <c r="O192" s="2" t="s">
        <v>481</v>
      </c>
      <c r="P192" s="4">
        <v>45798.60083333333</v>
      </c>
      <c r="Q192" s="4">
        <v>45799.087916666671</v>
      </c>
      <c r="R192" s="2" t="s">
        <v>86</v>
      </c>
      <c r="S192" s="3">
        <v>6.92</v>
      </c>
      <c r="T192" s="2">
        <v>85</v>
      </c>
      <c r="U192" s="3">
        <v>3299</v>
      </c>
      <c r="V192" s="3">
        <v>3581</v>
      </c>
      <c r="W192" s="2" t="s">
        <v>94</v>
      </c>
      <c r="X192" s="2" t="s">
        <v>121</v>
      </c>
      <c r="Y192" s="3">
        <v>0</v>
      </c>
      <c r="Z192" t="str">
        <f>INDEX(Assets!$J:$J,MATCH(UPPER(TRIM(B192)),Assets!$A:$A,0))</f>
        <v>Arroyo</v>
      </c>
      <c r="AA192">
        <f t="shared" si="6"/>
        <v>385.20300000000003</v>
      </c>
      <c r="AB192" s="21">
        <f t="shared" si="7"/>
        <v>45778</v>
      </c>
      <c r="AC192">
        <f>SUMIFS(Production!$H:$H,Production!$A:$A,UPPER(TRIM(B192)),Production!$B:$B,AB192)-SUMIFS(Production!$I:$I,Production!$A:$A,UPPER(TRIM(B192)),Production!$B:$B,AB192)</f>
        <v>39.6</v>
      </c>
      <c r="AD192">
        <f t="shared" si="8"/>
        <v>15254.038800000002</v>
      </c>
    </row>
    <row r="193" spans="1:30" ht="21" customHeight="1">
      <c r="A193" s="2" t="s">
        <v>482</v>
      </c>
      <c r="B193" s="9" t="s">
        <v>38</v>
      </c>
      <c r="C193" s="5">
        <v>45816.5</v>
      </c>
      <c r="D193" s="4">
        <v>45817.948749999996</v>
      </c>
      <c r="E193" s="2" t="s">
        <v>83</v>
      </c>
      <c r="F193" s="2" t="s">
        <v>119</v>
      </c>
      <c r="G193" s="3">
        <v>5.7</v>
      </c>
      <c r="H193" s="3">
        <v>4.84</v>
      </c>
      <c r="I193" s="3">
        <v>10.79</v>
      </c>
      <c r="J193" s="3">
        <v>11.79</v>
      </c>
      <c r="K193" s="3">
        <v>1.65</v>
      </c>
      <c r="L193" s="3">
        <f>SUM(G193:K193)</f>
        <v>34.769999999999996</v>
      </c>
      <c r="M193" s="3">
        <v>1216.95</v>
      </c>
      <c r="N193" s="3">
        <v>0.15</v>
      </c>
      <c r="O193" s="2" t="s">
        <v>483</v>
      </c>
      <c r="P193" s="4">
        <v>45816.737500000003</v>
      </c>
      <c r="Q193" s="4">
        <v>45817.948749999996</v>
      </c>
      <c r="R193" s="2" t="s">
        <v>86</v>
      </c>
      <c r="S193" s="3">
        <v>23.58</v>
      </c>
      <c r="T193" s="2">
        <v>85</v>
      </c>
      <c r="U193" s="3">
        <v>6621</v>
      </c>
      <c r="V193" s="3">
        <v>0</v>
      </c>
      <c r="W193" s="2" t="s">
        <v>94</v>
      </c>
      <c r="X193" s="2" t="s">
        <v>121</v>
      </c>
      <c r="Y193" s="3">
        <v>0</v>
      </c>
      <c r="Z193" t="str">
        <f>INDEX(Assets!$J:$J,MATCH(UPPER(TRIM(B193)),Assets!$A:$A,0))</f>
        <v>Arroyo</v>
      </c>
      <c r="AA193">
        <f t="shared" si="6"/>
        <v>1034.4075</v>
      </c>
      <c r="AB193" s="21">
        <f t="shared" si="7"/>
        <v>45809</v>
      </c>
      <c r="AC193">
        <f>SUMIFS(Production!$H:$H,Production!$A:$A,UPPER(TRIM(B193)),Production!$B:$B,AB193)-SUMIFS(Production!$I:$I,Production!$A:$A,UPPER(TRIM(B193)),Production!$B:$B,AB193)</f>
        <v>40.6</v>
      </c>
      <c r="AD193">
        <f t="shared" si="8"/>
        <v>41996.944500000005</v>
      </c>
    </row>
    <row r="194" spans="1:30" ht="21" customHeight="1">
      <c r="A194" s="2" t="s">
        <v>484</v>
      </c>
      <c r="B194" s="9" t="s">
        <v>38</v>
      </c>
      <c r="C194" s="5">
        <v>45827.5</v>
      </c>
      <c r="D194" s="4">
        <v>45828.412499999999</v>
      </c>
      <c r="E194" s="2" t="s">
        <v>83</v>
      </c>
      <c r="F194" s="2" t="s">
        <v>97</v>
      </c>
      <c r="G194" s="3">
        <v>8.31</v>
      </c>
      <c r="H194" s="3">
        <v>6.29</v>
      </c>
      <c r="I194" s="3">
        <v>0</v>
      </c>
      <c r="J194" s="3">
        <v>4.96</v>
      </c>
      <c r="K194" s="3">
        <v>2.34</v>
      </c>
      <c r="L194" s="3">
        <v>21.9</v>
      </c>
      <c r="M194" s="3">
        <v>766.5</v>
      </c>
      <c r="N194" s="3">
        <v>0.08</v>
      </c>
      <c r="O194" s="2" t="s">
        <v>485</v>
      </c>
      <c r="P194" s="4">
        <v>45827.846250000002</v>
      </c>
      <c r="Q194" s="4">
        <v>45828.412499999999</v>
      </c>
      <c r="R194" s="2" t="s">
        <v>86</v>
      </c>
      <c r="S194" s="3">
        <v>9.92</v>
      </c>
      <c r="T194" s="2">
        <v>85</v>
      </c>
      <c r="U194" s="3">
        <v>7633</v>
      </c>
      <c r="V194" s="3">
        <v>0</v>
      </c>
      <c r="W194" s="2" t="s">
        <v>94</v>
      </c>
      <c r="X194" s="2" t="s">
        <v>99</v>
      </c>
      <c r="Y194" s="3">
        <v>0</v>
      </c>
      <c r="Z194" t="str">
        <f>INDEX(Assets!$J:$J,MATCH(UPPER(TRIM(B194)),Assets!$A:$A,0))</f>
        <v>Arroyo</v>
      </c>
      <c r="AA194">
        <f t="shared" ref="AA194:AA257" si="9">M194*(1-N194)</f>
        <v>705.18000000000006</v>
      </c>
      <c r="AB194" s="21">
        <f t="shared" ref="AB194:AB257" si="10">DATE(YEAR(C194),MONTH(C194),1)</f>
        <v>45809</v>
      </c>
      <c r="AC194">
        <f>SUMIFS(Production!$H:$H,Production!$A:$A,UPPER(TRIM(B194)),Production!$B:$B,AB194)-SUMIFS(Production!$I:$I,Production!$A:$A,UPPER(TRIM(B194)),Production!$B:$B,AB194)</f>
        <v>40.6</v>
      </c>
      <c r="AD194">
        <f t="shared" ref="AD194:AD257" si="11">AA194*AC194</f>
        <v>28630.308000000005</v>
      </c>
    </row>
    <row r="195" spans="1:30" ht="21" customHeight="1">
      <c r="A195" s="2" t="s">
        <v>486</v>
      </c>
      <c r="B195" s="9" t="s">
        <v>38</v>
      </c>
      <c r="C195" s="5">
        <v>45844.5</v>
      </c>
      <c r="D195" s="4">
        <v>45845.320833333331</v>
      </c>
      <c r="E195" s="2" t="s">
        <v>83</v>
      </c>
      <c r="F195" s="2" t="s">
        <v>101</v>
      </c>
      <c r="G195" s="3">
        <v>6.86</v>
      </c>
      <c r="H195" s="3">
        <v>5.93</v>
      </c>
      <c r="I195" s="3">
        <v>0</v>
      </c>
      <c r="J195" s="3">
        <v>4.5</v>
      </c>
      <c r="K195" s="3">
        <v>2.41</v>
      </c>
      <c r="L195" s="3">
        <v>19.7</v>
      </c>
      <c r="M195" s="3">
        <v>689.5</v>
      </c>
      <c r="N195" s="3">
        <v>0.24</v>
      </c>
      <c r="O195" s="2" t="s">
        <v>487</v>
      </c>
      <c r="P195" s="4">
        <v>45844.785833333328</v>
      </c>
      <c r="Q195" s="4">
        <v>45845.320833333331</v>
      </c>
      <c r="R195" s="2" t="s">
        <v>86</v>
      </c>
      <c r="S195" s="3">
        <v>4.5</v>
      </c>
      <c r="T195" s="2">
        <v>85</v>
      </c>
      <c r="U195" s="3">
        <v>6260</v>
      </c>
      <c r="V195" s="3">
        <v>0</v>
      </c>
      <c r="W195" s="2" t="s">
        <v>94</v>
      </c>
      <c r="X195" s="2" t="s">
        <v>103</v>
      </c>
      <c r="Y195" s="3">
        <v>0</v>
      </c>
      <c r="Z195" t="str">
        <f>INDEX(Assets!$J:$J,MATCH(UPPER(TRIM(B195)),Assets!$A:$A,0))</f>
        <v>Arroyo</v>
      </c>
      <c r="AA195">
        <f t="shared" si="9"/>
        <v>524.02</v>
      </c>
      <c r="AB195" s="21">
        <f t="shared" si="10"/>
        <v>45839</v>
      </c>
      <c r="AC195">
        <f>SUMIFS(Production!$H:$H,Production!$A:$A,UPPER(TRIM(B195)),Production!$B:$B,AB195)-SUMIFS(Production!$I:$I,Production!$A:$A,UPPER(TRIM(B195)),Production!$B:$B,AB195)</f>
        <v>42.6</v>
      </c>
      <c r="AD195">
        <f t="shared" si="11"/>
        <v>22323.252</v>
      </c>
    </row>
    <row r="196" spans="1:30" ht="21" customHeight="1">
      <c r="A196" s="2" t="s">
        <v>488</v>
      </c>
      <c r="B196" s="9" t="s">
        <v>38</v>
      </c>
      <c r="C196" s="5">
        <v>45858.5</v>
      </c>
      <c r="D196" s="4">
        <v>45859.963749999995</v>
      </c>
      <c r="E196" s="2" t="s">
        <v>83</v>
      </c>
      <c r="F196" s="2" t="s">
        <v>119</v>
      </c>
      <c r="G196" s="3">
        <v>2.8</v>
      </c>
      <c r="H196" s="3">
        <v>8.64</v>
      </c>
      <c r="I196" s="3">
        <v>14.71</v>
      </c>
      <c r="J196" s="3">
        <v>7</v>
      </c>
      <c r="K196" s="3">
        <v>1.98</v>
      </c>
      <c r="L196" s="3">
        <v>35.130000000000003</v>
      </c>
      <c r="M196" s="3">
        <v>1229.55</v>
      </c>
      <c r="N196" s="3">
        <v>0.21</v>
      </c>
      <c r="O196" s="2" t="s">
        <v>489</v>
      </c>
      <c r="P196" s="4">
        <v>45858.616666666669</v>
      </c>
      <c r="Q196" s="4">
        <v>45859.963749999995</v>
      </c>
      <c r="R196" s="2" t="s">
        <v>86</v>
      </c>
      <c r="S196" s="3">
        <v>7</v>
      </c>
      <c r="T196" s="2">
        <v>85</v>
      </c>
      <c r="U196" s="3">
        <v>4948</v>
      </c>
      <c r="V196" s="3">
        <v>0</v>
      </c>
      <c r="W196" s="2" t="s">
        <v>94</v>
      </c>
      <c r="X196" s="2" t="s">
        <v>121</v>
      </c>
      <c r="Y196" s="3">
        <v>0</v>
      </c>
      <c r="Z196" t="str">
        <f>INDEX(Assets!$J:$J,MATCH(UPPER(TRIM(B196)),Assets!$A:$A,0))</f>
        <v>Arroyo</v>
      </c>
      <c r="AA196">
        <f t="shared" si="9"/>
        <v>971.34450000000004</v>
      </c>
      <c r="AB196" s="21">
        <f t="shared" si="10"/>
        <v>45839</v>
      </c>
      <c r="AC196">
        <f>SUMIFS(Production!$H:$H,Production!$A:$A,UPPER(TRIM(B196)),Production!$B:$B,AB196)-SUMIFS(Production!$I:$I,Production!$A:$A,UPPER(TRIM(B196)),Production!$B:$B,AB196)</f>
        <v>42.6</v>
      </c>
      <c r="AD196">
        <f t="shared" si="11"/>
        <v>41379.275700000006</v>
      </c>
    </row>
    <row r="197" spans="1:30" ht="21" customHeight="1">
      <c r="A197" s="2" t="s">
        <v>490</v>
      </c>
      <c r="B197" s="9" t="s">
        <v>38</v>
      </c>
      <c r="C197" s="5">
        <v>45866.5</v>
      </c>
      <c r="D197" s="4">
        <v>45866.732083333336</v>
      </c>
      <c r="E197" s="2" t="s">
        <v>90</v>
      </c>
      <c r="F197" s="2" t="s">
        <v>91</v>
      </c>
      <c r="G197" s="3">
        <v>0</v>
      </c>
      <c r="H197" s="3">
        <v>0</v>
      </c>
      <c r="I197" s="3">
        <v>0</v>
      </c>
      <c r="J197" s="3">
        <v>5.57</v>
      </c>
      <c r="K197" s="3">
        <v>0</v>
      </c>
      <c r="L197" s="3">
        <v>5.57</v>
      </c>
      <c r="M197" s="3">
        <v>194.95</v>
      </c>
      <c r="N197" s="3">
        <v>0.25</v>
      </c>
      <c r="O197" s="2" t="s">
        <v>491</v>
      </c>
      <c r="P197" s="4">
        <v>45866.5</v>
      </c>
      <c r="Q197" s="4">
        <v>45866.732083333336</v>
      </c>
      <c r="R197" s="2" t="s">
        <v>93</v>
      </c>
      <c r="S197" s="3">
        <v>5.57</v>
      </c>
      <c r="T197" s="2">
        <v>85</v>
      </c>
      <c r="U197" s="3">
        <v>531</v>
      </c>
      <c r="V197" s="3">
        <v>0</v>
      </c>
      <c r="W197" s="2" t="s">
        <v>94</v>
      </c>
      <c r="X197" s="2" t="s">
        <v>95</v>
      </c>
      <c r="Y197" s="3">
        <v>0</v>
      </c>
      <c r="Z197" t="str">
        <f>INDEX(Assets!$J:$J,MATCH(UPPER(TRIM(B197)),Assets!$A:$A,0))</f>
        <v>Arroyo</v>
      </c>
      <c r="AA197">
        <f t="shared" si="9"/>
        <v>146.21249999999998</v>
      </c>
      <c r="AB197" s="21">
        <f t="shared" si="10"/>
        <v>45839</v>
      </c>
      <c r="AC197">
        <f>SUMIFS(Production!$H:$H,Production!$A:$A,UPPER(TRIM(B197)),Production!$B:$B,AB197)-SUMIFS(Production!$I:$I,Production!$A:$A,UPPER(TRIM(B197)),Production!$B:$B,AB197)</f>
        <v>42.6</v>
      </c>
      <c r="AD197">
        <f t="shared" si="11"/>
        <v>6228.6524999999992</v>
      </c>
    </row>
    <row r="198" spans="1:30" ht="21" customHeight="1">
      <c r="A198" s="2" t="s">
        <v>492</v>
      </c>
      <c r="B198" s="9" t="s">
        <v>38</v>
      </c>
      <c r="C198" s="5">
        <v>45877.5</v>
      </c>
      <c r="D198" s="4">
        <v>45878.305</v>
      </c>
      <c r="E198" s="2" t="s">
        <v>83</v>
      </c>
      <c r="F198" s="2" t="s">
        <v>101</v>
      </c>
      <c r="G198" s="3">
        <v>5.43</v>
      </c>
      <c r="H198" s="3">
        <v>8.4</v>
      </c>
      <c r="I198" s="3">
        <v>0</v>
      </c>
      <c r="J198" s="3">
        <v>3.49</v>
      </c>
      <c r="K198" s="3">
        <v>2</v>
      </c>
      <c r="L198" s="3">
        <v>19.32</v>
      </c>
      <c r="M198" s="3">
        <v>676.2</v>
      </c>
      <c r="N198" s="3">
        <v>0.22</v>
      </c>
      <c r="O198" s="2" t="s">
        <v>493</v>
      </c>
      <c r="P198" s="4">
        <v>45877.72625</v>
      </c>
      <c r="Q198" s="4">
        <v>45878.305</v>
      </c>
      <c r="R198" s="2" t="s">
        <v>86</v>
      </c>
      <c r="S198" s="3">
        <v>3.49</v>
      </c>
      <c r="T198" s="2">
        <v>85</v>
      </c>
      <c r="U198" s="3">
        <v>6519</v>
      </c>
      <c r="V198" s="3">
        <v>0</v>
      </c>
      <c r="W198" s="2" t="s">
        <v>94</v>
      </c>
      <c r="X198" s="2" t="s">
        <v>103</v>
      </c>
      <c r="Y198" s="3">
        <v>0</v>
      </c>
      <c r="Z198" t="str">
        <f>INDEX(Assets!$J:$J,MATCH(UPPER(TRIM(B198)),Assets!$A:$A,0))</f>
        <v>Arroyo</v>
      </c>
      <c r="AA198">
        <f t="shared" si="9"/>
        <v>527.43600000000004</v>
      </c>
      <c r="AB198" s="21">
        <f t="shared" si="10"/>
        <v>45870</v>
      </c>
      <c r="AC198">
        <f>SUMIFS(Production!$H:$H,Production!$A:$A,UPPER(TRIM(B198)),Production!$B:$B,AB198)-SUMIFS(Production!$I:$I,Production!$A:$A,UPPER(TRIM(B198)),Production!$B:$B,AB198)</f>
        <v>41.6</v>
      </c>
      <c r="AD198">
        <f t="shared" si="11"/>
        <v>21941.337600000003</v>
      </c>
    </row>
    <row r="199" spans="1:30" ht="21" customHeight="1">
      <c r="A199" s="2" t="s">
        <v>494</v>
      </c>
      <c r="B199" s="9" t="s">
        <v>38</v>
      </c>
      <c r="C199" s="5">
        <v>45890.5</v>
      </c>
      <c r="D199" s="4">
        <v>45891.916666666672</v>
      </c>
      <c r="E199" s="2" t="s">
        <v>83</v>
      </c>
      <c r="F199" s="2" t="s">
        <v>97</v>
      </c>
      <c r="G199" s="3">
        <v>1.55</v>
      </c>
      <c r="H199" s="3">
        <v>4.28</v>
      </c>
      <c r="I199" s="3">
        <v>17.45</v>
      </c>
      <c r="J199" s="3">
        <v>8.82</v>
      </c>
      <c r="K199" s="3">
        <v>1.9</v>
      </c>
      <c r="L199" s="3">
        <v>34</v>
      </c>
      <c r="M199" s="3">
        <v>1190</v>
      </c>
      <c r="N199" s="3">
        <v>0.16</v>
      </c>
      <c r="O199" s="2" t="s">
        <v>495</v>
      </c>
      <c r="P199" s="4">
        <v>45890.564583333333</v>
      </c>
      <c r="Q199" s="4">
        <v>45891.916666666672</v>
      </c>
      <c r="R199" s="2" t="s">
        <v>86</v>
      </c>
      <c r="S199" s="3">
        <v>17.64</v>
      </c>
      <c r="T199" s="2">
        <v>85</v>
      </c>
      <c r="U199" s="3">
        <v>7015</v>
      </c>
      <c r="V199" s="3">
        <v>0</v>
      </c>
      <c r="W199" s="2" t="s">
        <v>94</v>
      </c>
      <c r="X199" s="2" t="s">
        <v>99</v>
      </c>
      <c r="Y199" s="3">
        <v>0</v>
      </c>
      <c r="Z199" t="str">
        <f>INDEX(Assets!$J:$J,MATCH(UPPER(TRIM(B199)),Assets!$A:$A,0))</f>
        <v>Arroyo</v>
      </c>
      <c r="AA199">
        <f t="shared" si="9"/>
        <v>999.59999999999991</v>
      </c>
      <c r="AB199" s="21">
        <f t="shared" si="10"/>
        <v>45870</v>
      </c>
      <c r="AC199">
        <f>SUMIFS(Production!$H:$H,Production!$A:$A,UPPER(TRIM(B199)),Production!$B:$B,AB199)-SUMIFS(Production!$I:$I,Production!$A:$A,UPPER(TRIM(B199)),Production!$B:$B,AB199)</f>
        <v>41.6</v>
      </c>
      <c r="AD199">
        <f t="shared" si="11"/>
        <v>41583.360000000001</v>
      </c>
    </row>
    <row r="200" spans="1:30" ht="21" customHeight="1">
      <c r="A200" s="2" t="s">
        <v>496</v>
      </c>
      <c r="B200" s="9" t="s">
        <v>38</v>
      </c>
      <c r="C200" s="5">
        <v>45904.5</v>
      </c>
      <c r="D200" s="4">
        <v>45906.13416666667</v>
      </c>
      <c r="E200" s="2" t="s">
        <v>83</v>
      </c>
      <c r="F200" s="2" t="s">
        <v>119</v>
      </c>
      <c r="G200" s="3">
        <v>3.42</v>
      </c>
      <c r="H200" s="3">
        <v>5.73</v>
      </c>
      <c r="I200" s="3">
        <v>19.809999999999999</v>
      </c>
      <c r="J200" s="3">
        <v>8.61</v>
      </c>
      <c r="K200" s="3">
        <v>1.65</v>
      </c>
      <c r="L200" s="3">
        <v>39.22</v>
      </c>
      <c r="M200" s="3">
        <v>1372.7</v>
      </c>
      <c r="N200" s="3">
        <v>0.08</v>
      </c>
      <c r="O200" s="2" t="s">
        <v>497</v>
      </c>
      <c r="P200" s="4">
        <v>45904.642500000002</v>
      </c>
      <c r="Q200" s="4">
        <v>45906.13416666667</v>
      </c>
      <c r="R200" s="2" t="s">
        <v>86</v>
      </c>
      <c r="S200" s="3">
        <v>17.22</v>
      </c>
      <c r="T200" s="2">
        <v>85</v>
      </c>
      <c r="U200" s="3">
        <v>8803</v>
      </c>
      <c r="V200" s="3">
        <v>0</v>
      </c>
      <c r="W200" s="2" t="s">
        <v>94</v>
      </c>
      <c r="X200" s="2" t="s">
        <v>121</v>
      </c>
      <c r="Y200" s="3">
        <v>0</v>
      </c>
      <c r="Z200" t="str">
        <f>INDEX(Assets!$J:$J,MATCH(UPPER(TRIM(B200)),Assets!$A:$A,0))</f>
        <v>Arroyo</v>
      </c>
      <c r="AA200">
        <f t="shared" si="9"/>
        <v>1262.884</v>
      </c>
      <c r="AB200" s="21">
        <f t="shared" si="10"/>
        <v>45901</v>
      </c>
      <c r="AC200">
        <f>SUMIFS(Production!$H:$H,Production!$A:$A,UPPER(TRIM(B200)),Production!$B:$B,AB200)-SUMIFS(Production!$I:$I,Production!$A:$A,UPPER(TRIM(B200)),Production!$B:$B,AB200)</f>
        <v>38.6</v>
      </c>
      <c r="AD200">
        <f t="shared" si="11"/>
        <v>48747.322400000005</v>
      </c>
    </row>
    <row r="201" spans="1:30" ht="21" customHeight="1">
      <c r="A201" s="2" t="s">
        <v>498</v>
      </c>
      <c r="B201" s="9" t="s">
        <v>38</v>
      </c>
      <c r="C201" s="5">
        <v>45921.5</v>
      </c>
      <c r="D201" s="4">
        <v>45923.427083333328</v>
      </c>
      <c r="E201" s="2" t="s">
        <v>83</v>
      </c>
      <c r="F201" s="2" t="s">
        <v>119</v>
      </c>
      <c r="G201" s="3">
        <v>2.71</v>
      </c>
      <c r="H201" s="3">
        <v>3.24</v>
      </c>
      <c r="I201" s="3">
        <v>25.46</v>
      </c>
      <c r="J201" s="3">
        <v>12.39</v>
      </c>
      <c r="K201" s="3">
        <v>2.4500000000000002</v>
      </c>
      <c r="L201" s="3">
        <v>46.25</v>
      </c>
      <c r="M201" s="3">
        <v>1618.75</v>
      </c>
      <c r="N201" s="3">
        <v>0.11</v>
      </c>
      <c r="O201" s="2" t="s">
        <v>499</v>
      </c>
      <c r="P201" s="4">
        <v>45921.612916666665</v>
      </c>
      <c r="Q201" s="4">
        <v>45923.427083333328</v>
      </c>
      <c r="R201" s="2" t="s">
        <v>86</v>
      </c>
      <c r="S201" s="3">
        <v>12.39</v>
      </c>
      <c r="T201" s="2">
        <v>85</v>
      </c>
      <c r="U201" s="3">
        <v>2900</v>
      </c>
      <c r="V201" s="3">
        <v>0</v>
      </c>
      <c r="W201" s="2" t="s">
        <v>94</v>
      </c>
      <c r="X201" s="2" t="s">
        <v>121</v>
      </c>
      <c r="Y201" s="3">
        <v>0</v>
      </c>
      <c r="Z201" t="str">
        <f>INDEX(Assets!$J:$J,MATCH(UPPER(TRIM(B201)),Assets!$A:$A,0))</f>
        <v>Arroyo</v>
      </c>
      <c r="AA201">
        <f t="shared" si="9"/>
        <v>1440.6875</v>
      </c>
      <c r="AB201" s="21">
        <f t="shared" si="10"/>
        <v>45901</v>
      </c>
      <c r="AC201">
        <f>SUMIFS(Production!$H:$H,Production!$A:$A,UPPER(TRIM(B201)),Production!$B:$B,AB201)-SUMIFS(Production!$I:$I,Production!$A:$A,UPPER(TRIM(B201)),Production!$B:$B,AB201)</f>
        <v>38.6</v>
      </c>
      <c r="AD201">
        <f t="shared" si="11"/>
        <v>55610.537499999999</v>
      </c>
    </row>
    <row r="202" spans="1:30" ht="21" customHeight="1">
      <c r="A202" s="2" t="s">
        <v>500</v>
      </c>
      <c r="B202" s="9" t="s">
        <v>38</v>
      </c>
      <c r="C202" s="5">
        <v>45935.5</v>
      </c>
      <c r="D202" s="4">
        <v>45937.037083333329</v>
      </c>
      <c r="E202" s="2" t="s">
        <v>83</v>
      </c>
      <c r="F202" s="2" t="s">
        <v>115</v>
      </c>
      <c r="G202" s="3">
        <v>1.63</v>
      </c>
      <c r="H202" s="3">
        <v>7.93</v>
      </c>
      <c r="I202" s="3">
        <v>21.92</v>
      </c>
      <c r="J202" s="3">
        <v>3.79</v>
      </c>
      <c r="K202" s="3">
        <v>1.62</v>
      </c>
      <c r="L202" s="3">
        <v>36.89</v>
      </c>
      <c r="M202" s="3">
        <v>1291.1500000000001</v>
      </c>
      <c r="N202" s="3">
        <v>0.27</v>
      </c>
      <c r="O202" s="2" t="s">
        <v>501</v>
      </c>
      <c r="P202" s="4">
        <v>45935.567916666667</v>
      </c>
      <c r="Q202" s="4">
        <v>45937.037083333329</v>
      </c>
      <c r="R202" s="2" t="s">
        <v>86</v>
      </c>
      <c r="S202" s="3">
        <v>3.79</v>
      </c>
      <c r="T202" s="2">
        <v>85</v>
      </c>
      <c r="U202" s="3">
        <v>3296</v>
      </c>
      <c r="V202" s="3">
        <v>2623</v>
      </c>
      <c r="W202" s="2" t="s">
        <v>94</v>
      </c>
      <c r="X202" s="2" t="s">
        <v>117</v>
      </c>
      <c r="Y202" s="3">
        <v>0</v>
      </c>
      <c r="Z202" t="str">
        <f>INDEX(Assets!$J:$J,MATCH(UPPER(TRIM(B202)),Assets!$A:$A,0))</f>
        <v>Arroyo</v>
      </c>
      <c r="AA202">
        <f t="shared" si="9"/>
        <v>942.53950000000009</v>
      </c>
      <c r="AB202" s="21">
        <f t="shared" si="10"/>
        <v>45931</v>
      </c>
      <c r="AC202">
        <f>SUMIFS(Production!$H:$H,Production!$A:$A,UPPER(TRIM(B202)),Production!$B:$B,AB202)-SUMIFS(Production!$I:$I,Production!$A:$A,UPPER(TRIM(B202)),Production!$B:$B,AB202)</f>
        <v>37.6</v>
      </c>
      <c r="AD202">
        <f t="shared" si="11"/>
        <v>35439.485200000003</v>
      </c>
    </row>
    <row r="203" spans="1:30" ht="21" customHeight="1">
      <c r="A203" s="2" t="s">
        <v>502</v>
      </c>
      <c r="B203" s="9" t="s">
        <v>38</v>
      </c>
      <c r="C203" s="5">
        <v>45950.5</v>
      </c>
      <c r="D203" s="4">
        <v>45951.294999999998</v>
      </c>
      <c r="E203" s="2" t="s">
        <v>83</v>
      </c>
      <c r="F203" s="2" t="s">
        <v>115</v>
      </c>
      <c r="G203" s="3">
        <v>6.35</v>
      </c>
      <c r="H203" s="3">
        <v>4.79</v>
      </c>
      <c r="I203" s="3">
        <v>0</v>
      </c>
      <c r="J203" s="3">
        <v>5.63</v>
      </c>
      <c r="K203" s="3">
        <v>2.31</v>
      </c>
      <c r="L203" s="3">
        <v>19.079999999999998</v>
      </c>
      <c r="M203" s="3">
        <v>667.8</v>
      </c>
      <c r="N203" s="3">
        <v>0.2</v>
      </c>
      <c r="O203" s="2" t="s">
        <v>503</v>
      </c>
      <c r="P203" s="4">
        <v>45950.764583333337</v>
      </c>
      <c r="Q203" s="4">
        <v>45951.294999999998</v>
      </c>
      <c r="R203" s="2" t="s">
        <v>86</v>
      </c>
      <c r="S203" s="3">
        <v>11.26</v>
      </c>
      <c r="T203" s="2">
        <v>85</v>
      </c>
      <c r="U203" s="3">
        <v>3672</v>
      </c>
      <c r="V203" s="3">
        <v>0</v>
      </c>
      <c r="W203" s="2" t="s">
        <v>94</v>
      </c>
      <c r="X203" s="2" t="s">
        <v>117</v>
      </c>
      <c r="Y203" s="3">
        <v>0</v>
      </c>
      <c r="Z203" t="str">
        <f>INDEX(Assets!$J:$J,MATCH(UPPER(TRIM(B203)),Assets!$A:$A,0))</f>
        <v>Arroyo</v>
      </c>
      <c r="AA203">
        <f t="shared" si="9"/>
        <v>534.24</v>
      </c>
      <c r="AB203" s="21">
        <f t="shared" si="10"/>
        <v>45931</v>
      </c>
      <c r="AC203">
        <f>SUMIFS(Production!$H:$H,Production!$A:$A,UPPER(TRIM(B203)),Production!$B:$B,AB203)-SUMIFS(Production!$I:$I,Production!$A:$A,UPPER(TRIM(B203)),Production!$B:$B,AB203)</f>
        <v>37.6</v>
      </c>
      <c r="AD203">
        <f t="shared" si="11"/>
        <v>20087.424000000003</v>
      </c>
    </row>
    <row r="204" spans="1:30" ht="21" customHeight="1">
      <c r="A204" s="2" t="s">
        <v>504</v>
      </c>
      <c r="B204" s="9" t="s">
        <v>38</v>
      </c>
      <c r="C204" s="5">
        <v>45958.5</v>
      </c>
      <c r="D204" s="4">
        <v>45958.755000000005</v>
      </c>
      <c r="E204" s="2" t="s">
        <v>90</v>
      </c>
      <c r="F204" s="2" t="s">
        <v>91</v>
      </c>
      <c r="G204" s="3">
        <v>0</v>
      </c>
      <c r="H204" s="3">
        <v>0</v>
      </c>
      <c r="I204" s="3">
        <v>0</v>
      </c>
      <c r="J204" s="3">
        <v>6.12</v>
      </c>
      <c r="K204" s="3">
        <v>0</v>
      </c>
      <c r="L204" s="3">
        <v>6.12</v>
      </c>
      <c r="M204" s="3">
        <v>214.2</v>
      </c>
      <c r="N204" s="3">
        <v>0.25</v>
      </c>
      <c r="O204" s="2" t="s">
        <v>505</v>
      </c>
      <c r="P204" s="4">
        <v>45958.5</v>
      </c>
      <c r="Q204" s="4">
        <v>45958.755000000005</v>
      </c>
      <c r="R204" s="2" t="s">
        <v>93</v>
      </c>
      <c r="S204" s="3">
        <v>6.12</v>
      </c>
      <c r="T204" s="2">
        <v>85</v>
      </c>
      <c r="U204" s="3">
        <v>936</v>
      </c>
      <c r="V204" s="3">
        <v>0</v>
      </c>
      <c r="W204" s="2" t="s">
        <v>94</v>
      </c>
      <c r="X204" s="2" t="s">
        <v>95</v>
      </c>
      <c r="Y204" s="3">
        <v>0</v>
      </c>
      <c r="Z204" t="str">
        <f>INDEX(Assets!$J:$J,MATCH(UPPER(TRIM(B204)),Assets!$A:$A,0))</f>
        <v>Arroyo</v>
      </c>
      <c r="AA204">
        <f t="shared" si="9"/>
        <v>160.64999999999998</v>
      </c>
      <c r="AB204" s="21">
        <f t="shared" si="10"/>
        <v>45931</v>
      </c>
      <c r="AC204">
        <f>SUMIFS(Production!$H:$H,Production!$A:$A,UPPER(TRIM(B204)),Production!$B:$B,AB204)-SUMIFS(Production!$I:$I,Production!$A:$A,UPPER(TRIM(B204)),Production!$B:$B,AB204)</f>
        <v>37.6</v>
      </c>
      <c r="AD204">
        <f t="shared" si="11"/>
        <v>6040.44</v>
      </c>
    </row>
    <row r="205" spans="1:30" ht="21" customHeight="1">
      <c r="A205" s="2" t="s">
        <v>506</v>
      </c>
      <c r="B205" s="9" t="s">
        <v>38</v>
      </c>
      <c r="C205" s="5">
        <v>45971.5</v>
      </c>
      <c r="D205" s="4">
        <v>45972.761249999996</v>
      </c>
      <c r="E205" s="2" t="s">
        <v>83</v>
      </c>
      <c r="F205" s="2" t="s">
        <v>101</v>
      </c>
      <c r="G205" s="3">
        <v>5.7</v>
      </c>
      <c r="H205" s="3">
        <v>10.35</v>
      </c>
      <c r="I205" s="3">
        <v>10.11</v>
      </c>
      <c r="J205" s="3">
        <v>2.96</v>
      </c>
      <c r="K205" s="3">
        <v>1.1499999999999999</v>
      </c>
      <c r="L205" s="3">
        <v>30.27</v>
      </c>
      <c r="M205" s="3">
        <v>1059.45</v>
      </c>
      <c r="N205" s="3">
        <v>0.12</v>
      </c>
      <c r="O205" s="2" t="s">
        <v>507</v>
      </c>
      <c r="P205" s="4">
        <v>45971.737500000003</v>
      </c>
      <c r="Q205" s="4">
        <v>45972.761249999996</v>
      </c>
      <c r="R205" s="2" t="s">
        <v>86</v>
      </c>
      <c r="S205" s="3">
        <v>5.92</v>
      </c>
      <c r="T205" s="2">
        <v>85</v>
      </c>
      <c r="U205" s="3"/>
      <c r="V205" s="3">
        <v>0</v>
      </c>
      <c r="W205" s="2" t="s">
        <v>87</v>
      </c>
      <c r="X205" s="2" t="s">
        <v>103</v>
      </c>
      <c r="Y205" s="3">
        <v>0</v>
      </c>
      <c r="Z205" t="str">
        <f>INDEX(Assets!$J:$J,MATCH(UPPER(TRIM(B205)),Assets!$A:$A,0))</f>
        <v>Arroyo</v>
      </c>
      <c r="AA205">
        <f t="shared" si="9"/>
        <v>932.31600000000003</v>
      </c>
      <c r="AB205" s="21">
        <f t="shared" si="10"/>
        <v>45962</v>
      </c>
      <c r="AC205">
        <f>SUMIFS(Production!$H:$H,Production!$A:$A,UPPER(TRIM(B205)),Production!$B:$B,AB205)-SUMIFS(Production!$I:$I,Production!$A:$A,UPPER(TRIM(B205)),Production!$B:$B,AB205)</f>
        <v>39.6</v>
      </c>
      <c r="AD205">
        <f t="shared" si="11"/>
        <v>36919.713600000003</v>
      </c>
    </row>
    <row r="206" spans="1:30" ht="21" customHeight="1">
      <c r="A206" s="2" t="s">
        <v>508</v>
      </c>
      <c r="B206" s="9" t="s">
        <v>38</v>
      </c>
      <c r="C206" s="5">
        <v>45980.5</v>
      </c>
      <c r="D206" s="4">
        <v>45980.908333333333</v>
      </c>
      <c r="E206" s="2" t="s">
        <v>83</v>
      </c>
      <c r="F206" s="2" t="s">
        <v>115</v>
      </c>
      <c r="G206" s="3">
        <v>1.91</v>
      </c>
      <c r="H206" s="3">
        <v>2.82</v>
      </c>
      <c r="I206" s="3">
        <v>0</v>
      </c>
      <c r="J206" s="3">
        <v>2.82</v>
      </c>
      <c r="K206" s="3">
        <v>2.25</v>
      </c>
      <c r="L206" s="3">
        <v>9.8000000000000007</v>
      </c>
      <c r="M206" s="3">
        <v>343</v>
      </c>
      <c r="N206" s="3">
        <v>0.21</v>
      </c>
      <c r="O206" s="2" t="s">
        <v>509</v>
      </c>
      <c r="P206" s="4">
        <v>45980.579583333332</v>
      </c>
      <c r="Q206" s="4">
        <v>45980.908333333333</v>
      </c>
      <c r="R206" s="2" t="s">
        <v>86</v>
      </c>
      <c r="S206" s="3">
        <v>2.82</v>
      </c>
      <c r="T206" s="2">
        <v>85</v>
      </c>
      <c r="U206" s="3">
        <v>2713</v>
      </c>
      <c r="V206" s="3">
        <v>0</v>
      </c>
      <c r="W206" s="2" t="s">
        <v>94</v>
      </c>
      <c r="X206" s="2" t="s">
        <v>117</v>
      </c>
      <c r="Y206" s="3">
        <v>0</v>
      </c>
      <c r="Z206" t="str">
        <f>INDEX(Assets!$J:$J,MATCH(UPPER(TRIM(B206)),Assets!$A:$A,0))</f>
        <v>Arroyo</v>
      </c>
      <c r="AA206">
        <f t="shared" si="9"/>
        <v>270.97000000000003</v>
      </c>
      <c r="AB206" s="21">
        <f t="shared" si="10"/>
        <v>45962</v>
      </c>
      <c r="AC206">
        <f>SUMIFS(Production!$H:$H,Production!$A:$A,UPPER(TRIM(B206)),Production!$B:$B,AB206)-SUMIFS(Production!$I:$I,Production!$A:$A,UPPER(TRIM(B206)),Production!$B:$B,AB206)</f>
        <v>39.6</v>
      </c>
      <c r="AD206">
        <f t="shared" si="11"/>
        <v>10730.412000000002</v>
      </c>
    </row>
    <row r="207" spans="1:30" ht="21" customHeight="1">
      <c r="A207" s="2" t="s">
        <v>510</v>
      </c>
      <c r="B207" s="9" t="s">
        <v>38</v>
      </c>
      <c r="C207" s="5">
        <v>45995.5</v>
      </c>
      <c r="D207" s="4">
        <v>45996.285833333328</v>
      </c>
      <c r="E207" s="2" t="s">
        <v>83</v>
      </c>
      <c r="F207" s="2" t="s">
        <v>84</v>
      </c>
      <c r="G207" s="3">
        <v>4.5</v>
      </c>
      <c r="H207" s="3">
        <v>6.17</v>
      </c>
      <c r="I207" s="3">
        <v>0</v>
      </c>
      <c r="J207" s="3">
        <v>6.52</v>
      </c>
      <c r="K207" s="3">
        <v>1.67</v>
      </c>
      <c r="L207" s="3">
        <v>18.86</v>
      </c>
      <c r="M207" s="3">
        <v>660.1</v>
      </c>
      <c r="N207" s="3">
        <v>0.16</v>
      </c>
      <c r="O207" s="2" t="s">
        <v>511</v>
      </c>
      <c r="P207" s="4">
        <v>45995.6875</v>
      </c>
      <c r="Q207" s="4">
        <v>45996.285833333328</v>
      </c>
      <c r="R207" s="2" t="s">
        <v>86</v>
      </c>
      <c r="S207" s="3">
        <v>6.52</v>
      </c>
      <c r="T207" s="2">
        <v>85</v>
      </c>
      <c r="U207" s="3">
        <v>6313</v>
      </c>
      <c r="V207" s="3">
        <v>0</v>
      </c>
      <c r="W207" s="2" t="s">
        <v>94</v>
      </c>
      <c r="X207" s="2" t="s">
        <v>88</v>
      </c>
      <c r="Y207" s="3">
        <v>0</v>
      </c>
      <c r="Z207" t="str">
        <f>INDEX(Assets!$J:$J,MATCH(UPPER(TRIM(B207)),Assets!$A:$A,0))</f>
        <v>Arroyo</v>
      </c>
      <c r="AA207">
        <f t="shared" si="9"/>
        <v>554.48400000000004</v>
      </c>
      <c r="AB207" s="21">
        <f t="shared" si="10"/>
        <v>45992</v>
      </c>
      <c r="AC207">
        <f>SUMIFS(Production!$H:$H,Production!$A:$A,UPPER(TRIM(B207)),Production!$B:$B,AB207)-SUMIFS(Production!$I:$I,Production!$A:$A,UPPER(TRIM(B207)),Production!$B:$B,AB207)</f>
        <v>40.6</v>
      </c>
      <c r="AD207">
        <f t="shared" si="11"/>
        <v>22512.050400000004</v>
      </c>
    </row>
    <row r="208" spans="1:30" ht="21" customHeight="1">
      <c r="A208" s="2" t="s">
        <v>512</v>
      </c>
      <c r="B208" s="9" t="s">
        <v>38</v>
      </c>
      <c r="C208" s="5">
        <v>46010.5</v>
      </c>
      <c r="D208" s="4">
        <v>46011.340833333335</v>
      </c>
      <c r="E208" s="2" t="s">
        <v>83</v>
      </c>
      <c r="F208" s="2" t="s">
        <v>84</v>
      </c>
      <c r="G208" s="3">
        <v>3.43</v>
      </c>
      <c r="H208" s="3">
        <v>4.91</v>
      </c>
      <c r="I208" s="3">
        <v>0</v>
      </c>
      <c r="J208" s="3">
        <v>9.57</v>
      </c>
      <c r="K208" s="3">
        <v>2.27</v>
      </c>
      <c r="L208" s="3">
        <v>20.18</v>
      </c>
      <c r="M208" s="3">
        <v>706.3</v>
      </c>
      <c r="N208" s="3">
        <v>0.24</v>
      </c>
      <c r="O208" s="2" t="s">
        <v>513</v>
      </c>
      <c r="P208" s="4">
        <v>46010.642916666664</v>
      </c>
      <c r="Q208" s="4">
        <v>46011.340833333335</v>
      </c>
      <c r="R208" s="2" t="s">
        <v>86</v>
      </c>
      <c r="S208" s="3">
        <v>9.57</v>
      </c>
      <c r="T208" s="2">
        <v>85</v>
      </c>
      <c r="U208" s="3">
        <v>7395</v>
      </c>
      <c r="V208" s="3">
        <v>0</v>
      </c>
      <c r="W208" s="2" t="s">
        <v>94</v>
      </c>
      <c r="X208" s="2" t="s">
        <v>88</v>
      </c>
      <c r="Y208" s="3">
        <v>0</v>
      </c>
      <c r="Z208" t="str">
        <f>INDEX(Assets!$J:$J,MATCH(UPPER(TRIM(B208)),Assets!$A:$A,0))</f>
        <v>Arroyo</v>
      </c>
      <c r="AA208">
        <f t="shared" si="9"/>
        <v>536.78800000000001</v>
      </c>
      <c r="AB208" s="21">
        <f t="shared" si="10"/>
        <v>45992</v>
      </c>
      <c r="AC208">
        <f>SUMIFS(Production!$H:$H,Production!$A:$A,UPPER(TRIM(B208)),Production!$B:$B,AB208)-SUMIFS(Production!$I:$I,Production!$A:$A,UPPER(TRIM(B208)),Production!$B:$B,AB208)</f>
        <v>40.6</v>
      </c>
      <c r="AD208">
        <f t="shared" si="11"/>
        <v>21793.592800000002</v>
      </c>
    </row>
    <row r="209" spans="1:30" ht="21" customHeight="1">
      <c r="A209" s="2" t="s">
        <v>514</v>
      </c>
      <c r="B209" s="9" t="s">
        <v>41</v>
      </c>
      <c r="C209" s="5">
        <v>45662.5</v>
      </c>
      <c r="D209" s="4">
        <v>45663.667499999996</v>
      </c>
      <c r="E209" s="2" t="s">
        <v>83</v>
      </c>
      <c r="F209" s="2" t="s">
        <v>119</v>
      </c>
      <c r="G209" s="3">
        <v>3.85</v>
      </c>
      <c r="H209" s="3">
        <v>2.41</v>
      </c>
      <c r="I209" s="3">
        <v>14.58</v>
      </c>
      <c r="J209" s="3">
        <v>5.41</v>
      </c>
      <c r="K209" s="3">
        <v>1.77</v>
      </c>
      <c r="L209" s="3">
        <v>28.02</v>
      </c>
      <c r="M209" s="3">
        <v>728.52</v>
      </c>
      <c r="N209" s="3">
        <v>0.25</v>
      </c>
      <c r="O209" s="2" t="s">
        <v>515</v>
      </c>
      <c r="P209" s="4">
        <v>45662.660416666666</v>
      </c>
      <c r="Q209" s="4">
        <v>45663.667499999996</v>
      </c>
      <c r="R209" s="2" t="s">
        <v>86</v>
      </c>
      <c r="S209" s="3">
        <v>10.82</v>
      </c>
      <c r="T209" s="2">
        <v>85</v>
      </c>
      <c r="U209" s="3">
        <v>4258</v>
      </c>
      <c r="V209" s="3">
        <v>0</v>
      </c>
      <c r="W209" s="2" t="s">
        <v>94</v>
      </c>
      <c r="X209" s="2" t="s">
        <v>121</v>
      </c>
      <c r="Y209" s="3">
        <v>0</v>
      </c>
      <c r="Z209" t="str">
        <f>INDEX(Assets!$J:$J,MATCH(UPPER(TRIM(B209)),Assets!$A:$A,0))</f>
        <v>Arroyo</v>
      </c>
      <c r="AA209">
        <f t="shared" si="9"/>
        <v>546.39</v>
      </c>
      <c r="AB209" s="21">
        <f t="shared" si="10"/>
        <v>45658</v>
      </c>
      <c r="AC209">
        <f>SUMIFS(Production!$H:$H,Production!$A:$A,UPPER(TRIM(B209)),Production!$B:$B,AB209)-SUMIFS(Production!$I:$I,Production!$A:$A,UPPER(TRIM(B209)),Production!$B:$B,AB209)</f>
        <v>47.6</v>
      </c>
      <c r="AD209">
        <f t="shared" si="11"/>
        <v>26008.164000000001</v>
      </c>
    </row>
    <row r="210" spans="1:30" ht="21" customHeight="1">
      <c r="A210" s="2" t="s">
        <v>516</v>
      </c>
      <c r="B210" s="9" t="s">
        <v>41</v>
      </c>
      <c r="C210" s="5">
        <v>45677.5</v>
      </c>
      <c r="D210" s="4">
        <v>45679.085416666669</v>
      </c>
      <c r="E210" s="2" t="s">
        <v>83</v>
      </c>
      <c r="F210" s="2" t="s">
        <v>119</v>
      </c>
      <c r="G210" s="3">
        <v>2.21</v>
      </c>
      <c r="H210" s="3">
        <v>3.4</v>
      </c>
      <c r="I210" s="3">
        <v>22.26</v>
      </c>
      <c r="J210" s="3">
        <v>8.24</v>
      </c>
      <c r="K210" s="3">
        <v>1.94</v>
      </c>
      <c r="L210" s="3">
        <v>38.049999999999997</v>
      </c>
      <c r="M210" s="3">
        <v>989.3</v>
      </c>
      <c r="N210" s="3">
        <v>0.27</v>
      </c>
      <c r="O210" s="2" t="s">
        <v>517</v>
      </c>
      <c r="P210" s="4">
        <v>45677.592083333337</v>
      </c>
      <c r="Q210" s="4">
        <v>45679.085416666669</v>
      </c>
      <c r="R210" s="2" t="s">
        <v>86</v>
      </c>
      <c r="S210" s="3">
        <v>8.24</v>
      </c>
      <c r="T210" s="2">
        <v>85</v>
      </c>
      <c r="U210" s="3">
        <v>2597</v>
      </c>
      <c r="V210" s="3">
        <v>0</v>
      </c>
      <c r="W210" s="2" t="s">
        <v>94</v>
      </c>
      <c r="X210" s="2" t="s">
        <v>121</v>
      </c>
      <c r="Y210" s="3">
        <v>0</v>
      </c>
      <c r="Z210" t="str">
        <f>INDEX(Assets!$J:$J,MATCH(UPPER(TRIM(B210)),Assets!$A:$A,0))</f>
        <v>Arroyo</v>
      </c>
      <c r="AA210">
        <f t="shared" si="9"/>
        <v>722.18899999999996</v>
      </c>
      <c r="AB210" s="21">
        <f t="shared" si="10"/>
        <v>45658</v>
      </c>
      <c r="AC210">
        <f>SUMIFS(Production!$H:$H,Production!$A:$A,UPPER(TRIM(B210)),Production!$B:$B,AB210)-SUMIFS(Production!$I:$I,Production!$A:$A,UPPER(TRIM(B210)),Production!$B:$B,AB210)</f>
        <v>47.6</v>
      </c>
      <c r="AD210">
        <f t="shared" si="11"/>
        <v>34376.196400000001</v>
      </c>
    </row>
    <row r="211" spans="1:30" ht="21" customHeight="1">
      <c r="A211" s="2" t="s">
        <v>518</v>
      </c>
      <c r="B211" s="9" t="s">
        <v>41</v>
      </c>
      <c r="C211" s="5">
        <v>45685.5</v>
      </c>
      <c r="D211" s="4">
        <v>45685.765833333338</v>
      </c>
      <c r="E211" s="2" t="s">
        <v>90</v>
      </c>
      <c r="F211" s="2" t="s">
        <v>91</v>
      </c>
      <c r="G211" s="3">
        <v>0</v>
      </c>
      <c r="H211" s="3">
        <v>0</v>
      </c>
      <c r="I211" s="3">
        <v>0</v>
      </c>
      <c r="J211" s="3">
        <v>6.38</v>
      </c>
      <c r="K211" s="3">
        <v>0</v>
      </c>
      <c r="L211" s="3">
        <v>6.38</v>
      </c>
      <c r="M211" s="3">
        <v>165.88</v>
      </c>
      <c r="N211" s="3">
        <v>0.25</v>
      </c>
      <c r="O211" s="2" t="s">
        <v>519</v>
      </c>
      <c r="P211" s="4">
        <v>45685.5</v>
      </c>
      <c r="Q211" s="4">
        <v>45685.765833333338</v>
      </c>
      <c r="R211" s="2" t="s">
        <v>93</v>
      </c>
      <c r="S211" s="3">
        <v>12.76</v>
      </c>
      <c r="T211" s="2">
        <v>85</v>
      </c>
      <c r="U211" s="3">
        <v>1625</v>
      </c>
      <c r="V211" s="3">
        <v>3190</v>
      </c>
      <c r="W211" s="2" t="s">
        <v>94</v>
      </c>
      <c r="X211" s="2" t="s">
        <v>95</v>
      </c>
      <c r="Y211" s="3">
        <v>0</v>
      </c>
      <c r="Z211" t="str">
        <f>INDEX(Assets!$J:$J,MATCH(UPPER(TRIM(B211)),Assets!$A:$A,0))</f>
        <v>Arroyo</v>
      </c>
      <c r="AA211">
        <f t="shared" si="9"/>
        <v>124.41</v>
      </c>
      <c r="AB211" s="21">
        <f t="shared" si="10"/>
        <v>45658</v>
      </c>
      <c r="AC211">
        <f>SUMIFS(Production!$H:$H,Production!$A:$A,UPPER(TRIM(B211)),Production!$B:$B,AB211)-SUMIFS(Production!$I:$I,Production!$A:$A,UPPER(TRIM(B211)),Production!$B:$B,AB211)</f>
        <v>47.6</v>
      </c>
      <c r="AD211">
        <f t="shared" si="11"/>
        <v>5921.9160000000002</v>
      </c>
    </row>
    <row r="212" spans="1:30" ht="21" customHeight="1">
      <c r="A212" s="2" t="s">
        <v>520</v>
      </c>
      <c r="B212" s="9" t="s">
        <v>41</v>
      </c>
      <c r="C212" s="5">
        <v>45693.5</v>
      </c>
      <c r="D212" s="4">
        <v>45695.115416666667</v>
      </c>
      <c r="E212" s="2" t="s">
        <v>83</v>
      </c>
      <c r="F212" s="2" t="s">
        <v>97</v>
      </c>
      <c r="G212" s="3">
        <v>5.99</v>
      </c>
      <c r="H212" s="3">
        <v>9.7100000000000009</v>
      </c>
      <c r="I212" s="3">
        <v>18.079999999999998</v>
      </c>
      <c r="J212" s="3">
        <v>3.82</v>
      </c>
      <c r="K212" s="3">
        <v>1.17</v>
      </c>
      <c r="L212" s="3">
        <v>38.770000000000003</v>
      </c>
      <c r="M212" s="3">
        <v>1008.02</v>
      </c>
      <c r="N212" s="3">
        <v>0.13</v>
      </c>
      <c r="O212" s="2" t="s">
        <v>521</v>
      </c>
      <c r="P212" s="4">
        <v>45693.749583333338</v>
      </c>
      <c r="Q212" s="4">
        <v>45695.115416666667</v>
      </c>
      <c r="R212" s="2" t="s">
        <v>86</v>
      </c>
      <c r="S212" s="3">
        <v>3.82</v>
      </c>
      <c r="T212" s="2">
        <v>85</v>
      </c>
      <c r="U212" s="3">
        <v>3751</v>
      </c>
      <c r="V212" s="3">
        <v>0</v>
      </c>
      <c r="W212" s="2" t="s">
        <v>94</v>
      </c>
      <c r="X212" s="2" t="s">
        <v>99</v>
      </c>
      <c r="Y212" s="3">
        <v>0</v>
      </c>
      <c r="Z212" t="str">
        <f>INDEX(Assets!$J:$J,MATCH(UPPER(TRIM(B212)),Assets!$A:$A,0))</f>
        <v>Arroyo</v>
      </c>
      <c r="AA212">
        <f t="shared" si="9"/>
        <v>876.97739999999999</v>
      </c>
      <c r="AB212" s="21">
        <f t="shared" si="10"/>
        <v>45689</v>
      </c>
      <c r="AC212">
        <f>SUMIFS(Production!$H:$H,Production!$A:$A,UPPER(TRIM(B212)),Production!$B:$B,AB212)-SUMIFS(Production!$I:$I,Production!$A:$A,UPPER(TRIM(B212)),Production!$B:$B,AB212)</f>
        <v>45.6</v>
      </c>
      <c r="AD212">
        <f t="shared" si="11"/>
        <v>39990.169439999998</v>
      </c>
    </row>
    <row r="213" spans="1:30" ht="21" customHeight="1">
      <c r="A213" s="2" t="s">
        <v>522</v>
      </c>
      <c r="B213" s="9" t="s">
        <v>41</v>
      </c>
      <c r="C213" s="5">
        <v>45709.5</v>
      </c>
      <c r="D213" s="4">
        <v>45710.520416666666</v>
      </c>
      <c r="E213" s="2" t="s">
        <v>83</v>
      </c>
      <c r="F213" s="2" t="s">
        <v>101</v>
      </c>
      <c r="G213" s="3">
        <v>5.35</v>
      </c>
      <c r="H213" s="3">
        <v>8.7200000000000006</v>
      </c>
      <c r="I213" s="3">
        <v>0</v>
      </c>
      <c r="J213" s="3">
        <v>9.73</v>
      </c>
      <c r="K213" s="3">
        <v>0.69</v>
      </c>
      <c r="L213" s="3">
        <v>24.49</v>
      </c>
      <c r="M213" s="3">
        <v>636.74</v>
      </c>
      <c r="N213" s="3">
        <v>0.1</v>
      </c>
      <c r="O213" s="2" t="s">
        <v>523</v>
      </c>
      <c r="P213" s="4">
        <v>45709.722916666666</v>
      </c>
      <c r="Q213" s="4">
        <v>45710.520416666666</v>
      </c>
      <c r="R213" s="2" t="s">
        <v>86</v>
      </c>
      <c r="S213" s="3">
        <v>9.73</v>
      </c>
      <c r="T213" s="2">
        <v>85</v>
      </c>
      <c r="U213" s="3">
        <v>3814</v>
      </c>
      <c r="V213" s="3">
        <v>0</v>
      </c>
      <c r="W213" s="2" t="s">
        <v>94</v>
      </c>
      <c r="X213" s="2" t="s">
        <v>103</v>
      </c>
      <c r="Y213" s="3">
        <v>0</v>
      </c>
      <c r="Z213" t="str">
        <f>INDEX(Assets!$J:$J,MATCH(UPPER(TRIM(B213)),Assets!$A:$A,0))</f>
        <v>Arroyo</v>
      </c>
      <c r="AA213">
        <f t="shared" si="9"/>
        <v>573.06600000000003</v>
      </c>
      <c r="AB213" s="21">
        <f t="shared" si="10"/>
        <v>45689</v>
      </c>
      <c r="AC213">
        <f>SUMIFS(Production!$H:$H,Production!$A:$A,UPPER(TRIM(B213)),Production!$B:$B,AB213)-SUMIFS(Production!$I:$I,Production!$A:$A,UPPER(TRIM(B213)),Production!$B:$B,AB213)</f>
        <v>45.6</v>
      </c>
      <c r="AD213">
        <f t="shared" si="11"/>
        <v>26131.809600000001</v>
      </c>
    </row>
    <row r="214" spans="1:30" ht="21" customHeight="1">
      <c r="A214" s="2" t="s">
        <v>524</v>
      </c>
      <c r="B214" s="9" t="s">
        <v>41</v>
      </c>
      <c r="C214" s="5">
        <v>45724.5</v>
      </c>
      <c r="D214" s="4">
        <v>45726.146250000005</v>
      </c>
      <c r="E214" s="2" t="s">
        <v>83</v>
      </c>
      <c r="F214" s="2" t="s">
        <v>84</v>
      </c>
      <c r="G214" s="3">
        <v>1.94</v>
      </c>
      <c r="H214" s="3">
        <v>4.5599999999999996</v>
      </c>
      <c r="I214" s="3">
        <v>23.45</v>
      </c>
      <c r="J214" s="3">
        <v>7.4</v>
      </c>
      <c r="K214" s="3">
        <v>2.16</v>
      </c>
      <c r="L214" s="3">
        <v>39.51</v>
      </c>
      <c r="M214" s="3">
        <v>1027.26</v>
      </c>
      <c r="N214" s="3">
        <v>0.23</v>
      </c>
      <c r="O214" s="2" t="s">
        <v>525</v>
      </c>
      <c r="P214" s="4">
        <v>45724.580833333333</v>
      </c>
      <c r="Q214" s="4">
        <v>45726.146250000005</v>
      </c>
      <c r="R214" s="2" t="s">
        <v>86</v>
      </c>
      <c r="S214" s="3">
        <v>7.4</v>
      </c>
      <c r="T214" s="2">
        <v>85</v>
      </c>
      <c r="U214" s="3">
        <v>6605</v>
      </c>
      <c r="V214" s="3">
        <v>1107</v>
      </c>
      <c r="W214" s="2" t="s">
        <v>94</v>
      </c>
      <c r="X214" s="2" t="s">
        <v>88</v>
      </c>
      <c r="Y214" s="3">
        <v>0</v>
      </c>
      <c r="Z214" t="str">
        <f>INDEX(Assets!$J:$J,MATCH(UPPER(TRIM(B214)),Assets!$A:$A,0))</f>
        <v>Arroyo</v>
      </c>
      <c r="AA214">
        <f t="shared" si="9"/>
        <v>790.99019999999996</v>
      </c>
      <c r="AB214" s="21">
        <f t="shared" si="10"/>
        <v>45717</v>
      </c>
      <c r="AC214">
        <f>SUMIFS(Production!$H:$H,Production!$A:$A,UPPER(TRIM(B214)),Production!$B:$B,AB214)-SUMIFS(Production!$I:$I,Production!$A:$A,UPPER(TRIM(B214)),Production!$B:$B,AB214)</f>
        <v>43.6</v>
      </c>
      <c r="AD214">
        <f t="shared" si="11"/>
        <v>34487.172720000002</v>
      </c>
    </row>
    <row r="215" spans="1:30" ht="21" customHeight="1">
      <c r="A215" s="2" t="s">
        <v>526</v>
      </c>
      <c r="B215" s="9" t="s">
        <v>41</v>
      </c>
      <c r="C215" s="5">
        <v>45752.5</v>
      </c>
      <c r="D215" s="4">
        <v>45753.990416666667</v>
      </c>
      <c r="E215" s="2" t="s">
        <v>83</v>
      </c>
      <c r="F215" s="2" t="s">
        <v>84</v>
      </c>
      <c r="G215" s="3">
        <v>8.1</v>
      </c>
      <c r="H215" s="3">
        <v>6.14</v>
      </c>
      <c r="I215" s="3">
        <v>15.98</v>
      </c>
      <c r="J215" s="3">
        <v>3.28</v>
      </c>
      <c r="K215" s="3">
        <v>2.27</v>
      </c>
      <c r="L215" s="3">
        <v>35.770000000000003</v>
      </c>
      <c r="M215" s="3">
        <v>930.02</v>
      </c>
      <c r="N215" s="3">
        <v>0.1</v>
      </c>
      <c r="O215" s="2" t="s">
        <v>527</v>
      </c>
      <c r="P215" s="4">
        <v>45752.837500000001</v>
      </c>
      <c r="Q215" s="4">
        <v>45753.990416666667</v>
      </c>
      <c r="R215" s="2" t="s">
        <v>86</v>
      </c>
      <c r="S215" s="3">
        <v>3.28</v>
      </c>
      <c r="T215" s="2">
        <v>85</v>
      </c>
      <c r="U215" s="3">
        <v>2385</v>
      </c>
      <c r="V215" s="3">
        <v>0</v>
      </c>
      <c r="W215" s="2" t="s">
        <v>94</v>
      </c>
      <c r="X215" s="2" t="s">
        <v>88</v>
      </c>
      <c r="Y215" s="3">
        <v>0</v>
      </c>
      <c r="Z215" t="str">
        <f>INDEX(Assets!$J:$J,MATCH(UPPER(TRIM(B215)),Assets!$A:$A,0))</f>
        <v>Arroyo</v>
      </c>
      <c r="AA215">
        <f t="shared" si="9"/>
        <v>837.01800000000003</v>
      </c>
      <c r="AB215" s="21">
        <f t="shared" si="10"/>
        <v>45748</v>
      </c>
      <c r="AC215">
        <f>SUMIFS(Production!$H:$H,Production!$A:$A,UPPER(TRIM(B215)),Production!$B:$B,AB215)-SUMIFS(Production!$I:$I,Production!$A:$A,UPPER(TRIM(B215)),Production!$B:$B,AB215)</f>
        <v>41.6</v>
      </c>
      <c r="AD215">
        <f t="shared" si="11"/>
        <v>34819.948800000006</v>
      </c>
    </row>
    <row r="216" spans="1:30" ht="21" customHeight="1">
      <c r="A216" s="2" t="s">
        <v>528</v>
      </c>
      <c r="B216" s="9" t="s">
        <v>41</v>
      </c>
      <c r="C216" s="5">
        <v>45767.5</v>
      </c>
      <c r="D216" s="4">
        <v>45769.643750000003</v>
      </c>
      <c r="E216" s="2" t="s">
        <v>83</v>
      </c>
      <c r="F216" s="2" t="s">
        <v>119</v>
      </c>
      <c r="G216" s="3">
        <v>4.3099999999999996</v>
      </c>
      <c r="H216" s="3">
        <v>10.41</v>
      </c>
      <c r="I216" s="3">
        <v>22.95</v>
      </c>
      <c r="J216" s="3">
        <v>11.72</v>
      </c>
      <c r="K216" s="3">
        <v>2.06</v>
      </c>
      <c r="L216" s="3">
        <v>51.45</v>
      </c>
      <c r="M216" s="3">
        <v>1337.7</v>
      </c>
      <c r="N216" s="3">
        <v>0.23</v>
      </c>
      <c r="O216" s="2" t="s">
        <v>529</v>
      </c>
      <c r="P216" s="4">
        <v>45767.679583333331</v>
      </c>
      <c r="Q216" s="4">
        <v>45769.643750000003</v>
      </c>
      <c r="R216" s="2" t="s">
        <v>86</v>
      </c>
      <c r="S216" s="3">
        <v>11.72</v>
      </c>
      <c r="T216" s="2">
        <v>85</v>
      </c>
      <c r="U216" s="3">
        <v>7734</v>
      </c>
      <c r="V216" s="3">
        <v>2739</v>
      </c>
      <c r="W216" s="2" t="s">
        <v>94</v>
      </c>
      <c r="X216" s="2" t="s">
        <v>121</v>
      </c>
      <c r="Y216" s="3">
        <v>0</v>
      </c>
      <c r="Z216" t="str">
        <f>INDEX(Assets!$J:$J,MATCH(UPPER(TRIM(B216)),Assets!$A:$A,0))</f>
        <v>Arroyo</v>
      </c>
      <c r="AA216">
        <f t="shared" si="9"/>
        <v>1030.029</v>
      </c>
      <c r="AB216" s="21">
        <f t="shared" si="10"/>
        <v>45748</v>
      </c>
      <c r="AC216">
        <f>SUMIFS(Production!$H:$H,Production!$A:$A,UPPER(TRIM(B216)),Production!$B:$B,AB216)-SUMIFS(Production!$I:$I,Production!$A:$A,UPPER(TRIM(B216)),Production!$B:$B,AB216)</f>
        <v>41.6</v>
      </c>
      <c r="AD216">
        <f t="shared" si="11"/>
        <v>42849.206400000003</v>
      </c>
    </row>
    <row r="217" spans="1:30" ht="21" customHeight="1">
      <c r="A217" s="2" t="s">
        <v>530</v>
      </c>
      <c r="B217" s="9" t="s">
        <v>41</v>
      </c>
      <c r="C217" s="5">
        <v>45775.5</v>
      </c>
      <c r="D217" s="4">
        <v>45775.697499999995</v>
      </c>
      <c r="E217" s="2" t="s">
        <v>90</v>
      </c>
      <c r="F217" s="2" t="s">
        <v>91</v>
      </c>
      <c r="G217" s="3">
        <v>0</v>
      </c>
      <c r="H217" s="3">
        <v>0</v>
      </c>
      <c r="I217" s="3">
        <v>0</v>
      </c>
      <c r="J217" s="3">
        <v>4.74</v>
      </c>
      <c r="K217" s="3">
        <v>0</v>
      </c>
      <c r="L217" s="3">
        <v>4.74</v>
      </c>
      <c r="M217" s="3">
        <v>123.24</v>
      </c>
      <c r="N217" s="3">
        <v>0.25</v>
      </c>
      <c r="O217" s="2" t="s">
        <v>531</v>
      </c>
      <c r="P217" s="4">
        <v>45775.5</v>
      </c>
      <c r="Q217" s="4">
        <v>45775.697499999995</v>
      </c>
      <c r="R217" s="2" t="s">
        <v>93</v>
      </c>
      <c r="S217" s="3">
        <v>9.48</v>
      </c>
      <c r="T217" s="2">
        <v>85</v>
      </c>
      <c r="U217" s="3">
        <v>723</v>
      </c>
      <c r="V217" s="3">
        <v>0</v>
      </c>
      <c r="W217" s="2" t="s">
        <v>94</v>
      </c>
      <c r="X217" s="2" t="s">
        <v>95</v>
      </c>
      <c r="Y217" s="3">
        <v>0</v>
      </c>
      <c r="Z217" t="str">
        <f>INDEX(Assets!$J:$J,MATCH(UPPER(TRIM(B217)),Assets!$A:$A,0))</f>
        <v>Arroyo</v>
      </c>
      <c r="AA217">
        <f t="shared" si="9"/>
        <v>92.429999999999993</v>
      </c>
      <c r="AB217" s="21">
        <f t="shared" si="10"/>
        <v>45748</v>
      </c>
      <c r="AC217">
        <f>SUMIFS(Production!$H:$H,Production!$A:$A,UPPER(TRIM(B217)),Production!$B:$B,AB217)-SUMIFS(Production!$I:$I,Production!$A:$A,UPPER(TRIM(B217)),Production!$B:$B,AB217)</f>
        <v>41.6</v>
      </c>
      <c r="AD217">
        <f t="shared" si="11"/>
        <v>3845.0879999999997</v>
      </c>
    </row>
    <row r="218" spans="1:30" ht="21" customHeight="1">
      <c r="A218" s="2" t="s">
        <v>532</v>
      </c>
      <c r="B218" s="9" t="s">
        <v>41</v>
      </c>
      <c r="C218" s="5">
        <v>45787.5</v>
      </c>
      <c r="D218" s="4">
        <v>45789.190416666665</v>
      </c>
      <c r="E218" s="2" t="s">
        <v>83</v>
      </c>
      <c r="F218" s="2" t="s">
        <v>119</v>
      </c>
      <c r="G218" s="3">
        <v>3.87</v>
      </c>
      <c r="H218" s="3">
        <v>5.78</v>
      </c>
      <c r="I218" s="3">
        <v>22.62</v>
      </c>
      <c r="J218" s="3">
        <v>6.94</v>
      </c>
      <c r="K218" s="3">
        <v>1.36</v>
      </c>
      <c r="L218" s="3">
        <v>40.57</v>
      </c>
      <c r="M218" s="3">
        <v>1054.82</v>
      </c>
      <c r="N218" s="3">
        <v>0.1</v>
      </c>
      <c r="O218" s="2" t="s">
        <v>533</v>
      </c>
      <c r="P218" s="4">
        <v>45787.661250000005</v>
      </c>
      <c r="Q218" s="4">
        <v>45789.190416666665</v>
      </c>
      <c r="R218" s="2" t="s">
        <v>86</v>
      </c>
      <c r="S218" s="3">
        <v>6.94</v>
      </c>
      <c r="T218" s="2">
        <v>85</v>
      </c>
      <c r="U218" s="3">
        <v>5805</v>
      </c>
      <c r="V218" s="3">
        <v>0</v>
      </c>
      <c r="W218" s="2" t="s">
        <v>94</v>
      </c>
      <c r="X218" s="2" t="s">
        <v>121</v>
      </c>
      <c r="Y218" s="3">
        <v>0</v>
      </c>
      <c r="Z218" t="str">
        <f>INDEX(Assets!$J:$J,MATCH(UPPER(TRIM(B218)),Assets!$A:$A,0))</f>
        <v>Arroyo</v>
      </c>
      <c r="AA218">
        <f t="shared" si="9"/>
        <v>949.33799999999997</v>
      </c>
      <c r="AB218" s="21">
        <f t="shared" si="10"/>
        <v>45778</v>
      </c>
      <c r="AC218">
        <f>SUMIFS(Production!$H:$H,Production!$A:$A,UPPER(TRIM(B218)),Production!$B:$B,AB218)-SUMIFS(Production!$I:$I,Production!$A:$A,UPPER(TRIM(B218)),Production!$B:$B,AB218)</f>
        <v>39.6</v>
      </c>
      <c r="AD218">
        <f t="shared" si="11"/>
        <v>37593.784800000001</v>
      </c>
    </row>
    <row r="219" spans="1:30" ht="21" customHeight="1">
      <c r="A219" s="2" t="s">
        <v>534</v>
      </c>
      <c r="B219" s="9" t="s">
        <v>41</v>
      </c>
      <c r="C219" s="5">
        <v>45799.5</v>
      </c>
      <c r="D219" s="4">
        <v>45801.450416666667</v>
      </c>
      <c r="E219" s="2" t="s">
        <v>83</v>
      </c>
      <c r="F219" s="2" t="s">
        <v>115</v>
      </c>
      <c r="G219" s="3">
        <v>8.49</v>
      </c>
      <c r="H219" s="3">
        <v>3.3</v>
      </c>
      <c r="I219" s="3">
        <v>24.58</v>
      </c>
      <c r="J219" s="3">
        <v>8.25</v>
      </c>
      <c r="K219" s="3">
        <v>2.19</v>
      </c>
      <c r="L219" s="3">
        <v>46.81</v>
      </c>
      <c r="M219" s="3">
        <v>1217.06</v>
      </c>
      <c r="N219" s="3">
        <v>0.12</v>
      </c>
      <c r="O219" s="2" t="s">
        <v>535</v>
      </c>
      <c r="P219" s="4">
        <v>45799.853749999995</v>
      </c>
      <c r="Q219" s="4">
        <v>45801.450416666667</v>
      </c>
      <c r="R219" s="2" t="s">
        <v>86</v>
      </c>
      <c r="S219" s="3">
        <v>16.5</v>
      </c>
      <c r="T219" s="2">
        <v>85</v>
      </c>
      <c r="U219" s="3">
        <v>4513</v>
      </c>
      <c r="V219" s="3">
        <v>0</v>
      </c>
      <c r="W219" s="2" t="s">
        <v>94</v>
      </c>
      <c r="X219" s="2" t="s">
        <v>117</v>
      </c>
      <c r="Y219" s="3">
        <v>0</v>
      </c>
      <c r="Z219" t="str">
        <f>INDEX(Assets!$J:$J,MATCH(UPPER(TRIM(B219)),Assets!$A:$A,0))</f>
        <v>Arroyo</v>
      </c>
      <c r="AA219">
        <f t="shared" si="9"/>
        <v>1071.0128</v>
      </c>
      <c r="AB219" s="21">
        <f t="shared" si="10"/>
        <v>45778</v>
      </c>
      <c r="AC219">
        <f>SUMIFS(Production!$H:$H,Production!$A:$A,UPPER(TRIM(B219)),Production!$B:$B,AB219)-SUMIFS(Production!$I:$I,Production!$A:$A,UPPER(TRIM(B219)),Production!$B:$B,AB219)</f>
        <v>39.6</v>
      </c>
      <c r="AD219">
        <f t="shared" si="11"/>
        <v>42412.106879999999</v>
      </c>
    </row>
    <row r="220" spans="1:30" ht="21" customHeight="1">
      <c r="A220" s="2" t="s">
        <v>536</v>
      </c>
      <c r="B220" s="9" t="s">
        <v>41</v>
      </c>
      <c r="C220" s="5">
        <v>45815.5</v>
      </c>
      <c r="D220" s="4">
        <v>45816.295416666668</v>
      </c>
      <c r="E220" s="2" t="s">
        <v>83</v>
      </c>
      <c r="F220" s="2" t="s">
        <v>119</v>
      </c>
      <c r="G220" s="3">
        <v>2.2999999999999998</v>
      </c>
      <c r="H220" s="3">
        <v>5.49</v>
      </c>
      <c r="I220" s="3">
        <v>0</v>
      </c>
      <c r="J220" s="3">
        <v>9.0399999999999991</v>
      </c>
      <c r="K220" s="3">
        <v>2.2599999999999998</v>
      </c>
      <c r="L220" s="3">
        <v>19.09</v>
      </c>
      <c r="M220" s="3">
        <v>496.34</v>
      </c>
      <c r="N220" s="3">
        <v>0.22</v>
      </c>
      <c r="O220" s="2" t="s">
        <v>537</v>
      </c>
      <c r="P220" s="4">
        <v>45815.595833333333</v>
      </c>
      <c r="Q220" s="4">
        <v>45816.295416666668</v>
      </c>
      <c r="R220" s="2" t="s">
        <v>86</v>
      </c>
      <c r="S220" s="3">
        <v>9.0399999999999991</v>
      </c>
      <c r="T220" s="2">
        <v>85</v>
      </c>
      <c r="U220" s="3">
        <v>3227</v>
      </c>
      <c r="V220" s="3">
        <v>0</v>
      </c>
      <c r="W220" s="2" t="s">
        <v>94</v>
      </c>
      <c r="X220" s="2" t="s">
        <v>121</v>
      </c>
      <c r="Y220" s="3">
        <v>0</v>
      </c>
      <c r="Z220" t="str">
        <f>INDEX(Assets!$J:$J,MATCH(UPPER(TRIM(B220)),Assets!$A:$A,0))</f>
        <v>Arroyo</v>
      </c>
      <c r="AA220">
        <f t="shared" si="9"/>
        <v>387.14519999999999</v>
      </c>
      <c r="AB220" s="21">
        <f t="shared" si="10"/>
        <v>45809</v>
      </c>
      <c r="AC220">
        <f>SUMIFS(Production!$H:$H,Production!$A:$A,UPPER(TRIM(B220)),Production!$B:$B,AB220)-SUMIFS(Production!$I:$I,Production!$A:$A,UPPER(TRIM(B220)),Production!$B:$B,AB220)</f>
        <v>40.6</v>
      </c>
      <c r="AD220">
        <f t="shared" si="11"/>
        <v>15718.09512</v>
      </c>
    </row>
    <row r="221" spans="1:30" ht="21" customHeight="1">
      <c r="A221" s="2" t="s">
        <v>538</v>
      </c>
      <c r="B221" s="9" t="s">
        <v>41</v>
      </c>
      <c r="C221" s="5">
        <v>45830.5</v>
      </c>
      <c r="D221" s="4">
        <v>45831.255833333329</v>
      </c>
      <c r="E221" s="2" t="s">
        <v>83</v>
      </c>
      <c r="F221" s="2" t="s">
        <v>97</v>
      </c>
      <c r="G221" s="3">
        <v>4.78</v>
      </c>
      <c r="H221" s="3">
        <v>2.3199999999999998</v>
      </c>
      <c r="I221" s="3">
        <v>0</v>
      </c>
      <c r="J221" s="3">
        <v>9.25</v>
      </c>
      <c r="K221" s="3">
        <v>1.79</v>
      </c>
      <c r="L221" s="3">
        <v>18.14</v>
      </c>
      <c r="M221" s="3">
        <v>471.64</v>
      </c>
      <c r="N221" s="3">
        <v>0.16</v>
      </c>
      <c r="O221" s="2" t="s">
        <v>539</v>
      </c>
      <c r="P221" s="4">
        <v>45830.699166666665</v>
      </c>
      <c r="Q221" s="4">
        <v>45831.255833333329</v>
      </c>
      <c r="R221" s="2" t="s">
        <v>86</v>
      </c>
      <c r="S221" s="3">
        <v>9.25</v>
      </c>
      <c r="T221" s="2">
        <v>85</v>
      </c>
      <c r="U221" s="3">
        <v>8766</v>
      </c>
      <c r="V221" s="3">
        <v>0</v>
      </c>
      <c r="W221" s="2" t="s">
        <v>94</v>
      </c>
      <c r="X221" s="2" t="s">
        <v>99</v>
      </c>
      <c r="Y221" s="3">
        <v>0</v>
      </c>
      <c r="Z221" t="str">
        <f>INDEX(Assets!$J:$J,MATCH(UPPER(TRIM(B221)),Assets!$A:$A,0))</f>
        <v>Arroyo</v>
      </c>
      <c r="AA221">
        <f t="shared" si="9"/>
        <v>396.17759999999998</v>
      </c>
      <c r="AB221" s="21">
        <f t="shared" si="10"/>
        <v>45809</v>
      </c>
      <c r="AC221">
        <f>SUMIFS(Production!$H:$H,Production!$A:$A,UPPER(TRIM(B221)),Production!$B:$B,AB221)-SUMIFS(Production!$I:$I,Production!$A:$A,UPPER(TRIM(B221)),Production!$B:$B,AB221)</f>
        <v>40.6</v>
      </c>
      <c r="AD221">
        <f t="shared" si="11"/>
        <v>16084.81056</v>
      </c>
    </row>
    <row r="222" spans="1:30" ht="21" customHeight="1">
      <c r="A222" s="2" t="s">
        <v>540</v>
      </c>
      <c r="B222" s="9" t="s">
        <v>41</v>
      </c>
      <c r="C222" s="5">
        <v>45844.5</v>
      </c>
      <c r="D222" s="4">
        <v>45845.249166666668</v>
      </c>
      <c r="E222" s="2" t="s">
        <v>83</v>
      </c>
      <c r="F222" s="2" t="s">
        <v>119</v>
      </c>
      <c r="G222" s="3">
        <v>4.76</v>
      </c>
      <c r="H222" s="3">
        <v>2.42</v>
      </c>
      <c r="I222" s="3">
        <v>0</v>
      </c>
      <c r="J222" s="3">
        <v>9.6</v>
      </c>
      <c r="K222" s="3">
        <v>1.2</v>
      </c>
      <c r="L222" s="3">
        <v>17.98</v>
      </c>
      <c r="M222" s="3">
        <v>467.48</v>
      </c>
      <c r="N222" s="3">
        <v>0.27</v>
      </c>
      <c r="O222" s="2" t="s">
        <v>541</v>
      </c>
      <c r="P222" s="4">
        <v>45844.698333333334</v>
      </c>
      <c r="Q222" s="4">
        <v>45845.249166666668</v>
      </c>
      <c r="R222" s="2" t="s">
        <v>86</v>
      </c>
      <c r="S222" s="3">
        <v>9.6</v>
      </c>
      <c r="T222" s="2">
        <v>85</v>
      </c>
      <c r="U222" s="3">
        <v>8647</v>
      </c>
      <c r="V222" s="3">
        <v>0</v>
      </c>
      <c r="W222" s="2" t="s">
        <v>94</v>
      </c>
      <c r="X222" s="2" t="s">
        <v>121</v>
      </c>
      <c r="Y222" s="3">
        <v>0</v>
      </c>
      <c r="Z222" t="str">
        <f>INDEX(Assets!$J:$J,MATCH(UPPER(TRIM(B222)),Assets!$A:$A,0))</f>
        <v>Arroyo</v>
      </c>
      <c r="AA222">
        <f t="shared" si="9"/>
        <v>341.2604</v>
      </c>
      <c r="AB222" s="21">
        <f t="shared" si="10"/>
        <v>45839</v>
      </c>
      <c r="AC222">
        <f>SUMIFS(Production!$H:$H,Production!$A:$A,UPPER(TRIM(B222)),Production!$B:$B,AB222)-SUMIFS(Production!$I:$I,Production!$A:$A,UPPER(TRIM(B222)),Production!$B:$B,AB222)</f>
        <v>42.6</v>
      </c>
      <c r="AD222">
        <f t="shared" si="11"/>
        <v>14537.69304</v>
      </c>
    </row>
    <row r="223" spans="1:30" ht="21" customHeight="1">
      <c r="A223" s="2" t="s">
        <v>542</v>
      </c>
      <c r="B223" s="9" t="s">
        <v>41</v>
      </c>
      <c r="C223" s="5">
        <v>45860.5</v>
      </c>
      <c r="D223" s="4">
        <v>45861.6875</v>
      </c>
      <c r="E223" s="2" t="s">
        <v>83</v>
      </c>
      <c r="F223" s="2" t="s">
        <v>101</v>
      </c>
      <c r="G223" s="3">
        <v>5.47</v>
      </c>
      <c r="H223" s="3">
        <v>4.6399999999999997</v>
      </c>
      <c r="I223" s="3">
        <v>10.15</v>
      </c>
      <c r="J223" s="3">
        <v>7.48</v>
      </c>
      <c r="K223" s="3">
        <v>0.76</v>
      </c>
      <c r="L223" s="3">
        <v>28.5</v>
      </c>
      <c r="M223" s="3">
        <v>741</v>
      </c>
      <c r="N223" s="3">
        <v>0.24</v>
      </c>
      <c r="O223" s="2" t="s">
        <v>543</v>
      </c>
      <c r="P223" s="4">
        <v>45860.72791666667</v>
      </c>
      <c r="Q223" s="4">
        <v>45861.6875</v>
      </c>
      <c r="R223" s="2" t="s">
        <v>86</v>
      </c>
      <c r="S223" s="3">
        <v>14.96</v>
      </c>
      <c r="T223" s="2">
        <v>85</v>
      </c>
      <c r="U223" s="3">
        <v>8614</v>
      </c>
      <c r="V223" s="3">
        <v>0</v>
      </c>
      <c r="W223" s="2" t="s">
        <v>94</v>
      </c>
      <c r="X223" s="2" t="s">
        <v>103</v>
      </c>
      <c r="Y223" s="3">
        <v>0</v>
      </c>
      <c r="Z223" t="str">
        <f>INDEX(Assets!$J:$J,MATCH(UPPER(TRIM(B223)),Assets!$A:$A,0))</f>
        <v>Arroyo</v>
      </c>
      <c r="AA223">
        <f t="shared" si="9"/>
        <v>563.16</v>
      </c>
      <c r="AB223" s="21">
        <f t="shared" si="10"/>
        <v>45839</v>
      </c>
      <c r="AC223">
        <f>SUMIFS(Production!$H:$H,Production!$A:$A,UPPER(TRIM(B223)),Production!$B:$B,AB223)-SUMIFS(Production!$I:$I,Production!$A:$A,UPPER(TRIM(B223)),Production!$B:$B,AB223)</f>
        <v>42.6</v>
      </c>
      <c r="AD223">
        <f t="shared" si="11"/>
        <v>23990.615999999998</v>
      </c>
    </row>
    <row r="224" spans="1:30" ht="21" customHeight="1">
      <c r="A224" s="2" t="s">
        <v>544</v>
      </c>
      <c r="B224" s="9" t="s">
        <v>41</v>
      </c>
      <c r="C224" s="5">
        <v>45866.5</v>
      </c>
      <c r="D224" s="4">
        <v>45866.690416666665</v>
      </c>
      <c r="E224" s="2" t="s">
        <v>90</v>
      </c>
      <c r="F224" s="2" t="s">
        <v>91</v>
      </c>
      <c r="G224" s="3">
        <v>0</v>
      </c>
      <c r="H224" s="3">
        <v>0</v>
      </c>
      <c r="I224" s="3">
        <v>0</v>
      </c>
      <c r="J224" s="3">
        <v>4.57</v>
      </c>
      <c r="K224" s="3">
        <v>0</v>
      </c>
      <c r="L224" s="3">
        <v>4.57</v>
      </c>
      <c r="M224" s="3">
        <v>118.82</v>
      </c>
      <c r="N224" s="3">
        <v>0.25</v>
      </c>
      <c r="O224" s="2" t="s">
        <v>545</v>
      </c>
      <c r="P224" s="4">
        <v>45866.5</v>
      </c>
      <c r="Q224" s="4">
        <v>45866.690416666665</v>
      </c>
      <c r="R224" s="2" t="s">
        <v>93</v>
      </c>
      <c r="S224" s="3">
        <v>4.57</v>
      </c>
      <c r="T224" s="2">
        <v>85</v>
      </c>
      <c r="U224" s="3">
        <v>1332</v>
      </c>
      <c r="V224" s="3">
        <v>0</v>
      </c>
      <c r="W224" s="2" t="s">
        <v>94</v>
      </c>
      <c r="X224" s="2" t="s">
        <v>95</v>
      </c>
      <c r="Y224" s="3">
        <v>0</v>
      </c>
      <c r="Z224" t="str">
        <f>INDEX(Assets!$J:$J,MATCH(UPPER(TRIM(B224)),Assets!$A:$A,0))</f>
        <v>Arroyo</v>
      </c>
      <c r="AA224">
        <f t="shared" si="9"/>
        <v>89.114999999999995</v>
      </c>
      <c r="AB224" s="21">
        <f t="shared" si="10"/>
        <v>45839</v>
      </c>
      <c r="AC224">
        <f>SUMIFS(Production!$H:$H,Production!$A:$A,UPPER(TRIM(B224)),Production!$B:$B,AB224)-SUMIFS(Production!$I:$I,Production!$A:$A,UPPER(TRIM(B224)),Production!$B:$B,AB224)</f>
        <v>42.6</v>
      </c>
      <c r="AD224">
        <f t="shared" si="11"/>
        <v>3796.299</v>
      </c>
    </row>
    <row r="225" spans="1:30" ht="21" customHeight="1">
      <c r="A225" s="2" t="s">
        <v>546</v>
      </c>
      <c r="B225" s="9" t="s">
        <v>41</v>
      </c>
      <c r="C225" s="5">
        <v>45875.5</v>
      </c>
      <c r="D225" s="4">
        <v>45877.572083333333</v>
      </c>
      <c r="E225" s="2" t="s">
        <v>83</v>
      </c>
      <c r="F225" s="2" t="s">
        <v>115</v>
      </c>
      <c r="G225" s="3">
        <v>8.4</v>
      </c>
      <c r="H225" s="3">
        <v>8.94</v>
      </c>
      <c r="I225" s="3">
        <v>21.7</v>
      </c>
      <c r="J225" s="3">
        <v>8.6999999999999993</v>
      </c>
      <c r="K225" s="3">
        <v>1.99</v>
      </c>
      <c r="L225" s="3">
        <v>49.73</v>
      </c>
      <c r="M225" s="3">
        <v>1292.98</v>
      </c>
      <c r="N225" s="3">
        <v>0.26</v>
      </c>
      <c r="O225" s="2" t="s">
        <v>547</v>
      </c>
      <c r="P225" s="4">
        <v>45875.85</v>
      </c>
      <c r="Q225" s="4">
        <v>45877.572083333333</v>
      </c>
      <c r="R225" s="2" t="s">
        <v>86</v>
      </c>
      <c r="S225" s="3">
        <v>17.399999999999999</v>
      </c>
      <c r="T225" s="2">
        <v>85</v>
      </c>
      <c r="U225" s="3">
        <v>8119</v>
      </c>
      <c r="V225" s="3">
        <v>0</v>
      </c>
      <c r="W225" s="2" t="s">
        <v>94</v>
      </c>
      <c r="X225" s="2" t="s">
        <v>117</v>
      </c>
      <c r="Y225" s="3">
        <v>0</v>
      </c>
      <c r="Z225" t="str">
        <f>INDEX(Assets!$J:$J,MATCH(UPPER(TRIM(B225)),Assets!$A:$A,0))</f>
        <v>Arroyo</v>
      </c>
      <c r="AA225">
        <f t="shared" si="9"/>
        <v>956.80520000000001</v>
      </c>
      <c r="AB225" s="21">
        <f t="shared" si="10"/>
        <v>45870</v>
      </c>
      <c r="AC225">
        <f>SUMIFS(Production!$H:$H,Production!$A:$A,UPPER(TRIM(B225)),Production!$B:$B,AB225)-SUMIFS(Production!$I:$I,Production!$A:$A,UPPER(TRIM(B225)),Production!$B:$B,AB225)</f>
        <v>41.6</v>
      </c>
      <c r="AD225">
        <f t="shared" si="11"/>
        <v>39803.096320000004</v>
      </c>
    </row>
    <row r="226" spans="1:30" ht="21" customHeight="1">
      <c r="A226" s="2" t="s">
        <v>548</v>
      </c>
      <c r="B226" s="9" t="s">
        <v>41</v>
      </c>
      <c r="C226" s="5">
        <v>45904.5</v>
      </c>
      <c r="D226" s="4">
        <v>45905.445833333331</v>
      </c>
      <c r="E226" s="2" t="s">
        <v>83</v>
      </c>
      <c r="F226" s="2" t="s">
        <v>119</v>
      </c>
      <c r="G226" s="3">
        <v>5.16</v>
      </c>
      <c r="H226" s="3">
        <v>9.34</v>
      </c>
      <c r="I226" s="3">
        <v>0</v>
      </c>
      <c r="J226" s="3">
        <v>7.63</v>
      </c>
      <c r="K226" s="3">
        <v>0.56999999999999995</v>
      </c>
      <c r="L226" s="3">
        <v>22.7</v>
      </c>
      <c r="M226" s="3">
        <v>590.20000000000005</v>
      </c>
      <c r="N226" s="3">
        <v>0.13</v>
      </c>
      <c r="O226" s="2" t="s">
        <v>549</v>
      </c>
      <c r="P226" s="4">
        <v>45904.714999999997</v>
      </c>
      <c r="Q226" s="4">
        <v>45905.445833333331</v>
      </c>
      <c r="R226" s="2" t="s">
        <v>86</v>
      </c>
      <c r="S226" s="3">
        <v>15.26</v>
      </c>
      <c r="T226" s="2">
        <v>85</v>
      </c>
      <c r="U226" s="3">
        <v>9112</v>
      </c>
      <c r="V226" s="3">
        <v>0</v>
      </c>
      <c r="W226" s="2" t="s">
        <v>94</v>
      </c>
      <c r="X226" s="2" t="s">
        <v>121</v>
      </c>
      <c r="Y226" s="3">
        <v>0</v>
      </c>
      <c r="Z226" t="str">
        <f>INDEX(Assets!$J:$J,MATCH(UPPER(TRIM(B226)),Assets!$A:$A,0))</f>
        <v>Arroyo</v>
      </c>
      <c r="AA226">
        <f t="shared" si="9"/>
        <v>513.47400000000005</v>
      </c>
      <c r="AB226" s="21">
        <f t="shared" si="10"/>
        <v>45901</v>
      </c>
      <c r="AC226">
        <f>SUMIFS(Production!$H:$H,Production!$A:$A,UPPER(TRIM(B226)),Production!$B:$B,AB226)-SUMIFS(Production!$I:$I,Production!$A:$A,UPPER(TRIM(B226)),Production!$B:$B,AB226)</f>
        <v>38.6</v>
      </c>
      <c r="AD226">
        <f t="shared" si="11"/>
        <v>19820.096400000002</v>
      </c>
    </row>
    <row r="227" spans="1:30" ht="21" customHeight="1">
      <c r="A227" s="2" t="s">
        <v>550</v>
      </c>
      <c r="B227" s="9" t="s">
        <v>41</v>
      </c>
      <c r="C227" s="5">
        <v>45920.5</v>
      </c>
      <c r="D227" s="4">
        <v>45922.492083333331</v>
      </c>
      <c r="E227" s="2" t="s">
        <v>83</v>
      </c>
      <c r="F227" s="2" t="s">
        <v>101</v>
      </c>
      <c r="G227" s="3">
        <v>8</v>
      </c>
      <c r="H227" s="3">
        <v>5.34</v>
      </c>
      <c r="I227" s="3">
        <v>24.88</v>
      </c>
      <c r="J227" s="3">
        <v>7.96</v>
      </c>
      <c r="K227" s="3">
        <v>1.63</v>
      </c>
      <c r="L227" s="3">
        <v>47.81</v>
      </c>
      <c r="M227" s="3">
        <v>1243.06</v>
      </c>
      <c r="N227" s="3">
        <v>0.25</v>
      </c>
      <c r="O227" s="2" t="s">
        <v>551</v>
      </c>
      <c r="P227" s="4">
        <v>45920.833333333328</v>
      </c>
      <c r="Q227" s="4">
        <v>45922.492083333331</v>
      </c>
      <c r="R227" s="2" t="s">
        <v>86</v>
      </c>
      <c r="S227" s="3">
        <v>7.96</v>
      </c>
      <c r="T227" s="2">
        <v>85</v>
      </c>
      <c r="U227" s="3">
        <v>8766</v>
      </c>
      <c r="V227" s="3">
        <v>0</v>
      </c>
      <c r="W227" s="2" t="s">
        <v>94</v>
      </c>
      <c r="X227" s="2" t="s">
        <v>103</v>
      </c>
      <c r="Y227" s="3">
        <v>0</v>
      </c>
      <c r="Z227" t="str">
        <f>INDEX(Assets!$J:$J,MATCH(UPPER(TRIM(B227)),Assets!$A:$A,0))</f>
        <v>Arroyo</v>
      </c>
      <c r="AA227">
        <f t="shared" si="9"/>
        <v>932.29499999999996</v>
      </c>
      <c r="AB227" s="21">
        <f t="shared" si="10"/>
        <v>45901</v>
      </c>
      <c r="AC227">
        <f>SUMIFS(Production!$H:$H,Production!$A:$A,UPPER(TRIM(B227)),Production!$B:$B,AB227)-SUMIFS(Production!$I:$I,Production!$A:$A,UPPER(TRIM(B227)),Production!$B:$B,AB227)</f>
        <v>38.6</v>
      </c>
      <c r="AD227">
        <f t="shared" si="11"/>
        <v>35986.587</v>
      </c>
    </row>
    <row r="228" spans="1:30" ht="21" customHeight="1">
      <c r="A228" s="2" t="s">
        <v>552</v>
      </c>
      <c r="B228" s="9" t="s">
        <v>41</v>
      </c>
      <c r="C228" s="5">
        <v>45934.5</v>
      </c>
      <c r="D228" s="4">
        <v>45935.566666666666</v>
      </c>
      <c r="E228" s="2" t="s">
        <v>83</v>
      </c>
      <c r="F228" s="2" t="s">
        <v>119</v>
      </c>
      <c r="G228" s="3">
        <v>3.29</v>
      </c>
      <c r="H228" s="3">
        <v>4.71</v>
      </c>
      <c r="I228" s="3">
        <v>11.36</v>
      </c>
      <c r="J228" s="3">
        <v>5.15</v>
      </c>
      <c r="K228" s="3">
        <v>1.0900000000000001</v>
      </c>
      <c r="L228" s="3">
        <v>25.6</v>
      </c>
      <c r="M228" s="3">
        <v>665.6</v>
      </c>
      <c r="N228" s="3">
        <v>0.26</v>
      </c>
      <c r="O228" s="2" t="s">
        <v>553</v>
      </c>
      <c r="P228" s="4">
        <v>45934.637083333335</v>
      </c>
      <c r="Q228" s="4">
        <v>45935.566666666666</v>
      </c>
      <c r="R228" s="2" t="s">
        <v>86</v>
      </c>
      <c r="S228" s="3">
        <v>5.15</v>
      </c>
      <c r="T228" s="2">
        <v>85</v>
      </c>
      <c r="U228" s="3">
        <v>5565</v>
      </c>
      <c r="V228" s="3">
        <v>1342</v>
      </c>
      <c r="W228" s="2" t="s">
        <v>94</v>
      </c>
      <c r="X228" s="2" t="s">
        <v>121</v>
      </c>
      <c r="Y228" s="3">
        <v>0</v>
      </c>
      <c r="Z228" t="str">
        <f>INDEX(Assets!$J:$J,MATCH(UPPER(TRIM(B228)),Assets!$A:$A,0))</f>
        <v>Arroyo</v>
      </c>
      <c r="AA228">
        <f t="shared" si="9"/>
        <v>492.54399999999998</v>
      </c>
      <c r="AB228" s="21">
        <f t="shared" si="10"/>
        <v>45931</v>
      </c>
      <c r="AC228">
        <f>SUMIFS(Production!$H:$H,Production!$A:$A,UPPER(TRIM(B228)),Production!$B:$B,AB228)-SUMIFS(Production!$I:$I,Production!$A:$A,UPPER(TRIM(B228)),Production!$B:$B,AB228)</f>
        <v>37.6</v>
      </c>
      <c r="AD228">
        <f t="shared" si="11"/>
        <v>18519.654399999999</v>
      </c>
    </row>
    <row r="229" spans="1:30" ht="21" customHeight="1">
      <c r="A229" s="2" t="s">
        <v>554</v>
      </c>
      <c r="B229" s="9" t="s">
        <v>41</v>
      </c>
      <c r="C229" s="5">
        <v>45951.5</v>
      </c>
      <c r="D229" s="4">
        <v>45952.366666666669</v>
      </c>
      <c r="E229" s="2" t="s">
        <v>83</v>
      </c>
      <c r="F229" s="2" t="s">
        <v>101</v>
      </c>
      <c r="G229" s="3">
        <v>4.6900000000000004</v>
      </c>
      <c r="H229" s="3">
        <v>5.22</v>
      </c>
      <c r="I229" s="3">
        <v>0</v>
      </c>
      <c r="J229" s="3">
        <v>9.23</v>
      </c>
      <c r="K229" s="3">
        <v>1.66</v>
      </c>
      <c r="L229" s="3">
        <v>20.8</v>
      </c>
      <c r="M229" s="3">
        <v>540.79999999999995</v>
      </c>
      <c r="N229" s="3">
        <v>0.1</v>
      </c>
      <c r="O229" s="2" t="s">
        <v>555</v>
      </c>
      <c r="P229" s="4">
        <v>45951.695416666669</v>
      </c>
      <c r="Q229" s="4">
        <v>45952.366666666669</v>
      </c>
      <c r="R229" s="2" t="s">
        <v>86</v>
      </c>
      <c r="S229" s="3">
        <v>9.23</v>
      </c>
      <c r="T229" s="2">
        <v>85</v>
      </c>
      <c r="U229" s="3">
        <v>7076</v>
      </c>
      <c r="V229" s="3">
        <v>0</v>
      </c>
      <c r="W229" s="2" t="s">
        <v>94</v>
      </c>
      <c r="X229" s="2" t="s">
        <v>103</v>
      </c>
      <c r="Y229" s="3">
        <v>0</v>
      </c>
      <c r="Z229" t="str">
        <f>INDEX(Assets!$J:$J,MATCH(UPPER(TRIM(B229)),Assets!$A:$A,0))</f>
        <v>Arroyo</v>
      </c>
      <c r="AA229">
        <f t="shared" si="9"/>
        <v>486.71999999999997</v>
      </c>
      <c r="AB229" s="21">
        <f t="shared" si="10"/>
        <v>45931</v>
      </c>
      <c r="AC229">
        <f>SUMIFS(Production!$H:$H,Production!$A:$A,UPPER(TRIM(B229)),Production!$B:$B,AB229)-SUMIFS(Production!$I:$I,Production!$A:$A,UPPER(TRIM(B229)),Production!$B:$B,AB229)</f>
        <v>37.6</v>
      </c>
      <c r="AD229">
        <f t="shared" si="11"/>
        <v>18300.671999999999</v>
      </c>
    </row>
    <row r="230" spans="1:30" ht="21" customHeight="1">
      <c r="A230" s="2" t="s">
        <v>556</v>
      </c>
      <c r="B230" s="9" t="s">
        <v>41</v>
      </c>
      <c r="C230" s="5">
        <v>45958.5</v>
      </c>
      <c r="D230" s="4">
        <v>45958.801250000004</v>
      </c>
      <c r="E230" s="2" t="s">
        <v>90</v>
      </c>
      <c r="F230" s="2" t="s">
        <v>91</v>
      </c>
      <c r="G230" s="3">
        <v>0</v>
      </c>
      <c r="H230" s="3">
        <v>0</v>
      </c>
      <c r="I230" s="3">
        <v>0</v>
      </c>
      <c r="J230" s="3">
        <v>7.23</v>
      </c>
      <c r="K230" s="3">
        <v>0</v>
      </c>
      <c r="L230" s="3">
        <v>7.23</v>
      </c>
      <c r="M230" s="3">
        <v>187.98</v>
      </c>
      <c r="N230" s="3">
        <v>0.25</v>
      </c>
      <c r="O230" s="2" t="s">
        <v>557</v>
      </c>
      <c r="P230" s="4">
        <v>45958.5</v>
      </c>
      <c r="Q230" s="4">
        <v>45958.801250000004</v>
      </c>
      <c r="R230" s="2" t="s">
        <v>93</v>
      </c>
      <c r="S230" s="3">
        <v>14.46</v>
      </c>
      <c r="T230" s="2">
        <v>85</v>
      </c>
      <c r="U230" s="3">
        <v>1044</v>
      </c>
      <c r="V230" s="3">
        <v>3653</v>
      </c>
      <c r="W230" s="2" t="s">
        <v>94</v>
      </c>
      <c r="X230" s="2" t="s">
        <v>95</v>
      </c>
      <c r="Y230" s="3">
        <v>0</v>
      </c>
      <c r="Z230" t="str">
        <f>INDEX(Assets!$J:$J,MATCH(UPPER(TRIM(B230)),Assets!$A:$A,0))</f>
        <v>Arroyo</v>
      </c>
      <c r="AA230">
        <f t="shared" si="9"/>
        <v>140.98499999999999</v>
      </c>
      <c r="AB230" s="21">
        <f t="shared" si="10"/>
        <v>45931</v>
      </c>
      <c r="AC230">
        <f>SUMIFS(Production!$H:$H,Production!$A:$A,UPPER(TRIM(B230)),Production!$B:$B,AB230)-SUMIFS(Production!$I:$I,Production!$A:$A,UPPER(TRIM(B230)),Production!$B:$B,AB230)</f>
        <v>37.6</v>
      </c>
      <c r="AD230">
        <f t="shared" si="11"/>
        <v>5301.0360000000001</v>
      </c>
    </row>
    <row r="231" spans="1:30" ht="21" customHeight="1">
      <c r="A231" s="2" t="s">
        <v>558</v>
      </c>
      <c r="B231" s="9" t="s">
        <v>41</v>
      </c>
      <c r="C231" s="5">
        <v>45966.5</v>
      </c>
      <c r="D231" s="4">
        <v>45967.077499999999</v>
      </c>
      <c r="E231" s="2" t="s">
        <v>83</v>
      </c>
      <c r="F231" s="2" t="s">
        <v>115</v>
      </c>
      <c r="G231" s="3">
        <v>4.42</v>
      </c>
      <c r="H231" s="3">
        <v>3.78</v>
      </c>
      <c r="I231" s="3">
        <v>0</v>
      </c>
      <c r="J231" s="3">
        <v>4.79</v>
      </c>
      <c r="K231" s="3">
        <v>0.87</v>
      </c>
      <c r="L231" s="3">
        <v>13.86</v>
      </c>
      <c r="M231" s="3">
        <v>360.36</v>
      </c>
      <c r="N231" s="3">
        <v>0.28000000000000003</v>
      </c>
      <c r="O231" s="2" t="s">
        <v>559</v>
      </c>
      <c r="P231" s="4">
        <v>45966.684166666666</v>
      </c>
      <c r="Q231" s="4">
        <v>45967.077499999999</v>
      </c>
      <c r="R231" s="2" t="s">
        <v>86</v>
      </c>
      <c r="S231" s="3">
        <v>9.58</v>
      </c>
      <c r="T231" s="2">
        <v>85</v>
      </c>
      <c r="U231" s="3">
        <v>7864</v>
      </c>
      <c r="V231" s="3">
        <v>3809</v>
      </c>
      <c r="W231" s="2" t="s">
        <v>94</v>
      </c>
      <c r="X231" s="2" t="s">
        <v>117</v>
      </c>
      <c r="Y231" s="3">
        <v>0</v>
      </c>
      <c r="Z231" t="str">
        <f>INDEX(Assets!$J:$J,MATCH(UPPER(TRIM(B231)),Assets!$A:$A,0))</f>
        <v>Arroyo</v>
      </c>
      <c r="AA231">
        <f t="shared" si="9"/>
        <v>259.45920000000001</v>
      </c>
      <c r="AB231" s="21">
        <f t="shared" si="10"/>
        <v>45962</v>
      </c>
      <c r="AC231">
        <f>SUMIFS(Production!$H:$H,Production!$A:$A,UPPER(TRIM(B231)),Production!$B:$B,AB231)-SUMIFS(Production!$I:$I,Production!$A:$A,UPPER(TRIM(B231)),Production!$B:$B,AB231)</f>
        <v>39.6</v>
      </c>
      <c r="AD231">
        <f t="shared" si="11"/>
        <v>10274.58432</v>
      </c>
    </row>
    <row r="232" spans="1:30" ht="21" customHeight="1">
      <c r="A232" s="2" t="s">
        <v>560</v>
      </c>
      <c r="B232" s="9" t="s">
        <v>41</v>
      </c>
      <c r="C232" s="5">
        <v>45981.5</v>
      </c>
      <c r="D232" s="4">
        <v>45982.322499999995</v>
      </c>
      <c r="E232" s="2" t="s">
        <v>83</v>
      </c>
      <c r="F232" s="2" t="s">
        <v>101</v>
      </c>
      <c r="G232" s="3">
        <v>8.18</v>
      </c>
      <c r="H232" s="3">
        <v>2.2599999999999998</v>
      </c>
      <c r="I232" s="3">
        <v>0</v>
      </c>
      <c r="J232" s="3">
        <v>6.86</v>
      </c>
      <c r="K232" s="3">
        <v>2.44</v>
      </c>
      <c r="L232" s="3">
        <v>19.739999999999998</v>
      </c>
      <c r="M232" s="3">
        <v>513.24</v>
      </c>
      <c r="N232" s="3">
        <v>0.23</v>
      </c>
      <c r="O232" s="2" t="s">
        <v>561</v>
      </c>
      <c r="P232" s="4">
        <v>45981.840833333335</v>
      </c>
      <c r="Q232" s="4">
        <v>45982.322499999995</v>
      </c>
      <c r="R232" s="2" t="s">
        <v>86</v>
      </c>
      <c r="S232" s="3">
        <v>6.86</v>
      </c>
      <c r="T232" s="2">
        <v>85</v>
      </c>
      <c r="U232" s="3">
        <v>5494</v>
      </c>
      <c r="V232" s="3">
        <v>0</v>
      </c>
      <c r="W232" s="2" t="s">
        <v>94</v>
      </c>
      <c r="X232" s="2" t="s">
        <v>103</v>
      </c>
      <c r="Y232" s="3">
        <v>0</v>
      </c>
      <c r="Z232" t="str">
        <f>INDEX(Assets!$J:$J,MATCH(UPPER(TRIM(B232)),Assets!$A:$A,0))</f>
        <v>Arroyo</v>
      </c>
      <c r="AA232">
        <f t="shared" si="9"/>
        <v>395.19480000000004</v>
      </c>
      <c r="AB232" s="21">
        <f t="shared" si="10"/>
        <v>45962</v>
      </c>
      <c r="AC232">
        <f>SUMIFS(Production!$H:$H,Production!$A:$A,UPPER(TRIM(B232)),Production!$B:$B,AB232)-SUMIFS(Production!$I:$I,Production!$A:$A,UPPER(TRIM(B232)),Production!$B:$B,AB232)</f>
        <v>39.6</v>
      </c>
      <c r="AD232">
        <f t="shared" si="11"/>
        <v>15649.714080000002</v>
      </c>
    </row>
    <row r="233" spans="1:30" ht="21" customHeight="1">
      <c r="A233" s="2" t="s">
        <v>562</v>
      </c>
      <c r="B233" s="9" t="s">
        <v>41</v>
      </c>
      <c r="C233" s="5">
        <v>45998.5</v>
      </c>
      <c r="D233" s="4">
        <v>45999.661666666667</v>
      </c>
      <c r="E233" s="2" t="s">
        <v>83</v>
      </c>
      <c r="F233" s="2" t="s">
        <v>119</v>
      </c>
      <c r="G233" s="3">
        <v>3.19</v>
      </c>
      <c r="H233" s="3">
        <v>9.5399999999999991</v>
      </c>
      <c r="I233" s="3">
        <v>8.94</v>
      </c>
      <c r="J233" s="3">
        <v>5.1100000000000003</v>
      </c>
      <c r="K233" s="3">
        <v>1.1000000000000001</v>
      </c>
      <c r="L233" s="3">
        <v>27.88</v>
      </c>
      <c r="M233" s="3">
        <v>724.88</v>
      </c>
      <c r="N233" s="3">
        <v>0.24</v>
      </c>
      <c r="O233" s="2" t="s">
        <v>563</v>
      </c>
      <c r="P233" s="4">
        <v>45998.632916666669</v>
      </c>
      <c r="Q233" s="4">
        <v>45999.661666666667</v>
      </c>
      <c r="R233" s="2" t="s">
        <v>86</v>
      </c>
      <c r="S233" s="3">
        <v>10.220000000000001</v>
      </c>
      <c r="T233" s="2">
        <v>85</v>
      </c>
      <c r="U233" s="3">
        <v>1330</v>
      </c>
      <c r="V233" s="3">
        <v>0</v>
      </c>
      <c r="W233" s="2" t="s">
        <v>94</v>
      </c>
      <c r="X233" s="2" t="s">
        <v>121</v>
      </c>
      <c r="Y233" s="3">
        <v>0</v>
      </c>
      <c r="Z233" t="str">
        <f>INDEX(Assets!$J:$J,MATCH(UPPER(TRIM(B233)),Assets!$A:$A,0))</f>
        <v>Arroyo</v>
      </c>
      <c r="AA233">
        <f t="shared" si="9"/>
        <v>550.90880000000004</v>
      </c>
      <c r="AB233" s="21">
        <f t="shared" si="10"/>
        <v>45992</v>
      </c>
      <c r="AC233">
        <f>SUMIFS(Production!$H:$H,Production!$A:$A,UPPER(TRIM(B233)),Production!$B:$B,AB233)-SUMIFS(Production!$I:$I,Production!$A:$A,UPPER(TRIM(B233)),Production!$B:$B,AB233)</f>
        <v>40.6</v>
      </c>
      <c r="AD233">
        <f t="shared" si="11"/>
        <v>22366.897280000001</v>
      </c>
    </row>
    <row r="234" spans="1:30" ht="21" customHeight="1">
      <c r="A234" s="2" t="s">
        <v>564</v>
      </c>
      <c r="B234" s="9" t="s">
        <v>41</v>
      </c>
      <c r="C234" s="5">
        <v>46011.5</v>
      </c>
      <c r="D234" s="4">
        <v>46013.208333333328</v>
      </c>
      <c r="E234" s="2" t="s">
        <v>83</v>
      </c>
      <c r="F234" s="2" t="s">
        <v>115</v>
      </c>
      <c r="G234" s="3">
        <v>1.9</v>
      </c>
      <c r="H234" s="3">
        <v>4.2300000000000004</v>
      </c>
      <c r="I234" s="3">
        <v>24.03</v>
      </c>
      <c r="J234" s="3">
        <v>9.6999999999999993</v>
      </c>
      <c r="K234" s="3">
        <v>1.1399999999999999</v>
      </c>
      <c r="L234" s="3">
        <v>41</v>
      </c>
      <c r="M234" s="3">
        <v>1066</v>
      </c>
      <c r="N234" s="3">
        <v>0.15</v>
      </c>
      <c r="O234" s="2" t="s">
        <v>565</v>
      </c>
      <c r="P234" s="4">
        <v>46011.579166666663</v>
      </c>
      <c r="Q234" s="4">
        <v>46013.208333333328</v>
      </c>
      <c r="R234" s="2" t="s">
        <v>86</v>
      </c>
      <c r="S234" s="3">
        <v>9.6999999999999993</v>
      </c>
      <c r="T234" s="2">
        <v>85</v>
      </c>
      <c r="U234" s="3"/>
      <c r="V234" s="3">
        <v>0</v>
      </c>
      <c r="W234" s="2" t="s">
        <v>87</v>
      </c>
      <c r="X234" s="2" t="s">
        <v>117</v>
      </c>
      <c r="Y234" s="3">
        <v>0</v>
      </c>
      <c r="Z234" t="str">
        <f>INDEX(Assets!$J:$J,MATCH(UPPER(TRIM(B234)),Assets!$A:$A,0))</f>
        <v>Arroyo</v>
      </c>
      <c r="AA234">
        <f t="shared" si="9"/>
        <v>906.1</v>
      </c>
      <c r="AB234" s="21">
        <f t="shared" si="10"/>
        <v>45992</v>
      </c>
      <c r="AC234">
        <f>SUMIFS(Production!$H:$H,Production!$A:$A,UPPER(TRIM(B234)),Production!$B:$B,AB234)-SUMIFS(Production!$I:$I,Production!$A:$A,UPPER(TRIM(B234)),Production!$B:$B,AB234)</f>
        <v>40.6</v>
      </c>
      <c r="AD234">
        <f t="shared" si="11"/>
        <v>36787.660000000003</v>
      </c>
    </row>
    <row r="235" spans="1:30" ht="21" customHeight="1">
      <c r="A235" s="2" t="s">
        <v>566</v>
      </c>
      <c r="B235" s="9" t="s">
        <v>42</v>
      </c>
      <c r="C235" s="5">
        <v>45662.5</v>
      </c>
      <c r="D235" s="4">
        <v>45663.938750000001</v>
      </c>
      <c r="E235" s="2" t="s">
        <v>83</v>
      </c>
      <c r="F235" s="2" t="s">
        <v>84</v>
      </c>
      <c r="G235" s="3">
        <v>5.72</v>
      </c>
      <c r="H235" s="3">
        <v>7.76</v>
      </c>
      <c r="I235" s="3">
        <v>15.38</v>
      </c>
      <c r="J235" s="3">
        <v>3.36</v>
      </c>
      <c r="K235" s="3">
        <v>2.31</v>
      </c>
      <c r="L235" s="3">
        <v>34.53</v>
      </c>
      <c r="M235" s="3">
        <v>1035.9000000000001</v>
      </c>
      <c r="N235" s="3">
        <v>0.28000000000000003</v>
      </c>
      <c r="O235" s="2" t="s">
        <v>567</v>
      </c>
      <c r="P235" s="4">
        <v>45662.738333333335</v>
      </c>
      <c r="Q235" s="4">
        <v>45663.938750000001</v>
      </c>
      <c r="R235" s="2" t="s">
        <v>86</v>
      </c>
      <c r="S235" s="3">
        <v>3.36</v>
      </c>
      <c r="T235" s="2">
        <v>85</v>
      </c>
      <c r="U235" s="3">
        <v>5906</v>
      </c>
      <c r="V235" s="3">
        <v>1156</v>
      </c>
      <c r="W235" s="2" t="s">
        <v>94</v>
      </c>
      <c r="X235" s="2" t="s">
        <v>88</v>
      </c>
      <c r="Y235" s="3">
        <v>0</v>
      </c>
      <c r="Z235" t="str">
        <f>INDEX(Assets!$J:$J,MATCH(UPPER(TRIM(B235)),Assets!$A:$A,0))</f>
        <v>Arroyo</v>
      </c>
      <c r="AA235">
        <f t="shared" si="9"/>
        <v>745.84800000000007</v>
      </c>
      <c r="AB235" s="21">
        <f t="shared" si="10"/>
        <v>45658</v>
      </c>
      <c r="AC235">
        <f>SUMIFS(Production!$H:$H,Production!$A:$A,UPPER(TRIM(B235)),Production!$B:$B,AB235)-SUMIFS(Production!$I:$I,Production!$A:$A,UPPER(TRIM(B235)),Production!$B:$B,AB235)</f>
        <v>47.6</v>
      </c>
      <c r="AD235">
        <f t="shared" si="11"/>
        <v>35502.364800000003</v>
      </c>
    </row>
    <row r="236" spans="1:30" ht="21" customHeight="1">
      <c r="A236" s="2" t="s">
        <v>568</v>
      </c>
      <c r="B236" s="9" t="s">
        <v>42</v>
      </c>
      <c r="C236" s="5">
        <v>45678.5</v>
      </c>
      <c r="D236" s="4">
        <v>45679.323333333334</v>
      </c>
      <c r="E236" s="2" t="s">
        <v>83</v>
      </c>
      <c r="F236" s="2" t="s">
        <v>101</v>
      </c>
      <c r="G236" s="3">
        <v>7.88</v>
      </c>
      <c r="H236" s="3">
        <v>5.84</v>
      </c>
      <c r="I236" s="3">
        <v>0</v>
      </c>
      <c r="J236" s="3">
        <v>4.33</v>
      </c>
      <c r="K236" s="3">
        <v>1.71</v>
      </c>
      <c r="L236" s="3">
        <v>19.760000000000002</v>
      </c>
      <c r="M236" s="3">
        <v>592.79999999999995</v>
      </c>
      <c r="N236" s="3">
        <v>0.16</v>
      </c>
      <c r="O236" s="2" t="s">
        <v>569</v>
      </c>
      <c r="P236" s="4">
        <v>45678.828333333338</v>
      </c>
      <c r="Q236" s="4">
        <v>45679.323333333334</v>
      </c>
      <c r="R236" s="2" t="s">
        <v>86</v>
      </c>
      <c r="S236" s="3">
        <v>8.66</v>
      </c>
      <c r="T236" s="2">
        <v>85</v>
      </c>
      <c r="U236" s="3">
        <v>2692</v>
      </c>
      <c r="V236" s="3">
        <v>0</v>
      </c>
      <c r="W236" s="2" t="s">
        <v>94</v>
      </c>
      <c r="X236" s="2" t="s">
        <v>103</v>
      </c>
      <c r="Y236" s="3">
        <v>0</v>
      </c>
      <c r="Z236" t="str">
        <f>INDEX(Assets!$J:$J,MATCH(UPPER(TRIM(B236)),Assets!$A:$A,0))</f>
        <v>Arroyo</v>
      </c>
      <c r="AA236">
        <f t="shared" si="9"/>
        <v>497.95199999999994</v>
      </c>
      <c r="AB236" s="21">
        <f t="shared" si="10"/>
        <v>45658</v>
      </c>
      <c r="AC236">
        <f>SUMIFS(Production!$H:$H,Production!$A:$A,UPPER(TRIM(B236)),Production!$B:$B,AB236)-SUMIFS(Production!$I:$I,Production!$A:$A,UPPER(TRIM(B236)),Production!$B:$B,AB236)</f>
        <v>47.6</v>
      </c>
      <c r="AD236">
        <f t="shared" si="11"/>
        <v>23702.515199999998</v>
      </c>
    </row>
    <row r="237" spans="1:30" ht="21" customHeight="1">
      <c r="A237" s="2" t="s">
        <v>570</v>
      </c>
      <c r="B237" s="9" t="s">
        <v>42</v>
      </c>
      <c r="C237" s="5">
        <v>45685.5</v>
      </c>
      <c r="D237" s="4">
        <v>45685.691250000003</v>
      </c>
      <c r="E237" s="2" t="s">
        <v>90</v>
      </c>
      <c r="F237" s="2" t="s">
        <v>91</v>
      </c>
      <c r="G237" s="3">
        <v>0</v>
      </c>
      <c r="H237" s="3">
        <v>0</v>
      </c>
      <c r="I237" s="3">
        <v>0</v>
      </c>
      <c r="J237" s="3">
        <v>4.59</v>
      </c>
      <c r="K237" s="3">
        <v>0</v>
      </c>
      <c r="L237" s="3">
        <v>4.59</v>
      </c>
      <c r="M237" s="3">
        <v>137.69999999999999</v>
      </c>
      <c r="N237" s="3">
        <v>0.25</v>
      </c>
      <c r="O237" s="2" t="s">
        <v>571</v>
      </c>
      <c r="P237" s="4">
        <v>45685.5</v>
      </c>
      <c r="Q237" s="4">
        <v>45685.691250000003</v>
      </c>
      <c r="R237" s="2" t="s">
        <v>93</v>
      </c>
      <c r="S237" s="3">
        <v>9.18</v>
      </c>
      <c r="T237" s="2">
        <v>85</v>
      </c>
      <c r="U237" s="3">
        <v>466</v>
      </c>
      <c r="V237" s="3">
        <v>0</v>
      </c>
      <c r="W237" s="2" t="s">
        <v>94</v>
      </c>
      <c r="X237" s="2" t="s">
        <v>95</v>
      </c>
      <c r="Y237" s="3">
        <v>0</v>
      </c>
      <c r="Z237" t="str">
        <f>INDEX(Assets!$J:$J,MATCH(UPPER(TRIM(B237)),Assets!$A:$A,0))</f>
        <v>Arroyo</v>
      </c>
      <c r="AA237">
        <f t="shared" si="9"/>
        <v>103.27499999999999</v>
      </c>
      <c r="AB237" s="21">
        <f t="shared" si="10"/>
        <v>45658</v>
      </c>
      <c r="AC237">
        <f>SUMIFS(Production!$H:$H,Production!$A:$A,UPPER(TRIM(B237)),Production!$B:$B,AB237)-SUMIFS(Production!$I:$I,Production!$A:$A,UPPER(TRIM(B237)),Production!$B:$B,AB237)</f>
        <v>47.6</v>
      </c>
      <c r="AD237">
        <f t="shared" si="11"/>
        <v>4915.8899999999994</v>
      </c>
    </row>
    <row r="238" spans="1:30" ht="21" customHeight="1">
      <c r="A238" s="2" t="s">
        <v>572</v>
      </c>
      <c r="B238" s="9" t="s">
        <v>42</v>
      </c>
      <c r="C238" s="5">
        <v>45693.5</v>
      </c>
      <c r="D238" s="4">
        <v>45695.084166666667</v>
      </c>
      <c r="E238" s="2" t="s">
        <v>83</v>
      </c>
      <c r="F238" s="2" t="s">
        <v>97</v>
      </c>
      <c r="G238" s="3">
        <v>7.99</v>
      </c>
      <c r="H238" s="3">
        <v>8.49</v>
      </c>
      <c r="I238" s="3">
        <v>15.75</v>
      </c>
      <c r="J238" s="3">
        <v>4.09</v>
      </c>
      <c r="K238" s="3">
        <v>1.7</v>
      </c>
      <c r="L238" s="3">
        <v>38.020000000000003</v>
      </c>
      <c r="M238" s="3">
        <v>1140.5999999999999</v>
      </c>
      <c r="N238" s="3">
        <v>0.17</v>
      </c>
      <c r="O238" s="2" t="s">
        <v>573</v>
      </c>
      <c r="P238" s="4">
        <v>45693.832916666666</v>
      </c>
      <c r="Q238" s="4">
        <v>45695.084166666667</v>
      </c>
      <c r="R238" s="2" t="s">
        <v>86</v>
      </c>
      <c r="S238" s="3">
        <v>4.09</v>
      </c>
      <c r="T238" s="2">
        <v>85</v>
      </c>
      <c r="U238" s="3">
        <v>1898</v>
      </c>
      <c r="V238" s="3">
        <v>0</v>
      </c>
      <c r="W238" s="2" t="s">
        <v>94</v>
      </c>
      <c r="X238" s="2" t="s">
        <v>99</v>
      </c>
      <c r="Y238" s="3">
        <v>0</v>
      </c>
      <c r="Z238" t="str">
        <f>INDEX(Assets!$J:$J,MATCH(UPPER(TRIM(B238)),Assets!$A:$A,0))</f>
        <v>Arroyo</v>
      </c>
      <c r="AA238">
        <f t="shared" si="9"/>
        <v>946.69799999999987</v>
      </c>
      <c r="AB238" s="21">
        <f t="shared" si="10"/>
        <v>45689</v>
      </c>
      <c r="AC238">
        <f>SUMIFS(Production!$H:$H,Production!$A:$A,UPPER(TRIM(B238)),Production!$B:$B,AB238)-SUMIFS(Production!$I:$I,Production!$A:$A,UPPER(TRIM(B238)),Production!$B:$B,AB238)</f>
        <v>45.6</v>
      </c>
      <c r="AD238">
        <f t="shared" si="11"/>
        <v>43169.428799999994</v>
      </c>
    </row>
    <row r="239" spans="1:30" ht="21" customHeight="1">
      <c r="A239" s="2" t="s">
        <v>574</v>
      </c>
      <c r="B239" s="9" t="s">
        <v>42</v>
      </c>
      <c r="C239" s="5">
        <v>45708.5</v>
      </c>
      <c r="D239" s="4">
        <v>45709.391666666663</v>
      </c>
      <c r="E239" s="2" t="s">
        <v>83</v>
      </c>
      <c r="F239" s="2" t="s">
        <v>119</v>
      </c>
      <c r="G239" s="3">
        <v>6.76</v>
      </c>
      <c r="H239" s="3">
        <v>4.8600000000000003</v>
      </c>
      <c r="I239" s="3">
        <v>0</v>
      </c>
      <c r="J239" s="3">
        <v>9.1300000000000008</v>
      </c>
      <c r="K239" s="3">
        <v>0.65</v>
      </c>
      <c r="L239" s="3">
        <v>21.4</v>
      </c>
      <c r="M239" s="3">
        <v>642</v>
      </c>
      <c r="N239" s="3">
        <v>0.18</v>
      </c>
      <c r="O239" s="2" t="s">
        <v>575</v>
      </c>
      <c r="P239" s="4">
        <v>45708.781666666662</v>
      </c>
      <c r="Q239" s="4">
        <v>45709.391666666663</v>
      </c>
      <c r="R239" s="2" t="s">
        <v>86</v>
      </c>
      <c r="S239" s="3">
        <v>9.1300000000000008</v>
      </c>
      <c r="T239" s="2">
        <v>85</v>
      </c>
      <c r="U239" s="3">
        <v>3246</v>
      </c>
      <c r="V239" s="3">
        <v>0</v>
      </c>
      <c r="W239" s="2" t="s">
        <v>94</v>
      </c>
      <c r="X239" s="2" t="s">
        <v>121</v>
      </c>
      <c r="Y239" s="3">
        <v>0</v>
      </c>
      <c r="Z239" t="str">
        <f>INDEX(Assets!$J:$J,MATCH(UPPER(TRIM(B239)),Assets!$A:$A,0))</f>
        <v>Arroyo</v>
      </c>
      <c r="AA239">
        <f t="shared" si="9"/>
        <v>526.44000000000005</v>
      </c>
      <c r="AB239" s="21">
        <f t="shared" si="10"/>
        <v>45689</v>
      </c>
      <c r="AC239">
        <f>SUMIFS(Production!$H:$H,Production!$A:$A,UPPER(TRIM(B239)),Production!$B:$B,AB239)-SUMIFS(Production!$I:$I,Production!$A:$A,UPPER(TRIM(B239)),Production!$B:$B,AB239)</f>
        <v>45.6</v>
      </c>
      <c r="AD239">
        <f t="shared" si="11"/>
        <v>24005.664000000004</v>
      </c>
    </row>
    <row r="240" spans="1:30" ht="21" customHeight="1">
      <c r="A240" s="2" t="s">
        <v>576</v>
      </c>
      <c r="B240" s="9" t="s">
        <v>42</v>
      </c>
      <c r="C240" s="5">
        <v>45721.5</v>
      </c>
      <c r="D240" s="4">
        <v>45722.974999999999</v>
      </c>
      <c r="E240" s="2" t="s">
        <v>83</v>
      </c>
      <c r="F240" s="2" t="s">
        <v>119</v>
      </c>
      <c r="G240" s="3">
        <v>7.21</v>
      </c>
      <c r="H240" s="3">
        <v>5.45</v>
      </c>
      <c r="I240" s="3">
        <v>11.76</v>
      </c>
      <c r="J240" s="3">
        <v>10.07</v>
      </c>
      <c r="K240" s="3">
        <v>0.91</v>
      </c>
      <c r="L240" s="3">
        <v>35.4</v>
      </c>
      <c r="M240" s="3">
        <v>1062</v>
      </c>
      <c r="N240" s="3">
        <v>0.28000000000000003</v>
      </c>
      <c r="O240" s="2" t="s">
        <v>577</v>
      </c>
      <c r="P240" s="4">
        <v>45721.800416666665</v>
      </c>
      <c r="Q240" s="4">
        <v>45722.974999999999</v>
      </c>
      <c r="R240" s="2" t="s">
        <v>86</v>
      </c>
      <c r="S240" s="3">
        <v>10.07</v>
      </c>
      <c r="T240" s="2">
        <v>85</v>
      </c>
      <c r="U240" s="3">
        <v>1266</v>
      </c>
      <c r="V240" s="3">
        <v>0</v>
      </c>
      <c r="W240" s="2" t="s">
        <v>94</v>
      </c>
      <c r="X240" s="2" t="s">
        <v>121</v>
      </c>
      <c r="Y240" s="3">
        <v>0</v>
      </c>
      <c r="Z240" t="str">
        <f>INDEX(Assets!$J:$J,MATCH(UPPER(TRIM(B240)),Assets!$A:$A,0))</f>
        <v>Arroyo</v>
      </c>
      <c r="AA240">
        <f t="shared" si="9"/>
        <v>764.64</v>
      </c>
      <c r="AB240" s="21">
        <f t="shared" si="10"/>
        <v>45717</v>
      </c>
      <c r="AC240">
        <f>SUMIFS(Production!$H:$H,Production!$A:$A,UPPER(TRIM(B240)),Production!$B:$B,AB240)-SUMIFS(Production!$I:$I,Production!$A:$A,UPPER(TRIM(B240)),Production!$B:$B,AB240)</f>
        <v>43.6</v>
      </c>
      <c r="AD240">
        <f t="shared" si="11"/>
        <v>33338.304000000004</v>
      </c>
    </row>
    <row r="241" spans="1:30" ht="21" customHeight="1">
      <c r="A241" s="2" t="s">
        <v>578</v>
      </c>
      <c r="B241" s="9" t="s">
        <v>42</v>
      </c>
      <c r="C241" s="5">
        <v>45735.5</v>
      </c>
      <c r="D241" s="4">
        <v>45736.502083333333</v>
      </c>
      <c r="E241" s="2" t="s">
        <v>83</v>
      </c>
      <c r="F241" s="2" t="s">
        <v>84</v>
      </c>
      <c r="G241" s="3">
        <v>4.99</v>
      </c>
      <c r="H241" s="3">
        <v>10.33</v>
      </c>
      <c r="I241" s="3">
        <v>0</v>
      </c>
      <c r="J241" s="3">
        <v>8.14</v>
      </c>
      <c r="K241" s="3">
        <v>0.59</v>
      </c>
      <c r="L241" s="3">
        <v>24.05</v>
      </c>
      <c r="M241" s="3">
        <v>721.5</v>
      </c>
      <c r="N241" s="3">
        <v>0.22</v>
      </c>
      <c r="O241" s="2" t="s">
        <v>579</v>
      </c>
      <c r="P241" s="4">
        <v>45735.707916666666</v>
      </c>
      <c r="Q241" s="4">
        <v>45736.502083333333</v>
      </c>
      <c r="R241" s="2" t="s">
        <v>86</v>
      </c>
      <c r="S241" s="3">
        <v>16.28</v>
      </c>
      <c r="T241" s="2">
        <v>85</v>
      </c>
      <c r="U241" s="3">
        <v>5495</v>
      </c>
      <c r="V241" s="3">
        <v>0</v>
      </c>
      <c r="W241" s="2" t="s">
        <v>94</v>
      </c>
      <c r="X241" s="2" t="s">
        <v>88</v>
      </c>
      <c r="Y241" s="3">
        <v>0</v>
      </c>
      <c r="Z241" t="str">
        <f>INDEX(Assets!$J:$J,MATCH(UPPER(TRIM(B241)),Assets!$A:$A,0))</f>
        <v>Arroyo</v>
      </c>
      <c r="AA241">
        <f t="shared" si="9"/>
        <v>562.77</v>
      </c>
      <c r="AB241" s="21">
        <f t="shared" si="10"/>
        <v>45717</v>
      </c>
      <c r="AC241">
        <f>SUMIFS(Production!$H:$H,Production!$A:$A,UPPER(TRIM(B241)),Production!$B:$B,AB241)-SUMIFS(Production!$I:$I,Production!$A:$A,UPPER(TRIM(B241)),Production!$B:$B,AB241)</f>
        <v>43.6</v>
      </c>
      <c r="AD241">
        <f t="shared" si="11"/>
        <v>24536.772000000001</v>
      </c>
    </row>
    <row r="242" spans="1:30" ht="21" customHeight="1">
      <c r="A242" s="2" t="s">
        <v>580</v>
      </c>
      <c r="B242" s="9" t="s">
        <v>42</v>
      </c>
      <c r="C242" s="5">
        <v>45757.5</v>
      </c>
      <c r="D242" s="4">
        <v>45758.72625</v>
      </c>
      <c r="E242" s="2" t="s">
        <v>83</v>
      </c>
      <c r="F242" s="2" t="s">
        <v>115</v>
      </c>
      <c r="G242" s="3">
        <v>3.49</v>
      </c>
      <c r="H242" s="3">
        <v>5.94</v>
      </c>
      <c r="I242" s="3">
        <v>9.4600000000000009</v>
      </c>
      <c r="J242" s="3">
        <v>9.49</v>
      </c>
      <c r="K242" s="3">
        <v>1.05</v>
      </c>
      <c r="L242" s="3">
        <v>29.43</v>
      </c>
      <c r="M242" s="3">
        <v>882.9</v>
      </c>
      <c r="N242" s="3">
        <v>0.23</v>
      </c>
      <c r="O242" s="2" t="s">
        <v>581</v>
      </c>
      <c r="P242" s="4">
        <v>45757.645416666666</v>
      </c>
      <c r="Q242" s="4">
        <v>45758.72625</v>
      </c>
      <c r="R242" s="2" t="s">
        <v>86</v>
      </c>
      <c r="S242" s="3">
        <v>9.49</v>
      </c>
      <c r="T242" s="2">
        <v>85</v>
      </c>
      <c r="U242" s="3">
        <v>3867</v>
      </c>
      <c r="V242" s="3">
        <v>2795</v>
      </c>
      <c r="W242" s="2" t="s">
        <v>94</v>
      </c>
      <c r="X242" s="2" t="s">
        <v>117</v>
      </c>
      <c r="Y242" s="3">
        <v>0</v>
      </c>
      <c r="Z242" t="str">
        <f>INDEX(Assets!$J:$J,MATCH(UPPER(TRIM(B242)),Assets!$A:$A,0))</f>
        <v>Arroyo</v>
      </c>
      <c r="AA242">
        <f t="shared" si="9"/>
        <v>679.83299999999997</v>
      </c>
      <c r="AB242" s="21">
        <f t="shared" si="10"/>
        <v>45748</v>
      </c>
      <c r="AC242">
        <f>SUMIFS(Production!$H:$H,Production!$A:$A,UPPER(TRIM(B242)),Production!$B:$B,AB242)-SUMIFS(Production!$I:$I,Production!$A:$A,UPPER(TRIM(B242)),Production!$B:$B,AB242)</f>
        <v>41.6</v>
      </c>
      <c r="AD242">
        <f t="shared" si="11"/>
        <v>28281.052800000001</v>
      </c>
    </row>
    <row r="243" spans="1:30" ht="21" customHeight="1">
      <c r="A243" s="2" t="s">
        <v>582</v>
      </c>
      <c r="B243" s="9" t="s">
        <v>42</v>
      </c>
      <c r="C243" s="5">
        <v>45767.5</v>
      </c>
      <c r="D243" s="4">
        <v>45768</v>
      </c>
      <c r="E243" s="2" t="s">
        <v>83</v>
      </c>
      <c r="F243" s="2" t="s">
        <v>84</v>
      </c>
      <c r="G243" s="3">
        <v>2.62</v>
      </c>
      <c r="H243" s="3">
        <v>3.72</v>
      </c>
      <c r="I243" s="3">
        <v>0</v>
      </c>
      <c r="J243" s="3">
        <v>3.65</v>
      </c>
      <c r="K243" s="3">
        <v>2.0099999999999998</v>
      </c>
      <c r="L243" s="3">
        <v>12</v>
      </c>
      <c r="M243" s="3">
        <v>360</v>
      </c>
      <c r="N243" s="3">
        <v>0.15</v>
      </c>
      <c r="O243" s="2" t="s">
        <v>583</v>
      </c>
      <c r="P243" s="4">
        <v>45767.609166666662</v>
      </c>
      <c r="Q243" s="4">
        <v>45768</v>
      </c>
      <c r="R243" s="2" t="s">
        <v>86</v>
      </c>
      <c r="S243" s="3">
        <v>7.3</v>
      </c>
      <c r="T243" s="2">
        <v>85</v>
      </c>
      <c r="U243" s="3">
        <v>8777</v>
      </c>
      <c r="V243" s="3">
        <v>0</v>
      </c>
      <c r="W243" s="2" t="s">
        <v>94</v>
      </c>
      <c r="X243" s="2" t="s">
        <v>88</v>
      </c>
      <c r="Y243" s="3">
        <v>0</v>
      </c>
      <c r="Z243" t="str">
        <f>INDEX(Assets!$J:$J,MATCH(UPPER(TRIM(B243)),Assets!$A:$A,0))</f>
        <v>Arroyo</v>
      </c>
      <c r="AA243">
        <f t="shared" si="9"/>
        <v>306</v>
      </c>
      <c r="AB243" s="21">
        <f t="shared" si="10"/>
        <v>45748</v>
      </c>
      <c r="AC243">
        <f>SUMIFS(Production!$H:$H,Production!$A:$A,UPPER(TRIM(B243)),Production!$B:$B,AB243)-SUMIFS(Production!$I:$I,Production!$A:$A,UPPER(TRIM(B243)),Production!$B:$B,AB243)</f>
        <v>41.6</v>
      </c>
      <c r="AD243">
        <f t="shared" si="11"/>
        <v>12729.6</v>
      </c>
    </row>
    <row r="244" spans="1:30" ht="21" customHeight="1">
      <c r="A244" s="2" t="s">
        <v>584</v>
      </c>
      <c r="B244" s="9" t="s">
        <v>42</v>
      </c>
      <c r="C244" s="5">
        <v>45775.5</v>
      </c>
      <c r="D244" s="4">
        <v>45775.729583333334</v>
      </c>
      <c r="E244" s="2" t="s">
        <v>90</v>
      </c>
      <c r="F244" s="2" t="s">
        <v>91</v>
      </c>
      <c r="G244" s="3">
        <v>0</v>
      </c>
      <c r="H244" s="3">
        <v>0</v>
      </c>
      <c r="I244" s="3">
        <v>0</v>
      </c>
      <c r="J244" s="3">
        <v>5.51</v>
      </c>
      <c r="K244" s="3">
        <v>0</v>
      </c>
      <c r="L244" s="3">
        <v>5.51</v>
      </c>
      <c r="M244" s="3">
        <v>165.3</v>
      </c>
      <c r="N244" s="3">
        <v>0.25</v>
      </c>
      <c r="O244" s="2" t="s">
        <v>585</v>
      </c>
      <c r="P244" s="4">
        <v>45775.5</v>
      </c>
      <c r="Q244" s="4">
        <v>45775.729583333334</v>
      </c>
      <c r="R244" s="2" t="s">
        <v>93</v>
      </c>
      <c r="S244" s="3">
        <v>11.02</v>
      </c>
      <c r="T244" s="2">
        <v>85</v>
      </c>
      <c r="U244" s="3">
        <v>1574</v>
      </c>
      <c r="V244" s="3">
        <v>4756</v>
      </c>
      <c r="W244" s="2" t="s">
        <v>94</v>
      </c>
      <c r="X244" s="2" t="s">
        <v>95</v>
      </c>
      <c r="Y244" s="3">
        <v>0</v>
      </c>
      <c r="Z244" t="str">
        <f>INDEX(Assets!$J:$J,MATCH(UPPER(TRIM(B244)),Assets!$A:$A,0))</f>
        <v>Arroyo</v>
      </c>
      <c r="AA244">
        <f t="shared" si="9"/>
        <v>123.97500000000001</v>
      </c>
      <c r="AB244" s="21">
        <f t="shared" si="10"/>
        <v>45748</v>
      </c>
      <c r="AC244">
        <f>SUMIFS(Production!$H:$H,Production!$A:$A,UPPER(TRIM(B244)),Production!$B:$B,AB244)-SUMIFS(Production!$I:$I,Production!$A:$A,UPPER(TRIM(B244)),Production!$B:$B,AB244)</f>
        <v>41.6</v>
      </c>
      <c r="AD244">
        <f t="shared" si="11"/>
        <v>5157.3600000000006</v>
      </c>
    </row>
    <row r="245" spans="1:30" ht="21" customHeight="1">
      <c r="A245" s="2" t="s">
        <v>586</v>
      </c>
      <c r="B245" s="9" t="s">
        <v>42</v>
      </c>
      <c r="C245" s="5">
        <v>45787.5</v>
      </c>
      <c r="D245" s="4">
        <v>45789.326666666668</v>
      </c>
      <c r="E245" s="2" t="s">
        <v>83</v>
      </c>
      <c r="F245" s="2" t="s">
        <v>119</v>
      </c>
      <c r="G245" s="3">
        <v>5.43</v>
      </c>
      <c r="H245" s="3">
        <v>7.3</v>
      </c>
      <c r="I245" s="3">
        <v>16.18</v>
      </c>
      <c r="J245" s="3">
        <v>12.48</v>
      </c>
      <c r="K245" s="3">
        <v>2.4500000000000002</v>
      </c>
      <c r="L245" s="3">
        <v>43.84</v>
      </c>
      <c r="M245" s="3">
        <v>1315.2</v>
      </c>
      <c r="N245" s="3">
        <v>0.23</v>
      </c>
      <c r="O245" s="2" t="s">
        <v>587</v>
      </c>
      <c r="P245" s="4">
        <v>45787.72625</v>
      </c>
      <c r="Q245" s="4">
        <v>45789.326666666668</v>
      </c>
      <c r="R245" s="2" t="s">
        <v>86</v>
      </c>
      <c r="S245" s="3">
        <v>24.96</v>
      </c>
      <c r="T245" s="2">
        <v>85</v>
      </c>
      <c r="U245" s="3">
        <v>7725</v>
      </c>
      <c r="V245" s="3">
        <v>0</v>
      </c>
      <c r="W245" s="2" t="s">
        <v>94</v>
      </c>
      <c r="X245" s="2" t="s">
        <v>121</v>
      </c>
      <c r="Y245" s="3">
        <v>0</v>
      </c>
      <c r="Z245" t="str">
        <f>INDEX(Assets!$J:$J,MATCH(UPPER(TRIM(B245)),Assets!$A:$A,0))</f>
        <v>Arroyo</v>
      </c>
      <c r="AA245">
        <f t="shared" si="9"/>
        <v>1012.7040000000001</v>
      </c>
      <c r="AB245" s="21">
        <f t="shared" si="10"/>
        <v>45778</v>
      </c>
      <c r="AC245">
        <f>SUMIFS(Production!$H:$H,Production!$A:$A,UPPER(TRIM(B245)),Production!$B:$B,AB245)-SUMIFS(Production!$I:$I,Production!$A:$A,UPPER(TRIM(B245)),Production!$B:$B,AB245)</f>
        <v>39.6</v>
      </c>
      <c r="AD245">
        <f t="shared" si="11"/>
        <v>40103.078400000006</v>
      </c>
    </row>
    <row r="246" spans="1:30" ht="21" customHeight="1">
      <c r="A246" s="2" t="s">
        <v>588</v>
      </c>
      <c r="B246" s="9" t="s">
        <v>42</v>
      </c>
      <c r="C246" s="5">
        <v>45797.5</v>
      </c>
      <c r="D246" s="4">
        <v>45798.934583333335</v>
      </c>
      <c r="E246" s="2" t="s">
        <v>83</v>
      </c>
      <c r="F246" s="2" t="s">
        <v>119</v>
      </c>
      <c r="G246" s="3">
        <v>3.52</v>
      </c>
      <c r="H246" s="3">
        <v>5.03</v>
      </c>
      <c r="I246" s="3">
        <v>15.35</v>
      </c>
      <c r="J246" s="3">
        <v>8.0399999999999991</v>
      </c>
      <c r="K246" s="3">
        <v>2.4900000000000002</v>
      </c>
      <c r="L246" s="3">
        <v>34.43</v>
      </c>
      <c r="M246" s="3">
        <v>1032.9000000000001</v>
      </c>
      <c r="N246" s="3">
        <v>0.13</v>
      </c>
      <c r="O246" s="2" t="s">
        <v>589</v>
      </c>
      <c r="P246" s="4">
        <v>45797.646666666667</v>
      </c>
      <c r="Q246" s="4">
        <v>45798.934583333335</v>
      </c>
      <c r="R246" s="2" t="s">
        <v>86</v>
      </c>
      <c r="S246" s="3">
        <v>8.0399999999999991</v>
      </c>
      <c r="T246" s="2">
        <v>85</v>
      </c>
      <c r="U246" s="3">
        <v>7099</v>
      </c>
      <c r="V246" s="3">
        <v>0</v>
      </c>
      <c r="W246" s="2" t="s">
        <v>94</v>
      </c>
      <c r="X246" s="2" t="s">
        <v>121</v>
      </c>
      <c r="Y246" s="3">
        <v>0</v>
      </c>
      <c r="Z246" t="str">
        <f>INDEX(Assets!$J:$J,MATCH(UPPER(TRIM(B246)),Assets!$A:$A,0))</f>
        <v>Arroyo</v>
      </c>
      <c r="AA246">
        <f t="shared" si="9"/>
        <v>898.62300000000005</v>
      </c>
      <c r="AB246" s="21">
        <f t="shared" si="10"/>
        <v>45778</v>
      </c>
      <c r="AC246">
        <f>SUMIFS(Production!$H:$H,Production!$A:$A,UPPER(TRIM(B246)),Production!$B:$B,AB246)-SUMIFS(Production!$I:$I,Production!$A:$A,UPPER(TRIM(B246)),Production!$B:$B,AB246)</f>
        <v>39.6</v>
      </c>
      <c r="AD246">
        <f t="shared" si="11"/>
        <v>35585.470800000003</v>
      </c>
    </row>
    <row r="247" spans="1:30" ht="21" customHeight="1">
      <c r="A247" s="2" t="s">
        <v>590</v>
      </c>
      <c r="B247" s="9" t="s">
        <v>42</v>
      </c>
      <c r="C247" s="5">
        <v>45812.5</v>
      </c>
      <c r="D247" s="4">
        <v>45814.264999999999</v>
      </c>
      <c r="E247" s="2" t="s">
        <v>83</v>
      </c>
      <c r="F247" s="2" t="s">
        <v>119</v>
      </c>
      <c r="G247" s="3">
        <v>7.46</v>
      </c>
      <c r="H247" s="3">
        <v>4.21</v>
      </c>
      <c r="I247" s="3">
        <v>16.79</v>
      </c>
      <c r="J247" s="3">
        <v>12.31</v>
      </c>
      <c r="K247" s="3">
        <v>1.59</v>
      </c>
      <c r="L247" s="3">
        <v>42.36</v>
      </c>
      <c r="M247" s="3">
        <v>1270.8</v>
      </c>
      <c r="N247" s="3">
        <v>0.13</v>
      </c>
      <c r="O247" s="2" t="s">
        <v>591</v>
      </c>
      <c r="P247" s="4">
        <v>45812.810833333337</v>
      </c>
      <c r="Q247" s="4">
        <v>45814.264999999999</v>
      </c>
      <c r="R247" s="2" t="s">
        <v>86</v>
      </c>
      <c r="S247" s="3">
        <v>12.31</v>
      </c>
      <c r="T247" s="2">
        <v>85</v>
      </c>
      <c r="U247" s="3">
        <v>9445</v>
      </c>
      <c r="V247" s="3">
        <v>0</v>
      </c>
      <c r="W247" s="2" t="s">
        <v>94</v>
      </c>
      <c r="X247" s="2" t="s">
        <v>121</v>
      </c>
      <c r="Y247" s="3">
        <v>0</v>
      </c>
      <c r="Z247" t="str">
        <f>INDEX(Assets!$J:$J,MATCH(UPPER(TRIM(B247)),Assets!$A:$A,0))</f>
        <v>Arroyo</v>
      </c>
      <c r="AA247">
        <f t="shared" si="9"/>
        <v>1105.596</v>
      </c>
      <c r="AB247" s="21">
        <f t="shared" si="10"/>
        <v>45809</v>
      </c>
      <c r="AC247">
        <f>SUMIFS(Production!$H:$H,Production!$A:$A,UPPER(TRIM(B247)),Production!$B:$B,AB247)-SUMIFS(Production!$I:$I,Production!$A:$A,UPPER(TRIM(B247)),Production!$B:$B,AB247)</f>
        <v>40.6</v>
      </c>
      <c r="AD247">
        <f t="shared" si="11"/>
        <v>44887.1976</v>
      </c>
    </row>
    <row r="248" spans="1:30" ht="21" customHeight="1">
      <c r="A248" s="2" t="s">
        <v>592</v>
      </c>
      <c r="B248" s="9" t="s">
        <v>42</v>
      </c>
      <c r="C248" s="5">
        <v>45844.5</v>
      </c>
      <c r="D248" s="4">
        <v>45845.801250000004</v>
      </c>
      <c r="E248" s="2" t="s">
        <v>83</v>
      </c>
      <c r="F248" s="2" t="s">
        <v>115</v>
      </c>
      <c r="G248" s="3">
        <v>7.04</v>
      </c>
      <c r="H248" s="3">
        <v>3.17</v>
      </c>
      <c r="I248" s="3">
        <v>11.99</v>
      </c>
      <c r="J248" s="3">
        <v>8.44</v>
      </c>
      <c r="K248" s="3">
        <v>0.59</v>
      </c>
      <c r="L248" s="3">
        <v>31.23</v>
      </c>
      <c r="M248" s="3">
        <v>936.9</v>
      </c>
      <c r="N248" s="3">
        <v>0.24</v>
      </c>
      <c r="O248" s="2" t="s">
        <v>593</v>
      </c>
      <c r="P248" s="4">
        <v>45844.793333333335</v>
      </c>
      <c r="Q248" s="4">
        <v>45845.801250000004</v>
      </c>
      <c r="R248" s="2" t="s">
        <v>86</v>
      </c>
      <c r="S248" s="3">
        <v>16.88</v>
      </c>
      <c r="T248" s="2">
        <v>85</v>
      </c>
      <c r="U248" s="3">
        <v>8505</v>
      </c>
      <c r="V248" s="3">
        <v>0</v>
      </c>
      <c r="W248" s="2" t="s">
        <v>94</v>
      </c>
      <c r="X248" s="2" t="s">
        <v>117</v>
      </c>
      <c r="Y248" s="3">
        <v>0</v>
      </c>
      <c r="Z248" t="str">
        <f>INDEX(Assets!$J:$J,MATCH(UPPER(TRIM(B248)),Assets!$A:$A,0))</f>
        <v>Arroyo</v>
      </c>
      <c r="AA248">
        <f t="shared" si="9"/>
        <v>712.04399999999998</v>
      </c>
      <c r="AB248" s="21">
        <f t="shared" si="10"/>
        <v>45839</v>
      </c>
      <c r="AC248">
        <f>SUMIFS(Production!$H:$H,Production!$A:$A,UPPER(TRIM(B248)),Production!$B:$B,AB248)-SUMIFS(Production!$I:$I,Production!$A:$A,UPPER(TRIM(B248)),Production!$B:$B,AB248)</f>
        <v>42.6</v>
      </c>
      <c r="AD248">
        <f t="shared" si="11"/>
        <v>30333.074400000001</v>
      </c>
    </row>
    <row r="249" spans="1:30" ht="21" customHeight="1">
      <c r="A249" s="2" t="s">
        <v>594</v>
      </c>
      <c r="B249" s="9" t="s">
        <v>42</v>
      </c>
      <c r="C249" s="5">
        <v>45858.5</v>
      </c>
      <c r="D249" s="4">
        <v>45860.246666666666</v>
      </c>
      <c r="E249" s="2" t="s">
        <v>83</v>
      </c>
      <c r="F249" s="2" t="s">
        <v>119</v>
      </c>
      <c r="G249" s="3">
        <v>2.56</v>
      </c>
      <c r="H249" s="3">
        <v>9.92</v>
      </c>
      <c r="I249" s="3">
        <v>22.07</v>
      </c>
      <c r="J249" s="3">
        <v>5.39</v>
      </c>
      <c r="K249" s="3">
        <v>1.98</v>
      </c>
      <c r="L249" s="3">
        <v>41.92</v>
      </c>
      <c r="M249" s="3">
        <v>1257.5999999999999</v>
      </c>
      <c r="N249" s="3">
        <v>0.28999999999999998</v>
      </c>
      <c r="O249" s="2" t="s">
        <v>595</v>
      </c>
      <c r="P249" s="4">
        <v>45858.606666666667</v>
      </c>
      <c r="Q249" s="4">
        <v>45860.246666666666</v>
      </c>
      <c r="R249" s="2" t="s">
        <v>86</v>
      </c>
      <c r="S249" s="3">
        <v>5.39</v>
      </c>
      <c r="T249" s="2">
        <v>85</v>
      </c>
      <c r="U249" s="3">
        <v>4546</v>
      </c>
      <c r="V249" s="3">
        <v>0</v>
      </c>
      <c r="W249" s="2" t="s">
        <v>94</v>
      </c>
      <c r="X249" s="2" t="s">
        <v>121</v>
      </c>
      <c r="Y249" s="3">
        <v>0</v>
      </c>
      <c r="Z249" t="str">
        <f>INDEX(Assets!$J:$J,MATCH(UPPER(TRIM(B249)),Assets!$A:$A,0))</f>
        <v>Arroyo</v>
      </c>
      <c r="AA249">
        <f t="shared" si="9"/>
        <v>892.89599999999984</v>
      </c>
      <c r="AB249" s="21">
        <f t="shared" si="10"/>
        <v>45839</v>
      </c>
      <c r="AC249">
        <f>SUMIFS(Production!$H:$H,Production!$A:$A,UPPER(TRIM(B249)),Production!$B:$B,AB249)-SUMIFS(Production!$I:$I,Production!$A:$A,UPPER(TRIM(B249)),Production!$B:$B,AB249)</f>
        <v>42.6</v>
      </c>
      <c r="AD249">
        <f t="shared" si="11"/>
        <v>38037.369599999998</v>
      </c>
    </row>
    <row r="250" spans="1:30" ht="21" customHeight="1">
      <c r="A250" s="2" t="s">
        <v>596</v>
      </c>
      <c r="B250" s="9" t="s">
        <v>42</v>
      </c>
      <c r="C250" s="5">
        <v>45866.5</v>
      </c>
      <c r="D250" s="4">
        <v>45866.72791666667</v>
      </c>
      <c r="E250" s="2" t="s">
        <v>90</v>
      </c>
      <c r="F250" s="2" t="s">
        <v>91</v>
      </c>
      <c r="G250" s="3">
        <v>0</v>
      </c>
      <c r="H250" s="3">
        <v>0</v>
      </c>
      <c r="I250" s="3">
        <v>0</v>
      </c>
      <c r="J250" s="3">
        <v>5.47</v>
      </c>
      <c r="K250" s="3">
        <v>0</v>
      </c>
      <c r="L250" s="3">
        <v>5.47</v>
      </c>
      <c r="M250" s="3">
        <v>164.1</v>
      </c>
      <c r="N250" s="3">
        <v>0.25</v>
      </c>
      <c r="O250" s="2" t="s">
        <v>597</v>
      </c>
      <c r="P250" s="4">
        <v>45866.5</v>
      </c>
      <c r="Q250" s="4">
        <v>45866.72791666667</v>
      </c>
      <c r="R250" s="2" t="s">
        <v>93</v>
      </c>
      <c r="S250" s="3">
        <v>5.47</v>
      </c>
      <c r="T250" s="2">
        <v>85</v>
      </c>
      <c r="U250" s="3">
        <v>1423</v>
      </c>
      <c r="V250" s="3">
        <v>4010</v>
      </c>
      <c r="W250" s="2" t="s">
        <v>94</v>
      </c>
      <c r="X250" s="2" t="s">
        <v>95</v>
      </c>
      <c r="Y250" s="3">
        <v>0</v>
      </c>
      <c r="Z250" t="str">
        <f>INDEX(Assets!$J:$J,MATCH(UPPER(TRIM(B250)),Assets!$A:$A,0))</f>
        <v>Arroyo</v>
      </c>
      <c r="AA250">
        <f t="shared" si="9"/>
        <v>123.07499999999999</v>
      </c>
      <c r="AB250" s="21">
        <f t="shared" si="10"/>
        <v>45839</v>
      </c>
      <c r="AC250">
        <f>SUMIFS(Production!$H:$H,Production!$A:$A,UPPER(TRIM(B250)),Production!$B:$B,AB250)-SUMIFS(Production!$I:$I,Production!$A:$A,UPPER(TRIM(B250)),Production!$B:$B,AB250)</f>
        <v>42.6</v>
      </c>
      <c r="AD250">
        <f t="shared" si="11"/>
        <v>5242.9949999999999</v>
      </c>
    </row>
    <row r="251" spans="1:30" ht="21" customHeight="1">
      <c r="A251" s="2" t="s">
        <v>598</v>
      </c>
      <c r="B251" s="9" t="s">
        <v>42</v>
      </c>
      <c r="C251" s="5">
        <v>45877.5</v>
      </c>
      <c r="D251" s="4">
        <v>45879.276666666672</v>
      </c>
      <c r="E251" s="2" t="s">
        <v>83</v>
      </c>
      <c r="F251" s="2" t="s">
        <v>84</v>
      </c>
      <c r="G251" s="3">
        <v>7.06</v>
      </c>
      <c r="H251" s="3">
        <v>4.5999999999999996</v>
      </c>
      <c r="I251" s="3">
        <v>21.02</v>
      </c>
      <c r="J251" s="3">
        <v>7.98</v>
      </c>
      <c r="K251" s="3">
        <v>1.98</v>
      </c>
      <c r="L251" s="3">
        <v>42.64</v>
      </c>
      <c r="M251" s="3">
        <v>1279.2</v>
      </c>
      <c r="N251" s="3">
        <v>0.22</v>
      </c>
      <c r="O251" s="2" t="s">
        <v>599</v>
      </c>
      <c r="P251" s="4">
        <v>45877.794166666667</v>
      </c>
      <c r="Q251" s="4">
        <v>45879.276666666672</v>
      </c>
      <c r="R251" s="2" t="s">
        <v>86</v>
      </c>
      <c r="S251" s="3">
        <v>7.98</v>
      </c>
      <c r="T251" s="2">
        <v>85</v>
      </c>
      <c r="U251" s="3">
        <v>8775</v>
      </c>
      <c r="V251" s="3">
        <v>0</v>
      </c>
      <c r="W251" s="2" t="s">
        <v>94</v>
      </c>
      <c r="X251" s="2" t="s">
        <v>88</v>
      </c>
      <c r="Y251" s="3">
        <v>0</v>
      </c>
      <c r="Z251" t="str">
        <f>INDEX(Assets!$J:$J,MATCH(UPPER(TRIM(B251)),Assets!$A:$A,0))</f>
        <v>Arroyo</v>
      </c>
      <c r="AA251">
        <f t="shared" si="9"/>
        <v>997.77600000000007</v>
      </c>
      <c r="AB251" s="21">
        <f t="shared" si="10"/>
        <v>45870</v>
      </c>
      <c r="AC251">
        <f>SUMIFS(Production!$H:$H,Production!$A:$A,UPPER(TRIM(B251)),Production!$B:$B,AB251)-SUMIFS(Production!$I:$I,Production!$A:$A,UPPER(TRIM(B251)),Production!$B:$B,AB251)</f>
        <v>41.6</v>
      </c>
      <c r="AD251">
        <f t="shared" si="11"/>
        <v>41507.481600000006</v>
      </c>
    </row>
    <row r="252" spans="1:30" ht="21" customHeight="1">
      <c r="A252" s="2" t="s">
        <v>600</v>
      </c>
      <c r="B252" s="9" t="s">
        <v>42</v>
      </c>
      <c r="C252" s="5">
        <v>45891.5</v>
      </c>
      <c r="D252" s="4">
        <v>45892.350416666668</v>
      </c>
      <c r="E252" s="2" t="s">
        <v>83</v>
      </c>
      <c r="F252" s="2" t="s">
        <v>84</v>
      </c>
      <c r="G252" s="3">
        <v>6.3</v>
      </c>
      <c r="H252" s="3">
        <v>2.8</v>
      </c>
      <c r="I252" s="3">
        <v>0</v>
      </c>
      <c r="J252" s="3">
        <v>9.15</v>
      </c>
      <c r="K252" s="3">
        <v>2.16</v>
      </c>
      <c r="L252" s="3">
        <v>20.41</v>
      </c>
      <c r="M252" s="3">
        <v>612.29999999999995</v>
      </c>
      <c r="N252" s="3">
        <v>0.21</v>
      </c>
      <c r="O252" s="2" t="s">
        <v>601</v>
      </c>
      <c r="P252" s="4">
        <v>45891.762499999997</v>
      </c>
      <c r="Q252" s="4">
        <v>45892.350416666668</v>
      </c>
      <c r="R252" s="2" t="s">
        <v>86</v>
      </c>
      <c r="S252" s="3">
        <v>9.15</v>
      </c>
      <c r="T252" s="2">
        <v>85</v>
      </c>
      <c r="U252" s="3">
        <v>8384</v>
      </c>
      <c r="V252" s="3">
        <v>0</v>
      </c>
      <c r="W252" s="2" t="s">
        <v>94</v>
      </c>
      <c r="X252" s="2" t="s">
        <v>88</v>
      </c>
      <c r="Y252" s="3">
        <v>0</v>
      </c>
      <c r="Z252" t="str">
        <f>INDEX(Assets!$J:$J,MATCH(UPPER(TRIM(B252)),Assets!$A:$A,0))</f>
        <v>Arroyo</v>
      </c>
      <c r="AA252">
        <f t="shared" si="9"/>
        <v>483.71699999999998</v>
      </c>
      <c r="AB252" s="21">
        <f t="shared" si="10"/>
        <v>45870</v>
      </c>
      <c r="AC252">
        <f>SUMIFS(Production!$H:$H,Production!$A:$A,UPPER(TRIM(B252)),Production!$B:$B,AB252)-SUMIFS(Production!$I:$I,Production!$A:$A,UPPER(TRIM(B252)),Production!$B:$B,AB252)</f>
        <v>41.6</v>
      </c>
      <c r="AD252">
        <f t="shared" si="11"/>
        <v>20122.627199999999</v>
      </c>
    </row>
    <row r="253" spans="1:30" ht="21" customHeight="1">
      <c r="A253" s="2" t="s">
        <v>602</v>
      </c>
      <c r="B253" s="9" t="s">
        <v>42</v>
      </c>
      <c r="C253" s="5">
        <v>45907.5</v>
      </c>
      <c r="D253" s="4">
        <v>45908.695</v>
      </c>
      <c r="E253" s="2" t="s">
        <v>83</v>
      </c>
      <c r="F253" s="2" t="s">
        <v>119</v>
      </c>
      <c r="G253" s="3">
        <v>5.97</v>
      </c>
      <c r="H253" s="3">
        <v>4.6399999999999997</v>
      </c>
      <c r="I253" s="3">
        <v>11.73</v>
      </c>
      <c r="J253" s="3">
        <v>5.44</v>
      </c>
      <c r="K253" s="3">
        <v>0.9</v>
      </c>
      <c r="L253" s="3">
        <v>28.68</v>
      </c>
      <c r="M253" s="3">
        <v>860.4</v>
      </c>
      <c r="N253" s="3">
        <v>0.25</v>
      </c>
      <c r="O253" s="2" t="s">
        <v>603</v>
      </c>
      <c r="P253" s="4">
        <v>45907.748749999999</v>
      </c>
      <c r="Q253" s="4">
        <v>45908.695</v>
      </c>
      <c r="R253" s="2" t="s">
        <v>86</v>
      </c>
      <c r="S253" s="3">
        <v>5.44</v>
      </c>
      <c r="T253" s="2">
        <v>85</v>
      </c>
      <c r="U253" s="3">
        <v>9630</v>
      </c>
      <c r="V253" s="3">
        <v>0</v>
      </c>
      <c r="W253" s="2" t="s">
        <v>94</v>
      </c>
      <c r="X253" s="2" t="s">
        <v>121</v>
      </c>
      <c r="Y253" s="3">
        <v>0</v>
      </c>
      <c r="Z253" t="str">
        <f>INDEX(Assets!$J:$J,MATCH(UPPER(TRIM(B253)),Assets!$A:$A,0))</f>
        <v>Arroyo</v>
      </c>
      <c r="AA253">
        <f t="shared" si="9"/>
        <v>645.29999999999995</v>
      </c>
      <c r="AB253" s="21">
        <f t="shared" si="10"/>
        <v>45901</v>
      </c>
      <c r="AC253">
        <f>SUMIFS(Production!$H:$H,Production!$A:$A,UPPER(TRIM(B253)),Production!$B:$B,AB253)-SUMIFS(Production!$I:$I,Production!$A:$A,UPPER(TRIM(B253)),Production!$B:$B,AB253)</f>
        <v>38.6</v>
      </c>
      <c r="AD253">
        <f t="shared" si="11"/>
        <v>24908.579999999998</v>
      </c>
    </row>
    <row r="254" spans="1:30" ht="21" customHeight="1">
      <c r="A254" s="2" t="s">
        <v>604</v>
      </c>
      <c r="B254" s="9" t="s">
        <v>42</v>
      </c>
      <c r="C254" s="5">
        <v>45919.5</v>
      </c>
      <c r="D254" s="4">
        <v>45920.027499999997</v>
      </c>
      <c r="E254" s="2" t="s">
        <v>83</v>
      </c>
      <c r="F254" s="2" t="s">
        <v>84</v>
      </c>
      <c r="G254" s="3">
        <v>3.19</v>
      </c>
      <c r="H254" s="3">
        <v>5.98</v>
      </c>
      <c r="I254" s="3">
        <v>0</v>
      </c>
      <c r="J254" s="3">
        <v>2.2000000000000002</v>
      </c>
      <c r="K254" s="3">
        <v>1.29</v>
      </c>
      <c r="L254" s="3">
        <v>12.66</v>
      </c>
      <c r="M254" s="3">
        <v>379.8</v>
      </c>
      <c r="N254" s="3">
        <v>0.13</v>
      </c>
      <c r="O254" s="2" t="s">
        <v>605</v>
      </c>
      <c r="P254" s="4">
        <v>45919.632916666669</v>
      </c>
      <c r="Q254" s="4">
        <v>45920.027499999997</v>
      </c>
      <c r="R254" s="2" t="s">
        <v>86</v>
      </c>
      <c r="S254" s="3">
        <v>4.4000000000000004</v>
      </c>
      <c r="T254" s="2">
        <v>85</v>
      </c>
      <c r="U254" s="3">
        <v>3950</v>
      </c>
      <c r="V254" s="3">
        <v>0</v>
      </c>
      <c r="W254" s="2" t="s">
        <v>94</v>
      </c>
      <c r="X254" s="2" t="s">
        <v>88</v>
      </c>
      <c r="Y254" s="3">
        <v>0</v>
      </c>
      <c r="Z254" t="str">
        <f>INDEX(Assets!$J:$J,MATCH(UPPER(TRIM(B254)),Assets!$A:$A,0))</f>
        <v>Arroyo</v>
      </c>
      <c r="AA254">
        <f t="shared" si="9"/>
        <v>330.42599999999999</v>
      </c>
      <c r="AB254" s="21">
        <f t="shared" si="10"/>
        <v>45901</v>
      </c>
      <c r="AC254">
        <f>SUMIFS(Production!$H:$H,Production!$A:$A,UPPER(TRIM(B254)),Production!$B:$B,AB254)-SUMIFS(Production!$I:$I,Production!$A:$A,UPPER(TRIM(B254)),Production!$B:$B,AB254)</f>
        <v>38.6</v>
      </c>
      <c r="AD254">
        <f t="shared" si="11"/>
        <v>12754.443600000001</v>
      </c>
    </row>
    <row r="255" spans="1:30" ht="21" customHeight="1">
      <c r="A255" s="2" t="s">
        <v>606</v>
      </c>
      <c r="B255" s="9" t="s">
        <v>42</v>
      </c>
      <c r="C255" s="5">
        <v>45939.5</v>
      </c>
      <c r="D255" s="4">
        <v>45940.783333333333</v>
      </c>
      <c r="E255" s="2" t="s">
        <v>83</v>
      </c>
      <c r="F255" s="2" t="s">
        <v>119</v>
      </c>
      <c r="G255" s="3">
        <v>4</v>
      </c>
      <c r="H255" s="3">
        <v>8</v>
      </c>
      <c r="I255" s="3">
        <v>10.18</v>
      </c>
      <c r="J255" s="3">
        <v>6.52</v>
      </c>
      <c r="K255" s="3">
        <v>2.1</v>
      </c>
      <c r="L255" s="3">
        <v>30.8</v>
      </c>
      <c r="M255" s="3">
        <v>924</v>
      </c>
      <c r="N255" s="3">
        <v>0.27</v>
      </c>
      <c r="O255" s="2" t="s">
        <v>607</v>
      </c>
      <c r="P255" s="4">
        <v>45939.666666666672</v>
      </c>
      <c r="Q255" s="4">
        <v>45940.783333333333</v>
      </c>
      <c r="R255" s="2" t="s">
        <v>86</v>
      </c>
      <c r="S255" s="3">
        <v>6.52</v>
      </c>
      <c r="T255" s="2">
        <v>85</v>
      </c>
      <c r="U255" s="3">
        <v>4107</v>
      </c>
      <c r="V255" s="3">
        <v>0</v>
      </c>
      <c r="W255" s="2" t="s">
        <v>94</v>
      </c>
      <c r="X255" s="2" t="s">
        <v>121</v>
      </c>
      <c r="Y255" s="3">
        <v>0</v>
      </c>
      <c r="Z255" t="str">
        <f>INDEX(Assets!$J:$J,MATCH(UPPER(TRIM(B255)),Assets!$A:$A,0))</f>
        <v>Arroyo</v>
      </c>
      <c r="AA255">
        <f t="shared" si="9"/>
        <v>674.52</v>
      </c>
      <c r="AB255" s="21">
        <f t="shared" si="10"/>
        <v>45931</v>
      </c>
      <c r="AC255">
        <f>SUMIFS(Production!$H:$H,Production!$A:$A,UPPER(TRIM(B255)),Production!$B:$B,AB255)-SUMIFS(Production!$I:$I,Production!$A:$A,UPPER(TRIM(B255)),Production!$B:$B,AB255)</f>
        <v>37.6</v>
      </c>
      <c r="AD255">
        <f t="shared" si="11"/>
        <v>25361.952000000001</v>
      </c>
    </row>
    <row r="256" spans="1:30" ht="21" customHeight="1">
      <c r="A256" s="2" t="s">
        <v>608</v>
      </c>
      <c r="B256" s="9" t="s">
        <v>42</v>
      </c>
      <c r="C256" s="5">
        <v>45952.5</v>
      </c>
      <c r="D256" s="4">
        <v>45953.629583333328</v>
      </c>
      <c r="E256" s="2" t="s">
        <v>83</v>
      </c>
      <c r="F256" s="2" t="s">
        <v>119</v>
      </c>
      <c r="G256" s="3">
        <v>6.14</v>
      </c>
      <c r="H256" s="3">
        <v>7.26</v>
      </c>
      <c r="I256" s="3">
        <v>0</v>
      </c>
      <c r="J256" s="3">
        <v>11.61</v>
      </c>
      <c r="K256" s="3">
        <v>2.1</v>
      </c>
      <c r="L256" s="3">
        <v>27.11</v>
      </c>
      <c r="M256" s="3">
        <v>813.3</v>
      </c>
      <c r="N256" s="3">
        <v>0.08</v>
      </c>
      <c r="O256" s="2" t="s">
        <v>609</v>
      </c>
      <c r="P256" s="4">
        <v>45952.755833333329</v>
      </c>
      <c r="Q256" s="4">
        <v>45953.629583333328</v>
      </c>
      <c r="R256" s="2" t="s">
        <v>86</v>
      </c>
      <c r="S256" s="3">
        <v>23.22</v>
      </c>
      <c r="T256" s="2">
        <v>85</v>
      </c>
      <c r="U256" s="3">
        <v>6639</v>
      </c>
      <c r="V256" s="3">
        <v>0</v>
      </c>
      <c r="W256" s="2" t="s">
        <v>94</v>
      </c>
      <c r="X256" s="2" t="s">
        <v>121</v>
      </c>
      <c r="Y256" s="3">
        <v>0</v>
      </c>
      <c r="Z256" t="str">
        <f>INDEX(Assets!$J:$J,MATCH(UPPER(TRIM(B256)),Assets!$A:$A,0))</f>
        <v>Arroyo</v>
      </c>
      <c r="AA256">
        <f t="shared" si="9"/>
        <v>748.23599999999999</v>
      </c>
      <c r="AB256" s="21">
        <f t="shared" si="10"/>
        <v>45931</v>
      </c>
      <c r="AC256">
        <f>SUMIFS(Production!$H:$H,Production!$A:$A,UPPER(TRIM(B256)),Production!$B:$B,AB256)-SUMIFS(Production!$I:$I,Production!$A:$A,UPPER(TRIM(B256)),Production!$B:$B,AB256)</f>
        <v>37.6</v>
      </c>
      <c r="AD256">
        <f t="shared" si="11"/>
        <v>28133.673600000002</v>
      </c>
    </row>
    <row r="257" spans="1:30" ht="21" customHeight="1">
      <c r="A257" s="2" t="s">
        <v>610</v>
      </c>
      <c r="B257" s="9" t="s">
        <v>42</v>
      </c>
      <c r="C257" s="5">
        <v>45958.5</v>
      </c>
      <c r="D257" s="4">
        <v>45958.702499999999</v>
      </c>
      <c r="E257" s="2" t="s">
        <v>90</v>
      </c>
      <c r="F257" s="2" t="s">
        <v>91</v>
      </c>
      <c r="G257" s="3">
        <v>0</v>
      </c>
      <c r="H257" s="3">
        <v>0</v>
      </c>
      <c r="I257" s="3">
        <v>0</v>
      </c>
      <c r="J257" s="3">
        <v>4.8600000000000003</v>
      </c>
      <c r="K257" s="3">
        <v>0</v>
      </c>
      <c r="L257" s="3">
        <v>4.8600000000000003</v>
      </c>
      <c r="M257" s="3">
        <v>145.80000000000001</v>
      </c>
      <c r="N257" s="3">
        <v>0.25</v>
      </c>
      <c r="O257" s="2" t="s">
        <v>611</v>
      </c>
      <c r="P257" s="4">
        <v>45958.5</v>
      </c>
      <c r="Q257" s="4">
        <v>45958.702499999999</v>
      </c>
      <c r="R257" s="2" t="s">
        <v>93</v>
      </c>
      <c r="S257" s="3">
        <v>9.7200000000000006</v>
      </c>
      <c r="T257" s="2">
        <v>85</v>
      </c>
      <c r="U257" s="3">
        <v>864</v>
      </c>
      <c r="V257" s="3">
        <v>0</v>
      </c>
      <c r="W257" s="2" t="s">
        <v>94</v>
      </c>
      <c r="X257" s="2" t="s">
        <v>95</v>
      </c>
      <c r="Y257" s="3">
        <v>0</v>
      </c>
      <c r="Z257" t="str">
        <f>INDEX(Assets!$J:$J,MATCH(UPPER(TRIM(B257)),Assets!$A:$A,0))</f>
        <v>Arroyo</v>
      </c>
      <c r="AA257">
        <f t="shared" si="9"/>
        <v>109.35000000000001</v>
      </c>
      <c r="AB257" s="21">
        <f t="shared" si="10"/>
        <v>45931</v>
      </c>
      <c r="AC257">
        <f>SUMIFS(Production!$H:$H,Production!$A:$A,UPPER(TRIM(B257)),Production!$B:$B,AB257)-SUMIFS(Production!$I:$I,Production!$A:$A,UPPER(TRIM(B257)),Production!$B:$B,AB257)</f>
        <v>37.6</v>
      </c>
      <c r="AD257">
        <f t="shared" si="11"/>
        <v>4111.5600000000004</v>
      </c>
    </row>
    <row r="258" spans="1:30" ht="21" customHeight="1">
      <c r="A258" s="2" t="s">
        <v>612</v>
      </c>
      <c r="B258" s="9" t="s">
        <v>42</v>
      </c>
      <c r="C258" s="5">
        <v>45971.5</v>
      </c>
      <c r="D258" s="4">
        <v>45972.326666666668</v>
      </c>
      <c r="E258" s="2" t="s">
        <v>83</v>
      </c>
      <c r="F258" s="2" t="s">
        <v>97</v>
      </c>
      <c r="G258" s="3">
        <v>4.78</v>
      </c>
      <c r="H258" s="3">
        <v>5.93</v>
      </c>
      <c r="I258" s="3">
        <v>0</v>
      </c>
      <c r="J258" s="3">
        <v>7.87</v>
      </c>
      <c r="K258" s="3">
        <v>1.26</v>
      </c>
      <c r="L258" s="3">
        <v>19.84</v>
      </c>
      <c r="M258" s="3">
        <v>595.20000000000005</v>
      </c>
      <c r="N258" s="3">
        <v>0.08</v>
      </c>
      <c r="O258" s="2" t="s">
        <v>613</v>
      </c>
      <c r="P258" s="4">
        <v>45971.699166666665</v>
      </c>
      <c r="Q258" s="4">
        <v>45972.326666666668</v>
      </c>
      <c r="R258" s="2" t="s">
        <v>86</v>
      </c>
      <c r="S258" s="3">
        <v>15.74</v>
      </c>
      <c r="T258" s="2">
        <v>85</v>
      </c>
      <c r="U258" s="3">
        <v>8859</v>
      </c>
      <c r="V258" s="3">
        <v>0</v>
      </c>
      <c r="W258" s="2" t="s">
        <v>94</v>
      </c>
      <c r="X258" s="2" t="s">
        <v>99</v>
      </c>
      <c r="Y258" s="3">
        <v>0</v>
      </c>
      <c r="Z258" t="str">
        <f>INDEX(Assets!$J:$J,MATCH(UPPER(TRIM(B258)),Assets!$A:$A,0))</f>
        <v>Arroyo</v>
      </c>
      <c r="AA258">
        <f t="shared" ref="AA258:AA321" si="12">M258*(1-N258)</f>
        <v>547.58400000000006</v>
      </c>
      <c r="AB258" s="21">
        <f t="shared" ref="AB258:AB321" si="13">DATE(YEAR(C258),MONTH(C258),1)</f>
        <v>45962</v>
      </c>
      <c r="AC258">
        <f>SUMIFS(Production!$H:$H,Production!$A:$A,UPPER(TRIM(B258)),Production!$B:$B,AB258)-SUMIFS(Production!$I:$I,Production!$A:$A,UPPER(TRIM(B258)),Production!$B:$B,AB258)</f>
        <v>39.6</v>
      </c>
      <c r="AD258">
        <f t="shared" ref="AD258:AD321" si="14">AA258*AC258</f>
        <v>21684.326400000002</v>
      </c>
    </row>
    <row r="259" spans="1:30" ht="21" customHeight="1">
      <c r="A259" s="2" t="s">
        <v>614</v>
      </c>
      <c r="B259" s="9" t="s">
        <v>42</v>
      </c>
      <c r="C259" s="5">
        <v>45981.5</v>
      </c>
      <c r="D259" s="4">
        <v>45982.444166666668</v>
      </c>
      <c r="E259" s="2" t="s">
        <v>83</v>
      </c>
      <c r="F259" s="2" t="s">
        <v>119</v>
      </c>
      <c r="G259" s="3">
        <v>6.88</v>
      </c>
      <c r="H259" s="3">
        <v>2.12</v>
      </c>
      <c r="I259" s="3">
        <v>0</v>
      </c>
      <c r="J259" s="3">
        <v>11.49</v>
      </c>
      <c r="K259" s="3">
        <v>2.17</v>
      </c>
      <c r="L259" s="3">
        <v>22.66</v>
      </c>
      <c r="M259" s="3">
        <v>679.8</v>
      </c>
      <c r="N259" s="3">
        <v>0.14000000000000001</v>
      </c>
      <c r="O259" s="2" t="s">
        <v>615</v>
      </c>
      <c r="P259" s="4">
        <v>45981.786666666667</v>
      </c>
      <c r="Q259" s="4">
        <v>45982.444166666668</v>
      </c>
      <c r="R259" s="2" t="s">
        <v>86</v>
      </c>
      <c r="S259" s="3">
        <v>11.49</v>
      </c>
      <c r="T259" s="2">
        <v>85</v>
      </c>
      <c r="U259" s="3">
        <v>6024</v>
      </c>
      <c r="V259" s="3">
        <v>0</v>
      </c>
      <c r="W259" s="2" t="s">
        <v>94</v>
      </c>
      <c r="X259" s="2" t="s">
        <v>121</v>
      </c>
      <c r="Y259" s="3">
        <v>0</v>
      </c>
      <c r="Z259" t="str">
        <f>INDEX(Assets!$J:$J,MATCH(UPPER(TRIM(B259)),Assets!$A:$A,0))</f>
        <v>Arroyo</v>
      </c>
      <c r="AA259">
        <f t="shared" si="12"/>
        <v>584.62799999999993</v>
      </c>
      <c r="AB259" s="21">
        <f t="shared" si="13"/>
        <v>45962</v>
      </c>
      <c r="AC259">
        <f>SUMIFS(Production!$H:$H,Production!$A:$A,UPPER(TRIM(B259)),Production!$B:$B,AB259)-SUMIFS(Production!$I:$I,Production!$A:$A,UPPER(TRIM(B259)),Production!$B:$B,AB259)</f>
        <v>39.6</v>
      </c>
      <c r="AD259">
        <f t="shared" si="14"/>
        <v>23151.268799999998</v>
      </c>
    </row>
    <row r="260" spans="1:30" ht="21" customHeight="1">
      <c r="A260" s="2" t="s">
        <v>616</v>
      </c>
      <c r="B260" s="9" t="s">
        <v>42</v>
      </c>
      <c r="C260" s="5">
        <v>45995.5</v>
      </c>
      <c r="D260" s="4">
        <v>45996.789166666669</v>
      </c>
      <c r="E260" s="2" t="s">
        <v>83</v>
      </c>
      <c r="F260" s="2" t="s">
        <v>119</v>
      </c>
      <c r="G260" s="3">
        <v>2.64</v>
      </c>
      <c r="H260" s="3">
        <v>6.49</v>
      </c>
      <c r="I260" s="3">
        <v>9.81</v>
      </c>
      <c r="J260" s="3">
        <v>9.9499999999999993</v>
      </c>
      <c r="K260" s="3">
        <v>2.0499999999999998</v>
      </c>
      <c r="L260" s="3">
        <v>30.94</v>
      </c>
      <c r="M260" s="3">
        <v>928.2</v>
      </c>
      <c r="N260" s="3">
        <v>0.25</v>
      </c>
      <c r="O260" s="2" t="s">
        <v>617</v>
      </c>
      <c r="P260" s="4">
        <v>45995.61</v>
      </c>
      <c r="Q260" s="4">
        <v>45996.789166666669</v>
      </c>
      <c r="R260" s="2" t="s">
        <v>86</v>
      </c>
      <c r="S260" s="3">
        <v>9.9499999999999993</v>
      </c>
      <c r="T260" s="2">
        <v>85</v>
      </c>
      <c r="U260" s="3">
        <v>7716</v>
      </c>
      <c r="V260" s="3">
        <v>0</v>
      </c>
      <c r="W260" s="2" t="s">
        <v>94</v>
      </c>
      <c r="X260" s="2" t="s">
        <v>121</v>
      </c>
      <c r="Y260" s="3">
        <v>0</v>
      </c>
      <c r="Z260" t="str">
        <f>INDEX(Assets!$J:$J,MATCH(UPPER(TRIM(B260)),Assets!$A:$A,0))</f>
        <v>Arroyo</v>
      </c>
      <c r="AA260">
        <f t="shared" si="12"/>
        <v>696.15000000000009</v>
      </c>
      <c r="AB260" s="21">
        <f t="shared" si="13"/>
        <v>45992</v>
      </c>
      <c r="AC260">
        <f>SUMIFS(Production!$H:$H,Production!$A:$A,UPPER(TRIM(B260)),Production!$B:$B,AB260)-SUMIFS(Production!$I:$I,Production!$A:$A,UPPER(TRIM(B260)),Production!$B:$B,AB260)</f>
        <v>40.6</v>
      </c>
      <c r="AD260">
        <f t="shared" si="14"/>
        <v>28263.690000000006</v>
      </c>
    </row>
    <row r="261" spans="1:30" ht="21" customHeight="1">
      <c r="A261" s="2" t="s">
        <v>618</v>
      </c>
      <c r="B261" s="9" t="s">
        <v>42</v>
      </c>
      <c r="C261" s="5">
        <v>46013.5</v>
      </c>
      <c r="D261" s="4">
        <v>46015.434999999998</v>
      </c>
      <c r="E261" s="2" t="s">
        <v>83</v>
      </c>
      <c r="F261" s="2" t="s">
        <v>119</v>
      </c>
      <c r="G261" s="3">
        <v>8.15</v>
      </c>
      <c r="H261" s="3">
        <v>5.83</v>
      </c>
      <c r="I261" s="3">
        <v>23.75</v>
      </c>
      <c r="J261" s="3">
        <v>7.6</v>
      </c>
      <c r="K261" s="3">
        <v>1.1100000000000001</v>
      </c>
      <c r="L261" s="3">
        <v>46.44</v>
      </c>
      <c r="M261" s="3">
        <v>1393.2</v>
      </c>
      <c r="N261" s="3">
        <v>0.22</v>
      </c>
      <c r="O261" s="2" t="s">
        <v>619</v>
      </c>
      <c r="P261" s="4">
        <v>46013.839583333334</v>
      </c>
      <c r="Q261" s="4">
        <v>46015.434999999998</v>
      </c>
      <c r="R261" s="2" t="s">
        <v>86</v>
      </c>
      <c r="S261" s="3">
        <v>15.2</v>
      </c>
      <c r="T261" s="2">
        <v>85</v>
      </c>
      <c r="U261" s="3">
        <v>1919</v>
      </c>
      <c r="V261" s="3">
        <v>0</v>
      </c>
      <c r="W261" s="2" t="s">
        <v>94</v>
      </c>
      <c r="X261" s="2" t="s">
        <v>121</v>
      </c>
      <c r="Y261" s="3">
        <v>0</v>
      </c>
      <c r="Z261" t="str">
        <f>INDEX(Assets!$J:$J,MATCH(UPPER(TRIM(B261)),Assets!$A:$A,0))</f>
        <v>Arroyo</v>
      </c>
      <c r="AA261">
        <f t="shared" si="12"/>
        <v>1086.6960000000001</v>
      </c>
      <c r="AB261" s="21">
        <f t="shared" si="13"/>
        <v>45992</v>
      </c>
      <c r="AC261">
        <f>SUMIFS(Production!$H:$H,Production!$A:$A,UPPER(TRIM(B261)),Production!$B:$B,AB261)-SUMIFS(Production!$I:$I,Production!$A:$A,UPPER(TRIM(B261)),Production!$B:$B,AB261)</f>
        <v>40.6</v>
      </c>
      <c r="AD261">
        <f t="shared" si="14"/>
        <v>44119.85760000001</v>
      </c>
    </row>
    <row r="262" spans="1:30" ht="21" customHeight="1">
      <c r="A262" s="2" t="s">
        <v>620</v>
      </c>
      <c r="B262" s="9" t="s">
        <v>43</v>
      </c>
      <c r="C262" s="5">
        <v>45662.5</v>
      </c>
      <c r="D262" s="4">
        <v>45663.361666666664</v>
      </c>
      <c r="E262" s="2" t="s">
        <v>83</v>
      </c>
      <c r="F262" s="2" t="s">
        <v>119</v>
      </c>
      <c r="G262" s="3">
        <v>4.46</v>
      </c>
      <c r="H262" s="3">
        <v>4.47</v>
      </c>
      <c r="I262" s="3">
        <v>0</v>
      </c>
      <c r="J262" s="3">
        <v>9.4700000000000006</v>
      </c>
      <c r="K262" s="3">
        <v>2.2799999999999998</v>
      </c>
      <c r="L262" s="3">
        <v>20.68</v>
      </c>
      <c r="M262" s="3">
        <v>434.28</v>
      </c>
      <c r="N262" s="3">
        <v>0.23</v>
      </c>
      <c r="O262" s="2" t="s">
        <v>621</v>
      </c>
      <c r="P262" s="4">
        <v>45662.685833333337</v>
      </c>
      <c r="Q262" s="4">
        <v>45663.361666666664</v>
      </c>
      <c r="R262" s="2" t="s">
        <v>86</v>
      </c>
      <c r="S262" s="3">
        <v>9.4700000000000006</v>
      </c>
      <c r="T262" s="2">
        <v>85</v>
      </c>
      <c r="U262" s="3">
        <v>5172</v>
      </c>
      <c r="V262" s="3">
        <v>3412</v>
      </c>
      <c r="W262" s="2" t="s">
        <v>94</v>
      </c>
      <c r="X262" s="2" t="s">
        <v>121</v>
      </c>
      <c r="Y262" s="3">
        <v>0.5</v>
      </c>
      <c r="Z262" t="str">
        <f>INDEX(Assets!$J:$J,MATCH(UPPER(TRIM(B262)),Assets!$A:$A,0))</f>
        <v>Canyon</v>
      </c>
      <c r="AA262">
        <f t="shared" si="12"/>
        <v>334.3956</v>
      </c>
      <c r="AB262" s="21">
        <f t="shared" si="13"/>
        <v>45658</v>
      </c>
      <c r="AC262">
        <f>SUMIFS(Production!$H:$H,Production!$A:$A,UPPER(TRIM(B262)),Production!$B:$B,AB262)-SUMIFS(Production!$I:$I,Production!$A:$A,UPPER(TRIM(B262)),Production!$B:$B,AB262)</f>
        <v>46.8</v>
      </c>
      <c r="AD262">
        <f t="shared" si="14"/>
        <v>15649.71408</v>
      </c>
    </row>
    <row r="263" spans="1:30" ht="21" customHeight="1">
      <c r="A263" s="2" t="s">
        <v>622</v>
      </c>
      <c r="B263" s="9" t="s">
        <v>43</v>
      </c>
      <c r="C263" s="5">
        <v>45685.5</v>
      </c>
      <c r="D263" s="4">
        <v>45685.645416666666</v>
      </c>
      <c r="E263" s="2" t="s">
        <v>90</v>
      </c>
      <c r="F263" s="2" t="s">
        <v>91</v>
      </c>
      <c r="G263" s="3">
        <v>0</v>
      </c>
      <c r="H263" s="3">
        <v>0</v>
      </c>
      <c r="I263" s="3">
        <v>0</v>
      </c>
      <c r="J263" s="3">
        <v>3.49</v>
      </c>
      <c r="K263" s="3">
        <v>0</v>
      </c>
      <c r="L263" s="3">
        <v>3.49</v>
      </c>
      <c r="M263" s="3">
        <v>73.290000000000006</v>
      </c>
      <c r="N263" s="3">
        <v>0.25</v>
      </c>
      <c r="O263" s="2" t="s">
        <v>623</v>
      </c>
      <c r="P263" s="4">
        <v>45685.5</v>
      </c>
      <c r="Q263" s="4">
        <v>45685.645416666666</v>
      </c>
      <c r="R263" s="2" t="s">
        <v>93</v>
      </c>
      <c r="S263" s="3">
        <v>3.49</v>
      </c>
      <c r="T263" s="2">
        <v>85</v>
      </c>
      <c r="U263" s="3"/>
      <c r="V263" s="3">
        <v>1186</v>
      </c>
      <c r="W263" s="2" t="s">
        <v>87</v>
      </c>
      <c r="X263" s="2" t="s">
        <v>95</v>
      </c>
      <c r="Y263" s="3">
        <v>0</v>
      </c>
      <c r="Z263" t="str">
        <f>INDEX(Assets!$J:$J,MATCH(UPPER(TRIM(B263)),Assets!$A:$A,0))</f>
        <v>Canyon</v>
      </c>
      <c r="AA263">
        <f t="shared" si="12"/>
        <v>54.967500000000001</v>
      </c>
      <c r="AB263" s="21">
        <f t="shared" si="13"/>
        <v>45658</v>
      </c>
      <c r="AC263">
        <f>SUMIFS(Production!$H:$H,Production!$A:$A,UPPER(TRIM(B263)),Production!$B:$B,AB263)-SUMIFS(Production!$I:$I,Production!$A:$A,UPPER(TRIM(B263)),Production!$B:$B,AB263)</f>
        <v>46.8</v>
      </c>
      <c r="AD263">
        <f t="shared" si="14"/>
        <v>2572.4789999999998</v>
      </c>
    </row>
    <row r="264" spans="1:30" ht="21" customHeight="1">
      <c r="A264" s="2" t="s">
        <v>624</v>
      </c>
      <c r="B264" s="9" t="s">
        <v>43</v>
      </c>
      <c r="C264" s="5">
        <v>45698.5</v>
      </c>
      <c r="D264" s="4">
        <v>45699.018750000003</v>
      </c>
      <c r="E264" s="2" t="s">
        <v>83</v>
      </c>
      <c r="F264" s="2" t="s">
        <v>84</v>
      </c>
      <c r="G264" s="3">
        <v>1.74</v>
      </c>
      <c r="H264" s="3">
        <v>5.28</v>
      </c>
      <c r="I264" s="3">
        <v>0</v>
      </c>
      <c r="J264" s="3">
        <v>3.72</v>
      </c>
      <c r="K264" s="3">
        <v>1.71</v>
      </c>
      <c r="L264" s="3">
        <v>12.45</v>
      </c>
      <c r="M264" s="3">
        <v>261.45</v>
      </c>
      <c r="N264" s="3">
        <v>0.25</v>
      </c>
      <c r="O264" s="2" t="s">
        <v>625</v>
      </c>
      <c r="P264" s="4">
        <v>45698.572499999995</v>
      </c>
      <c r="Q264" s="4">
        <v>45699.018750000003</v>
      </c>
      <c r="R264" s="2" t="s">
        <v>86</v>
      </c>
      <c r="S264" s="3">
        <v>3.72</v>
      </c>
      <c r="T264" s="2">
        <v>85</v>
      </c>
      <c r="U264" s="3">
        <v>7112</v>
      </c>
      <c r="V264" s="3">
        <v>0</v>
      </c>
      <c r="W264" s="2" t="s">
        <v>94</v>
      </c>
      <c r="X264" s="2" t="s">
        <v>88</v>
      </c>
      <c r="Y264" s="3">
        <v>0</v>
      </c>
      <c r="Z264" t="str">
        <f>INDEX(Assets!$J:$J,MATCH(UPPER(TRIM(B264)),Assets!$A:$A,0))</f>
        <v>Canyon</v>
      </c>
      <c r="AA264">
        <f t="shared" si="12"/>
        <v>196.08749999999998</v>
      </c>
      <c r="AB264" s="21">
        <f t="shared" si="13"/>
        <v>45689</v>
      </c>
      <c r="AC264">
        <f>SUMIFS(Production!$H:$H,Production!$A:$A,UPPER(TRIM(B264)),Production!$B:$B,AB264)-SUMIFS(Production!$I:$I,Production!$A:$A,UPPER(TRIM(B264)),Production!$B:$B,AB264)</f>
        <v>44.8</v>
      </c>
      <c r="AD264">
        <f t="shared" si="14"/>
        <v>8784.7199999999975</v>
      </c>
    </row>
    <row r="265" spans="1:30" ht="21" customHeight="1">
      <c r="A265" s="2" t="s">
        <v>626</v>
      </c>
      <c r="B265" s="9" t="s">
        <v>43</v>
      </c>
      <c r="C265" s="5">
        <v>45726.5</v>
      </c>
      <c r="D265" s="4">
        <v>45727.019583333335</v>
      </c>
      <c r="E265" s="2" t="s">
        <v>83</v>
      </c>
      <c r="F265" s="2" t="s">
        <v>115</v>
      </c>
      <c r="G265" s="3">
        <v>0.82</v>
      </c>
      <c r="H265" s="3">
        <v>1.97</v>
      </c>
      <c r="I265" s="3">
        <v>0</v>
      </c>
      <c r="J265" s="3">
        <v>8.73</v>
      </c>
      <c r="K265" s="3">
        <v>0.95</v>
      </c>
      <c r="L265" s="3">
        <v>12.47</v>
      </c>
      <c r="M265" s="3">
        <v>261.87</v>
      </c>
      <c r="N265" s="3">
        <v>0.25</v>
      </c>
      <c r="O265" s="2" t="s">
        <v>627</v>
      </c>
      <c r="P265" s="4">
        <v>45726.534166666665</v>
      </c>
      <c r="Q265" s="4">
        <v>45727.019583333335</v>
      </c>
      <c r="R265" s="2" t="s">
        <v>86</v>
      </c>
      <c r="S265" s="3">
        <v>17.46</v>
      </c>
      <c r="T265" s="2">
        <v>85</v>
      </c>
      <c r="U265" s="3">
        <v>3827</v>
      </c>
      <c r="V265" s="3">
        <v>0</v>
      </c>
      <c r="W265" s="2" t="s">
        <v>94</v>
      </c>
      <c r="X265" s="2" t="s">
        <v>117</v>
      </c>
      <c r="Y265" s="3">
        <v>0</v>
      </c>
      <c r="Z265" t="str">
        <f>INDEX(Assets!$J:$J,MATCH(UPPER(TRIM(B265)),Assets!$A:$A,0))</f>
        <v>Canyon</v>
      </c>
      <c r="AA265">
        <f t="shared" si="12"/>
        <v>196.4025</v>
      </c>
      <c r="AB265" s="21">
        <f t="shared" si="13"/>
        <v>45717</v>
      </c>
      <c r="AC265">
        <f>SUMIFS(Production!$H:$H,Production!$A:$A,UPPER(TRIM(B265)),Production!$B:$B,AB265)-SUMIFS(Production!$I:$I,Production!$A:$A,UPPER(TRIM(B265)),Production!$B:$B,AB265)</f>
        <v>42.8</v>
      </c>
      <c r="AD265">
        <f t="shared" si="14"/>
        <v>8406.027</v>
      </c>
    </row>
    <row r="266" spans="1:30" ht="21" customHeight="1">
      <c r="A266" s="2" t="s">
        <v>628</v>
      </c>
      <c r="B266" s="9" t="s">
        <v>43</v>
      </c>
      <c r="C266" s="5">
        <v>45735.5</v>
      </c>
      <c r="D266" s="4">
        <v>45735.815833333334</v>
      </c>
      <c r="E266" s="2" t="s">
        <v>83</v>
      </c>
      <c r="F266" s="2" t="s">
        <v>84</v>
      </c>
      <c r="G266" s="3">
        <v>0.99</v>
      </c>
      <c r="H266" s="3">
        <v>3.06</v>
      </c>
      <c r="I266" s="3">
        <v>0</v>
      </c>
      <c r="J266" s="3">
        <v>2.34</v>
      </c>
      <c r="K266" s="3">
        <v>1.19</v>
      </c>
      <c r="L266" s="3">
        <v>7.58</v>
      </c>
      <c r="M266" s="3">
        <v>159.18</v>
      </c>
      <c r="N266" s="3">
        <v>0.27</v>
      </c>
      <c r="O266" s="2" t="s">
        <v>629</v>
      </c>
      <c r="P266" s="4">
        <v>45735.541249999995</v>
      </c>
      <c r="Q266" s="4">
        <v>45735.815833333334</v>
      </c>
      <c r="R266" s="2" t="s">
        <v>86</v>
      </c>
      <c r="S266" s="3">
        <v>4.68</v>
      </c>
      <c r="T266" s="2">
        <v>85</v>
      </c>
      <c r="U266" s="3">
        <v>2832</v>
      </c>
      <c r="V266" s="3">
        <v>4562</v>
      </c>
      <c r="W266" s="2" t="s">
        <v>94</v>
      </c>
      <c r="X266" s="2" t="s">
        <v>88</v>
      </c>
      <c r="Y266" s="3">
        <v>0.5</v>
      </c>
      <c r="Z266" t="str">
        <f>INDEX(Assets!$J:$J,MATCH(UPPER(TRIM(B266)),Assets!$A:$A,0))</f>
        <v>Canyon</v>
      </c>
      <c r="AA266">
        <f t="shared" si="12"/>
        <v>116.20140000000001</v>
      </c>
      <c r="AB266" s="21">
        <f t="shared" si="13"/>
        <v>45717</v>
      </c>
      <c r="AC266">
        <f>SUMIFS(Production!$H:$H,Production!$A:$A,UPPER(TRIM(B266)),Production!$B:$B,AB266)-SUMIFS(Production!$I:$I,Production!$A:$A,UPPER(TRIM(B266)),Production!$B:$B,AB266)</f>
        <v>42.8</v>
      </c>
      <c r="AD266">
        <f t="shared" si="14"/>
        <v>4973.4199200000003</v>
      </c>
    </row>
    <row r="267" spans="1:30" ht="21" customHeight="1">
      <c r="A267" s="2" t="s">
        <v>630</v>
      </c>
      <c r="B267" s="9" t="s">
        <v>43</v>
      </c>
      <c r="C267" s="5">
        <v>45756.5</v>
      </c>
      <c r="D267" s="4">
        <v>45756.859166666662</v>
      </c>
      <c r="E267" s="2" t="s">
        <v>83</v>
      </c>
      <c r="F267" s="2" t="s">
        <v>115</v>
      </c>
      <c r="G267" s="3">
        <v>2.52</v>
      </c>
      <c r="H267" s="3">
        <v>1.1200000000000001</v>
      </c>
      <c r="I267" s="3">
        <v>0</v>
      </c>
      <c r="J267" s="3">
        <v>2.95</v>
      </c>
      <c r="K267" s="3">
        <v>2.0299999999999998</v>
      </c>
      <c r="L267" s="3">
        <v>8.6199999999999992</v>
      </c>
      <c r="M267" s="3">
        <v>181.02</v>
      </c>
      <c r="N267" s="3">
        <v>0.28999999999999998</v>
      </c>
      <c r="O267" s="2" t="s">
        <v>631</v>
      </c>
      <c r="P267" s="4">
        <v>45756.604999999996</v>
      </c>
      <c r="Q267" s="4">
        <v>45756.859166666662</v>
      </c>
      <c r="R267" s="2" t="s">
        <v>86</v>
      </c>
      <c r="S267" s="3">
        <v>2.95</v>
      </c>
      <c r="T267" s="2">
        <v>85</v>
      </c>
      <c r="U267" s="3">
        <v>1783</v>
      </c>
      <c r="V267" s="3">
        <v>3903</v>
      </c>
      <c r="W267" s="2" t="s">
        <v>94</v>
      </c>
      <c r="X267" s="2" t="s">
        <v>117</v>
      </c>
      <c r="Y267" s="3">
        <v>0</v>
      </c>
      <c r="Z267" t="str">
        <f>INDEX(Assets!$J:$J,MATCH(UPPER(TRIM(B267)),Assets!$A:$A,0))</f>
        <v>Canyon</v>
      </c>
      <c r="AA267">
        <f t="shared" si="12"/>
        <v>128.52420000000001</v>
      </c>
      <c r="AB267" s="21">
        <f t="shared" si="13"/>
        <v>45748</v>
      </c>
      <c r="AC267">
        <f>SUMIFS(Production!$H:$H,Production!$A:$A,UPPER(TRIM(B267)),Production!$B:$B,AB267)-SUMIFS(Production!$I:$I,Production!$A:$A,UPPER(TRIM(B267)),Production!$B:$B,AB267)</f>
        <v>40.799999999999997</v>
      </c>
      <c r="AD267">
        <f t="shared" si="14"/>
        <v>5243.7873600000003</v>
      </c>
    </row>
    <row r="268" spans="1:30" ht="21" customHeight="1">
      <c r="A268" s="2" t="s">
        <v>632</v>
      </c>
      <c r="B268" s="9" t="s">
        <v>43</v>
      </c>
      <c r="C268" s="5">
        <v>45769.5</v>
      </c>
      <c r="D268" s="4">
        <v>45771.120833333334</v>
      </c>
      <c r="E268" s="2" t="s">
        <v>83</v>
      </c>
      <c r="F268" s="2" t="s">
        <v>115</v>
      </c>
      <c r="G268" s="3">
        <v>0.93</v>
      </c>
      <c r="H268" s="3">
        <v>3.04</v>
      </c>
      <c r="I268" s="3">
        <v>25.7</v>
      </c>
      <c r="J268" s="3">
        <v>7.51</v>
      </c>
      <c r="K268" s="3">
        <v>1.72</v>
      </c>
      <c r="L268" s="3">
        <v>38.9</v>
      </c>
      <c r="M268" s="3">
        <v>816.9</v>
      </c>
      <c r="N268" s="3">
        <v>0.2</v>
      </c>
      <c r="O268" s="2" t="s">
        <v>633</v>
      </c>
      <c r="P268" s="4">
        <v>45769.53875</v>
      </c>
      <c r="Q268" s="4">
        <v>45771.120833333334</v>
      </c>
      <c r="R268" s="2" t="s">
        <v>86</v>
      </c>
      <c r="S268" s="3">
        <v>7.51</v>
      </c>
      <c r="T268" s="2">
        <v>85</v>
      </c>
      <c r="U268" s="3">
        <v>2835</v>
      </c>
      <c r="V268" s="3">
        <v>3560</v>
      </c>
      <c r="W268" s="2" t="s">
        <v>94</v>
      </c>
      <c r="X268" s="2" t="s">
        <v>117</v>
      </c>
      <c r="Y268" s="3">
        <v>0</v>
      </c>
      <c r="Z268" t="str">
        <f>INDEX(Assets!$J:$J,MATCH(UPPER(TRIM(B268)),Assets!$A:$A,0))</f>
        <v>Canyon</v>
      </c>
      <c r="AA268">
        <f t="shared" si="12"/>
        <v>653.52</v>
      </c>
      <c r="AB268" s="21">
        <f t="shared" si="13"/>
        <v>45748</v>
      </c>
      <c r="AC268">
        <f>SUMIFS(Production!$H:$H,Production!$A:$A,UPPER(TRIM(B268)),Production!$B:$B,AB268)-SUMIFS(Production!$I:$I,Production!$A:$A,UPPER(TRIM(B268)),Production!$B:$B,AB268)</f>
        <v>40.799999999999997</v>
      </c>
      <c r="AD268">
        <f t="shared" si="14"/>
        <v>26663.615999999998</v>
      </c>
    </row>
    <row r="269" spans="1:30" ht="21" customHeight="1">
      <c r="A269" s="2" t="s">
        <v>634</v>
      </c>
      <c r="B269" s="9" t="s">
        <v>43</v>
      </c>
      <c r="C269" s="5">
        <v>45775.5</v>
      </c>
      <c r="D269" s="4">
        <v>45775.761249999996</v>
      </c>
      <c r="E269" s="2" t="s">
        <v>90</v>
      </c>
      <c r="F269" s="2" t="s">
        <v>91</v>
      </c>
      <c r="G269" s="3">
        <v>0</v>
      </c>
      <c r="H269" s="3">
        <v>0</v>
      </c>
      <c r="I269" s="3">
        <v>0</v>
      </c>
      <c r="J269" s="3">
        <v>6.27</v>
      </c>
      <c r="K269" s="3">
        <v>0</v>
      </c>
      <c r="L269" s="3">
        <v>6.27</v>
      </c>
      <c r="M269" s="3">
        <v>131.66999999999999</v>
      </c>
      <c r="N269" s="3">
        <v>0.25</v>
      </c>
      <c r="O269" s="2" t="s">
        <v>635</v>
      </c>
      <c r="P269" s="4">
        <v>45775.5</v>
      </c>
      <c r="Q269" s="4">
        <v>45775.761249999996</v>
      </c>
      <c r="R269" s="2" t="s">
        <v>93</v>
      </c>
      <c r="S269" s="3">
        <v>12.54</v>
      </c>
      <c r="T269" s="2">
        <v>85</v>
      </c>
      <c r="U269" s="3">
        <v>1096</v>
      </c>
      <c r="V269" s="3">
        <v>0</v>
      </c>
      <c r="W269" s="2" t="s">
        <v>94</v>
      </c>
      <c r="X269" s="2" t="s">
        <v>95</v>
      </c>
      <c r="Y269" s="3">
        <v>0</v>
      </c>
      <c r="Z269" t="str">
        <f>INDEX(Assets!$J:$J,MATCH(UPPER(TRIM(B269)),Assets!$A:$A,0))</f>
        <v>Canyon</v>
      </c>
      <c r="AA269">
        <f t="shared" si="12"/>
        <v>98.752499999999998</v>
      </c>
      <c r="AB269" s="21">
        <f t="shared" si="13"/>
        <v>45748</v>
      </c>
      <c r="AC269">
        <f>SUMIFS(Production!$H:$H,Production!$A:$A,UPPER(TRIM(B269)),Production!$B:$B,AB269)-SUMIFS(Production!$I:$I,Production!$A:$A,UPPER(TRIM(B269)),Production!$B:$B,AB269)</f>
        <v>40.799999999999997</v>
      </c>
      <c r="AD269">
        <f t="shared" si="14"/>
        <v>4029.1019999999994</v>
      </c>
    </row>
    <row r="270" spans="1:30" ht="21" customHeight="1">
      <c r="A270" s="2" t="s">
        <v>636</v>
      </c>
      <c r="B270" s="9" t="s">
        <v>43</v>
      </c>
      <c r="C270" s="5">
        <v>45784.5</v>
      </c>
      <c r="D270" s="4">
        <v>45784.971250000002</v>
      </c>
      <c r="E270" s="2" t="s">
        <v>83</v>
      </c>
      <c r="F270" s="2" t="s">
        <v>84</v>
      </c>
      <c r="G270" s="3">
        <v>2.64</v>
      </c>
      <c r="H270" s="3">
        <v>1.1299999999999999</v>
      </c>
      <c r="I270" s="3">
        <v>0</v>
      </c>
      <c r="J270" s="3">
        <v>5.78</v>
      </c>
      <c r="K270" s="3">
        <v>1.76</v>
      </c>
      <c r="L270" s="3">
        <v>11.31</v>
      </c>
      <c r="M270" s="3">
        <v>237.51</v>
      </c>
      <c r="N270" s="3">
        <v>0.28000000000000003</v>
      </c>
      <c r="O270" s="2" t="s">
        <v>637</v>
      </c>
      <c r="P270" s="4">
        <v>45784.61</v>
      </c>
      <c r="Q270" s="4">
        <v>45784.971250000002</v>
      </c>
      <c r="R270" s="2" t="s">
        <v>86</v>
      </c>
      <c r="S270" s="3">
        <v>11.56</v>
      </c>
      <c r="T270" s="2">
        <v>85</v>
      </c>
      <c r="U270" s="3">
        <v>5519</v>
      </c>
      <c r="V270" s="3">
        <v>0</v>
      </c>
      <c r="W270" s="2" t="s">
        <v>94</v>
      </c>
      <c r="X270" s="2" t="s">
        <v>88</v>
      </c>
      <c r="Y270" s="3">
        <v>0.5</v>
      </c>
      <c r="Z270" t="str">
        <f>INDEX(Assets!$J:$J,MATCH(UPPER(TRIM(B270)),Assets!$A:$A,0))</f>
        <v>Canyon</v>
      </c>
      <c r="AA270">
        <f t="shared" si="12"/>
        <v>171.00719999999998</v>
      </c>
      <c r="AB270" s="21">
        <f t="shared" si="13"/>
        <v>45778</v>
      </c>
      <c r="AC270">
        <f>SUMIFS(Production!$H:$H,Production!$A:$A,UPPER(TRIM(B270)),Production!$B:$B,AB270)-SUMIFS(Production!$I:$I,Production!$A:$A,UPPER(TRIM(B270)),Production!$B:$B,AB270)</f>
        <v>38.799999999999997</v>
      </c>
      <c r="AD270">
        <f t="shared" si="14"/>
        <v>6635.0793599999988</v>
      </c>
    </row>
    <row r="271" spans="1:30" ht="21" customHeight="1">
      <c r="A271" s="2" t="s">
        <v>638</v>
      </c>
      <c r="B271" s="9" t="s">
        <v>43</v>
      </c>
      <c r="C271" s="5">
        <v>45815.5</v>
      </c>
      <c r="D271" s="4">
        <v>45816.267916666664</v>
      </c>
      <c r="E271" s="2" t="s">
        <v>83</v>
      </c>
      <c r="F271" s="2" t="s">
        <v>84</v>
      </c>
      <c r="G271" s="3">
        <v>3.43</v>
      </c>
      <c r="H271" s="3">
        <v>4.62</v>
      </c>
      <c r="I271" s="3">
        <v>0</v>
      </c>
      <c r="J271" s="3">
        <v>8.42</v>
      </c>
      <c r="K271" s="3">
        <v>1.96</v>
      </c>
      <c r="L271" s="3">
        <v>18.43</v>
      </c>
      <c r="M271" s="3">
        <v>387.03</v>
      </c>
      <c r="N271" s="3">
        <v>0.28000000000000003</v>
      </c>
      <c r="O271" s="2" t="s">
        <v>639</v>
      </c>
      <c r="P271" s="4">
        <v>45815.642916666664</v>
      </c>
      <c r="Q271" s="4">
        <v>45816.267916666664</v>
      </c>
      <c r="R271" s="2" t="s">
        <v>86</v>
      </c>
      <c r="S271" s="3">
        <v>8.42</v>
      </c>
      <c r="T271" s="2">
        <v>85</v>
      </c>
      <c r="U271" s="3">
        <v>6601</v>
      </c>
      <c r="V271" s="3">
        <v>2309</v>
      </c>
      <c r="W271" s="2" t="s">
        <v>94</v>
      </c>
      <c r="X271" s="2" t="s">
        <v>88</v>
      </c>
      <c r="Y271" s="3">
        <v>0</v>
      </c>
      <c r="Z271" t="str">
        <f>INDEX(Assets!$J:$J,MATCH(UPPER(TRIM(B271)),Assets!$A:$A,0))</f>
        <v>Canyon</v>
      </c>
      <c r="AA271">
        <f t="shared" si="12"/>
        <v>278.66159999999996</v>
      </c>
      <c r="AB271" s="21">
        <f t="shared" si="13"/>
        <v>45809</v>
      </c>
      <c r="AC271">
        <f>SUMIFS(Production!$H:$H,Production!$A:$A,UPPER(TRIM(B271)),Production!$B:$B,AB271)-SUMIFS(Production!$I:$I,Production!$A:$A,UPPER(TRIM(B271)),Production!$B:$B,AB271)</f>
        <v>39.799999999999997</v>
      </c>
      <c r="AD271">
        <f t="shared" si="14"/>
        <v>11090.731679999997</v>
      </c>
    </row>
    <row r="272" spans="1:30" ht="21" customHeight="1">
      <c r="A272" s="2" t="s">
        <v>640</v>
      </c>
      <c r="B272" s="9" t="s">
        <v>43</v>
      </c>
      <c r="C272" s="5">
        <v>45829.5</v>
      </c>
      <c r="D272" s="4">
        <v>45830.10125</v>
      </c>
      <c r="E272" s="2" t="s">
        <v>83</v>
      </c>
      <c r="F272" s="2" t="s">
        <v>119</v>
      </c>
      <c r="G272" s="3">
        <v>2.14</v>
      </c>
      <c r="H272" s="3">
        <v>4.26</v>
      </c>
      <c r="I272" s="3">
        <v>0</v>
      </c>
      <c r="J272" s="3">
        <v>7.41</v>
      </c>
      <c r="K272" s="3">
        <v>0.62</v>
      </c>
      <c r="L272" s="3">
        <v>14.43</v>
      </c>
      <c r="M272" s="3">
        <v>303.02999999999997</v>
      </c>
      <c r="N272" s="3">
        <v>0.21</v>
      </c>
      <c r="O272" s="2" t="s">
        <v>641</v>
      </c>
      <c r="P272" s="4">
        <v>45829.589166666672</v>
      </c>
      <c r="Q272" s="4">
        <v>45830.10125</v>
      </c>
      <c r="R272" s="2" t="s">
        <v>86</v>
      </c>
      <c r="S272" s="3">
        <v>7.41</v>
      </c>
      <c r="T272" s="2">
        <v>85</v>
      </c>
      <c r="U272" s="3">
        <v>4909</v>
      </c>
      <c r="V272" s="3">
        <v>0</v>
      </c>
      <c r="W272" s="2" t="s">
        <v>94</v>
      </c>
      <c r="X272" s="2" t="s">
        <v>121</v>
      </c>
      <c r="Y272" s="3">
        <v>0</v>
      </c>
      <c r="Z272" t="str">
        <f>INDEX(Assets!$J:$J,MATCH(UPPER(TRIM(B272)),Assets!$A:$A,0))</f>
        <v>Canyon</v>
      </c>
      <c r="AA272">
        <f t="shared" si="12"/>
        <v>239.3937</v>
      </c>
      <c r="AB272" s="21">
        <f t="shared" si="13"/>
        <v>45809</v>
      </c>
      <c r="AC272">
        <f>SUMIFS(Production!$H:$H,Production!$A:$A,UPPER(TRIM(B272)),Production!$B:$B,AB272)-SUMIFS(Production!$I:$I,Production!$A:$A,UPPER(TRIM(B272)),Production!$B:$B,AB272)</f>
        <v>39.799999999999997</v>
      </c>
      <c r="AD272">
        <f t="shared" si="14"/>
        <v>9527.8692599999995</v>
      </c>
    </row>
    <row r="273" spans="1:30" ht="21" customHeight="1">
      <c r="A273" s="2" t="s">
        <v>642</v>
      </c>
      <c r="B273" s="9" t="s">
        <v>43</v>
      </c>
      <c r="C273" s="5">
        <v>45846.5</v>
      </c>
      <c r="D273" s="4">
        <v>45847.002500000002</v>
      </c>
      <c r="E273" s="2" t="s">
        <v>83</v>
      </c>
      <c r="F273" s="2" t="s">
        <v>101</v>
      </c>
      <c r="G273" s="3">
        <v>3.41</v>
      </c>
      <c r="H273" s="3">
        <v>3.24</v>
      </c>
      <c r="I273" s="3">
        <v>0</v>
      </c>
      <c r="J273" s="3">
        <v>3.19</v>
      </c>
      <c r="K273" s="3">
        <v>2.2200000000000002</v>
      </c>
      <c r="L273" s="3">
        <v>12.06</v>
      </c>
      <c r="M273" s="3">
        <v>253.26</v>
      </c>
      <c r="N273" s="3">
        <v>0.25</v>
      </c>
      <c r="O273" s="2" t="s">
        <v>643</v>
      </c>
      <c r="P273" s="4">
        <v>45846.642083333332</v>
      </c>
      <c r="Q273" s="4">
        <v>45847.002500000002</v>
      </c>
      <c r="R273" s="2" t="s">
        <v>86</v>
      </c>
      <c r="S273" s="3">
        <v>3.19</v>
      </c>
      <c r="T273" s="2">
        <v>85</v>
      </c>
      <c r="U273" s="3">
        <v>2561</v>
      </c>
      <c r="V273" s="3">
        <v>0</v>
      </c>
      <c r="W273" s="2" t="s">
        <v>94</v>
      </c>
      <c r="X273" s="2" t="s">
        <v>103</v>
      </c>
      <c r="Y273" s="3">
        <v>0</v>
      </c>
      <c r="Z273" t="str">
        <f>INDEX(Assets!$J:$J,MATCH(UPPER(TRIM(B273)),Assets!$A:$A,0))</f>
        <v>Canyon</v>
      </c>
      <c r="AA273">
        <f t="shared" si="12"/>
        <v>189.94499999999999</v>
      </c>
      <c r="AB273" s="21">
        <f t="shared" si="13"/>
        <v>45839</v>
      </c>
      <c r="AC273">
        <f>SUMIFS(Production!$H:$H,Production!$A:$A,UPPER(TRIM(B273)),Production!$B:$B,AB273)-SUMIFS(Production!$I:$I,Production!$A:$A,UPPER(TRIM(B273)),Production!$B:$B,AB273)</f>
        <v>41.8</v>
      </c>
      <c r="AD273">
        <f t="shared" si="14"/>
        <v>7939.7009999999991</v>
      </c>
    </row>
    <row r="274" spans="1:30" ht="21" customHeight="1">
      <c r="A274" s="2" t="s">
        <v>644</v>
      </c>
      <c r="B274" s="9" t="s">
        <v>43</v>
      </c>
      <c r="C274" s="5">
        <v>45866.5</v>
      </c>
      <c r="D274" s="4">
        <v>45866.627083333333</v>
      </c>
      <c r="E274" s="2" t="s">
        <v>90</v>
      </c>
      <c r="F274" s="2" t="s">
        <v>91</v>
      </c>
      <c r="G274" s="3">
        <v>0</v>
      </c>
      <c r="H274" s="3">
        <v>0</v>
      </c>
      <c r="I274" s="3">
        <v>0</v>
      </c>
      <c r="J274" s="3">
        <v>3.05</v>
      </c>
      <c r="K274" s="3">
        <v>0</v>
      </c>
      <c r="L274" s="3">
        <v>3.05</v>
      </c>
      <c r="M274" s="3">
        <v>64.05</v>
      </c>
      <c r="N274" s="3">
        <v>0.25</v>
      </c>
      <c r="O274" s="2" t="s">
        <v>645</v>
      </c>
      <c r="P274" s="4">
        <v>45866.5</v>
      </c>
      <c r="Q274" s="4">
        <v>45866.627083333333</v>
      </c>
      <c r="R274" s="2" t="s">
        <v>93</v>
      </c>
      <c r="S274" s="3">
        <v>3.05</v>
      </c>
      <c r="T274" s="2">
        <v>85</v>
      </c>
      <c r="U274" s="3">
        <v>1506</v>
      </c>
      <c r="V274" s="3">
        <v>4796</v>
      </c>
      <c r="W274" s="2" t="s">
        <v>94</v>
      </c>
      <c r="X274" s="2" t="s">
        <v>95</v>
      </c>
      <c r="Y274" s="3">
        <v>0</v>
      </c>
      <c r="Z274" t="str">
        <f>INDEX(Assets!$J:$J,MATCH(UPPER(TRIM(B274)),Assets!$A:$A,0))</f>
        <v>Canyon</v>
      </c>
      <c r="AA274">
        <f t="shared" si="12"/>
        <v>48.037499999999994</v>
      </c>
      <c r="AB274" s="21">
        <f t="shared" si="13"/>
        <v>45839</v>
      </c>
      <c r="AC274">
        <f>SUMIFS(Production!$H:$H,Production!$A:$A,UPPER(TRIM(B274)),Production!$B:$B,AB274)-SUMIFS(Production!$I:$I,Production!$A:$A,UPPER(TRIM(B274)),Production!$B:$B,AB274)</f>
        <v>41.8</v>
      </c>
      <c r="AD274">
        <f t="shared" si="14"/>
        <v>2007.9674999999995</v>
      </c>
    </row>
    <row r="275" spans="1:30" ht="21" customHeight="1">
      <c r="A275" s="2" t="s">
        <v>646</v>
      </c>
      <c r="B275" s="9" t="s">
        <v>43</v>
      </c>
      <c r="C275" s="5">
        <v>45876.5</v>
      </c>
      <c r="D275" s="4">
        <v>45877.842499999999</v>
      </c>
      <c r="E275" s="2" t="s">
        <v>83</v>
      </c>
      <c r="F275" s="2" t="s">
        <v>84</v>
      </c>
      <c r="G275" s="3">
        <v>4.43</v>
      </c>
      <c r="H275" s="3">
        <v>2.11</v>
      </c>
      <c r="I275" s="3">
        <v>20.36</v>
      </c>
      <c r="J275" s="3">
        <v>4.3499999999999996</v>
      </c>
      <c r="K275" s="3">
        <v>0.97</v>
      </c>
      <c r="L275" s="3">
        <v>32.22</v>
      </c>
      <c r="M275" s="3">
        <v>676.62</v>
      </c>
      <c r="N275" s="3">
        <v>0.25</v>
      </c>
      <c r="O275" s="2" t="s">
        <v>647</v>
      </c>
      <c r="P275" s="4">
        <v>45876.684583333335</v>
      </c>
      <c r="Q275" s="4">
        <v>45877.842499999999</v>
      </c>
      <c r="R275" s="2" t="s">
        <v>86</v>
      </c>
      <c r="S275" s="3">
        <v>8.6999999999999993</v>
      </c>
      <c r="T275" s="2">
        <v>85</v>
      </c>
      <c r="U275" s="3">
        <v>5094</v>
      </c>
      <c r="V275" s="3">
        <v>2959</v>
      </c>
      <c r="W275" s="2" t="s">
        <v>94</v>
      </c>
      <c r="X275" s="2" t="s">
        <v>88</v>
      </c>
      <c r="Y275" s="3">
        <v>0</v>
      </c>
      <c r="Z275" t="str">
        <f>INDEX(Assets!$J:$J,MATCH(UPPER(TRIM(B275)),Assets!$A:$A,0))</f>
        <v>Canyon</v>
      </c>
      <c r="AA275">
        <f t="shared" si="12"/>
        <v>507.46500000000003</v>
      </c>
      <c r="AB275" s="21">
        <f t="shared" si="13"/>
        <v>45870</v>
      </c>
      <c r="AC275">
        <f>SUMIFS(Production!$H:$H,Production!$A:$A,UPPER(TRIM(B275)),Production!$B:$B,AB275)-SUMIFS(Production!$I:$I,Production!$A:$A,UPPER(TRIM(B275)),Production!$B:$B,AB275)</f>
        <v>40.799999999999997</v>
      </c>
      <c r="AD275">
        <f t="shared" si="14"/>
        <v>20704.572</v>
      </c>
    </row>
    <row r="276" spans="1:30" ht="21" customHeight="1">
      <c r="A276" s="2" t="s">
        <v>648</v>
      </c>
      <c r="B276" s="9" t="s">
        <v>43</v>
      </c>
      <c r="C276" s="5">
        <v>45891.5</v>
      </c>
      <c r="D276" s="4">
        <v>45892.369583333333</v>
      </c>
      <c r="E276" s="2" t="s">
        <v>83</v>
      </c>
      <c r="F276" s="2" t="s">
        <v>119</v>
      </c>
      <c r="G276" s="3">
        <v>4.1100000000000003</v>
      </c>
      <c r="H276" s="3">
        <v>3</v>
      </c>
      <c r="I276" s="3">
        <v>0</v>
      </c>
      <c r="J276" s="3">
        <v>11.71</v>
      </c>
      <c r="K276" s="3">
        <v>2.0499999999999998</v>
      </c>
      <c r="L276" s="3">
        <v>20.87</v>
      </c>
      <c r="M276" s="3">
        <v>438.27</v>
      </c>
      <c r="N276" s="3">
        <v>0.24</v>
      </c>
      <c r="O276" s="2" t="s">
        <v>649</v>
      </c>
      <c r="P276" s="4">
        <v>45891.671249999999</v>
      </c>
      <c r="Q276" s="4">
        <v>45892.369583333333</v>
      </c>
      <c r="R276" s="2" t="s">
        <v>86</v>
      </c>
      <c r="S276" s="3">
        <v>11.71</v>
      </c>
      <c r="T276" s="2">
        <v>85</v>
      </c>
      <c r="U276" s="3">
        <v>2217</v>
      </c>
      <c r="V276" s="3">
        <v>0</v>
      </c>
      <c r="W276" s="2" t="s">
        <v>94</v>
      </c>
      <c r="X276" s="2" t="s">
        <v>121</v>
      </c>
      <c r="Y276" s="3">
        <v>0</v>
      </c>
      <c r="Z276" t="str">
        <f>INDEX(Assets!$J:$J,MATCH(UPPER(TRIM(B276)),Assets!$A:$A,0))</f>
        <v>Canyon</v>
      </c>
      <c r="AA276">
        <f t="shared" si="12"/>
        <v>333.08519999999999</v>
      </c>
      <c r="AB276" s="21">
        <f t="shared" si="13"/>
        <v>45870</v>
      </c>
      <c r="AC276">
        <f>SUMIFS(Production!$H:$H,Production!$A:$A,UPPER(TRIM(B276)),Production!$B:$B,AB276)-SUMIFS(Production!$I:$I,Production!$A:$A,UPPER(TRIM(B276)),Production!$B:$B,AB276)</f>
        <v>40.799999999999997</v>
      </c>
      <c r="AD276">
        <f t="shared" si="14"/>
        <v>13589.876159999998</v>
      </c>
    </row>
    <row r="277" spans="1:30" ht="21" customHeight="1">
      <c r="A277" s="2" t="s">
        <v>650</v>
      </c>
      <c r="B277" s="9" t="s">
        <v>43</v>
      </c>
      <c r="C277" s="5">
        <v>45910.5</v>
      </c>
      <c r="D277" s="4">
        <v>45910.91333333333</v>
      </c>
      <c r="E277" s="2" t="s">
        <v>83</v>
      </c>
      <c r="F277" s="2" t="s">
        <v>84</v>
      </c>
      <c r="G277" s="3">
        <v>1.0900000000000001</v>
      </c>
      <c r="H277" s="3">
        <v>3.97</v>
      </c>
      <c r="I277" s="3">
        <v>0</v>
      </c>
      <c r="J277" s="3">
        <v>4.22</v>
      </c>
      <c r="K277" s="3">
        <v>0.64</v>
      </c>
      <c r="L277" s="3">
        <v>9.92</v>
      </c>
      <c r="M277" s="3">
        <v>208.32</v>
      </c>
      <c r="N277" s="3">
        <v>0.13</v>
      </c>
      <c r="O277" s="2" t="s">
        <v>651</v>
      </c>
      <c r="P277" s="4">
        <v>45910.545416666668</v>
      </c>
      <c r="Q277" s="4">
        <v>45910.91333333333</v>
      </c>
      <c r="R277" s="2" t="s">
        <v>86</v>
      </c>
      <c r="S277" s="3">
        <v>4.22</v>
      </c>
      <c r="T277" s="2">
        <v>85</v>
      </c>
      <c r="U277" s="3">
        <v>6127</v>
      </c>
      <c r="V277" s="3">
        <v>0</v>
      </c>
      <c r="W277" s="2" t="s">
        <v>94</v>
      </c>
      <c r="X277" s="2" t="s">
        <v>88</v>
      </c>
      <c r="Y277" s="3">
        <v>0</v>
      </c>
      <c r="Z277" t="str">
        <f>INDEX(Assets!$J:$J,MATCH(UPPER(TRIM(B277)),Assets!$A:$A,0))</f>
        <v>Canyon</v>
      </c>
      <c r="AA277">
        <f t="shared" si="12"/>
        <v>181.23839999999998</v>
      </c>
      <c r="AB277" s="21">
        <f t="shared" si="13"/>
        <v>45901</v>
      </c>
      <c r="AC277">
        <f>SUMIFS(Production!$H:$H,Production!$A:$A,UPPER(TRIM(B277)),Production!$B:$B,AB277)-SUMIFS(Production!$I:$I,Production!$A:$A,UPPER(TRIM(B277)),Production!$B:$B,AB277)</f>
        <v>37.799999999999997</v>
      </c>
      <c r="AD277">
        <f t="shared" si="14"/>
        <v>6850.8115199999993</v>
      </c>
    </row>
    <row r="278" spans="1:30" ht="21" customHeight="1">
      <c r="A278" s="2" t="s">
        <v>652</v>
      </c>
      <c r="B278" s="9" t="s">
        <v>43</v>
      </c>
      <c r="C278" s="5">
        <v>45937.5</v>
      </c>
      <c r="D278" s="4">
        <v>45938.047083333338</v>
      </c>
      <c r="E278" s="2" t="s">
        <v>83</v>
      </c>
      <c r="F278" s="2" t="s">
        <v>84</v>
      </c>
      <c r="G278" s="3">
        <v>4.03</v>
      </c>
      <c r="H278" s="3">
        <v>3.28</v>
      </c>
      <c r="I278" s="3">
        <v>0</v>
      </c>
      <c r="J278" s="3">
        <v>4.6100000000000003</v>
      </c>
      <c r="K278" s="3">
        <v>1.21</v>
      </c>
      <c r="L278" s="3">
        <v>13.13</v>
      </c>
      <c r="M278" s="3">
        <v>275.73</v>
      </c>
      <c r="N278" s="3">
        <v>0.24</v>
      </c>
      <c r="O278" s="2" t="s">
        <v>653</v>
      </c>
      <c r="P278" s="4">
        <v>45937.667916666665</v>
      </c>
      <c r="Q278" s="4">
        <v>45938.047083333338</v>
      </c>
      <c r="R278" s="2" t="s">
        <v>86</v>
      </c>
      <c r="S278" s="3">
        <v>4.6100000000000003</v>
      </c>
      <c r="T278" s="2">
        <v>85</v>
      </c>
      <c r="U278" s="3">
        <v>5270</v>
      </c>
      <c r="V278" s="3">
        <v>0</v>
      </c>
      <c r="W278" s="2" t="s">
        <v>94</v>
      </c>
      <c r="X278" s="2" t="s">
        <v>88</v>
      </c>
      <c r="Y278" s="3">
        <v>0</v>
      </c>
      <c r="Z278" t="str">
        <f>INDEX(Assets!$J:$J,MATCH(UPPER(TRIM(B278)),Assets!$A:$A,0))</f>
        <v>Canyon</v>
      </c>
      <c r="AA278">
        <f t="shared" si="12"/>
        <v>209.55480000000003</v>
      </c>
      <c r="AB278" s="21">
        <f t="shared" si="13"/>
        <v>45931</v>
      </c>
      <c r="AC278">
        <f>SUMIFS(Production!$H:$H,Production!$A:$A,UPPER(TRIM(B278)),Production!$B:$B,AB278)-SUMIFS(Production!$I:$I,Production!$A:$A,UPPER(TRIM(B278)),Production!$B:$B,AB278)</f>
        <v>36.799999999999997</v>
      </c>
      <c r="AD278">
        <f t="shared" si="14"/>
        <v>7711.6166400000002</v>
      </c>
    </row>
    <row r="279" spans="1:30" ht="21" customHeight="1">
      <c r="A279" s="2" t="s">
        <v>654</v>
      </c>
      <c r="B279" s="9" t="s">
        <v>43</v>
      </c>
      <c r="C279" s="5">
        <v>45958.5</v>
      </c>
      <c r="D279" s="4">
        <v>45958.782916666663</v>
      </c>
      <c r="E279" s="2" t="s">
        <v>90</v>
      </c>
      <c r="F279" s="2" t="s">
        <v>91</v>
      </c>
      <c r="G279" s="3">
        <v>0</v>
      </c>
      <c r="H279" s="3">
        <v>0</v>
      </c>
      <c r="I279" s="3">
        <v>0</v>
      </c>
      <c r="J279" s="3">
        <v>6.79</v>
      </c>
      <c r="K279" s="3">
        <v>0</v>
      </c>
      <c r="L279" s="3">
        <v>6.79</v>
      </c>
      <c r="M279" s="3">
        <v>142.59</v>
      </c>
      <c r="N279" s="3">
        <v>0.25</v>
      </c>
      <c r="O279" s="2" t="s">
        <v>655</v>
      </c>
      <c r="P279" s="4">
        <v>45958.5</v>
      </c>
      <c r="Q279" s="4">
        <v>45958.782916666663</v>
      </c>
      <c r="R279" s="2" t="s">
        <v>93</v>
      </c>
      <c r="S279" s="3">
        <v>6.79</v>
      </c>
      <c r="T279" s="2">
        <v>85</v>
      </c>
      <c r="U279" s="3">
        <v>1582</v>
      </c>
      <c r="V279" s="3">
        <v>0</v>
      </c>
      <c r="W279" s="2" t="s">
        <v>94</v>
      </c>
      <c r="X279" s="2" t="s">
        <v>95</v>
      </c>
      <c r="Y279" s="3">
        <v>0</v>
      </c>
      <c r="Z279" t="str">
        <f>INDEX(Assets!$J:$J,MATCH(UPPER(TRIM(B279)),Assets!$A:$A,0))</f>
        <v>Canyon</v>
      </c>
      <c r="AA279">
        <f t="shared" si="12"/>
        <v>106.9425</v>
      </c>
      <c r="AB279" s="21">
        <f t="shared" si="13"/>
        <v>45931</v>
      </c>
      <c r="AC279">
        <f>SUMIFS(Production!$H:$H,Production!$A:$A,UPPER(TRIM(B279)),Production!$B:$B,AB279)-SUMIFS(Production!$I:$I,Production!$A:$A,UPPER(TRIM(B279)),Production!$B:$B,AB279)</f>
        <v>36.799999999999997</v>
      </c>
      <c r="AD279">
        <f t="shared" si="14"/>
        <v>3935.4839999999995</v>
      </c>
    </row>
    <row r="280" spans="1:30" ht="21" customHeight="1">
      <c r="A280" s="2" t="s">
        <v>656</v>
      </c>
      <c r="B280" s="9" t="s">
        <v>43</v>
      </c>
      <c r="C280" s="5">
        <v>45968.5</v>
      </c>
      <c r="D280" s="4">
        <v>45970.327499999999</v>
      </c>
      <c r="E280" s="2" t="s">
        <v>83</v>
      </c>
      <c r="F280" s="2" t="s">
        <v>119</v>
      </c>
      <c r="G280" s="3">
        <v>4.6100000000000003</v>
      </c>
      <c r="H280" s="3">
        <v>2.52</v>
      </c>
      <c r="I280" s="3">
        <v>25.9</v>
      </c>
      <c r="J280" s="3">
        <v>8.83</v>
      </c>
      <c r="K280" s="3">
        <v>2</v>
      </c>
      <c r="L280" s="3">
        <v>43.86</v>
      </c>
      <c r="M280" s="3">
        <v>921.06</v>
      </c>
      <c r="N280" s="3">
        <v>0.11</v>
      </c>
      <c r="O280" s="2" t="s">
        <v>657</v>
      </c>
      <c r="P280" s="4">
        <v>45968.692083333328</v>
      </c>
      <c r="Q280" s="4">
        <v>45970.327499999999</v>
      </c>
      <c r="R280" s="2" t="s">
        <v>86</v>
      </c>
      <c r="S280" s="3">
        <v>8.83</v>
      </c>
      <c r="T280" s="2">
        <v>85</v>
      </c>
      <c r="U280" s="3">
        <v>2306</v>
      </c>
      <c r="V280" s="3">
        <v>0</v>
      </c>
      <c r="W280" s="2" t="s">
        <v>94</v>
      </c>
      <c r="X280" s="2" t="s">
        <v>121</v>
      </c>
      <c r="Y280" s="3">
        <v>0</v>
      </c>
      <c r="Z280" t="str">
        <f>INDEX(Assets!$J:$J,MATCH(UPPER(TRIM(B280)),Assets!$A:$A,0))</f>
        <v>Canyon</v>
      </c>
      <c r="AA280">
        <f t="shared" si="12"/>
        <v>819.74339999999995</v>
      </c>
      <c r="AB280" s="21">
        <f t="shared" si="13"/>
        <v>45962</v>
      </c>
      <c r="AC280">
        <f>SUMIFS(Production!$H:$H,Production!$A:$A,UPPER(TRIM(B280)),Production!$B:$B,AB280)-SUMIFS(Production!$I:$I,Production!$A:$A,UPPER(TRIM(B280)),Production!$B:$B,AB280)</f>
        <v>38.799999999999997</v>
      </c>
      <c r="AD280">
        <f t="shared" si="14"/>
        <v>31806.043919999996</v>
      </c>
    </row>
    <row r="281" spans="1:30" ht="21" customHeight="1">
      <c r="A281" s="2" t="s">
        <v>658</v>
      </c>
      <c r="B281" s="9" t="s">
        <v>43</v>
      </c>
      <c r="C281" s="5">
        <v>45995.5</v>
      </c>
      <c r="D281" s="4">
        <v>45996.997916666667</v>
      </c>
      <c r="E281" s="2" t="s">
        <v>83</v>
      </c>
      <c r="F281" s="2" t="s">
        <v>115</v>
      </c>
      <c r="G281" s="3">
        <v>3.17</v>
      </c>
      <c r="H281" s="3">
        <v>1.75</v>
      </c>
      <c r="I281" s="3">
        <v>24.09</v>
      </c>
      <c r="J281" s="3">
        <v>5.59</v>
      </c>
      <c r="K281" s="3">
        <v>1.35</v>
      </c>
      <c r="L281" s="3">
        <v>35.950000000000003</v>
      </c>
      <c r="M281" s="3">
        <v>754.95</v>
      </c>
      <c r="N281" s="3">
        <v>0.18</v>
      </c>
      <c r="O281" s="2" t="s">
        <v>659</v>
      </c>
      <c r="P281" s="4">
        <v>45995.63208333333</v>
      </c>
      <c r="Q281" s="4">
        <v>45996.997916666667</v>
      </c>
      <c r="R281" s="2" t="s">
        <v>86</v>
      </c>
      <c r="S281" s="3">
        <v>5.59</v>
      </c>
      <c r="T281" s="2">
        <v>85</v>
      </c>
      <c r="U281" s="3">
        <v>3966</v>
      </c>
      <c r="V281" s="3">
        <v>0</v>
      </c>
      <c r="W281" s="2" t="s">
        <v>94</v>
      </c>
      <c r="X281" s="2" t="s">
        <v>117</v>
      </c>
      <c r="Y281" s="3">
        <v>0</v>
      </c>
      <c r="Z281" t="str">
        <f>INDEX(Assets!$J:$J,MATCH(UPPER(TRIM(B281)),Assets!$A:$A,0))</f>
        <v>Canyon</v>
      </c>
      <c r="AA281">
        <f t="shared" si="12"/>
        <v>619.05900000000008</v>
      </c>
      <c r="AB281" s="21">
        <f t="shared" si="13"/>
        <v>45992</v>
      </c>
      <c r="AC281">
        <f>SUMIFS(Production!$H:$H,Production!$A:$A,UPPER(TRIM(B281)),Production!$B:$B,AB281)-SUMIFS(Production!$I:$I,Production!$A:$A,UPPER(TRIM(B281)),Production!$B:$B,AB281)</f>
        <v>39.799999999999997</v>
      </c>
      <c r="AD281">
        <f t="shared" si="14"/>
        <v>24638.548200000001</v>
      </c>
    </row>
    <row r="282" spans="1:30" ht="21" customHeight="1">
      <c r="A282" s="2" t="s">
        <v>660</v>
      </c>
      <c r="B282" s="9" t="s">
        <v>46</v>
      </c>
      <c r="C282" s="5">
        <v>45667.5</v>
      </c>
      <c r="D282" s="4">
        <v>45667.937083333338</v>
      </c>
      <c r="E282" s="2" t="s">
        <v>83</v>
      </c>
      <c r="F282" s="2" t="s">
        <v>84</v>
      </c>
      <c r="G282" s="3">
        <v>1.42</v>
      </c>
      <c r="H282" s="3">
        <v>2.4</v>
      </c>
      <c r="I282" s="3">
        <v>0</v>
      </c>
      <c r="J282" s="3">
        <v>4.47</v>
      </c>
      <c r="K282" s="3">
        <v>2.2000000000000002</v>
      </c>
      <c r="L282" s="3">
        <v>10.49</v>
      </c>
      <c r="M282" s="3">
        <v>188.82</v>
      </c>
      <c r="N282" s="3">
        <v>0.21</v>
      </c>
      <c r="O282" s="2" t="s">
        <v>661</v>
      </c>
      <c r="P282" s="4">
        <v>45667.559166666666</v>
      </c>
      <c r="Q282" s="4">
        <v>45667.937083333338</v>
      </c>
      <c r="R282" s="2" t="s">
        <v>86</v>
      </c>
      <c r="S282" s="3">
        <v>4.47</v>
      </c>
      <c r="T282" s="2">
        <v>85</v>
      </c>
      <c r="U282" s="3">
        <v>1821</v>
      </c>
      <c r="V282" s="3">
        <v>1683</v>
      </c>
      <c r="W282" s="2" t="s">
        <v>94</v>
      </c>
      <c r="X282" s="2" t="s">
        <v>88</v>
      </c>
      <c r="Y282" s="3">
        <v>0</v>
      </c>
      <c r="Z282" t="str">
        <f>INDEX(Assets!$J:$J,MATCH(UPPER(TRIM(B282)),Assets!$A:$A,0))</f>
        <v>Canyon</v>
      </c>
      <c r="AA282">
        <f t="shared" si="12"/>
        <v>149.1678</v>
      </c>
      <c r="AB282" s="21">
        <f t="shared" si="13"/>
        <v>45658</v>
      </c>
      <c r="AC282">
        <f>SUMIFS(Production!$H:$H,Production!$A:$A,UPPER(TRIM(B282)),Production!$B:$B,AB282)-SUMIFS(Production!$I:$I,Production!$A:$A,UPPER(TRIM(B282)),Production!$B:$B,AB282)</f>
        <v>46.8</v>
      </c>
      <c r="AD282">
        <f t="shared" si="14"/>
        <v>6981.0530399999998</v>
      </c>
    </row>
    <row r="283" spans="1:30" ht="21" customHeight="1">
      <c r="A283" s="2" t="s">
        <v>662</v>
      </c>
      <c r="B283" s="9" t="s">
        <v>46</v>
      </c>
      <c r="C283" s="5">
        <v>45685.5</v>
      </c>
      <c r="D283" s="4">
        <v>45685.732083333336</v>
      </c>
      <c r="E283" s="2" t="s">
        <v>90</v>
      </c>
      <c r="F283" s="2" t="s">
        <v>91</v>
      </c>
      <c r="G283" s="3">
        <v>0</v>
      </c>
      <c r="H283" s="3">
        <v>0</v>
      </c>
      <c r="I283" s="3">
        <v>0</v>
      </c>
      <c r="J283" s="3">
        <v>5.57</v>
      </c>
      <c r="K283" s="3">
        <v>0</v>
      </c>
      <c r="L283" s="3">
        <v>5.57</v>
      </c>
      <c r="M283" s="3">
        <v>100.26</v>
      </c>
      <c r="N283" s="3">
        <v>0.25</v>
      </c>
      <c r="O283" s="2" t="s">
        <v>663</v>
      </c>
      <c r="P283" s="4">
        <v>45685.5</v>
      </c>
      <c r="Q283" s="4">
        <v>45685.732083333336</v>
      </c>
      <c r="R283" s="2" t="s">
        <v>93</v>
      </c>
      <c r="S283" s="3">
        <v>5.57</v>
      </c>
      <c r="T283" s="2">
        <v>85</v>
      </c>
      <c r="U283" s="3">
        <v>880</v>
      </c>
      <c r="V283" s="3">
        <v>0</v>
      </c>
      <c r="W283" s="2" t="s">
        <v>94</v>
      </c>
      <c r="X283" s="2" t="s">
        <v>95</v>
      </c>
      <c r="Y283" s="3">
        <v>0</v>
      </c>
      <c r="Z283" t="str">
        <f>INDEX(Assets!$J:$J,MATCH(UPPER(TRIM(B283)),Assets!$A:$A,0))</f>
        <v>Canyon</v>
      </c>
      <c r="AA283">
        <f t="shared" si="12"/>
        <v>75.195000000000007</v>
      </c>
      <c r="AB283" s="21">
        <f t="shared" si="13"/>
        <v>45658</v>
      </c>
      <c r="AC283">
        <f>SUMIFS(Production!$H:$H,Production!$A:$A,UPPER(TRIM(B283)),Production!$B:$B,AB283)-SUMIFS(Production!$I:$I,Production!$A:$A,UPPER(TRIM(B283)),Production!$B:$B,AB283)</f>
        <v>46.8</v>
      </c>
      <c r="AD283">
        <f t="shared" si="14"/>
        <v>3519.1260000000002</v>
      </c>
    </row>
    <row r="284" spans="1:30" ht="21" customHeight="1">
      <c r="A284" s="2" t="s">
        <v>664</v>
      </c>
      <c r="B284" s="9" t="s">
        <v>46</v>
      </c>
      <c r="C284" s="5">
        <v>45692.5</v>
      </c>
      <c r="D284" s="4">
        <v>45693.263749999998</v>
      </c>
      <c r="E284" s="2" t="s">
        <v>83</v>
      </c>
      <c r="F284" s="2" t="s">
        <v>119</v>
      </c>
      <c r="G284" s="3">
        <v>3.71</v>
      </c>
      <c r="H284" s="3">
        <v>3.53</v>
      </c>
      <c r="I284" s="3">
        <v>0</v>
      </c>
      <c r="J284" s="3">
        <v>9.2200000000000006</v>
      </c>
      <c r="K284" s="3">
        <v>1.87</v>
      </c>
      <c r="L284" s="3">
        <v>18.329999999999998</v>
      </c>
      <c r="M284" s="3">
        <v>329.94</v>
      </c>
      <c r="N284" s="3">
        <v>0.24</v>
      </c>
      <c r="O284" s="2" t="s">
        <v>665</v>
      </c>
      <c r="P284" s="4">
        <v>45692.654583333337</v>
      </c>
      <c r="Q284" s="4">
        <v>45693.263749999998</v>
      </c>
      <c r="R284" s="2" t="s">
        <v>86</v>
      </c>
      <c r="S284" s="3">
        <v>18.440000000000001</v>
      </c>
      <c r="T284" s="2">
        <v>85</v>
      </c>
      <c r="U284" s="3">
        <v>9275</v>
      </c>
      <c r="V284" s="3">
        <v>0</v>
      </c>
      <c r="W284" s="2" t="s">
        <v>94</v>
      </c>
      <c r="X284" s="2" t="s">
        <v>121</v>
      </c>
      <c r="Y284" s="3">
        <v>0</v>
      </c>
      <c r="Z284" t="str">
        <f>INDEX(Assets!$J:$J,MATCH(UPPER(TRIM(B284)),Assets!$A:$A,0))</f>
        <v>Canyon</v>
      </c>
      <c r="AA284">
        <f t="shared" si="12"/>
        <v>250.7544</v>
      </c>
      <c r="AB284" s="21">
        <f t="shared" si="13"/>
        <v>45689</v>
      </c>
      <c r="AC284">
        <f>SUMIFS(Production!$H:$H,Production!$A:$A,UPPER(TRIM(B284)),Production!$B:$B,AB284)-SUMIFS(Production!$I:$I,Production!$A:$A,UPPER(TRIM(B284)),Production!$B:$B,AB284)</f>
        <v>44.8</v>
      </c>
      <c r="AD284">
        <f t="shared" si="14"/>
        <v>11233.797119999999</v>
      </c>
    </row>
    <row r="285" spans="1:30" ht="21" customHeight="1">
      <c r="A285" s="2" t="s">
        <v>666</v>
      </c>
      <c r="B285" s="9" t="s">
        <v>46</v>
      </c>
      <c r="C285" s="5">
        <v>45721.5</v>
      </c>
      <c r="D285" s="4">
        <v>45722.256249999999</v>
      </c>
      <c r="E285" s="2" t="s">
        <v>83</v>
      </c>
      <c r="F285" s="2" t="s">
        <v>97</v>
      </c>
      <c r="G285" s="3">
        <v>4.7</v>
      </c>
      <c r="H285" s="3">
        <v>2.8</v>
      </c>
      <c r="I285" s="3">
        <v>0</v>
      </c>
      <c r="J285" s="3">
        <v>8.2799999999999994</v>
      </c>
      <c r="K285" s="3">
        <v>2.37</v>
      </c>
      <c r="L285" s="3">
        <v>18.149999999999999</v>
      </c>
      <c r="M285" s="3">
        <v>326.7</v>
      </c>
      <c r="N285" s="3">
        <v>0.26</v>
      </c>
      <c r="O285" s="2" t="s">
        <v>667</v>
      </c>
      <c r="P285" s="4">
        <v>45721.695833333331</v>
      </c>
      <c r="Q285" s="4">
        <v>45722.256249999999</v>
      </c>
      <c r="R285" s="2" t="s">
        <v>86</v>
      </c>
      <c r="S285" s="3">
        <v>8.2799999999999994</v>
      </c>
      <c r="T285" s="2">
        <v>85</v>
      </c>
      <c r="U285" s="3">
        <v>8118</v>
      </c>
      <c r="V285" s="3">
        <v>0</v>
      </c>
      <c r="W285" s="2" t="s">
        <v>94</v>
      </c>
      <c r="X285" s="2" t="s">
        <v>99</v>
      </c>
      <c r="Y285" s="3">
        <v>0</v>
      </c>
      <c r="Z285" t="str">
        <f>INDEX(Assets!$J:$J,MATCH(UPPER(TRIM(B285)),Assets!$A:$A,0))</f>
        <v>Canyon</v>
      </c>
      <c r="AA285">
        <f t="shared" si="12"/>
        <v>241.75799999999998</v>
      </c>
      <c r="AB285" s="21">
        <f t="shared" si="13"/>
        <v>45717</v>
      </c>
      <c r="AC285">
        <f>SUMIFS(Production!$H:$H,Production!$A:$A,UPPER(TRIM(B285)),Production!$B:$B,AB285)-SUMIFS(Production!$I:$I,Production!$A:$A,UPPER(TRIM(B285)),Production!$B:$B,AB285)</f>
        <v>42.8</v>
      </c>
      <c r="AD285">
        <f t="shared" si="14"/>
        <v>10347.242399999999</v>
      </c>
    </row>
    <row r="286" spans="1:30" ht="21" customHeight="1">
      <c r="A286" s="2" t="s">
        <v>668</v>
      </c>
      <c r="B286" s="9" t="s">
        <v>46</v>
      </c>
      <c r="C286" s="5">
        <v>45737.5</v>
      </c>
      <c r="D286" s="4">
        <v>45738.042499999996</v>
      </c>
      <c r="E286" s="2" t="s">
        <v>83</v>
      </c>
      <c r="F286" s="2" t="s">
        <v>101</v>
      </c>
      <c r="G286" s="3">
        <v>4.25</v>
      </c>
      <c r="H286" s="3">
        <v>4.5599999999999996</v>
      </c>
      <c r="I286" s="3">
        <v>0</v>
      </c>
      <c r="J286" s="3">
        <v>2.9</v>
      </c>
      <c r="K286" s="3">
        <v>1.31</v>
      </c>
      <c r="L286" s="3">
        <v>13.02</v>
      </c>
      <c r="M286" s="3">
        <v>234.36</v>
      </c>
      <c r="N286" s="3">
        <v>0.16</v>
      </c>
      <c r="O286" s="2" t="s">
        <v>669</v>
      </c>
      <c r="P286" s="4">
        <v>45737.677083333328</v>
      </c>
      <c r="Q286" s="4">
        <v>45738.042499999996</v>
      </c>
      <c r="R286" s="2" t="s">
        <v>86</v>
      </c>
      <c r="S286" s="3">
        <v>2.9</v>
      </c>
      <c r="T286" s="2">
        <v>85</v>
      </c>
      <c r="U286" s="3">
        <v>7648</v>
      </c>
      <c r="V286" s="3">
        <v>0</v>
      </c>
      <c r="W286" s="2" t="s">
        <v>94</v>
      </c>
      <c r="X286" s="2" t="s">
        <v>103</v>
      </c>
      <c r="Y286" s="3">
        <v>0</v>
      </c>
      <c r="Z286" t="str">
        <f>INDEX(Assets!$J:$J,MATCH(UPPER(TRIM(B286)),Assets!$A:$A,0))</f>
        <v>Canyon</v>
      </c>
      <c r="AA286">
        <f t="shared" si="12"/>
        <v>196.86240000000001</v>
      </c>
      <c r="AB286" s="21">
        <f t="shared" si="13"/>
        <v>45717</v>
      </c>
      <c r="AC286">
        <f>SUMIFS(Production!$H:$H,Production!$A:$A,UPPER(TRIM(B286)),Production!$B:$B,AB286)-SUMIFS(Production!$I:$I,Production!$A:$A,UPPER(TRIM(B286)),Production!$B:$B,AB286)</f>
        <v>42.8</v>
      </c>
      <c r="AD286">
        <f t="shared" si="14"/>
        <v>8425.7107199999991</v>
      </c>
    </row>
    <row r="287" spans="1:30" ht="21" customHeight="1">
      <c r="A287" s="2" t="s">
        <v>670</v>
      </c>
      <c r="B287" s="9" t="s">
        <v>46</v>
      </c>
      <c r="C287" s="5">
        <v>45754.5</v>
      </c>
      <c r="D287" s="4">
        <v>45755.003333333334</v>
      </c>
      <c r="E287" s="2" t="s">
        <v>83</v>
      </c>
      <c r="F287" s="2" t="s">
        <v>97</v>
      </c>
      <c r="G287" s="3">
        <v>1.1499999999999999</v>
      </c>
      <c r="H287" s="3">
        <v>3.78</v>
      </c>
      <c r="I287" s="3">
        <v>0</v>
      </c>
      <c r="J287" s="3">
        <v>6.59</v>
      </c>
      <c r="K287" s="3">
        <v>0.56000000000000005</v>
      </c>
      <c r="L287" s="3">
        <v>12.08</v>
      </c>
      <c r="M287" s="3">
        <v>217.44</v>
      </c>
      <c r="N287" s="3">
        <v>0.09</v>
      </c>
      <c r="O287" s="2" t="s">
        <v>671</v>
      </c>
      <c r="P287" s="4">
        <v>45754.547916666663</v>
      </c>
      <c r="Q287" s="4">
        <v>45755.003333333334</v>
      </c>
      <c r="R287" s="2" t="s">
        <v>86</v>
      </c>
      <c r="S287" s="3">
        <v>13.18</v>
      </c>
      <c r="T287" s="2">
        <v>85</v>
      </c>
      <c r="U287" s="3">
        <v>7905</v>
      </c>
      <c r="V287" s="3">
        <v>0</v>
      </c>
      <c r="W287" s="2" t="s">
        <v>94</v>
      </c>
      <c r="X287" s="2" t="s">
        <v>99</v>
      </c>
      <c r="Y287" s="3">
        <v>0</v>
      </c>
      <c r="Z287" t="str">
        <f>INDEX(Assets!$J:$J,MATCH(UPPER(TRIM(B287)),Assets!$A:$A,0))</f>
        <v>Canyon</v>
      </c>
      <c r="AA287">
        <f t="shared" si="12"/>
        <v>197.87040000000002</v>
      </c>
      <c r="AB287" s="21">
        <f t="shared" si="13"/>
        <v>45748</v>
      </c>
      <c r="AC287">
        <f>SUMIFS(Production!$H:$H,Production!$A:$A,UPPER(TRIM(B287)),Production!$B:$B,AB287)-SUMIFS(Production!$I:$I,Production!$A:$A,UPPER(TRIM(B287)),Production!$B:$B,AB287)</f>
        <v>40.799999999999997</v>
      </c>
      <c r="AD287">
        <f t="shared" si="14"/>
        <v>8073.1123200000002</v>
      </c>
    </row>
    <row r="288" spans="1:30" ht="21" customHeight="1">
      <c r="A288" s="2" t="s">
        <v>672</v>
      </c>
      <c r="B288" s="9" t="s">
        <v>46</v>
      </c>
      <c r="C288" s="5">
        <v>45775.5</v>
      </c>
      <c r="D288" s="4">
        <v>45775.800416666665</v>
      </c>
      <c r="E288" s="2" t="s">
        <v>90</v>
      </c>
      <c r="F288" s="2" t="s">
        <v>91</v>
      </c>
      <c r="G288" s="3">
        <v>0</v>
      </c>
      <c r="H288" s="3">
        <v>0</v>
      </c>
      <c r="I288" s="3">
        <v>0</v>
      </c>
      <c r="J288" s="3">
        <v>7.21</v>
      </c>
      <c r="K288" s="3">
        <v>0</v>
      </c>
      <c r="L288" s="3">
        <v>7.21</v>
      </c>
      <c r="M288" s="3">
        <v>129.78</v>
      </c>
      <c r="N288" s="3">
        <v>0.25</v>
      </c>
      <c r="O288" s="2" t="s">
        <v>673</v>
      </c>
      <c r="P288" s="4">
        <v>45775.5</v>
      </c>
      <c r="Q288" s="4">
        <v>45775.800416666665</v>
      </c>
      <c r="R288" s="2" t="s">
        <v>93</v>
      </c>
      <c r="S288" s="3">
        <v>14.42</v>
      </c>
      <c r="T288" s="2">
        <v>85</v>
      </c>
      <c r="U288" s="3">
        <v>712</v>
      </c>
      <c r="V288" s="3">
        <v>0</v>
      </c>
      <c r="W288" s="2" t="s">
        <v>94</v>
      </c>
      <c r="X288" s="2" t="s">
        <v>95</v>
      </c>
      <c r="Y288" s="3">
        <v>0</v>
      </c>
      <c r="Z288" t="str">
        <f>INDEX(Assets!$J:$J,MATCH(UPPER(TRIM(B288)),Assets!$A:$A,0))</f>
        <v>Canyon</v>
      </c>
      <c r="AA288">
        <f t="shared" si="12"/>
        <v>97.335000000000008</v>
      </c>
      <c r="AB288" s="21">
        <f t="shared" si="13"/>
        <v>45748</v>
      </c>
      <c r="AC288">
        <f>SUMIFS(Production!$H:$H,Production!$A:$A,UPPER(TRIM(B288)),Production!$B:$B,AB288)-SUMIFS(Production!$I:$I,Production!$A:$A,UPPER(TRIM(B288)),Production!$B:$B,AB288)</f>
        <v>40.799999999999997</v>
      </c>
      <c r="AD288">
        <f t="shared" si="14"/>
        <v>3971.268</v>
      </c>
    </row>
    <row r="289" spans="1:30" ht="21" customHeight="1">
      <c r="A289" s="2" t="s">
        <v>674</v>
      </c>
      <c r="B289" s="9" t="s">
        <v>46</v>
      </c>
      <c r="C289" s="5">
        <v>45784.5</v>
      </c>
      <c r="D289" s="4">
        <v>45785.189166666663</v>
      </c>
      <c r="E289" s="2" t="s">
        <v>83</v>
      </c>
      <c r="F289" s="2" t="s">
        <v>119</v>
      </c>
      <c r="G289" s="3">
        <v>4.41</v>
      </c>
      <c r="H289" s="3">
        <v>3.82</v>
      </c>
      <c r="I289" s="3">
        <v>0</v>
      </c>
      <c r="J289" s="3">
        <v>6.66</v>
      </c>
      <c r="K289" s="3">
        <v>1.65</v>
      </c>
      <c r="L289" s="3">
        <v>16.54</v>
      </c>
      <c r="M289" s="3">
        <v>297.72000000000003</v>
      </c>
      <c r="N289" s="3">
        <v>0.13</v>
      </c>
      <c r="O289" s="2" t="s">
        <v>675</v>
      </c>
      <c r="P289" s="4">
        <v>45784.683749999997</v>
      </c>
      <c r="Q289" s="4">
        <v>45785.189166666663</v>
      </c>
      <c r="R289" s="2" t="s">
        <v>86</v>
      </c>
      <c r="S289" s="3">
        <v>6.66</v>
      </c>
      <c r="T289" s="2">
        <v>85</v>
      </c>
      <c r="U289" s="3">
        <v>5168</v>
      </c>
      <c r="V289" s="3">
        <v>0</v>
      </c>
      <c r="W289" s="2" t="s">
        <v>94</v>
      </c>
      <c r="X289" s="2" t="s">
        <v>121</v>
      </c>
      <c r="Y289" s="3">
        <v>0</v>
      </c>
      <c r="Z289" t="str">
        <f>INDEX(Assets!$J:$J,MATCH(UPPER(TRIM(B289)),Assets!$A:$A,0))</f>
        <v>Canyon</v>
      </c>
      <c r="AA289">
        <f t="shared" si="12"/>
        <v>259.01640000000003</v>
      </c>
      <c r="AB289" s="21">
        <f t="shared" si="13"/>
        <v>45778</v>
      </c>
      <c r="AC289">
        <f>SUMIFS(Production!$H:$H,Production!$A:$A,UPPER(TRIM(B289)),Production!$B:$B,AB289)-SUMIFS(Production!$I:$I,Production!$A:$A,UPPER(TRIM(B289)),Production!$B:$B,AB289)</f>
        <v>38.799999999999997</v>
      </c>
      <c r="AD289">
        <f t="shared" si="14"/>
        <v>10049.83632</v>
      </c>
    </row>
    <row r="290" spans="1:30" ht="21" customHeight="1">
      <c r="A290" s="2" t="s">
        <v>676</v>
      </c>
      <c r="B290" s="9" t="s">
        <v>46</v>
      </c>
      <c r="C290" s="5">
        <v>45818.5</v>
      </c>
      <c r="D290" s="4">
        <v>45818.868333333332</v>
      </c>
      <c r="E290" s="2" t="s">
        <v>83</v>
      </c>
      <c r="F290" s="2" t="s">
        <v>97</v>
      </c>
      <c r="G290" s="3">
        <v>2.81</v>
      </c>
      <c r="H290" s="3">
        <v>1.44</v>
      </c>
      <c r="I290" s="3">
        <v>0</v>
      </c>
      <c r="J290" s="3">
        <v>3.5</v>
      </c>
      <c r="K290" s="3">
        <v>1.0900000000000001</v>
      </c>
      <c r="L290" s="3">
        <v>8.84</v>
      </c>
      <c r="M290" s="3">
        <v>159.12</v>
      </c>
      <c r="N290" s="3">
        <v>0.2</v>
      </c>
      <c r="O290" s="2" t="s">
        <v>677</v>
      </c>
      <c r="P290" s="4">
        <v>45818.617083333331</v>
      </c>
      <c r="Q290" s="4">
        <v>45818.868333333332</v>
      </c>
      <c r="R290" s="2" t="s">
        <v>86</v>
      </c>
      <c r="S290" s="3">
        <v>7</v>
      </c>
      <c r="T290" s="2">
        <v>85</v>
      </c>
      <c r="U290" s="3">
        <v>2753</v>
      </c>
      <c r="V290" s="3">
        <v>0</v>
      </c>
      <c r="W290" s="2" t="s">
        <v>94</v>
      </c>
      <c r="X290" s="2" t="s">
        <v>99</v>
      </c>
      <c r="Y290" s="3">
        <v>0</v>
      </c>
      <c r="Z290" t="str">
        <f>INDEX(Assets!$J:$J,MATCH(UPPER(TRIM(B290)),Assets!$A:$A,0))</f>
        <v>Canyon</v>
      </c>
      <c r="AA290">
        <f t="shared" si="12"/>
        <v>127.29600000000001</v>
      </c>
      <c r="AB290" s="21">
        <f t="shared" si="13"/>
        <v>45809</v>
      </c>
      <c r="AC290">
        <f>SUMIFS(Production!$H:$H,Production!$A:$A,UPPER(TRIM(B290)),Production!$B:$B,AB290)-SUMIFS(Production!$I:$I,Production!$A:$A,UPPER(TRIM(B290)),Production!$B:$B,AB290)</f>
        <v>39.799999999999997</v>
      </c>
      <c r="AD290">
        <f t="shared" si="14"/>
        <v>5066.3807999999999</v>
      </c>
    </row>
    <row r="291" spans="1:30" ht="21" customHeight="1">
      <c r="A291" s="2" t="s">
        <v>678</v>
      </c>
      <c r="B291" s="9" t="s">
        <v>46</v>
      </c>
      <c r="C291" s="5">
        <v>45842.5</v>
      </c>
      <c r="D291" s="4">
        <v>45843.194166666668</v>
      </c>
      <c r="E291" s="2" t="s">
        <v>83</v>
      </c>
      <c r="F291" s="2" t="s">
        <v>119</v>
      </c>
      <c r="G291" s="3">
        <v>4.16</v>
      </c>
      <c r="H291" s="3">
        <v>4.21</v>
      </c>
      <c r="I291" s="3">
        <v>0</v>
      </c>
      <c r="J291" s="3">
        <v>7.52</v>
      </c>
      <c r="K291" s="3">
        <v>0.77</v>
      </c>
      <c r="L291" s="3">
        <v>16.66</v>
      </c>
      <c r="M291" s="3">
        <v>299.88</v>
      </c>
      <c r="N291" s="3">
        <v>0.1</v>
      </c>
      <c r="O291" s="2" t="s">
        <v>679</v>
      </c>
      <c r="P291" s="4">
        <v>45842.673333333332</v>
      </c>
      <c r="Q291" s="4">
        <v>45843.194166666668</v>
      </c>
      <c r="R291" s="2" t="s">
        <v>86</v>
      </c>
      <c r="S291" s="3">
        <v>7.52</v>
      </c>
      <c r="T291" s="2">
        <v>85</v>
      </c>
      <c r="U291" s="3">
        <v>5566</v>
      </c>
      <c r="V291" s="3">
        <v>0</v>
      </c>
      <c r="W291" s="2" t="s">
        <v>94</v>
      </c>
      <c r="X291" s="2" t="s">
        <v>121</v>
      </c>
      <c r="Y291" s="3">
        <v>0</v>
      </c>
      <c r="Z291" t="str">
        <f>INDEX(Assets!$J:$J,MATCH(UPPER(TRIM(B291)),Assets!$A:$A,0))</f>
        <v>Canyon</v>
      </c>
      <c r="AA291">
        <f t="shared" si="12"/>
        <v>269.892</v>
      </c>
      <c r="AB291" s="21">
        <f t="shared" si="13"/>
        <v>45839</v>
      </c>
      <c r="AC291">
        <f>SUMIFS(Production!$H:$H,Production!$A:$A,UPPER(TRIM(B291)),Production!$B:$B,AB291)-SUMIFS(Production!$I:$I,Production!$A:$A,UPPER(TRIM(B291)),Production!$B:$B,AB291)</f>
        <v>41.8</v>
      </c>
      <c r="AD291">
        <f t="shared" si="14"/>
        <v>11281.485599999998</v>
      </c>
    </row>
    <row r="292" spans="1:30" ht="21" customHeight="1">
      <c r="A292" s="2" t="s">
        <v>680</v>
      </c>
      <c r="B292" s="9" t="s">
        <v>46</v>
      </c>
      <c r="C292" s="5">
        <v>45866.5</v>
      </c>
      <c r="D292" s="4">
        <v>45866.691250000003</v>
      </c>
      <c r="E292" s="2" t="s">
        <v>90</v>
      </c>
      <c r="F292" s="2" t="s">
        <v>91</v>
      </c>
      <c r="G292" s="3">
        <v>0</v>
      </c>
      <c r="H292" s="3">
        <v>0</v>
      </c>
      <c r="I292" s="3">
        <v>0</v>
      </c>
      <c r="J292" s="3">
        <v>4.59</v>
      </c>
      <c r="K292" s="3">
        <v>0</v>
      </c>
      <c r="L292" s="3">
        <v>4.59</v>
      </c>
      <c r="M292" s="3">
        <v>82.62</v>
      </c>
      <c r="N292" s="3">
        <v>0.25</v>
      </c>
      <c r="O292" s="2" t="s">
        <v>681</v>
      </c>
      <c r="P292" s="4">
        <v>45866.5</v>
      </c>
      <c r="Q292" s="4">
        <v>45866.691250000003</v>
      </c>
      <c r="R292" s="2" t="s">
        <v>93</v>
      </c>
      <c r="S292" s="3">
        <v>4.59</v>
      </c>
      <c r="T292" s="2">
        <v>85</v>
      </c>
      <c r="U292" s="3"/>
      <c r="V292" s="3">
        <v>0</v>
      </c>
      <c r="W292" s="2" t="s">
        <v>87</v>
      </c>
      <c r="X292" s="2" t="s">
        <v>95</v>
      </c>
      <c r="Y292" s="3">
        <v>0</v>
      </c>
      <c r="Z292" t="str">
        <f>INDEX(Assets!$J:$J,MATCH(UPPER(TRIM(B292)),Assets!$A:$A,0))</f>
        <v>Canyon</v>
      </c>
      <c r="AA292">
        <f t="shared" si="12"/>
        <v>61.965000000000003</v>
      </c>
      <c r="AB292" s="21">
        <f t="shared" si="13"/>
        <v>45839</v>
      </c>
      <c r="AC292">
        <f>SUMIFS(Production!$H:$H,Production!$A:$A,UPPER(TRIM(B292)),Production!$B:$B,AB292)-SUMIFS(Production!$I:$I,Production!$A:$A,UPPER(TRIM(B292)),Production!$B:$B,AB292)</f>
        <v>41.8</v>
      </c>
      <c r="AD292">
        <f t="shared" si="14"/>
        <v>2590.1370000000002</v>
      </c>
    </row>
    <row r="293" spans="1:30" ht="21" customHeight="1">
      <c r="A293" s="2" t="s">
        <v>682</v>
      </c>
      <c r="B293" s="9" t="s">
        <v>46</v>
      </c>
      <c r="C293" s="5">
        <v>45876.5</v>
      </c>
      <c r="D293" s="4">
        <v>45877.070833333331</v>
      </c>
      <c r="E293" s="2" t="s">
        <v>83</v>
      </c>
      <c r="F293" s="2" t="s">
        <v>84</v>
      </c>
      <c r="G293" s="3">
        <v>2.6</v>
      </c>
      <c r="H293" s="3">
        <v>2.58</v>
      </c>
      <c r="I293" s="3">
        <v>0</v>
      </c>
      <c r="J293" s="3">
        <v>7.03</v>
      </c>
      <c r="K293" s="3">
        <v>1.49</v>
      </c>
      <c r="L293" s="3">
        <f>SUM(G293:K293)</f>
        <v>13.700000000000001</v>
      </c>
      <c r="M293" s="3">
        <v>246.6</v>
      </c>
      <c r="N293" s="3">
        <v>0.23</v>
      </c>
      <c r="O293" s="2" t="s">
        <v>683</v>
      </c>
      <c r="P293" s="4">
        <v>45876.608333333337</v>
      </c>
      <c r="Q293" s="4">
        <v>45877.070833333331</v>
      </c>
      <c r="R293" s="2" t="s">
        <v>86</v>
      </c>
      <c r="S293" s="3">
        <v>14.06</v>
      </c>
      <c r="T293" s="2">
        <v>85</v>
      </c>
      <c r="U293" s="3">
        <v>5319</v>
      </c>
      <c r="V293" s="3">
        <v>0</v>
      </c>
      <c r="W293" s="2" t="s">
        <v>94</v>
      </c>
      <c r="X293" s="2" t="s">
        <v>88</v>
      </c>
      <c r="Y293" s="3">
        <v>0</v>
      </c>
      <c r="Z293" t="str">
        <f>INDEX(Assets!$J:$J,MATCH(UPPER(TRIM(B293)),Assets!$A:$A,0))</f>
        <v>Canyon</v>
      </c>
      <c r="AA293">
        <f t="shared" si="12"/>
        <v>189.88200000000001</v>
      </c>
      <c r="AB293" s="21">
        <f t="shared" si="13"/>
        <v>45870</v>
      </c>
      <c r="AC293">
        <f>SUMIFS(Production!$H:$H,Production!$A:$A,UPPER(TRIM(B293)),Production!$B:$B,AB293)-SUMIFS(Production!$I:$I,Production!$A:$A,UPPER(TRIM(B293)),Production!$B:$B,AB293)</f>
        <v>40.799999999999997</v>
      </c>
      <c r="AD293">
        <f t="shared" si="14"/>
        <v>7747.1855999999998</v>
      </c>
    </row>
    <row r="294" spans="1:30" ht="21" customHeight="1">
      <c r="A294" s="2" t="s">
        <v>684</v>
      </c>
      <c r="B294" s="9" t="s">
        <v>46</v>
      </c>
      <c r="C294" s="5">
        <v>45906.5</v>
      </c>
      <c r="D294" s="4">
        <v>45907.155833333338</v>
      </c>
      <c r="E294" s="2" t="s">
        <v>83</v>
      </c>
      <c r="F294" s="2" t="s">
        <v>97</v>
      </c>
      <c r="G294" s="3">
        <v>3.92</v>
      </c>
      <c r="H294" s="3">
        <v>2.66</v>
      </c>
      <c r="I294" s="3">
        <v>0</v>
      </c>
      <c r="J294" s="3">
        <v>8.65</v>
      </c>
      <c r="K294" s="3">
        <v>0.51</v>
      </c>
      <c r="L294" s="3">
        <v>15.74</v>
      </c>
      <c r="M294" s="3">
        <v>283.32</v>
      </c>
      <c r="N294" s="3">
        <v>0.14000000000000001</v>
      </c>
      <c r="O294" s="2" t="s">
        <v>685</v>
      </c>
      <c r="P294" s="4">
        <v>45906.66333333333</v>
      </c>
      <c r="Q294" s="4">
        <v>45907.155833333338</v>
      </c>
      <c r="R294" s="2" t="s">
        <v>86</v>
      </c>
      <c r="S294" s="3">
        <v>8.65</v>
      </c>
      <c r="T294" s="2">
        <v>85</v>
      </c>
      <c r="U294" s="3">
        <v>1826</v>
      </c>
      <c r="V294" s="3">
        <v>0</v>
      </c>
      <c r="W294" s="2" t="s">
        <v>94</v>
      </c>
      <c r="X294" s="2" t="s">
        <v>99</v>
      </c>
      <c r="Y294" s="3">
        <v>0</v>
      </c>
      <c r="Z294" t="str">
        <f>INDEX(Assets!$J:$J,MATCH(UPPER(TRIM(B294)),Assets!$A:$A,0))</f>
        <v>Canyon</v>
      </c>
      <c r="AA294">
        <f t="shared" si="12"/>
        <v>243.65519999999998</v>
      </c>
      <c r="AB294" s="21">
        <f t="shared" si="13"/>
        <v>45901</v>
      </c>
      <c r="AC294">
        <f>SUMIFS(Production!$H:$H,Production!$A:$A,UPPER(TRIM(B294)),Production!$B:$B,AB294)-SUMIFS(Production!$I:$I,Production!$A:$A,UPPER(TRIM(B294)),Production!$B:$B,AB294)</f>
        <v>37.799999999999997</v>
      </c>
      <c r="AD294">
        <f t="shared" si="14"/>
        <v>9210.1665599999978</v>
      </c>
    </row>
    <row r="295" spans="1:30" ht="21" customHeight="1">
      <c r="A295" s="2" t="s">
        <v>686</v>
      </c>
      <c r="B295" s="9" t="s">
        <v>46</v>
      </c>
      <c r="C295" s="5">
        <v>45940.5</v>
      </c>
      <c r="D295" s="4">
        <v>45940.952499999999</v>
      </c>
      <c r="E295" s="2" t="s">
        <v>83</v>
      </c>
      <c r="F295" s="2" t="s">
        <v>101</v>
      </c>
      <c r="G295" s="3">
        <v>2.34</v>
      </c>
      <c r="H295" s="3">
        <v>2.9</v>
      </c>
      <c r="I295" s="3">
        <v>0</v>
      </c>
      <c r="J295" s="3">
        <v>5.08</v>
      </c>
      <c r="K295" s="3">
        <v>0.54</v>
      </c>
      <c r="L295" s="3">
        <v>10.86</v>
      </c>
      <c r="M295" s="3">
        <v>195.48</v>
      </c>
      <c r="N295" s="3">
        <v>0.15</v>
      </c>
      <c r="O295" s="2" t="s">
        <v>687</v>
      </c>
      <c r="P295" s="4">
        <v>45940.597500000003</v>
      </c>
      <c r="Q295" s="4">
        <v>45940.952499999999</v>
      </c>
      <c r="R295" s="2" t="s">
        <v>86</v>
      </c>
      <c r="S295" s="3">
        <v>10.16</v>
      </c>
      <c r="T295" s="2">
        <v>85</v>
      </c>
      <c r="U295" s="3">
        <v>6988</v>
      </c>
      <c r="V295" s="3">
        <v>0</v>
      </c>
      <c r="W295" s="2" t="s">
        <v>94</v>
      </c>
      <c r="X295" s="2" t="s">
        <v>103</v>
      </c>
      <c r="Y295" s="3">
        <v>0</v>
      </c>
      <c r="Z295" t="str">
        <f>INDEX(Assets!$J:$J,MATCH(UPPER(TRIM(B295)),Assets!$A:$A,0))</f>
        <v>Canyon</v>
      </c>
      <c r="AA295">
        <f t="shared" si="12"/>
        <v>166.15799999999999</v>
      </c>
      <c r="AB295" s="21">
        <f t="shared" si="13"/>
        <v>45931</v>
      </c>
      <c r="AC295">
        <f>SUMIFS(Production!$H:$H,Production!$A:$A,UPPER(TRIM(B295)),Production!$B:$B,AB295)-SUMIFS(Production!$I:$I,Production!$A:$A,UPPER(TRIM(B295)),Production!$B:$B,AB295)</f>
        <v>36.799999999999997</v>
      </c>
      <c r="AD295">
        <f t="shared" si="14"/>
        <v>6114.6143999999995</v>
      </c>
    </row>
    <row r="296" spans="1:30" ht="21" customHeight="1">
      <c r="A296" s="2" t="s">
        <v>688</v>
      </c>
      <c r="B296" s="9" t="s">
        <v>46</v>
      </c>
      <c r="C296" s="5">
        <v>45958.5</v>
      </c>
      <c r="D296" s="4">
        <v>45958.778749999998</v>
      </c>
      <c r="E296" s="2" t="s">
        <v>90</v>
      </c>
      <c r="F296" s="2" t="s">
        <v>91</v>
      </c>
      <c r="G296" s="3">
        <v>0</v>
      </c>
      <c r="H296" s="3">
        <v>0</v>
      </c>
      <c r="I296" s="3">
        <v>0</v>
      </c>
      <c r="J296" s="3">
        <v>6.69</v>
      </c>
      <c r="K296" s="3">
        <v>0</v>
      </c>
      <c r="L296" s="3">
        <v>6.69</v>
      </c>
      <c r="M296" s="3">
        <v>120.42</v>
      </c>
      <c r="N296" s="3">
        <v>0.25</v>
      </c>
      <c r="O296" s="2" t="s">
        <v>689</v>
      </c>
      <c r="P296" s="4">
        <v>45958.5</v>
      </c>
      <c r="Q296" s="4">
        <v>45958.778749999998</v>
      </c>
      <c r="R296" s="2" t="s">
        <v>93</v>
      </c>
      <c r="S296" s="3">
        <v>13.38</v>
      </c>
      <c r="T296" s="2">
        <v>85</v>
      </c>
      <c r="U296" s="3">
        <v>1122</v>
      </c>
      <c r="V296" s="3">
        <v>0</v>
      </c>
      <c r="W296" s="2" t="s">
        <v>94</v>
      </c>
      <c r="X296" s="2" t="s">
        <v>95</v>
      </c>
      <c r="Y296" s="3">
        <v>0</v>
      </c>
      <c r="Z296" t="str">
        <f>INDEX(Assets!$J:$J,MATCH(UPPER(TRIM(B296)),Assets!$A:$A,0))</f>
        <v>Canyon</v>
      </c>
      <c r="AA296">
        <f t="shared" si="12"/>
        <v>90.314999999999998</v>
      </c>
      <c r="AB296" s="21">
        <f t="shared" si="13"/>
        <v>45931</v>
      </c>
      <c r="AC296">
        <f>SUMIFS(Production!$H:$H,Production!$A:$A,UPPER(TRIM(B296)),Production!$B:$B,AB296)-SUMIFS(Production!$I:$I,Production!$A:$A,UPPER(TRIM(B296)),Production!$B:$B,AB296)</f>
        <v>36.799999999999997</v>
      </c>
      <c r="AD296">
        <f t="shared" si="14"/>
        <v>3323.5919999999996</v>
      </c>
    </row>
    <row r="297" spans="1:30" ht="21" customHeight="1">
      <c r="A297" s="2" t="s">
        <v>690</v>
      </c>
      <c r="B297" s="9" t="s">
        <v>46</v>
      </c>
      <c r="C297" s="5">
        <v>45965.5</v>
      </c>
      <c r="D297" s="4">
        <v>45966.099583333329</v>
      </c>
      <c r="E297" s="2" t="s">
        <v>83</v>
      </c>
      <c r="F297" s="2" t="s">
        <v>119</v>
      </c>
      <c r="G297" s="3">
        <v>2.5</v>
      </c>
      <c r="H297" s="3">
        <v>2.63</v>
      </c>
      <c r="I297" s="3">
        <v>0</v>
      </c>
      <c r="J297" s="3">
        <v>7.7</v>
      </c>
      <c r="K297" s="3">
        <v>1.56</v>
      </c>
      <c r="L297" s="3">
        <v>14.39</v>
      </c>
      <c r="M297" s="3">
        <v>259.02</v>
      </c>
      <c r="N297" s="3">
        <v>0.28000000000000003</v>
      </c>
      <c r="O297" s="2" t="s">
        <v>691</v>
      </c>
      <c r="P297" s="4">
        <v>45965.604166666672</v>
      </c>
      <c r="Q297" s="4">
        <v>45966.099583333329</v>
      </c>
      <c r="R297" s="2" t="s">
        <v>86</v>
      </c>
      <c r="S297" s="3">
        <v>7.7</v>
      </c>
      <c r="T297" s="2">
        <v>85</v>
      </c>
      <c r="U297" s="3">
        <v>6151</v>
      </c>
      <c r="V297" s="3">
        <v>0</v>
      </c>
      <c r="W297" s="2" t="s">
        <v>94</v>
      </c>
      <c r="X297" s="2" t="s">
        <v>121</v>
      </c>
      <c r="Y297" s="3">
        <v>0</v>
      </c>
      <c r="Z297" t="str">
        <f>INDEX(Assets!$J:$J,MATCH(UPPER(TRIM(B297)),Assets!$A:$A,0))</f>
        <v>Canyon</v>
      </c>
      <c r="AA297">
        <f t="shared" si="12"/>
        <v>186.49439999999998</v>
      </c>
      <c r="AB297" s="21">
        <f t="shared" si="13"/>
        <v>45962</v>
      </c>
      <c r="AC297">
        <f>SUMIFS(Production!$H:$H,Production!$A:$A,UPPER(TRIM(B297)),Production!$B:$B,AB297)-SUMIFS(Production!$I:$I,Production!$A:$A,UPPER(TRIM(B297)),Production!$B:$B,AB297)</f>
        <v>38.799999999999997</v>
      </c>
      <c r="AD297">
        <f t="shared" si="14"/>
        <v>7235.9827199999991</v>
      </c>
    </row>
    <row r="298" spans="1:30" ht="21" customHeight="1">
      <c r="A298" s="2" t="s">
        <v>692</v>
      </c>
      <c r="B298" s="9" t="s">
        <v>46</v>
      </c>
      <c r="C298" s="5">
        <v>45981.5</v>
      </c>
      <c r="D298" s="4">
        <v>45983.138749999998</v>
      </c>
      <c r="E298" s="2" t="s">
        <v>83</v>
      </c>
      <c r="F298" s="2" t="s">
        <v>119</v>
      </c>
      <c r="G298" s="3">
        <v>4.07</v>
      </c>
      <c r="H298" s="3">
        <v>2.9</v>
      </c>
      <c r="I298" s="3">
        <v>18.11</v>
      </c>
      <c r="J298" s="3">
        <v>12.91</v>
      </c>
      <c r="K298" s="3">
        <v>1.34</v>
      </c>
      <c r="L298" s="3">
        <v>39.33</v>
      </c>
      <c r="M298" s="3">
        <v>707.94</v>
      </c>
      <c r="N298" s="3">
        <v>0.26</v>
      </c>
      <c r="O298" s="2" t="s">
        <v>693</v>
      </c>
      <c r="P298" s="4">
        <v>45981.669583333336</v>
      </c>
      <c r="Q298" s="4">
        <v>45983.138749999998</v>
      </c>
      <c r="R298" s="2" t="s">
        <v>86</v>
      </c>
      <c r="S298" s="3">
        <v>25.82</v>
      </c>
      <c r="T298" s="2">
        <v>85</v>
      </c>
      <c r="U298" s="3">
        <v>3837</v>
      </c>
      <c r="V298" s="3">
        <v>0</v>
      </c>
      <c r="W298" s="2" t="s">
        <v>94</v>
      </c>
      <c r="X298" s="2" t="s">
        <v>121</v>
      </c>
      <c r="Y298" s="3">
        <v>0</v>
      </c>
      <c r="Z298" t="str">
        <f>INDEX(Assets!$J:$J,MATCH(UPPER(TRIM(B298)),Assets!$A:$A,0))</f>
        <v>Canyon</v>
      </c>
      <c r="AA298">
        <f t="shared" si="12"/>
        <v>523.87560000000008</v>
      </c>
      <c r="AB298" s="21">
        <f t="shared" si="13"/>
        <v>45962</v>
      </c>
      <c r="AC298">
        <f>SUMIFS(Production!$H:$H,Production!$A:$A,UPPER(TRIM(B298)),Production!$B:$B,AB298)-SUMIFS(Production!$I:$I,Production!$A:$A,UPPER(TRIM(B298)),Production!$B:$B,AB298)</f>
        <v>38.799999999999997</v>
      </c>
      <c r="AD298">
        <f t="shared" si="14"/>
        <v>20326.37328</v>
      </c>
    </row>
    <row r="299" spans="1:30" ht="21" customHeight="1">
      <c r="A299" s="2" t="s">
        <v>694</v>
      </c>
      <c r="B299" s="9" t="s">
        <v>46</v>
      </c>
      <c r="C299" s="5">
        <v>46000.5</v>
      </c>
      <c r="D299" s="4">
        <v>46002.007916666669</v>
      </c>
      <c r="E299" s="2" t="s">
        <v>83</v>
      </c>
      <c r="F299" s="2" t="s">
        <v>97</v>
      </c>
      <c r="G299" s="3">
        <v>4.53</v>
      </c>
      <c r="H299" s="3">
        <v>4.18</v>
      </c>
      <c r="I299" s="3">
        <v>19.62</v>
      </c>
      <c r="J299" s="3">
        <v>6.01</v>
      </c>
      <c r="K299" s="3">
        <v>1.85</v>
      </c>
      <c r="L299" s="3">
        <v>36.19</v>
      </c>
      <c r="M299" s="3">
        <v>651.41999999999996</v>
      </c>
      <c r="N299" s="3">
        <v>0.15</v>
      </c>
      <c r="O299" s="2" t="s">
        <v>695</v>
      </c>
      <c r="P299" s="4">
        <v>46000.688750000001</v>
      </c>
      <c r="Q299" s="4">
        <v>46002.007916666669</v>
      </c>
      <c r="R299" s="2" t="s">
        <v>86</v>
      </c>
      <c r="S299" s="3">
        <v>12.02</v>
      </c>
      <c r="T299" s="2">
        <v>85</v>
      </c>
      <c r="U299" s="3">
        <v>1324</v>
      </c>
      <c r="V299" s="3">
        <v>0</v>
      </c>
      <c r="W299" s="2" t="s">
        <v>94</v>
      </c>
      <c r="X299" s="2" t="s">
        <v>99</v>
      </c>
      <c r="Y299" s="3">
        <v>0</v>
      </c>
      <c r="Z299" t="str">
        <f>INDEX(Assets!$J:$J,MATCH(UPPER(TRIM(B299)),Assets!$A:$A,0))</f>
        <v>Canyon</v>
      </c>
      <c r="AA299">
        <f t="shared" si="12"/>
        <v>553.70699999999999</v>
      </c>
      <c r="AB299" s="21">
        <f t="shared" si="13"/>
        <v>45992</v>
      </c>
      <c r="AC299">
        <f>SUMIFS(Production!$H:$H,Production!$A:$A,UPPER(TRIM(B299)),Production!$B:$B,AB299)-SUMIFS(Production!$I:$I,Production!$A:$A,UPPER(TRIM(B299)),Production!$B:$B,AB299)</f>
        <v>39.799999999999997</v>
      </c>
      <c r="AD299">
        <f t="shared" si="14"/>
        <v>22037.5386</v>
      </c>
    </row>
    <row r="300" spans="1:30" ht="21" customHeight="1">
      <c r="A300" s="2" t="s">
        <v>696</v>
      </c>
      <c r="B300" s="9" t="s">
        <v>46</v>
      </c>
      <c r="C300" s="5">
        <v>46011.5</v>
      </c>
      <c r="D300" s="4">
        <v>46012.051250000004</v>
      </c>
      <c r="E300" s="2" t="s">
        <v>83</v>
      </c>
      <c r="F300" s="2" t="s">
        <v>119</v>
      </c>
      <c r="G300" s="3">
        <v>4.54</v>
      </c>
      <c r="H300" s="3">
        <v>1.88</v>
      </c>
      <c r="I300" s="3">
        <v>0</v>
      </c>
      <c r="J300" s="3">
        <v>5.87</v>
      </c>
      <c r="K300" s="3">
        <v>0.94</v>
      </c>
      <c r="L300" s="3">
        <v>13.23</v>
      </c>
      <c r="M300" s="3">
        <v>238.14</v>
      </c>
      <c r="N300" s="3">
        <v>0.1</v>
      </c>
      <c r="O300" s="2" t="s">
        <v>697</v>
      </c>
      <c r="P300" s="4">
        <v>46011.689166666663</v>
      </c>
      <c r="Q300" s="4">
        <v>46012.051250000004</v>
      </c>
      <c r="R300" s="2" t="s">
        <v>86</v>
      </c>
      <c r="S300" s="3">
        <v>5.87</v>
      </c>
      <c r="T300" s="2">
        <v>85</v>
      </c>
      <c r="U300" s="3">
        <v>7406</v>
      </c>
      <c r="V300" s="3">
        <v>0</v>
      </c>
      <c r="W300" s="2" t="s">
        <v>94</v>
      </c>
      <c r="X300" s="2" t="s">
        <v>121</v>
      </c>
      <c r="Y300" s="3">
        <v>0</v>
      </c>
      <c r="Z300" t="str">
        <f>INDEX(Assets!$J:$J,MATCH(UPPER(TRIM(B300)),Assets!$A:$A,0))</f>
        <v>Canyon</v>
      </c>
      <c r="AA300">
        <f t="shared" si="12"/>
        <v>214.32599999999999</v>
      </c>
      <c r="AB300" s="21">
        <f t="shared" si="13"/>
        <v>45992</v>
      </c>
      <c r="AC300">
        <f>SUMIFS(Production!$H:$H,Production!$A:$A,UPPER(TRIM(B300)),Production!$B:$B,AB300)-SUMIFS(Production!$I:$I,Production!$A:$A,UPPER(TRIM(B300)),Production!$B:$B,AB300)</f>
        <v>39.799999999999997</v>
      </c>
      <c r="AD300">
        <f t="shared" si="14"/>
        <v>8530.1747999999989</v>
      </c>
    </row>
    <row r="301" spans="1:30" ht="21" customHeight="1">
      <c r="A301" s="2" t="s">
        <v>698</v>
      </c>
      <c r="B301" s="9" t="s">
        <v>47</v>
      </c>
      <c r="C301" s="5">
        <v>45663.5</v>
      </c>
      <c r="D301" s="4">
        <v>45664.780416666668</v>
      </c>
      <c r="E301" s="2" t="s">
        <v>83</v>
      </c>
      <c r="F301" s="2" t="s">
        <v>101</v>
      </c>
      <c r="G301" s="3">
        <v>2.37</v>
      </c>
      <c r="H301" s="3">
        <v>1.63</v>
      </c>
      <c r="I301" s="3">
        <v>16.309999999999999</v>
      </c>
      <c r="J301" s="3">
        <v>8.34</v>
      </c>
      <c r="K301" s="3">
        <v>2.08</v>
      </c>
      <c r="L301" s="3">
        <v>30.73</v>
      </c>
      <c r="M301" s="3">
        <v>768.25</v>
      </c>
      <c r="N301" s="3">
        <v>0.18</v>
      </c>
      <c r="O301" s="2" t="s">
        <v>699</v>
      </c>
      <c r="P301" s="4">
        <v>45663.598750000005</v>
      </c>
      <c r="Q301" s="4">
        <v>45664.780416666668</v>
      </c>
      <c r="R301" s="2" t="s">
        <v>86</v>
      </c>
      <c r="S301" s="3">
        <v>8.34</v>
      </c>
      <c r="T301" s="2">
        <v>85</v>
      </c>
      <c r="U301" s="3">
        <v>7562</v>
      </c>
      <c r="V301" s="3">
        <v>0</v>
      </c>
      <c r="W301" s="2" t="s">
        <v>94</v>
      </c>
      <c r="X301" s="2" t="s">
        <v>103</v>
      </c>
      <c r="Y301" s="3">
        <v>0</v>
      </c>
      <c r="Z301" t="str">
        <f>INDEX(Assets!$J:$J,MATCH(UPPER(TRIM(B301)),Assets!$A:$A,0))</f>
        <v>Canyon</v>
      </c>
      <c r="AA301">
        <f t="shared" si="12"/>
        <v>629.96500000000003</v>
      </c>
      <c r="AB301" s="21">
        <f t="shared" si="13"/>
        <v>45658</v>
      </c>
      <c r="AC301">
        <f>SUMIFS(Production!$H:$H,Production!$A:$A,UPPER(TRIM(B301)),Production!$B:$B,AB301)-SUMIFS(Production!$I:$I,Production!$A:$A,UPPER(TRIM(B301)),Production!$B:$B,AB301)</f>
        <v>46.8</v>
      </c>
      <c r="AD301">
        <f t="shared" si="14"/>
        <v>29482.362000000001</v>
      </c>
    </row>
    <row r="302" spans="1:30" ht="21" customHeight="1">
      <c r="A302" s="2" t="s">
        <v>700</v>
      </c>
      <c r="B302" s="9" t="s">
        <v>47</v>
      </c>
      <c r="C302" s="5">
        <v>45685.5</v>
      </c>
      <c r="D302" s="4">
        <v>45685.734166666662</v>
      </c>
      <c r="E302" s="2" t="s">
        <v>90</v>
      </c>
      <c r="F302" s="2" t="s">
        <v>91</v>
      </c>
      <c r="G302" s="3">
        <v>0</v>
      </c>
      <c r="H302" s="3">
        <v>0</v>
      </c>
      <c r="I302" s="3">
        <v>0</v>
      </c>
      <c r="J302" s="3">
        <v>5.62</v>
      </c>
      <c r="K302" s="3">
        <v>0</v>
      </c>
      <c r="L302" s="3">
        <v>5.62</v>
      </c>
      <c r="M302" s="3">
        <v>140.5</v>
      </c>
      <c r="N302" s="3">
        <v>0.25</v>
      </c>
      <c r="O302" s="2" t="s">
        <v>701</v>
      </c>
      <c r="P302" s="4">
        <v>45685.5</v>
      </c>
      <c r="Q302" s="4">
        <v>45685.734166666662</v>
      </c>
      <c r="R302" s="2" t="s">
        <v>93</v>
      </c>
      <c r="S302" s="3">
        <v>11.24</v>
      </c>
      <c r="T302" s="2">
        <v>85</v>
      </c>
      <c r="U302" s="3">
        <v>553</v>
      </c>
      <c r="V302" s="3">
        <v>0</v>
      </c>
      <c r="W302" s="2" t="s">
        <v>94</v>
      </c>
      <c r="X302" s="2" t="s">
        <v>95</v>
      </c>
      <c r="Y302" s="3">
        <v>0</v>
      </c>
      <c r="Z302" t="str">
        <f>INDEX(Assets!$J:$J,MATCH(UPPER(TRIM(B302)),Assets!$A:$A,0))</f>
        <v>Canyon</v>
      </c>
      <c r="AA302">
        <f t="shared" si="12"/>
        <v>105.375</v>
      </c>
      <c r="AB302" s="21">
        <f t="shared" si="13"/>
        <v>45658</v>
      </c>
      <c r="AC302">
        <f>SUMIFS(Production!$H:$H,Production!$A:$A,UPPER(TRIM(B302)),Production!$B:$B,AB302)-SUMIFS(Production!$I:$I,Production!$A:$A,UPPER(TRIM(B302)),Production!$B:$B,AB302)</f>
        <v>46.8</v>
      </c>
      <c r="AD302">
        <f t="shared" si="14"/>
        <v>4931.5499999999993</v>
      </c>
    </row>
    <row r="303" spans="1:30" ht="21" customHeight="1">
      <c r="A303" s="2" t="s">
        <v>702</v>
      </c>
      <c r="B303" s="9" t="s">
        <v>47</v>
      </c>
      <c r="C303" s="5">
        <v>45697.5</v>
      </c>
      <c r="D303" s="4">
        <v>45698.069166666668</v>
      </c>
      <c r="E303" s="2" t="s">
        <v>83</v>
      </c>
      <c r="F303" s="2" t="s">
        <v>97</v>
      </c>
      <c r="G303" s="3">
        <v>3.18</v>
      </c>
      <c r="H303" s="3">
        <v>1.1299999999999999</v>
      </c>
      <c r="I303" s="3">
        <v>0</v>
      </c>
      <c r="J303" s="3">
        <v>8.57</v>
      </c>
      <c r="K303" s="3">
        <v>0.78</v>
      </c>
      <c r="L303" s="3">
        <v>13.66</v>
      </c>
      <c r="M303" s="3">
        <v>341.5</v>
      </c>
      <c r="N303" s="3">
        <v>0.12</v>
      </c>
      <c r="O303" s="2" t="s">
        <v>703</v>
      </c>
      <c r="P303" s="4">
        <v>45697.6325</v>
      </c>
      <c r="Q303" s="4">
        <v>45698.069166666668</v>
      </c>
      <c r="R303" s="2" t="s">
        <v>86</v>
      </c>
      <c r="S303" s="3">
        <v>8.57</v>
      </c>
      <c r="T303" s="2">
        <v>85</v>
      </c>
      <c r="U303" s="3">
        <v>3316</v>
      </c>
      <c r="V303" s="3">
        <v>0</v>
      </c>
      <c r="W303" s="2" t="s">
        <v>94</v>
      </c>
      <c r="X303" s="2" t="s">
        <v>99</v>
      </c>
      <c r="Y303" s="3">
        <v>0</v>
      </c>
      <c r="Z303" t="str">
        <f>INDEX(Assets!$J:$J,MATCH(UPPER(TRIM(B303)),Assets!$A:$A,0))</f>
        <v>Canyon</v>
      </c>
      <c r="AA303">
        <f t="shared" si="12"/>
        <v>300.52</v>
      </c>
      <c r="AB303" s="21">
        <f t="shared" si="13"/>
        <v>45689</v>
      </c>
      <c r="AC303">
        <f>SUMIFS(Production!$H:$H,Production!$A:$A,UPPER(TRIM(B303)),Production!$B:$B,AB303)-SUMIFS(Production!$I:$I,Production!$A:$A,UPPER(TRIM(B303)),Production!$B:$B,AB303)</f>
        <v>44.8</v>
      </c>
      <c r="AD303">
        <f t="shared" si="14"/>
        <v>13463.295999999998</v>
      </c>
    </row>
    <row r="304" spans="1:30" ht="21" customHeight="1">
      <c r="A304" s="2" t="s">
        <v>704</v>
      </c>
      <c r="B304" s="9" t="s">
        <v>47</v>
      </c>
      <c r="C304" s="5">
        <v>45710.5</v>
      </c>
      <c r="D304" s="4">
        <v>45711.314166666663</v>
      </c>
      <c r="E304" s="2" t="s">
        <v>83</v>
      </c>
      <c r="F304" s="2" t="s">
        <v>101</v>
      </c>
      <c r="G304" s="3">
        <v>4.54</v>
      </c>
      <c r="H304" s="3">
        <v>5.07</v>
      </c>
      <c r="I304" s="3">
        <v>0</v>
      </c>
      <c r="J304" s="3">
        <v>8.9700000000000006</v>
      </c>
      <c r="K304" s="3">
        <v>0.96</v>
      </c>
      <c r="L304" s="3">
        <v>19.54</v>
      </c>
      <c r="M304" s="3">
        <v>488.5</v>
      </c>
      <c r="N304" s="3">
        <v>0.17</v>
      </c>
      <c r="O304" s="2" t="s">
        <v>705</v>
      </c>
      <c r="P304" s="4">
        <v>45710.689166666663</v>
      </c>
      <c r="Q304" s="4">
        <v>45711.314166666663</v>
      </c>
      <c r="R304" s="2" t="s">
        <v>86</v>
      </c>
      <c r="S304" s="3">
        <v>8.9700000000000006</v>
      </c>
      <c r="T304" s="2">
        <v>85</v>
      </c>
      <c r="U304" s="3">
        <v>4146</v>
      </c>
      <c r="V304" s="3">
        <v>0</v>
      </c>
      <c r="W304" s="2" t="s">
        <v>94</v>
      </c>
      <c r="X304" s="2" t="s">
        <v>103</v>
      </c>
      <c r="Y304" s="3">
        <v>0</v>
      </c>
      <c r="Z304" t="str">
        <f>INDEX(Assets!$J:$J,MATCH(UPPER(TRIM(B304)),Assets!$A:$A,0))</f>
        <v>Canyon</v>
      </c>
      <c r="AA304">
        <f t="shared" si="12"/>
        <v>405.45499999999998</v>
      </c>
      <c r="AB304" s="21">
        <f t="shared" si="13"/>
        <v>45689</v>
      </c>
      <c r="AC304">
        <f>SUMIFS(Production!$H:$H,Production!$A:$A,UPPER(TRIM(B304)),Production!$B:$B,AB304)-SUMIFS(Production!$I:$I,Production!$A:$A,UPPER(TRIM(B304)),Production!$B:$B,AB304)</f>
        <v>44.8</v>
      </c>
      <c r="AD304">
        <f t="shared" si="14"/>
        <v>18164.383999999998</v>
      </c>
    </row>
    <row r="305" spans="1:30" ht="21" customHeight="1">
      <c r="A305" s="2" t="s">
        <v>706</v>
      </c>
      <c r="B305" s="9" t="s">
        <v>47</v>
      </c>
      <c r="C305" s="5">
        <v>45721.5</v>
      </c>
      <c r="D305" s="4">
        <v>45722.140833333338</v>
      </c>
      <c r="E305" s="2" t="s">
        <v>83</v>
      </c>
      <c r="F305" s="2" t="s">
        <v>119</v>
      </c>
      <c r="G305" s="3">
        <v>1.88</v>
      </c>
      <c r="H305" s="3">
        <v>3.36</v>
      </c>
      <c r="I305" s="3">
        <v>0</v>
      </c>
      <c r="J305" s="3">
        <v>8.2899999999999991</v>
      </c>
      <c r="K305" s="3">
        <v>1.85</v>
      </c>
      <c r="L305" s="3">
        <v>15.38</v>
      </c>
      <c r="M305" s="3">
        <v>384.5</v>
      </c>
      <c r="N305" s="3">
        <v>0.12</v>
      </c>
      <c r="O305" s="2" t="s">
        <v>707</v>
      </c>
      <c r="P305" s="4">
        <v>45721.578333333338</v>
      </c>
      <c r="Q305" s="4">
        <v>45722.140833333338</v>
      </c>
      <c r="R305" s="2" t="s">
        <v>86</v>
      </c>
      <c r="S305" s="3">
        <v>16.579999999999998</v>
      </c>
      <c r="T305" s="2">
        <v>85</v>
      </c>
      <c r="U305" s="3">
        <v>3135</v>
      </c>
      <c r="V305" s="3">
        <v>0</v>
      </c>
      <c r="W305" s="2" t="s">
        <v>94</v>
      </c>
      <c r="X305" s="2" t="s">
        <v>121</v>
      </c>
      <c r="Y305" s="3">
        <v>0</v>
      </c>
      <c r="Z305" t="str">
        <f>INDEX(Assets!$J:$J,MATCH(UPPER(TRIM(B305)),Assets!$A:$A,0))</f>
        <v>Canyon</v>
      </c>
      <c r="AA305">
        <f t="shared" si="12"/>
        <v>338.36</v>
      </c>
      <c r="AB305" s="21">
        <f t="shared" si="13"/>
        <v>45717</v>
      </c>
      <c r="AC305">
        <f>SUMIFS(Production!$H:$H,Production!$A:$A,UPPER(TRIM(B305)),Production!$B:$B,AB305)-SUMIFS(Production!$I:$I,Production!$A:$A,UPPER(TRIM(B305)),Production!$B:$B,AB305)</f>
        <v>42.8</v>
      </c>
      <c r="AD305">
        <f t="shared" si="14"/>
        <v>14481.807999999999</v>
      </c>
    </row>
    <row r="306" spans="1:30" ht="21" customHeight="1">
      <c r="A306" s="2" t="s">
        <v>708</v>
      </c>
      <c r="B306" s="9" t="s">
        <v>47</v>
      </c>
      <c r="C306" s="5">
        <v>45752.5</v>
      </c>
      <c r="D306" s="4">
        <v>45753.075416666667</v>
      </c>
      <c r="E306" s="2" t="s">
        <v>83</v>
      </c>
      <c r="F306" s="2" t="s">
        <v>115</v>
      </c>
      <c r="G306" s="3">
        <v>2.21</v>
      </c>
      <c r="H306" s="3">
        <v>3.38</v>
      </c>
      <c r="I306" s="3">
        <v>0</v>
      </c>
      <c r="J306" s="3">
        <v>7.49</v>
      </c>
      <c r="K306" s="3">
        <v>0.73</v>
      </c>
      <c r="L306" s="3">
        <v>13.81</v>
      </c>
      <c r="M306" s="3">
        <v>345.25</v>
      </c>
      <c r="N306" s="3">
        <v>0.24</v>
      </c>
      <c r="O306" s="2" t="s">
        <v>709</v>
      </c>
      <c r="P306" s="4">
        <v>45752.592083333337</v>
      </c>
      <c r="Q306" s="4">
        <v>45753.075416666667</v>
      </c>
      <c r="R306" s="2" t="s">
        <v>86</v>
      </c>
      <c r="S306" s="3">
        <v>7.49</v>
      </c>
      <c r="T306" s="2">
        <v>85</v>
      </c>
      <c r="U306" s="3">
        <v>3925</v>
      </c>
      <c r="V306" s="3">
        <v>0</v>
      </c>
      <c r="W306" s="2" t="s">
        <v>94</v>
      </c>
      <c r="X306" s="2" t="s">
        <v>117</v>
      </c>
      <c r="Y306" s="3">
        <v>0</v>
      </c>
      <c r="Z306" t="str">
        <f>INDEX(Assets!$J:$J,MATCH(UPPER(TRIM(B306)),Assets!$A:$A,0))</f>
        <v>Canyon</v>
      </c>
      <c r="AA306">
        <f t="shared" si="12"/>
        <v>262.39</v>
      </c>
      <c r="AB306" s="21">
        <f t="shared" si="13"/>
        <v>45748</v>
      </c>
      <c r="AC306">
        <f>SUMIFS(Production!$H:$H,Production!$A:$A,UPPER(TRIM(B306)),Production!$B:$B,AB306)-SUMIFS(Production!$I:$I,Production!$A:$A,UPPER(TRIM(B306)),Production!$B:$B,AB306)</f>
        <v>40.799999999999997</v>
      </c>
      <c r="AD306">
        <f t="shared" si="14"/>
        <v>10705.511999999999</v>
      </c>
    </row>
    <row r="307" spans="1:30" ht="21" customHeight="1">
      <c r="A307" s="2" t="s">
        <v>710</v>
      </c>
      <c r="B307" s="9" t="s">
        <v>47</v>
      </c>
      <c r="C307" s="5">
        <v>45775.5</v>
      </c>
      <c r="D307" s="4">
        <v>45775.6875</v>
      </c>
      <c r="E307" s="2" t="s">
        <v>90</v>
      </c>
      <c r="F307" s="2" t="s">
        <v>91</v>
      </c>
      <c r="G307" s="3">
        <v>0</v>
      </c>
      <c r="H307" s="3">
        <v>0</v>
      </c>
      <c r="I307" s="3">
        <v>0</v>
      </c>
      <c r="J307" s="3">
        <v>4.5</v>
      </c>
      <c r="K307" s="3">
        <v>0</v>
      </c>
      <c r="L307" s="3">
        <v>4.5</v>
      </c>
      <c r="M307" s="3">
        <v>112.5</v>
      </c>
      <c r="N307" s="3">
        <v>0.25</v>
      </c>
      <c r="O307" s="2" t="s">
        <v>711</v>
      </c>
      <c r="P307" s="4">
        <v>45775.5</v>
      </c>
      <c r="Q307" s="4">
        <v>45775.6875</v>
      </c>
      <c r="R307" s="2" t="s">
        <v>93</v>
      </c>
      <c r="S307" s="3">
        <v>9</v>
      </c>
      <c r="T307" s="2">
        <v>85</v>
      </c>
      <c r="U307" s="3">
        <v>1183</v>
      </c>
      <c r="V307" s="3">
        <v>0</v>
      </c>
      <c r="W307" s="2" t="s">
        <v>94</v>
      </c>
      <c r="X307" s="2" t="s">
        <v>95</v>
      </c>
      <c r="Y307" s="3">
        <v>0</v>
      </c>
      <c r="Z307" t="str">
        <f>INDEX(Assets!$J:$J,MATCH(UPPER(TRIM(B307)),Assets!$A:$A,0))</f>
        <v>Canyon</v>
      </c>
      <c r="AA307">
        <f t="shared" si="12"/>
        <v>84.375</v>
      </c>
      <c r="AB307" s="21">
        <f t="shared" si="13"/>
        <v>45748</v>
      </c>
      <c r="AC307">
        <f>SUMIFS(Production!$H:$H,Production!$A:$A,UPPER(TRIM(B307)),Production!$B:$B,AB307)-SUMIFS(Production!$I:$I,Production!$A:$A,UPPER(TRIM(B307)),Production!$B:$B,AB307)</f>
        <v>40.799999999999997</v>
      </c>
      <c r="AD307">
        <f t="shared" si="14"/>
        <v>3442.4999999999995</v>
      </c>
    </row>
    <row r="308" spans="1:30" ht="21" customHeight="1">
      <c r="A308" s="2" t="s">
        <v>712</v>
      </c>
      <c r="B308" s="9" t="s">
        <v>47</v>
      </c>
      <c r="C308" s="5">
        <v>45781.5</v>
      </c>
      <c r="D308" s="4">
        <v>45782.712500000001</v>
      </c>
      <c r="E308" s="2" t="s">
        <v>83</v>
      </c>
      <c r="F308" s="2" t="s">
        <v>84</v>
      </c>
      <c r="G308" s="3">
        <v>3.08</v>
      </c>
      <c r="H308" s="3">
        <v>2.93</v>
      </c>
      <c r="I308" s="3">
        <v>15.36</v>
      </c>
      <c r="J308" s="3">
        <v>5.28</v>
      </c>
      <c r="K308" s="3">
        <v>2.4500000000000002</v>
      </c>
      <c r="L308" s="3">
        <v>29.1</v>
      </c>
      <c r="M308" s="3">
        <v>727.5</v>
      </c>
      <c r="N308" s="3">
        <v>0.16</v>
      </c>
      <c r="O308" s="2" t="s">
        <v>713</v>
      </c>
      <c r="P308" s="4">
        <v>45781.628333333334</v>
      </c>
      <c r="Q308" s="4">
        <v>45782.712500000001</v>
      </c>
      <c r="R308" s="2" t="s">
        <v>86</v>
      </c>
      <c r="S308" s="3">
        <v>5.28</v>
      </c>
      <c r="T308" s="2">
        <v>85</v>
      </c>
      <c r="U308" s="3">
        <v>8301</v>
      </c>
      <c r="V308" s="3">
        <v>0</v>
      </c>
      <c r="W308" s="2" t="s">
        <v>94</v>
      </c>
      <c r="X308" s="2" t="s">
        <v>88</v>
      </c>
      <c r="Y308" s="3">
        <v>0</v>
      </c>
      <c r="Z308" t="str">
        <f>INDEX(Assets!$J:$J,MATCH(UPPER(TRIM(B308)),Assets!$A:$A,0))</f>
        <v>Canyon</v>
      </c>
      <c r="AA308">
        <f t="shared" si="12"/>
        <v>611.1</v>
      </c>
      <c r="AB308" s="21">
        <f t="shared" si="13"/>
        <v>45778</v>
      </c>
      <c r="AC308">
        <f>SUMIFS(Production!$H:$H,Production!$A:$A,UPPER(TRIM(B308)),Production!$B:$B,AB308)-SUMIFS(Production!$I:$I,Production!$A:$A,UPPER(TRIM(B308)),Production!$B:$B,AB308)</f>
        <v>38.799999999999997</v>
      </c>
      <c r="AD308">
        <f t="shared" si="14"/>
        <v>23710.68</v>
      </c>
    </row>
    <row r="309" spans="1:30" ht="21" customHeight="1">
      <c r="A309" s="2" t="s">
        <v>714</v>
      </c>
      <c r="B309" s="9" t="s">
        <v>47</v>
      </c>
      <c r="C309" s="5">
        <v>45812.5</v>
      </c>
      <c r="D309" s="4">
        <v>45813.29</v>
      </c>
      <c r="E309" s="2" t="s">
        <v>83</v>
      </c>
      <c r="F309" s="2" t="s">
        <v>119</v>
      </c>
      <c r="G309" s="3">
        <v>2.58</v>
      </c>
      <c r="H309" s="3">
        <v>2.08</v>
      </c>
      <c r="I309" s="3">
        <v>0</v>
      </c>
      <c r="J309" s="3">
        <v>12.52</v>
      </c>
      <c r="K309" s="3">
        <v>1.78</v>
      </c>
      <c r="L309" s="3">
        <v>18.96</v>
      </c>
      <c r="M309" s="3">
        <v>474</v>
      </c>
      <c r="N309" s="3">
        <v>0.23</v>
      </c>
      <c r="O309" s="2" t="s">
        <v>715</v>
      </c>
      <c r="P309" s="4">
        <v>45812.607499999998</v>
      </c>
      <c r="Q309" s="4">
        <v>45813.29</v>
      </c>
      <c r="R309" s="2" t="s">
        <v>86</v>
      </c>
      <c r="S309" s="3">
        <v>12.52</v>
      </c>
      <c r="T309" s="2">
        <v>85</v>
      </c>
      <c r="U309" s="3">
        <v>7174</v>
      </c>
      <c r="V309" s="3">
        <v>4670</v>
      </c>
      <c r="W309" s="2" t="s">
        <v>94</v>
      </c>
      <c r="X309" s="2" t="s">
        <v>121</v>
      </c>
      <c r="Y309" s="3">
        <v>0</v>
      </c>
      <c r="Z309" t="str">
        <f>INDEX(Assets!$J:$J,MATCH(UPPER(TRIM(B309)),Assets!$A:$A,0))</f>
        <v>Canyon</v>
      </c>
      <c r="AA309">
        <f t="shared" si="12"/>
        <v>364.98</v>
      </c>
      <c r="AB309" s="21">
        <f t="shared" si="13"/>
        <v>45809</v>
      </c>
      <c r="AC309">
        <f>SUMIFS(Production!$H:$H,Production!$A:$A,UPPER(TRIM(B309)),Production!$B:$B,AB309)-SUMIFS(Production!$I:$I,Production!$A:$A,UPPER(TRIM(B309)),Production!$B:$B,AB309)</f>
        <v>39.799999999999997</v>
      </c>
      <c r="AD309">
        <f t="shared" si="14"/>
        <v>14526.204</v>
      </c>
    </row>
    <row r="310" spans="1:30" ht="21" customHeight="1">
      <c r="A310" s="2" t="s">
        <v>716</v>
      </c>
      <c r="B310" s="9" t="s">
        <v>47</v>
      </c>
      <c r="C310" s="5">
        <v>45844.5</v>
      </c>
      <c r="D310" s="4">
        <v>45844.966666666667</v>
      </c>
      <c r="E310" s="2" t="s">
        <v>83</v>
      </c>
      <c r="F310" s="2" t="s">
        <v>97</v>
      </c>
      <c r="G310" s="3">
        <v>3.49</v>
      </c>
      <c r="H310" s="3">
        <v>3.99</v>
      </c>
      <c r="I310" s="3">
        <v>0</v>
      </c>
      <c r="J310" s="3">
        <v>3.07</v>
      </c>
      <c r="K310" s="3">
        <v>0.65</v>
      </c>
      <c r="L310" s="3">
        <v>11.2</v>
      </c>
      <c r="M310" s="3">
        <v>280</v>
      </c>
      <c r="N310" s="3">
        <v>0.11</v>
      </c>
      <c r="O310" s="2" t="s">
        <v>717</v>
      </c>
      <c r="P310" s="4">
        <v>45844.645416666666</v>
      </c>
      <c r="Q310" s="4">
        <v>45844.966666666667</v>
      </c>
      <c r="R310" s="2" t="s">
        <v>86</v>
      </c>
      <c r="S310" s="3">
        <v>3.07</v>
      </c>
      <c r="T310" s="2">
        <v>85</v>
      </c>
      <c r="U310" s="3">
        <v>3604</v>
      </c>
      <c r="V310" s="3">
        <v>0</v>
      </c>
      <c r="W310" s="2" t="s">
        <v>94</v>
      </c>
      <c r="X310" s="2" t="s">
        <v>99</v>
      </c>
      <c r="Y310" s="3">
        <v>0</v>
      </c>
      <c r="Z310" t="str">
        <f>INDEX(Assets!$J:$J,MATCH(UPPER(TRIM(B310)),Assets!$A:$A,0))</f>
        <v>Canyon</v>
      </c>
      <c r="AA310">
        <f t="shared" si="12"/>
        <v>249.20000000000002</v>
      </c>
      <c r="AB310" s="21">
        <f t="shared" si="13"/>
        <v>45839</v>
      </c>
      <c r="AC310">
        <f>SUMIFS(Production!$H:$H,Production!$A:$A,UPPER(TRIM(B310)),Production!$B:$B,AB310)-SUMIFS(Production!$I:$I,Production!$A:$A,UPPER(TRIM(B310)),Production!$B:$B,AB310)</f>
        <v>41.8</v>
      </c>
      <c r="AD310">
        <f t="shared" si="14"/>
        <v>10416.56</v>
      </c>
    </row>
    <row r="311" spans="1:30" ht="21" customHeight="1">
      <c r="A311" s="2" t="s">
        <v>718</v>
      </c>
      <c r="B311" s="9" t="s">
        <v>47</v>
      </c>
      <c r="C311" s="5">
        <v>45860.5</v>
      </c>
      <c r="D311" s="4">
        <v>45861.089166666672</v>
      </c>
      <c r="E311" s="2" t="s">
        <v>83</v>
      </c>
      <c r="F311" s="2" t="s">
        <v>97</v>
      </c>
      <c r="G311" s="3">
        <v>3.47</v>
      </c>
      <c r="H311" s="3">
        <v>5.16</v>
      </c>
      <c r="I311" s="3">
        <v>0</v>
      </c>
      <c r="J311" s="3">
        <v>4.4000000000000004</v>
      </c>
      <c r="K311" s="3">
        <v>1.1100000000000001</v>
      </c>
      <c r="L311" s="3">
        <v>14.14</v>
      </c>
      <c r="M311" s="3">
        <v>353.5</v>
      </c>
      <c r="N311" s="3">
        <v>0.19</v>
      </c>
      <c r="O311" s="2" t="s">
        <v>719</v>
      </c>
      <c r="P311" s="4">
        <v>45860.644583333335</v>
      </c>
      <c r="Q311" s="4">
        <v>45861.089166666672</v>
      </c>
      <c r="R311" s="2" t="s">
        <v>86</v>
      </c>
      <c r="S311" s="3">
        <v>4.4000000000000004</v>
      </c>
      <c r="T311" s="2">
        <v>85</v>
      </c>
      <c r="U311" s="3">
        <v>3991</v>
      </c>
      <c r="V311" s="3">
        <v>0</v>
      </c>
      <c r="W311" s="2" t="s">
        <v>94</v>
      </c>
      <c r="X311" s="2" t="s">
        <v>99</v>
      </c>
      <c r="Y311" s="3">
        <v>0</v>
      </c>
      <c r="Z311" t="str">
        <f>INDEX(Assets!$J:$J,MATCH(UPPER(TRIM(B311)),Assets!$A:$A,0))</f>
        <v>Canyon</v>
      </c>
      <c r="AA311">
        <f t="shared" si="12"/>
        <v>286.33500000000004</v>
      </c>
      <c r="AB311" s="21">
        <f t="shared" si="13"/>
        <v>45839</v>
      </c>
      <c r="AC311">
        <f>SUMIFS(Production!$H:$H,Production!$A:$A,UPPER(TRIM(B311)),Production!$B:$B,AB311)-SUMIFS(Production!$I:$I,Production!$A:$A,UPPER(TRIM(B311)),Production!$B:$B,AB311)</f>
        <v>41.8</v>
      </c>
      <c r="AD311">
        <f t="shared" si="14"/>
        <v>11968.803</v>
      </c>
    </row>
    <row r="312" spans="1:30" ht="21" customHeight="1">
      <c r="A312" s="2" t="s">
        <v>720</v>
      </c>
      <c r="B312" s="9" t="s">
        <v>47</v>
      </c>
      <c r="C312" s="5">
        <v>45866.5</v>
      </c>
      <c r="D312" s="4">
        <v>45866.658333333333</v>
      </c>
      <c r="E312" s="2" t="s">
        <v>90</v>
      </c>
      <c r="F312" s="2" t="s">
        <v>91</v>
      </c>
      <c r="G312" s="3">
        <v>0</v>
      </c>
      <c r="H312" s="3">
        <v>0</v>
      </c>
      <c r="I312" s="3">
        <v>0</v>
      </c>
      <c r="J312" s="3">
        <v>3.8</v>
      </c>
      <c r="K312" s="3">
        <v>0</v>
      </c>
      <c r="L312" s="3">
        <v>3.8</v>
      </c>
      <c r="M312" s="3">
        <v>95</v>
      </c>
      <c r="N312" s="3">
        <v>0.25</v>
      </c>
      <c r="O312" s="2" t="s">
        <v>721</v>
      </c>
      <c r="P312" s="4">
        <v>45866.5</v>
      </c>
      <c r="Q312" s="4">
        <v>45866.658333333333</v>
      </c>
      <c r="R312" s="2" t="s">
        <v>93</v>
      </c>
      <c r="S312" s="3">
        <v>3.8</v>
      </c>
      <c r="T312" s="2">
        <v>85</v>
      </c>
      <c r="U312" s="3">
        <v>1643</v>
      </c>
      <c r="V312" s="3">
        <v>0</v>
      </c>
      <c r="W312" s="2" t="s">
        <v>94</v>
      </c>
      <c r="X312" s="2" t="s">
        <v>95</v>
      </c>
      <c r="Y312" s="3">
        <v>0</v>
      </c>
      <c r="Z312" t="str">
        <f>INDEX(Assets!$J:$J,MATCH(UPPER(TRIM(B312)),Assets!$A:$A,0))</f>
        <v>Canyon</v>
      </c>
      <c r="AA312">
        <f t="shared" si="12"/>
        <v>71.25</v>
      </c>
      <c r="AB312" s="21">
        <f t="shared" si="13"/>
        <v>45839</v>
      </c>
      <c r="AC312">
        <f>SUMIFS(Production!$H:$H,Production!$A:$A,UPPER(TRIM(B312)),Production!$B:$B,AB312)-SUMIFS(Production!$I:$I,Production!$A:$A,UPPER(TRIM(B312)),Production!$B:$B,AB312)</f>
        <v>41.8</v>
      </c>
      <c r="AD312">
        <f t="shared" si="14"/>
        <v>2978.25</v>
      </c>
    </row>
    <row r="313" spans="1:30" ht="21" customHeight="1">
      <c r="A313" s="2" t="s">
        <v>722</v>
      </c>
      <c r="B313" s="9" t="s">
        <v>47</v>
      </c>
      <c r="C313" s="5">
        <v>45878.5</v>
      </c>
      <c r="D313" s="4">
        <v>45879.154583333337</v>
      </c>
      <c r="E313" s="2" t="s">
        <v>83</v>
      </c>
      <c r="F313" s="2" t="s">
        <v>119</v>
      </c>
      <c r="G313" s="3">
        <v>3.49</v>
      </c>
      <c r="H313" s="3">
        <v>1.83</v>
      </c>
      <c r="I313" s="3">
        <v>0</v>
      </c>
      <c r="J313" s="3">
        <v>8.3699999999999992</v>
      </c>
      <c r="K313" s="3">
        <v>2.02</v>
      </c>
      <c r="L313" s="3">
        <v>15.71</v>
      </c>
      <c r="M313" s="3">
        <v>392.75</v>
      </c>
      <c r="N313" s="3">
        <v>0.26</v>
      </c>
      <c r="O313" s="2" t="s">
        <v>723</v>
      </c>
      <c r="P313" s="4">
        <v>45878.645416666666</v>
      </c>
      <c r="Q313" s="4">
        <v>45879.154583333337</v>
      </c>
      <c r="R313" s="2" t="s">
        <v>86</v>
      </c>
      <c r="S313" s="3">
        <v>16.739999999999998</v>
      </c>
      <c r="T313" s="2">
        <v>85</v>
      </c>
      <c r="U313" s="3">
        <v>5569</v>
      </c>
      <c r="V313" s="3">
        <v>4464</v>
      </c>
      <c r="W313" s="2" t="s">
        <v>94</v>
      </c>
      <c r="X313" s="2" t="s">
        <v>121</v>
      </c>
      <c r="Y313" s="3">
        <v>0</v>
      </c>
      <c r="Z313" t="str">
        <f>INDEX(Assets!$J:$J,MATCH(UPPER(TRIM(B313)),Assets!$A:$A,0))</f>
        <v>Canyon</v>
      </c>
      <c r="AA313">
        <f t="shared" si="12"/>
        <v>290.63499999999999</v>
      </c>
      <c r="AB313" s="21">
        <f t="shared" si="13"/>
        <v>45870</v>
      </c>
      <c r="AC313">
        <f>SUMIFS(Production!$H:$H,Production!$A:$A,UPPER(TRIM(B313)),Production!$B:$B,AB313)-SUMIFS(Production!$I:$I,Production!$A:$A,UPPER(TRIM(B313)),Production!$B:$B,AB313)</f>
        <v>40.799999999999997</v>
      </c>
      <c r="AD313">
        <f t="shared" si="14"/>
        <v>11857.907999999999</v>
      </c>
    </row>
    <row r="314" spans="1:30" ht="21" customHeight="1">
      <c r="A314" s="2" t="s">
        <v>724</v>
      </c>
      <c r="B314" s="9" t="s">
        <v>47</v>
      </c>
      <c r="C314" s="5">
        <v>45905.5</v>
      </c>
      <c r="D314" s="4">
        <v>45906.22625</v>
      </c>
      <c r="E314" s="2" t="s">
        <v>83</v>
      </c>
      <c r="F314" s="2" t="s">
        <v>119</v>
      </c>
      <c r="G314" s="3">
        <v>3.89</v>
      </c>
      <c r="H314" s="3">
        <v>2.2799999999999998</v>
      </c>
      <c r="I314" s="3">
        <v>0</v>
      </c>
      <c r="J314" s="3">
        <v>10.46</v>
      </c>
      <c r="K314" s="3">
        <v>0.8</v>
      </c>
      <c r="L314" s="3">
        <v>17.43</v>
      </c>
      <c r="M314" s="3">
        <v>435.75</v>
      </c>
      <c r="N314" s="3">
        <v>0.08</v>
      </c>
      <c r="O314" s="2" t="s">
        <v>725</v>
      </c>
      <c r="P314" s="4">
        <v>45905.662083333329</v>
      </c>
      <c r="Q314" s="4">
        <v>45906.22625</v>
      </c>
      <c r="R314" s="2" t="s">
        <v>86</v>
      </c>
      <c r="S314" s="3">
        <v>10.46</v>
      </c>
      <c r="T314" s="2">
        <v>85</v>
      </c>
      <c r="U314" s="3">
        <v>5529</v>
      </c>
      <c r="V314" s="3">
        <v>0</v>
      </c>
      <c r="W314" s="2" t="s">
        <v>94</v>
      </c>
      <c r="X314" s="2" t="s">
        <v>121</v>
      </c>
      <c r="Y314" s="3">
        <v>0</v>
      </c>
      <c r="Z314" t="str">
        <f>INDEX(Assets!$J:$J,MATCH(UPPER(TRIM(B314)),Assets!$A:$A,0))</f>
        <v>Canyon</v>
      </c>
      <c r="AA314">
        <f t="shared" si="12"/>
        <v>400.89000000000004</v>
      </c>
      <c r="AB314" s="21">
        <f t="shared" si="13"/>
        <v>45901</v>
      </c>
      <c r="AC314">
        <f>SUMIFS(Production!$H:$H,Production!$A:$A,UPPER(TRIM(B314)),Production!$B:$B,AB314)-SUMIFS(Production!$I:$I,Production!$A:$A,UPPER(TRIM(B314)),Production!$B:$B,AB314)</f>
        <v>37.799999999999997</v>
      </c>
      <c r="AD314">
        <f t="shared" si="14"/>
        <v>15153.642</v>
      </c>
    </row>
    <row r="315" spans="1:30" ht="21" customHeight="1">
      <c r="A315" s="2" t="s">
        <v>726</v>
      </c>
      <c r="B315" s="9" t="s">
        <v>47</v>
      </c>
      <c r="C315" s="5">
        <v>45919.5</v>
      </c>
      <c r="D315" s="4">
        <v>45919.982499999998</v>
      </c>
      <c r="E315" s="2" t="s">
        <v>83</v>
      </c>
      <c r="F315" s="2" t="s">
        <v>97</v>
      </c>
      <c r="G315" s="3">
        <v>3.54</v>
      </c>
      <c r="H315" s="3">
        <v>3.28</v>
      </c>
      <c r="I315" s="3">
        <v>0</v>
      </c>
      <c r="J315" s="3">
        <v>3.86</v>
      </c>
      <c r="K315" s="3">
        <v>0.9</v>
      </c>
      <c r="L315" s="3">
        <v>11.58</v>
      </c>
      <c r="M315" s="3">
        <v>289.5</v>
      </c>
      <c r="N315" s="3">
        <v>0.11</v>
      </c>
      <c r="O315" s="2" t="s">
        <v>727</v>
      </c>
      <c r="P315" s="4">
        <v>45919.647499999999</v>
      </c>
      <c r="Q315" s="4">
        <v>45919.982499999998</v>
      </c>
      <c r="R315" s="2" t="s">
        <v>86</v>
      </c>
      <c r="S315" s="3">
        <v>7.72</v>
      </c>
      <c r="T315" s="2">
        <v>85</v>
      </c>
      <c r="U315" s="3">
        <v>5291</v>
      </c>
      <c r="V315" s="3">
        <v>0</v>
      </c>
      <c r="W315" s="2" t="s">
        <v>94</v>
      </c>
      <c r="X315" s="2" t="s">
        <v>99</v>
      </c>
      <c r="Y315" s="3">
        <v>0</v>
      </c>
      <c r="Z315" t="str">
        <f>INDEX(Assets!$J:$J,MATCH(UPPER(TRIM(B315)),Assets!$A:$A,0))</f>
        <v>Canyon</v>
      </c>
      <c r="AA315">
        <f t="shared" si="12"/>
        <v>257.65500000000003</v>
      </c>
      <c r="AB315" s="21">
        <f t="shared" si="13"/>
        <v>45901</v>
      </c>
      <c r="AC315">
        <f>SUMIFS(Production!$H:$H,Production!$A:$A,UPPER(TRIM(B315)),Production!$B:$B,AB315)-SUMIFS(Production!$I:$I,Production!$A:$A,UPPER(TRIM(B315)),Production!$B:$B,AB315)</f>
        <v>37.799999999999997</v>
      </c>
      <c r="AD315">
        <f t="shared" si="14"/>
        <v>9739.3590000000004</v>
      </c>
    </row>
    <row r="316" spans="1:30" ht="21" customHeight="1">
      <c r="A316" s="2" t="s">
        <v>728</v>
      </c>
      <c r="B316" s="9" t="s">
        <v>47</v>
      </c>
      <c r="C316" s="5">
        <v>45939.5</v>
      </c>
      <c r="D316" s="4">
        <v>45940.814166666663</v>
      </c>
      <c r="E316" s="2" t="s">
        <v>83</v>
      </c>
      <c r="F316" s="2" t="s">
        <v>101</v>
      </c>
      <c r="G316" s="3">
        <v>2.4900000000000002</v>
      </c>
      <c r="H316" s="3">
        <v>1.43</v>
      </c>
      <c r="I316" s="3">
        <v>20.079999999999998</v>
      </c>
      <c r="J316" s="3">
        <v>6.37</v>
      </c>
      <c r="K316" s="3">
        <v>1.17</v>
      </c>
      <c r="L316" s="3">
        <v>31.54</v>
      </c>
      <c r="M316" s="3">
        <v>788.5</v>
      </c>
      <c r="N316" s="3">
        <v>0.23</v>
      </c>
      <c r="O316" s="2" t="s">
        <v>729</v>
      </c>
      <c r="P316" s="4">
        <v>45939.603749999995</v>
      </c>
      <c r="Q316" s="4">
        <v>45940.814166666663</v>
      </c>
      <c r="R316" s="2" t="s">
        <v>86</v>
      </c>
      <c r="S316" s="3">
        <v>12.74</v>
      </c>
      <c r="T316" s="2">
        <v>85</v>
      </c>
      <c r="U316" s="3">
        <v>7954</v>
      </c>
      <c r="V316" s="3">
        <v>0</v>
      </c>
      <c r="W316" s="2" t="s">
        <v>94</v>
      </c>
      <c r="X316" s="2" t="s">
        <v>103</v>
      </c>
      <c r="Y316" s="3">
        <v>0</v>
      </c>
      <c r="Z316" t="str">
        <f>INDEX(Assets!$J:$J,MATCH(UPPER(TRIM(B316)),Assets!$A:$A,0))</f>
        <v>Canyon</v>
      </c>
      <c r="AA316">
        <f t="shared" si="12"/>
        <v>607.14499999999998</v>
      </c>
      <c r="AB316" s="21">
        <f t="shared" si="13"/>
        <v>45931</v>
      </c>
      <c r="AC316">
        <f>SUMIFS(Production!$H:$H,Production!$A:$A,UPPER(TRIM(B316)),Production!$B:$B,AB316)-SUMIFS(Production!$I:$I,Production!$A:$A,UPPER(TRIM(B316)),Production!$B:$B,AB316)</f>
        <v>36.799999999999997</v>
      </c>
      <c r="AD316">
        <f t="shared" si="14"/>
        <v>22342.935999999998</v>
      </c>
    </row>
    <row r="317" spans="1:30" ht="21" customHeight="1">
      <c r="A317" s="2" t="s">
        <v>730</v>
      </c>
      <c r="B317" s="9" t="s">
        <v>47</v>
      </c>
      <c r="C317" s="5">
        <v>45958.5</v>
      </c>
      <c r="D317" s="4">
        <v>45958.771666666667</v>
      </c>
      <c r="E317" s="2" t="s">
        <v>90</v>
      </c>
      <c r="F317" s="2" t="s">
        <v>91</v>
      </c>
      <c r="G317" s="3">
        <v>0</v>
      </c>
      <c r="H317" s="3">
        <v>0</v>
      </c>
      <c r="I317" s="3">
        <v>0</v>
      </c>
      <c r="J317" s="3">
        <v>6.52</v>
      </c>
      <c r="K317" s="3">
        <v>0</v>
      </c>
      <c r="L317" s="3">
        <v>6.52</v>
      </c>
      <c r="M317" s="3">
        <v>163</v>
      </c>
      <c r="N317" s="3">
        <v>0.25</v>
      </c>
      <c r="O317" s="2" t="s">
        <v>731</v>
      </c>
      <c r="P317" s="4">
        <v>45958.5</v>
      </c>
      <c r="Q317" s="4">
        <v>45958.771666666667</v>
      </c>
      <c r="R317" s="2" t="s">
        <v>93</v>
      </c>
      <c r="S317" s="3">
        <v>6.52</v>
      </c>
      <c r="T317" s="2">
        <v>85</v>
      </c>
      <c r="U317" s="3">
        <v>1139</v>
      </c>
      <c r="V317" s="3">
        <v>3069</v>
      </c>
      <c r="W317" s="2" t="s">
        <v>94</v>
      </c>
      <c r="X317" s="2" t="s">
        <v>95</v>
      </c>
      <c r="Y317" s="3">
        <v>0</v>
      </c>
      <c r="Z317" t="str">
        <f>INDEX(Assets!$J:$J,MATCH(UPPER(TRIM(B317)),Assets!$A:$A,0))</f>
        <v>Canyon</v>
      </c>
      <c r="AA317">
        <f t="shared" si="12"/>
        <v>122.25</v>
      </c>
      <c r="AB317" s="21">
        <f t="shared" si="13"/>
        <v>45931</v>
      </c>
      <c r="AC317">
        <f>SUMIFS(Production!$H:$H,Production!$A:$A,UPPER(TRIM(B317)),Production!$B:$B,AB317)-SUMIFS(Production!$I:$I,Production!$A:$A,UPPER(TRIM(B317)),Production!$B:$B,AB317)</f>
        <v>36.799999999999997</v>
      </c>
      <c r="AD317">
        <f t="shared" si="14"/>
        <v>4498.7999999999993</v>
      </c>
    </row>
    <row r="318" spans="1:30" ht="21" customHeight="1">
      <c r="A318" s="2" t="s">
        <v>732</v>
      </c>
      <c r="B318" s="9" t="s">
        <v>47</v>
      </c>
      <c r="C318" s="5">
        <v>45968.5</v>
      </c>
      <c r="D318" s="4">
        <v>45968.8825</v>
      </c>
      <c r="E318" s="2" t="s">
        <v>83</v>
      </c>
      <c r="F318" s="2" t="s">
        <v>84</v>
      </c>
      <c r="G318" s="3">
        <v>1.59</v>
      </c>
      <c r="H318" s="3">
        <v>1.87</v>
      </c>
      <c r="I318" s="3">
        <v>0</v>
      </c>
      <c r="J318" s="3">
        <v>3.39</v>
      </c>
      <c r="K318" s="3">
        <v>2.33</v>
      </c>
      <c r="L318" s="3">
        <v>9.18</v>
      </c>
      <c r="M318" s="3">
        <v>229.5</v>
      </c>
      <c r="N318" s="3">
        <v>0.23</v>
      </c>
      <c r="O318" s="2" t="s">
        <v>733</v>
      </c>
      <c r="P318" s="4">
        <v>45968.566250000003</v>
      </c>
      <c r="Q318" s="4">
        <v>45968.8825</v>
      </c>
      <c r="R318" s="2" t="s">
        <v>86</v>
      </c>
      <c r="S318" s="3">
        <v>3.39</v>
      </c>
      <c r="T318" s="2">
        <v>85</v>
      </c>
      <c r="U318" s="3">
        <v>5991</v>
      </c>
      <c r="V318" s="3">
        <v>0</v>
      </c>
      <c r="W318" s="2" t="s">
        <v>94</v>
      </c>
      <c r="X318" s="2" t="s">
        <v>88</v>
      </c>
      <c r="Y318" s="3">
        <v>0</v>
      </c>
      <c r="Z318" t="str">
        <f>INDEX(Assets!$J:$J,MATCH(UPPER(TRIM(B318)),Assets!$A:$A,0))</f>
        <v>Canyon</v>
      </c>
      <c r="AA318">
        <f t="shared" si="12"/>
        <v>176.715</v>
      </c>
      <c r="AB318" s="21">
        <f t="shared" si="13"/>
        <v>45962</v>
      </c>
      <c r="AC318">
        <f>SUMIFS(Production!$H:$H,Production!$A:$A,UPPER(TRIM(B318)),Production!$B:$B,AB318)-SUMIFS(Production!$I:$I,Production!$A:$A,UPPER(TRIM(B318)),Production!$B:$B,AB318)</f>
        <v>38.799999999999997</v>
      </c>
      <c r="AD318">
        <f t="shared" si="14"/>
        <v>6856.5419999999995</v>
      </c>
    </row>
    <row r="319" spans="1:30" ht="21" customHeight="1">
      <c r="A319" s="2" t="s">
        <v>734</v>
      </c>
      <c r="B319" s="9" t="s">
        <v>47</v>
      </c>
      <c r="C319" s="5">
        <v>45997.5</v>
      </c>
      <c r="D319" s="4">
        <v>45998.422916666663</v>
      </c>
      <c r="E319" s="2" t="s">
        <v>83</v>
      </c>
      <c r="F319" s="2" t="s">
        <v>84</v>
      </c>
      <c r="G319" s="3">
        <v>1.48</v>
      </c>
      <c r="H319" s="3">
        <v>1.55</v>
      </c>
      <c r="I319" s="3">
        <v>9.3800000000000008</v>
      </c>
      <c r="J319" s="3">
        <v>8.81</v>
      </c>
      <c r="K319" s="3">
        <v>0.93</v>
      </c>
      <c r="L319" s="3">
        <v>22.15</v>
      </c>
      <c r="M319" s="3">
        <v>553.75</v>
      </c>
      <c r="N319" s="3">
        <v>0.15</v>
      </c>
      <c r="O319" s="2" t="s">
        <v>735</v>
      </c>
      <c r="P319" s="4">
        <v>45997.561666666668</v>
      </c>
      <c r="Q319" s="4">
        <v>45998.422916666663</v>
      </c>
      <c r="R319" s="2" t="s">
        <v>86</v>
      </c>
      <c r="S319" s="3">
        <v>8.81</v>
      </c>
      <c r="T319" s="2">
        <v>85</v>
      </c>
      <c r="U319" s="3">
        <v>4536</v>
      </c>
      <c r="V319" s="3">
        <v>0</v>
      </c>
      <c r="W319" s="2" t="s">
        <v>94</v>
      </c>
      <c r="X319" s="2" t="s">
        <v>88</v>
      </c>
      <c r="Y319" s="3">
        <v>0</v>
      </c>
      <c r="Z319" t="str">
        <f>INDEX(Assets!$J:$J,MATCH(UPPER(TRIM(B319)),Assets!$A:$A,0))</f>
        <v>Canyon</v>
      </c>
      <c r="AA319">
        <f t="shared" si="12"/>
        <v>470.6875</v>
      </c>
      <c r="AB319" s="21">
        <f t="shared" si="13"/>
        <v>45992</v>
      </c>
      <c r="AC319">
        <f>SUMIFS(Production!$H:$H,Production!$A:$A,UPPER(TRIM(B319)),Production!$B:$B,AB319)-SUMIFS(Production!$I:$I,Production!$A:$A,UPPER(TRIM(B319)),Production!$B:$B,AB319)</f>
        <v>39.799999999999997</v>
      </c>
      <c r="AD319">
        <f t="shared" si="14"/>
        <v>18733.362499999999</v>
      </c>
    </row>
    <row r="320" spans="1:30" ht="21" customHeight="1">
      <c r="A320" s="2" t="s">
        <v>736</v>
      </c>
      <c r="B320" s="9" t="s">
        <v>48</v>
      </c>
      <c r="C320" s="5">
        <v>45666.5</v>
      </c>
      <c r="D320" s="4">
        <v>45666.865416666667</v>
      </c>
      <c r="E320" s="2" t="s">
        <v>83</v>
      </c>
      <c r="F320" s="2" t="s">
        <v>97</v>
      </c>
      <c r="G320" s="3">
        <v>3.14</v>
      </c>
      <c r="H320" s="3">
        <v>1.72</v>
      </c>
      <c r="I320" s="3">
        <v>0</v>
      </c>
      <c r="J320" s="3">
        <v>2.85</v>
      </c>
      <c r="K320" s="3">
        <v>1.06</v>
      </c>
      <c r="L320" s="3">
        <v>8.77</v>
      </c>
      <c r="M320" s="3">
        <v>236.79</v>
      </c>
      <c r="N320" s="3">
        <v>0.21</v>
      </c>
      <c r="O320" s="2" t="s">
        <v>737</v>
      </c>
      <c r="P320" s="4">
        <v>45666.630833333329</v>
      </c>
      <c r="Q320" s="4">
        <v>45666.865416666667</v>
      </c>
      <c r="R320" s="2" t="s">
        <v>86</v>
      </c>
      <c r="S320" s="3">
        <v>2.85</v>
      </c>
      <c r="T320" s="2">
        <v>85</v>
      </c>
      <c r="U320" s="3">
        <v>3427</v>
      </c>
      <c r="V320" s="3">
        <v>0</v>
      </c>
      <c r="W320" s="2" t="s">
        <v>94</v>
      </c>
      <c r="X320" s="2" t="s">
        <v>99</v>
      </c>
      <c r="Y320" s="3">
        <v>0.5</v>
      </c>
      <c r="Z320" t="str">
        <f>INDEX(Assets!$J:$J,MATCH(UPPER(TRIM(B320)),Assets!$A:$A,0))</f>
        <v>Prairie</v>
      </c>
      <c r="AA320">
        <f t="shared" si="12"/>
        <v>187.0641</v>
      </c>
      <c r="AB320" s="21">
        <f t="shared" si="13"/>
        <v>45658</v>
      </c>
      <c r="AC320">
        <f>SUMIFS(Production!$H:$H,Production!$A:$A,UPPER(TRIM(B320)),Production!$B:$B,AB320)-SUMIFS(Production!$I:$I,Production!$A:$A,UPPER(TRIM(B320)),Production!$B:$B,AB320)</f>
        <v>46</v>
      </c>
      <c r="AD320">
        <f t="shared" si="14"/>
        <v>8604.9485999999997</v>
      </c>
    </row>
    <row r="321" spans="1:30" ht="21" customHeight="1">
      <c r="A321" s="2" t="s">
        <v>738</v>
      </c>
      <c r="B321" s="9" t="s">
        <v>48</v>
      </c>
      <c r="C321" s="5">
        <v>45676.5</v>
      </c>
      <c r="D321" s="4">
        <v>45677.034583333334</v>
      </c>
      <c r="E321" s="2" t="s">
        <v>83</v>
      </c>
      <c r="F321" s="2" t="s">
        <v>97</v>
      </c>
      <c r="G321" s="3">
        <v>2.1800000000000002</v>
      </c>
      <c r="H321" s="3">
        <v>4.55</v>
      </c>
      <c r="I321" s="3">
        <v>0</v>
      </c>
      <c r="J321" s="3">
        <v>4.9000000000000004</v>
      </c>
      <c r="K321" s="3">
        <v>1.2</v>
      </c>
      <c r="L321" s="3">
        <v>12.83</v>
      </c>
      <c r="M321" s="3">
        <v>346.41</v>
      </c>
      <c r="N321" s="3">
        <v>0.27</v>
      </c>
      <c r="O321" s="2" t="s">
        <v>739</v>
      </c>
      <c r="P321" s="4">
        <v>45676.590833333335</v>
      </c>
      <c r="Q321" s="4">
        <v>45677.034583333334</v>
      </c>
      <c r="R321" s="2" t="s">
        <v>86</v>
      </c>
      <c r="S321" s="3">
        <v>4.9000000000000004</v>
      </c>
      <c r="T321" s="2">
        <v>85</v>
      </c>
      <c r="U321" s="3"/>
      <c r="V321" s="3">
        <v>0</v>
      </c>
      <c r="W321" s="2" t="s">
        <v>87</v>
      </c>
      <c r="X321" s="2" t="s">
        <v>99</v>
      </c>
      <c r="Y321" s="3">
        <v>0</v>
      </c>
      <c r="Z321" t="str">
        <f>INDEX(Assets!$J:$J,MATCH(UPPER(TRIM(B321)),Assets!$A:$A,0))</f>
        <v>Prairie</v>
      </c>
      <c r="AA321">
        <f t="shared" si="12"/>
        <v>252.8793</v>
      </c>
      <c r="AB321" s="21">
        <f t="shared" si="13"/>
        <v>45658</v>
      </c>
      <c r="AC321">
        <f>SUMIFS(Production!$H:$H,Production!$A:$A,UPPER(TRIM(B321)),Production!$B:$B,AB321)-SUMIFS(Production!$I:$I,Production!$A:$A,UPPER(TRIM(B321)),Production!$B:$B,AB321)</f>
        <v>46</v>
      </c>
      <c r="AD321">
        <f t="shared" si="14"/>
        <v>11632.4478</v>
      </c>
    </row>
    <row r="322" spans="1:30" ht="21" customHeight="1">
      <c r="A322" s="2" t="s">
        <v>740</v>
      </c>
      <c r="B322" s="9" t="s">
        <v>48</v>
      </c>
      <c r="C322" s="5">
        <v>45685.5</v>
      </c>
      <c r="D322" s="4">
        <v>45685.789583333331</v>
      </c>
      <c r="E322" s="2" t="s">
        <v>90</v>
      </c>
      <c r="F322" s="2" t="s">
        <v>91</v>
      </c>
      <c r="G322" s="3">
        <v>0</v>
      </c>
      <c r="H322" s="3">
        <v>0</v>
      </c>
      <c r="I322" s="3">
        <v>0</v>
      </c>
      <c r="J322" s="3">
        <v>6.95</v>
      </c>
      <c r="K322" s="3">
        <v>0</v>
      </c>
      <c r="L322" s="3">
        <v>6.95</v>
      </c>
      <c r="M322" s="3">
        <v>187.65</v>
      </c>
      <c r="N322" s="3">
        <v>0.25</v>
      </c>
      <c r="O322" s="2" t="s">
        <v>741</v>
      </c>
      <c r="P322" s="4">
        <v>45685.5</v>
      </c>
      <c r="Q322" s="4">
        <v>45685.789583333331</v>
      </c>
      <c r="R322" s="2" t="s">
        <v>93</v>
      </c>
      <c r="S322" s="3">
        <v>6.95</v>
      </c>
      <c r="T322" s="2">
        <v>85</v>
      </c>
      <c r="U322" s="3">
        <v>1632</v>
      </c>
      <c r="V322" s="3">
        <v>0</v>
      </c>
      <c r="W322" s="2" t="s">
        <v>94</v>
      </c>
      <c r="X322" s="2" t="s">
        <v>95</v>
      </c>
      <c r="Y322" s="3">
        <v>0</v>
      </c>
      <c r="Z322" t="str">
        <f>INDEX(Assets!$J:$J,MATCH(UPPER(TRIM(B322)),Assets!$A:$A,0))</f>
        <v>Prairie</v>
      </c>
      <c r="AA322">
        <f t="shared" ref="AA322:AA386" si="15">M322*(1-N322)</f>
        <v>140.73750000000001</v>
      </c>
      <c r="AB322" s="21">
        <f t="shared" ref="AB322:AB386" si="16">DATE(YEAR(C322),MONTH(C322),1)</f>
        <v>45658</v>
      </c>
      <c r="AC322">
        <f>SUMIFS(Production!$H:$H,Production!$A:$A,UPPER(TRIM(B322)),Production!$B:$B,AB322)-SUMIFS(Production!$I:$I,Production!$A:$A,UPPER(TRIM(B322)),Production!$B:$B,AB322)</f>
        <v>46</v>
      </c>
      <c r="AD322">
        <f t="shared" ref="AD322:AD385" si="17">AA322*AC322</f>
        <v>6473.9250000000002</v>
      </c>
    </row>
    <row r="323" spans="1:30" ht="21" customHeight="1">
      <c r="A323" s="2" t="s">
        <v>742</v>
      </c>
      <c r="B323" s="9" t="s">
        <v>48</v>
      </c>
      <c r="C323" s="5">
        <v>45692.5</v>
      </c>
      <c r="D323" s="4">
        <v>45693.941666666666</v>
      </c>
      <c r="E323" s="2" t="s">
        <v>83</v>
      </c>
      <c r="F323" s="2" t="s">
        <v>119</v>
      </c>
      <c r="G323" s="3">
        <v>2.12</v>
      </c>
      <c r="H323" s="3">
        <v>2.2999999999999998</v>
      </c>
      <c r="I323" s="3">
        <v>23.73</v>
      </c>
      <c r="J323" s="3">
        <v>5.27</v>
      </c>
      <c r="K323" s="3">
        <v>1.18</v>
      </c>
      <c r="L323" s="3">
        <v>34.6</v>
      </c>
      <c r="M323" s="3">
        <v>934.2</v>
      </c>
      <c r="N323" s="3">
        <v>0.18</v>
      </c>
      <c r="O323" s="2" t="s">
        <v>743</v>
      </c>
      <c r="P323" s="4">
        <v>45692.588333333333</v>
      </c>
      <c r="Q323" s="4">
        <v>45693.941666666666</v>
      </c>
      <c r="R323" s="2" t="s">
        <v>86</v>
      </c>
      <c r="S323" s="3">
        <v>5.27</v>
      </c>
      <c r="T323" s="2">
        <v>85</v>
      </c>
      <c r="U323" s="3">
        <v>4104</v>
      </c>
      <c r="V323" s="3">
        <v>0</v>
      </c>
      <c r="W323" s="2" t="s">
        <v>94</v>
      </c>
      <c r="X323" s="2" t="s">
        <v>121</v>
      </c>
      <c r="Y323" s="3">
        <v>0</v>
      </c>
      <c r="Z323" t="str">
        <f>INDEX(Assets!$J:$J,MATCH(UPPER(TRIM(B323)),Assets!$A:$A,0))</f>
        <v>Prairie</v>
      </c>
      <c r="AA323">
        <f t="shared" si="15"/>
        <v>766.0440000000001</v>
      </c>
      <c r="AB323" s="21">
        <f t="shared" si="16"/>
        <v>45689</v>
      </c>
      <c r="AC323">
        <f>SUMIFS(Production!$H:$H,Production!$A:$A,UPPER(TRIM(B323)),Production!$B:$B,AB323)-SUMIFS(Production!$I:$I,Production!$A:$A,UPPER(TRIM(B323)),Production!$B:$B,AB323)</f>
        <v>44</v>
      </c>
      <c r="AD323">
        <f t="shared" si="17"/>
        <v>33705.936000000002</v>
      </c>
    </row>
    <row r="324" spans="1:30" ht="21" customHeight="1">
      <c r="A324" s="2" t="s">
        <v>744</v>
      </c>
      <c r="B324" s="9" t="s">
        <v>48</v>
      </c>
      <c r="C324" s="5">
        <v>45726.5</v>
      </c>
      <c r="D324" s="4">
        <v>45727.460833333331</v>
      </c>
      <c r="E324" s="2" t="s">
        <v>83</v>
      </c>
      <c r="F324" s="2" t="s">
        <v>101</v>
      </c>
      <c r="G324" s="3">
        <v>2.59</v>
      </c>
      <c r="H324" s="3">
        <v>5.86</v>
      </c>
      <c r="I324" s="3">
        <v>10.86</v>
      </c>
      <c r="J324" s="3">
        <v>3.03</v>
      </c>
      <c r="K324" s="3">
        <v>0.72</v>
      </c>
      <c r="L324" s="3">
        <v>23.06</v>
      </c>
      <c r="M324" s="3">
        <v>622.62</v>
      </c>
      <c r="N324" s="3">
        <v>0.13</v>
      </c>
      <c r="O324" s="2" t="s">
        <v>745</v>
      </c>
      <c r="P324" s="4">
        <v>45726.607916666668</v>
      </c>
      <c r="Q324" s="4">
        <v>45727.460833333331</v>
      </c>
      <c r="R324" s="2" t="s">
        <v>86</v>
      </c>
      <c r="S324" s="3">
        <v>6.06</v>
      </c>
      <c r="T324" s="2">
        <v>85</v>
      </c>
      <c r="U324" s="3">
        <v>7332</v>
      </c>
      <c r="V324" s="3">
        <v>4630</v>
      </c>
      <c r="W324" s="2" t="s">
        <v>94</v>
      </c>
      <c r="X324" s="2" t="s">
        <v>103</v>
      </c>
      <c r="Y324" s="3">
        <v>0.5</v>
      </c>
      <c r="Z324" t="str">
        <f>INDEX(Assets!$J:$J,MATCH(UPPER(TRIM(B324)),Assets!$A:$A,0))</f>
        <v>Prairie</v>
      </c>
      <c r="AA324">
        <f t="shared" si="15"/>
        <v>541.67939999999999</v>
      </c>
      <c r="AB324" s="21">
        <f t="shared" si="16"/>
        <v>45717</v>
      </c>
      <c r="AC324">
        <f>SUMIFS(Production!$H:$H,Production!$A:$A,UPPER(TRIM(B324)),Production!$B:$B,AB324)-SUMIFS(Production!$I:$I,Production!$A:$A,UPPER(TRIM(B324)),Production!$B:$B,AB324)</f>
        <v>42</v>
      </c>
      <c r="AD324">
        <f t="shared" si="17"/>
        <v>22750.534800000001</v>
      </c>
    </row>
    <row r="325" spans="1:30" ht="21" customHeight="1">
      <c r="A325" s="2" t="s">
        <v>746</v>
      </c>
      <c r="B325" s="9" t="s">
        <v>48</v>
      </c>
      <c r="C325" s="5">
        <v>45751.5</v>
      </c>
      <c r="D325" s="4">
        <v>45752.098750000005</v>
      </c>
      <c r="E325" s="2" t="s">
        <v>83</v>
      </c>
      <c r="F325" s="2" t="s">
        <v>101</v>
      </c>
      <c r="G325" s="3">
        <v>2.63</v>
      </c>
      <c r="H325" s="3">
        <v>1.53</v>
      </c>
      <c r="I325" s="3">
        <v>0</v>
      </c>
      <c r="J325" s="3">
        <v>8.6199999999999992</v>
      </c>
      <c r="K325" s="3">
        <v>1.59</v>
      </c>
      <c r="L325" s="3">
        <v>14.37</v>
      </c>
      <c r="M325" s="3">
        <v>387.99</v>
      </c>
      <c r="N325" s="3">
        <v>0.22</v>
      </c>
      <c r="O325" s="2" t="s">
        <v>747</v>
      </c>
      <c r="P325" s="4">
        <v>45751.609583333338</v>
      </c>
      <c r="Q325" s="4">
        <v>45752.098750000005</v>
      </c>
      <c r="R325" s="2" t="s">
        <v>86</v>
      </c>
      <c r="S325" s="3">
        <v>8.6199999999999992</v>
      </c>
      <c r="T325" s="2">
        <v>85</v>
      </c>
      <c r="U325" s="3">
        <v>2913</v>
      </c>
      <c r="V325" s="3">
        <v>0</v>
      </c>
      <c r="W325" s="2" t="s">
        <v>94</v>
      </c>
      <c r="X325" s="2" t="s">
        <v>103</v>
      </c>
      <c r="Y325" s="3">
        <v>0</v>
      </c>
      <c r="Z325" t="str">
        <f>INDEX(Assets!$J:$J,MATCH(UPPER(TRIM(B325)),Assets!$A:$A,0))</f>
        <v>Prairie</v>
      </c>
      <c r="AA325">
        <f t="shared" si="15"/>
        <v>302.63220000000001</v>
      </c>
      <c r="AB325" s="21">
        <f t="shared" si="16"/>
        <v>45748</v>
      </c>
      <c r="AC325">
        <f>SUMIFS(Production!$H:$H,Production!$A:$A,UPPER(TRIM(B325)),Production!$B:$B,AB325)-SUMIFS(Production!$I:$I,Production!$A:$A,UPPER(TRIM(B325)),Production!$B:$B,AB325)</f>
        <v>40</v>
      </c>
      <c r="AD325">
        <f t="shared" si="17"/>
        <v>12105.288</v>
      </c>
    </row>
    <row r="326" spans="1:30" ht="21" customHeight="1">
      <c r="A326" s="2" t="s">
        <v>748</v>
      </c>
      <c r="B326" s="9" t="s">
        <v>48</v>
      </c>
      <c r="C326" s="5">
        <v>45767.5</v>
      </c>
      <c r="D326" s="4">
        <v>45768.228333333333</v>
      </c>
      <c r="E326" s="2" t="s">
        <v>83</v>
      </c>
      <c r="F326" s="2" t="s">
        <v>115</v>
      </c>
      <c r="G326" s="3">
        <v>4.46</v>
      </c>
      <c r="H326" s="3">
        <v>6.31</v>
      </c>
      <c r="I326" s="3">
        <v>0</v>
      </c>
      <c r="J326" s="3">
        <v>4.4800000000000004</v>
      </c>
      <c r="K326" s="3">
        <v>2.23</v>
      </c>
      <c r="L326" s="3">
        <v>17.48</v>
      </c>
      <c r="M326" s="3">
        <v>471.96</v>
      </c>
      <c r="N326" s="3">
        <v>0.15</v>
      </c>
      <c r="O326" s="2" t="s">
        <v>749</v>
      </c>
      <c r="P326" s="4">
        <v>45767.685833333337</v>
      </c>
      <c r="Q326" s="4">
        <v>45768.228333333333</v>
      </c>
      <c r="R326" s="2" t="s">
        <v>86</v>
      </c>
      <c r="S326" s="3">
        <v>4.4800000000000004</v>
      </c>
      <c r="T326" s="2">
        <v>85</v>
      </c>
      <c r="U326" s="3">
        <v>2676</v>
      </c>
      <c r="V326" s="3">
        <v>0</v>
      </c>
      <c r="W326" s="2" t="s">
        <v>94</v>
      </c>
      <c r="X326" s="2" t="s">
        <v>117</v>
      </c>
      <c r="Y326" s="3">
        <v>0</v>
      </c>
      <c r="Z326" t="str">
        <f>INDEX(Assets!$J:$J,MATCH(UPPER(TRIM(B326)),Assets!$A:$A,0))</f>
        <v>Prairie</v>
      </c>
      <c r="AA326">
        <f t="shared" si="15"/>
        <v>401.166</v>
      </c>
      <c r="AB326" s="21">
        <f t="shared" si="16"/>
        <v>45748</v>
      </c>
      <c r="AC326">
        <f>SUMIFS(Production!$H:$H,Production!$A:$A,UPPER(TRIM(B326)),Production!$B:$B,AB326)-SUMIFS(Production!$I:$I,Production!$A:$A,UPPER(TRIM(B326)),Production!$B:$B,AB326)</f>
        <v>40</v>
      </c>
      <c r="AD326">
        <f t="shared" si="17"/>
        <v>16046.64</v>
      </c>
    </row>
    <row r="327" spans="1:30" ht="21" customHeight="1">
      <c r="A327" s="2" t="s">
        <v>750</v>
      </c>
      <c r="B327" s="9" t="s">
        <v>48</v>
      </c>
      <c r="C327" s="5">
        <v>45775.5</v>
      </c>
      <c r="D327" s="4">
        <v>45775.758750000001</v>
      </c>
      <c r="E327" s="2" t="s">
        <v>90</v>
      </c>
      <c r="F327" s="2" t="s">
        <v>91</v>
      </c>
      <c r="G327" s="3">
        <v>0</v>
      </c>
      <c r="H327" s="3">
        <v>0</v>
      </c>
      <c r="I327" s="3">
        <v>0</v>
      </c>
      <c r="J327" s="3">
        <v>6.21</v>
      </c>
      <c r="K327" s="3">
        <v>0</v>
      </c>
      <c r="L327" s="3">
        <v>6.21</v>
      </c>
      <c r="M327" s="3">
        <v>167.67</v>
      </c>
      <c r="N327" s="3">
        <v>0.25</v>
      </c>
      <c r="O327" s="2" t="s">
        <v>751</v>
      </c>
      <c r="P327" s="4">
        <v>45775.5</v>
      </c>
      <c r="Q327" s="4">
        <v>45775.758750000001</v>
      </c>
      <c r="R327" s="2" t="s">
        <v>93</v>
      </c>
      <c r="S327" s="3">
        <v>12.42</v>
      </c>
      <c r="T327" s="2">
        <v>85</v>
      </c>
      <c r="U327" s="3">
        <v>1709</v>
      </c>
      <c r="V327" s="3">
        <v>0</v>
      </c>
      <c r="W327" s="2" t="s">
        <v>94</v>
      </c>
      <c r="X327" s="2" t="s">
        <v>95</v>
      </c>
      <c r="Y327" s="3">
        <v>0</v>
      </c>
      <c r="Z327" t="str">
        <f>INDEX(Assets!$J:$J,MATCH(UPPER(TRIM(B327)),Assets!$A:$A,0))</f>
        <v>Prairie</v>
      </c>
      <c r="AA327">
        <f t="shared" si="15"/>
        <v>125.7525</v>
      </c>
      <c r="AB327" s="21">
        <f t="shared" si="16"/>
        <v>45748</v>
      </c>
      <c r="AC327">
        <f>SUMIFS(Production!$H:$H,Production!$A:$A,UPPER(TRIM(B327)),Production!$B:$B,AB327)-SUMIFS(Production!$I:$I,Production!$A:$A,UPPER(TRIM(B327)),Production!$B:$B,AB327)</f>
        <v>40</v>
      </c>
      <c r="AD327">
        <f t="shared" si="17"/>
        <v>5030.1000000000004</v>
      </c>
    </row>
    <row r="328" spans="1:30" ht="21" customHeight="1">
      <c r="A328" s="2" t="s">
        <v>752</v>
      </c>
      <c r="B328" s="9" t="s">
        <v>48</v>
      </c>
      <c r="C328" s="5">
        <v>45787.5</v>
      </c>
      <c r="D328" s="4">
        <v>45789.054166666669</v>
      </c>
      <c r="E328" s="2" t="s">
        <v>83</v>
      </c>
      <c r="F328" s="2" t="s">
        <v>115</v>
      </c>
      <c r="G328" s="3">
        <v>1.63</v>
      </c>
      <c r="H328" s="3">
        <v>2.68</v>
      </c>
      <c r="I328" s="3">
        <v>23.18</v>
      </c>
      <c r="J328" s="3">
        <v>8.4600000000000009</v>
      </c>
      <c r="K328" s="3">
        <v>1.35</v>
      </c>
      <c r="L328" s="3">
        <v>37.299999999999997</v>
      </c>
      <c r="M328" s="3">
        <v>1007.1</v>
      </c>
      <c r="N328" s="3">
        <v>0.26</v>
      </c>
      <c r="O328" s="2" t="s">
        <v>753</v>
      </c>
      <c r="P328" s="4">
        <v>45787.567916666667</v>
      </c>
      <c r="Q328" s="4">
        <v>45789.054166666669</v>
      </c>
      <c r="R328" s="2" t="s">
        <v>86</v>
      </c>
      <c r="S328" s="3">
        <v>16.920000000000002</v>
      </c>
      <c r="T328" s="2">
        <v>85</v>
      </c>
      <c r="U328" s="3">
        <v>8715</v>
      </c>
      <c r="V328" s="3">
        <v>0</v>
      </c>
      <c r="W328" s="2" t="s">
        <v>94</v>
      </c>
      <c r="X328" s="2" t="s">
        <v>117</v>
      </c>
      <c r="Y328" s="3">
        <v>0.5</v>
      </c>
      <c r="Z328" t="str">
        <f>INDEX(Assets!$J:$J,MATCH(UPPER(TRIM(B328)),Assets!$A:$A,0))</f>
        <v>Prairie</v>
      </c>
      <c r="AA328">
        <f t="shared" si="15"/>
        <v>745.25400000000002</v>
      </c>
      <c r="AB328" s="21">
        <f t="shared" si="16"/>
        <v>45778</v>
      </c>
      <c r="AC328">
        <f>SUMIFS(Production!$H:$H,Production!$A:$A,UPPER(TRIM(B328)),Production!$B:$B,AB328)-SUMIFS(Production!$I:$I,Production!$A:$A,UPPER(TRIM(B328)),Production!$B:$B,AB328)</f>
        <v>38</v>
      </c>
      <c r="AD328">
        <f t="shared" si="17"/>
        <v>28319.652000000002</v>
      </c>
    </row>
    <row r="329" spans="1:30" ht="21" customHeight="1">
      <c r="A329" s="2" t="s">
        <v>754</v>
      </c>
      <c r="B329" s="9" t="s">
        <v>48</v>
      </c>
      <c r="C329" s="5">
        <v>45815.5</v>
      </c>
      <c r="D329" s="4">
        <v>45816.671249999999</v>
      </c>
      <c r="E329" s="2" t="s">
        <v>83</v>
      </c>
      <c r="F329" s="2" t="s">
        <v>115</v>
      </c>
      <c r="G329" s="3">
        <v>3.51</v>
      </c>
      <c r="H329" s="3">
        <v>6.47</v>
      </c>
      <c r="I329" s="3">
        <v>9.2100000000000009</v>
      </c>
      <c r="J329" s="3">
        <v>8.34</v>
      </c>
      <c r="K329" s="3">
        <v>0.57999999999999996</v>
      </c>
      <c r="L329" s="3">
        <v>28.11</v>
      </c>
      <c r="M329" s="3">
        <v>758.97</v>
      </c>
      <c r="N329" s="3">
        <v>0.18</v>
      </c>
      <c r="O329" s="2" t="s">
        <v>755</v>
      </c>
      <c r="P329" s="4">
        <v>45815.646250000005</v>
      </c>
      <c r="Q329" s="4">
        <v>45816.671249999999</v>
      </c>
      <c r="R329" s="2" t="s">
        <v>86</v>
      </c>
      <c r="S329" s="3">
        <v>8.34</v>
      </c>
      <c r="T329" s="2">
        <v>85</v>
      </c>
      <c r="U329" s="3">
        <v>3275</v>
      </c>
      <c r="V329" s="3">
        <v>4032</v>
      </c>
      <c r="W329" s="2" t="s">
        <v>94</v>
      </c>
      <c r="X329" s="2" t="s">
        <v>117</v>
      </c>
      <c r="Y329" s="3">
        <v>0</v>
      </c>
      <c r="Z329" t="str">
        <f>INDEX(Assets!$J:$J,MATCH(UPPER(TRIM(B329)),Assets!$A:$A,0))</f>
        <v>Prairie</v>
      </c>
      <c r="AA329">
        <f t="shared" si="15"/>
        <v>622.35540000000003</v>
      </c>
      <c r="AB329" s="21">
        <f t="shared" si="16"/>
        <v>45809</v>
      </c>
      <c r="AC329">
        <f>SUMIFS(Production!$H:$H,Production!$A:$A,UPPER(TRIM(B329)),Production!$B:$B,AB329)-SUMIFS(Production!$I:$I,Production!$A:$A,UPPER(TRIM(B329)),Production!$B:$B,AB329)</f>
        <v>39</v>
      </c>
      <c r="AD329">
        <f t="shared" si="17"/>
        <v>24271.8606</v>
      </c>
    </row>
    <row r="330" spans="1:30" ht="21" customHeight="1">
      <c r="A330" s="2" t="s">
        <v>756</v>
      </c>
      <c r="B330" s="9" t="s">
        <v>48</v>
      </c>
      <c r="C330" s="5">
        <v>45827.5</v>
      </c>
      <c r="D330" s="4">
        <v>45828.808749999997</v>
      </c>
      <c r="E330" s="2" t="s">
        <v>83</v>
      </c>
      <c r="F330" s="2" t="s">
        <v>119</v>
      </c>
      <c r="G330" s="3">
        <v>3.87</v>
      </c>
      <c r="H330" s="3">
        <v>6.53</v>
      </c>
      <c r="I330" s="3">
        <v>13.37</v>
      </c>
      <c r="J330" s="3">
        <v>6.51</v>
      </c>
      <c r="K330" s="3">
        <v>1.1299999999999999</v>
      </c>
      <c r="L330" s="3">
        <v>31.41</v>
      </c>
      <c r="M330" s="3">
        <v>848.07</v>
      </c>
      <c r="N330" s="3">
        <v>0.22</v>
      </c>
      <c r="O330" s="2" t="s">
        <v>757</v>
      </c>
      <c r="P330" s="4">
        <v>45827.661250000005</v>
      </c>
      <c r="Q330" s="4">
        <v>45828.808749999997</v>
      </c>
      <c r="R330" s="2" t="s">
        <v>86</v>
      </c>
      <c r="S330" s="3">
        <v>13.02</v>
      </c>
      <c r="T330" s="2">
        <v>85</v>
      </c>
      <c r="U330" s="3">
        <v>8888</v>
      </c>
      <c r="V330" s="3">
        <v>0</v>
      </c>
      <c r="W330" s="2" t="s">
        <v>94</v>
      </c>
      <c r="X330" s="2" t="s">
        <v>121</v>
      </c>
      <c r="Y330" s="3">
        <v>0</v>
      </c>
      <c r="Z330" t="str">
        <f>INDEX(Assets!$J:$J,MATCH(UPPER(TRIM(B330)),Assets!$A:$A,0))</f>
        <v>Prairie</v>
      </c>
      <c r="AA330">
        <f t="shared" si="15"/>
        <v>661.4946000000001</v>
      </c>
      <c r="AB330" s="21">
        <f t="shared" si="16"/>
        <v>45809</v>
      </c>
      <c r="AC330">
        <f>SUMIFS(Production!$H:$H,Production!$A:$A,UPPER(TRIM(B330)),Production!$B:$B,AB330)-SUMIFS(Production!$I:$I,Production!$A:$A,UPPER(TRIM(B330)),Production!$B:$B,AB330)</f>
        <v>39</v>
      </c>
      <c r="AD330">
        <f t="shared" si="17"/>
        <v>25798.289400000005</v>
      </c>
    </row>
    <row r="331" spans="1:30" ht="21" customHeight="1">
      <c r="A331" s="2" t="s">
        <v>758</v>
      </c>
      <c r="B331" s="9" t="s">
        <v>48</v>
      </c>
      <c r="C331" s="5">
        <v>45846.5</v>
      </c>
      <c r="D331" s="4">
        <v>45847.277083333334</v>
      </c>
      <c r="E331" s="2" t="s">
        <v>83</v>
      </c>
      <c r="F331" s="2" t="s">
        <v>119</v>
      </c>
      <c r="G331" s="3">
        <v>3.63</v>
      </c>
      <c r="H331" s="3">
        <v>5.57</v>
      </c>
      <c r="I331" s="3">
        <v>0</v>
      </c>
      <c r="J331" s="3">
        <v>7.54</v>
      </c>
      <c r="K331" s="3">
        <v>1.91</v>
      </c>
      <c r="L331" s="3">
        <v>18.649999999999999</v>
      </c>
      <c r="M331" s="3">
        <v>503.55</v>
      </c>
      <c r="N331" s="3">
        <v>0.27</v>
      </c>
      <c r="O331" s="2" t="s">
        <v>759</v>
      </c>
      <c r="P331" s="4">
        <v>45846.651249999995</v>
      </c>
      <c r="Q331" s="4">
        <v>45847.277083333334</v>
      </c>
      <c r="R331" s="2" t="s">
        <v>86</v>
      </c>
      <c r="S331" s="3">
        <v>15.08</v>
      </c>
      <c r="T331" s="2">
        <v>85</v>
      </c>
      <c r="U331" s="3">
        <v>4302</v>
      </c>
      <c r="V331" s="3">
        <v>0</v>
      </c>
      <c r="W331" s="2" t="s">
        <v>94</v>
      </c>
      <c r="X331" s="2" t="s">
        <v>121</v>
      </c>
      <c r="Y331" s="3">
        <v>0</v>
      </c>
      <c r="Z331" t="str">
        <f>INDEX(Assets!$J:$J,MATCH(UPPER(TRIM(B331)),Assets!$A:$A,0))</f>
        <v>Prairie</v>
      </c>
      <c r="AA331">
        <f t="shared" si="15"/>
        <v>367.5915</v>
      </c>
      <c r="AB331" s="21">
        <f t="shared" si="16"/>
        <v>45839</v>
      </c>
      <c r="AC331">
        <f>SUMIFS(Production!$H:$H,Production!$A:$A,UPPER(TRIM(B331)),Production!$B:$B,AB331)-SUMIFS(Production!$I:$I,Production!$A:$A,UPPER(TRIM(B331)),Production!$B:$B,AB331)</f>
        <v>41</v>
      </c>
      <c r="AD331">
        <f t="shared" si="17"/>
        <v>15071.2515</v>
      </c>
    </row>
    <row r="332" spans="1:30" ht="21" customHeight="1">
      <c r="A332" s="2" t="s">
        <v>760</v>
      </c>
      <c r="B332" s="9" t="s">
        <v>48</v>
      </c>
      <c r="C332" s="5">
        <v>45857.5</v>
      </c>
      <c r="D332" s="4">
        <v>45858.110416666663</v>
      </c>
      <c r="E332" s="2" t="s">
        <v>83</v>
      </c>
      <c r="F332" s="2" t="s">
        <v>101</v>
      </c>
      <c r="G332" s="3">
        <v>1.93</v>
      </c>
      <c r="H332" s="3">
        <v>2.56</v>
      </c>
      <c r="I332" s="3">
        <v>0</v>
      </c>
      <c r="J332" s="3">
        <v>9.6300000000000008</v>
      </c>
      <c r="K332" s="3">
        <v>0.53</v>
      </c>
      <c r="L332" s="3">
        <v>14.65</v>
      </c>
      <c r="M332" s="3">
        <v>395.55</v>
      </c>
      <c r="N332" s="3">
        <v>0.15</v>
      </c>
      <c r="O332" s="2" t="s">
        <v>761</v>
      </c>
      <c r="P332" s="4">
        <v>45857.580416666664</v>
      </c>
      <c r="Q332" s="4">
        <v>45858.110416666663</v>
      </c>
      <c r="R332" s="2" t="s">
        <v>86</v>
      </c>
      <c r="S332" s="3">
        <v>19.260000000000002</v>
      </c>
      <c r="T332" s="2">
        <v>85</v>
      </c>
      <c r="U332" s="3">
        <v>3487</v>
      </c>
      <c r="V332" s="3">
        <v>0</v>
      </c>
      <c r="W332" s="2" t="s">
        <v>94</v>
      </c>
      <c r="X332" s="2" t="s">
        <v>103</v>
      </c>
      <c r="Y332" s="3">
        <v>0</v>
      </c>
      <c r="Z332" t="str">
        <f>INDEX(Assets!$J:$J,MATCH(UPPER(TRIM(B332)),Assets!$A:$A,0))</f>
        <v>Prairie</v>
      </c>
      <c r="AA332">
        <f t="shared" si="15"/>
        <v>336.21749999999997</v>
      </c>
      <c r="AB332" s="21">
        <f t="shared" si="16"/>
        <v>45839</v>
      </c>
      <c r="AC332">
        <f>SUMIFS(Production!$H:$H,Production!$A:$A,UPPER(TRIM(B332)),Production!$B:$B,AB332)-SUMIFS(Production!$I:$I,Production!$A:$A,UPPER(TRIM(B332)),Production!$B:$B,AB332)</f>
        <v>41</v>
      </c>
      <c r="AD332">
        <f t="shared" si="17"/>
        <v>13784.9175</v>
      </c>
    </row>
    <row r="333" spans="1:30" ht="21" customHeight="1">
      <c r="A333" s="2" t="s">
        <v>762</v>
      </c>
      <c r="B333" s="9" t="s">
        <v>48</v>
      </c>
      <c r="C333" s="5">
        <v>45866.5</v>
      </c>
      <c r="D333" s="4">
        <v>45866.722916666666</v>
      </c>
      <c r="E333" s="2" t="s">
        <v>90</v>
      </c>
      <c r="F333" s="2" t="s">
        <v>91</v>
      </c>
      <c r="G333" s="3">
        <v>0</v>
      </c>
      <c r="H333" s="3">
        <v>0</v>
      </c>
      <c r="I333" s="3">
        <v>0</v>
      </c>
      <c r="J333" s="3">
        <v>5.35</v>
      </c>
      <c r="K333" s="3">
        <v>0</v>
      </c>
      <c r="L333" s="3">
        <v>5.35</v>
      </c>
      <c r="M333" s="3">
        <v>144.44999999999999</v>
      </c>
      <c r="N333" s="3">
        <v>0.25</v>
      </c>
      <c r="O333" s="2" t="s">
        <v>763</v>
      </c>
      <c r="P333" s="4">
        <v>45866.5</v>
      </c>
      <c r="Q333" s="4">
        <v>45866.722916666666</v>
      </c>
      <c r="R333" s="2" t="s">
        <v>93</v>
      </c>
      <c r="S333" s="3">
        <v>5.35</v>
      </c>
      <c r="T333" s="2">
        <v>85</v>
      </c>
      <c r="U333" s="3">
        <v>1389</v>
      </c>
      <c r="V333" s="3">
        <v>0</v>
      </c>
      <c r="W333" s="2" t="s">
        <v>94</v>
      </c>
      <c r="X333" s="2" t="s">
        <v>95</v>
      </c>
      <c r="Y333" s="3">
        <v>0</v>
      </c>
      <c r="Z333" t="str">
        <f>INDEX(Assets!$J:$J,MATCH(UPPER(TRIM(B333)),Assets!$A:$A,0))</f>
        <v>Prairie</v>
      </c>
      <c r="AA333">
        <f t="shared" si="15"/>
        <v>108.33749999999999</v>
      </c>
      <c r="AB333" s="21">
        <f t="shared" si="16"/>
        <v>45839</v>
      </c>
      <c r="AC333">
        <f>SUMIFS(Production!$H:$H,Production!$A:$A,UPPER(TRIM(B333)),Production!$B:$B,AB333)-SUMIFS(Production!$I:$I,Production!$A:$A,UPPER(TRIM(B333)),Production!$B:$B,AB333)</f>
        <v>41</v>
      </c>
      <c r="AD333">
        <f t="shared" si="17"/>
        <v>4441.8374999999996</v>
      </c>
    </row>
    <row r="334" spans="1:30" ht="21" customHeight="1">
      <c r="A334" s="2" t="s">
        <v>764</v>
      </c>
      <c r="B334" s="9" t="s">
        <v>48</v>
      </c>
      <c r="C334" s="5">
        <v>45878.5</v>
      </c>
      <c r="D334" s="4">
        <v>45879.113333333335</v>
      </c>
      <c r="E334" s="2" t="s">
        <v>83</v>
      </c>
      <c r="F334" s="2" t="s">
        <v>115</v>
      </c>
      <c r="G334" s="3">
        <v>1.98</v>
      </c>
      <c r="H334" s="3">
        <v>3.69</v>
      </c>
      <c r="I334" s="3">
        <v>0</v>
      </c>
      <c r="J334" s="3">
        <v>7.59</v>
      </c>
      <c r="K334" s="3">
        <v>1.46</v>
      </c>
      <c r="L334" s="3">
        <v>14.72</v>
      </c>
      <c r="M334" s="3">
        <v>397.44</v>
      </c>
      <c r="N334" s="3">
        <v>0.17</v>
      </c>
      <c r="O334" s="2" t="s">
        <v>765</v>
      </c>
      <c r="P334" s="4">
        <v>45878.582500000004</v>
      </c>
      <c r="Q334" s="4">
        <v>45879.113333333335</v>
      </c>
      <c r="R334" s="2" t="s">
        <v>86</v>
      </c>
      <c r="S334" s="3">
        <v>15.18</v>
      </c>
      <c r="T334" s="2">
        <v>85</v>
      </c>
      <c r="U334" s="3">
        <v>7465</v>
      </c>
      <c r="V334" s="3">
        <v>0</v>
      </c>
      <c r="W334" s="2" t="s">
        <v>94</v>
      </c>
      <c r="X334" s="2" t="s">
        <v>117</v>
      </c>
      <c r="Y334" s="3">
        <v>0</v>
      </c>
      <c r="Z334" t="str">
        <f>INDEX(Assets!$J:$J,MATCH(UPPER(TRIM(B334)),Assets!$A:$A,0))</f>
        <v>Prairie</v>
      </c>
      <c r="AA334">
        <f t="shared" si="15"/>
        <v>329.87520000000001</v>
      </c>
      <c r="AB334" s="21">
        <f t="shared" si="16"/>
        <v>45870</v>
      </c>
      <c r="AC334">
        <f>SUMIFS(Production!$H:$H,Production!$A:$A,UPPER(TRIM(B334)),Production!$B:$B,AB334)-SUMIFS(Production!$I:$I,Production!$A:$A,UPPER(TRIM(B334)),Production!$B:$B,AB334)</f>
        <v>40</v>
      </c>
      <c r="AD334">
        <f t="shared" si="17"/>
        <v>13195.008</v>
      </c>
    </row>
    <row r="335" spans="1:30" ht="21" customHeight="1">
      <c r="A335" s="2" t="s">
        <v>766</v>
      </c>
      <c r="B335" s="9" t="s">
        <v>48</v>
      </c>
      <c r="C335" s="5">
        <v>45888.5</v>
      </c>
      <c r="D335" s="4">
        <v>45889.542499999996</v>
      </c>
      <c r="E335" s="2" t="s">
        <v>83</v>
      </c>
      <c r="F335" s="2" t="s">
        <v>97</v>
      </c>
      <c r="G335" s="3">
        <v>2.31</v>
      </c>
      <c r="H335" s="3">
        <v>3.64</v>
      </c>
      <c r="I335" s="3">
        <v>8.99</v>
      </c>
      <c r="J335" s="3">
        <v>7.94</v>
      </c>
      <c r="K335" s="3">
        <v>2.14</v>
      </c>
      <c r="L335" s="3">
        <v>25.02</v>
      </c>
      <c r="M335" s="3">
        <v>675.54</v>
      </c>
      <c r="N335" s="3">
        <v>0.16</v>
      </c>
      <c r="O335" s="2" t="s">
        <v>767</v>
      </c>
      <c r="P335" s="4">
        <v>45888.596250000002</v>
      </c>
      <c r="Q335" s="4">
        <v>45889.542499999996</v>
      </c>
      <c r="R335" s="2" t="s">
        <v>86</v>
      </c>
      <c r="S335" s="3">
        <v>7.94</v>
      </c>
      <c r="T335" s="2">
        <v>85</v>
      </c>
      <c r="U335" s="3">
        <v>4884</v>
      </c>
      <c r="V335" s="3">
        <v>0</v>
      </c>
      <c r="W335" s="2" t="s">
        <v>94</v>
      </c>
      <c r="X335" s="2" t="s">
        <v>99</v>
      </c>
      <c r="Y335" s="3">
        <v>0</v>
      </c>
      <c r="Z335" t="str">
        <f>INDEX(Assets!$J:$J,MATCH(UPPER(TRIM(B335)),Assets!$A:$A,0))</f>
        <v>Prairie</v>
      </c>
      <c r="AA335">
        <f t="shared" si="15"/>
        <v>567.45359999999994</v>
      </c>
      <c r="AB335" s="21">
        <f t="shared" si="16"/>
        <v>45870</v>
      </c>
      <c r="AC335">
        <f>SUMIFS(Production!$H:$H,Production!$A:$A,UPPER(TRIM(B335)),Production!$B:$B,AB335)-SUMIFS(Production!$I:$I,Production!$A:$A,UPPER(TRIM(B335)),Production!$B:$B,AB335)</f>
        <v>40</v>
      </c>
      <c r="AD335">
        <f t="shared" si="17"/>
        <v>22698.143999999997</v>
      </c>
    </row>
    <row r="336" spans="1:30" ht="21" customHeight="1">
      <c r="A336" s="2" t="s">
        <v>768</v>
      </c>
      <c r="B336" s="9" t="s">
        <v>48</v>
      </c>
      <c r="C336" s="5">
        <v>45907.5</v>
      </c>
      <c r="D336" s="4">
        <v>45908.107499999998</v>
      </c>
      <c r="E336" s="2" t="s">
        <v>83</v>
      </c>
      <c r="F336" s="2" t="s">
        <v>119</v>
      </c>
      <c r="G336" s="3">
        <v>2.61</v>
      </c>
      <c r="H336" s="3">
        <v>6.01</v>
      </c>
      <c r="I336" s="3">
        <v>0</v>
      </c>
      <c r="J336" s="3">
        <v>5.31</v>
      </c>
      <c r="K336" s="3">
        <v>0.65</v>
      </c>
      <c r="L336" s="3">
        <v>14.58</v>
      </c>
      <c r="M336" s="3">
        <v>393.66</v>
      </c>
      <c r="N336" s="3">
        <v>0.25</v>
      </c>
      <c r="O336" s="2" t="s">
        <v>769</v>
      </c>
      <c r="P336" s="4">
        <v>45907.608749999999</v>
      </c>
      <c r="Q336" s="4">
        <v>45908.107499999998</v>
      </c>
      <c r="R336" s="2" t="s">
        <v>86</v>
      </c>
      <c r="S336" s="3">
        <v>10.62</v>
      </c>
      <c r="T336" s="2">
        <v>85</v>
      </c>
      <c r="U336" s="3">
        <v>8840</v>
      </c>
      <c r="V336" s="3">
        <v>0</v>
      </c>
      <c r="W336" s="2" t="s">
        <v>94</v>
      </c>
      <c r="X336" s="2" t="s">
        <v>121</v>
      </c>
      <c r="Y336" s="3">
        <v>0</v>
      </c>
      <c r="Z336" t="str">
        <f>INDEX(Assets!$J:$J,MATCH(UPPER(TRIM(B336)),Assets!$A:$A,0))</f>
        <v>Prairie</v>
      </c>
      <c r="AA336">
        <f t="shared" si="15"/>
        <v>295.245</v>
      </c>
      <c r="AB336" s="21">
        <f t="shared" si="16"/>
        <v>45901</v>
      </c>
      <c r="AC336">
        <f>SUMIFS(Production!$H:$H,Production!$A:$A,UPPER(TRIM(B336)),Production!$B:$B,AB336)-SUMIFS(Production!$I:$I,Production!$A:$A,UPPER(TRIM(B336)),Production!$B:$B,AB336)</f>
        <v>37</v>
      </c>
      <c r="AD336">
        <f t="shared" si="17"/>
        <v>10924.065000000001</v>
      </c>
    </row>
    <row r="337" spans="1:30" ht="21" customHeight="1">
      <c r="A337" s="2" t="s">
        <v>770</v>
      </c>
      <c r="B337" s="9" t="s">
        <v>48</v>
      </c>
      <c r="C337" s="5">
        <v>45938.5</v>
      </c>
      <c r="D337" s="4">
        <v>45939.122916666667</v>
      </c>
      <c r="E337" s="2" t="s">
        <v>83</v>
      </c>
      <c r="F337" s="2" t="s">
        <v>101</v>
      </c>
      <c r="G337" s="3">
        <v>2.78</v>
      </c>
      <c r="H337" s="3">
        <v>1.81</v>
      </c>
      <c r="I337" s="3">
        <v>0</v>
      </c>
      <c r="J337" s="3">
        <v>9.6199999999999992</v>
      </c>
      <c r="K337" s="3">
        <v>0.74</v>
      </c>
      <c r="L337" s="3">
        <v>14.95</v>
      </c>
      <c r="M337" s="3">
        <v>403.65</v>
      </c>
      <c r="N337" s="3">
        <v>0.13</v>
      </c>
      <c r="O337" s="2" t="s">
        <v>771</v>
      </c>
      <c r="P337" s="4">
        <v>45938.61583333333</v>
      </c>
      <c r="Q337" s="4">
        <v>45939.122916666667</v>
      </c>
      <c r="R337" s="2" t="s">
        <v>86</v>
      </c>
      <c r="S337" s="3">
        <v>19.239999999999998</v>
      </c>
      <c r="T337" s="2">
        <v>85</v>
      </c>
      <c r="U337" s="3">
        <v>2300</v>
      </c>
      <c r="V337" s="3">
        <v>2216</v>
      </c>
      <c r="W337" s="2" t="s">
        <v>94</v>
      </c>
      <c r="X337" s="2" t="s">
        <v>103</v>
      </c>
      <c r="Y337" s="3">
        <v>0</v>
      </c>
      <c r="Z337" t="str">
        <f>INDEX(Assets!$J:$J,MATCH(UPPER(TRIM(B337)),Assets!$A:$A,0))</f>
        <v>Prairie</v>
      </c>
      <c r="AA337">
        <f t="shared" si="15"/>
        <v>351.1755</v>
      </c>
      <c r="AB337" s="21">
        <f t="shared" si="16"/>
        <v>45931</v>
      </c>
      <c r="AC337">
        <f>SUMIFS(Production!$H:$H,Production!$A:$A,UPPER(TRIM(B337)),Production!$B:$B,AB337)-SUMIFS(Production!$I:$I,Production!$A:$A,UPPER(TRIM(B337)),Production!$B:$B,AB337)</f>
        <v>36</v>
      </c>
      <c r="AD337">
        <f t="shared" si="17"/>
        <v>12642.317999999999</v>
      </c>
    </row>
    <row r="338" spans="1:30" ht="21" customHeight="1">
      <c r="A338" s="2" t="s">
        <v>772</v>
      </c>
      <c r="B338" s="9" t="s">
        <v>48</v>
      </c>
      <c r="C338" s="5">
        <v>45952.5</v>
      </c>
      <c r="D338" s="4">
        <v>45952.895833333328</v>
      </c>
      <c r="E338" s="2" t="s">
        <v>83</v>
      </c>
      <c r="F338" s="2" t="s">
        <v>84</v>
      </c>
      <c r="G338" s="3">
        <v>0.85</v>
      </c>
      <c r="H338" s="3">
        <v>4.74</v>
      </c>
      <c r="I338" s="3">
        <v>0</v>
      </c>
      <c r="J338" s="3">
        <v>2.1800000000000002</v>
      </c>
      <c r="K338" s="3">
        <v>1.73</v>
      </c>
      <c r="L338" s="3">
        <v>9.5</v>
      </c>
      <c r="M338" s="3">
        <v>256.5</v>
      </c>
      <c r="N338" s="3">
        <v>0.17</v>
      </c>
      <c r="O338" s="2" t="s">
        <v>773</v>
      </c>
      <c r="P338" s="4">
        <v>45952.535416666666</v>
      </c>
      <c r="Q338" s="4">
        <v>45952.895833333328</v>
      </c>
      <c r="R338" s="2" t="s">
        <v>86</v>
      </c>
      <c r="S338" s="3">
        <v>4.3600000000000003</v>
      </c>
      <c r="T338" s="2">
        <v>85</v>
      </c>
      <c r="U338" s="3">
        <v>3374</v>
      </c>
      <c r="V338" s="3">
        <v>0</v>
      </c>
      <c r="W338" s="2" t="s">
        <v>94</v>
      </c>
      <c r="X338" s="2" t="s">
        <v>88</v>
      </c>
      <c r="Y338" s="3">
        <v>0</v>
      </c>
      <c r="Z338" t="str">
        <f>INDEX(Assets!$J:$J,MATCH(UPPER(TRIM(B338)),Assets!$A:$A,0))</f>
        <v>Prairie</v>
      </c>
      <c r="AA338">
        <f t="shared" si="15"/>
        <v>212.89499999999998</v>
      </c>
      <c r="AB338" s="21">
        <f t="shared" si="16"/>
        <v>45931</v>
      </c>
      <c r="AC338">
        <f>SUMIFS(Production!$H:$H,Production!$A:$A,UPPER(TRIM(B338)),Production!$B:$B,AB338)-SUMIFS(Production!$I:$I,Production!$A:$A,UPPER(TRIM(B338)),Production!$B:$B,AB338)</f>
        <v>36</v>
      </c>
      <c r="AD338">
        <f t="shared" si="17"/>
        <v>7664.2199999999993</v>
      </c>
    </row>
    <row r="339" spans="1:30" ht="21" customHeight="1">
      <c r="A339" s="2" t="s">
        <v>774</v>
      </c>
      <c r="B339" s="9" t="s">
        <v>48</v>
      </c>
      <c r="C339" s="5">
        <v>45958.5</v>
      </c>
      <c r="D339" s="4">
        <v>45958.664583333331</v>
      </c>
      <c r="E339" s="2" t="s">
        <v>90</v>
      </c>
      <c r="F339" s="2" t="s">
        <v>91</v>
      </c>
      <c r="G339" s="3">
        <v>0</v>
      </c>
      <c r="H339" s="3">
        <v>0</v>
      </c>
      <c r="I339" s="3">
        <v>0</v>
      </c>
      <c r="J339" s="3">
        <v>3.95</v>
      </c>
      <c r="K339" s="3">
        <v>0</v>
      </c>
      <c r="L339" s="3">
        <v>3.95</v>
      </c>
      <c r="M339" s="3">
        <v>106.65</v>
      </c>
      <c r="N339" s="3">
        <v>0.25</v>
      </c>
      <c r="O339" s="2" t="s">
        <v>775</v>
      </c>
      <c r="P339" s="4">
        <v>45958.5</v>
      </c>
      <c r="Q339" s="4">
        <v>45958.664583333331</v>
      </c>
      <c r="R339" s="2" t="s">
        <v>93</v>
      </c>
      <c r="S339" s="3">
        <v>7.9</v>
      </c>
      <c r="T339" s="2">
        <v>85</v>
      </c>
      <c r="U339" s="3">
        <v>1671</v>
      </c>
      <c r="V339" s="3">
        <v>0</v>
      </c>
      <c r="W339" s="2" t="s">
        <v>94</v>
      </c>
      <c r="X339" s="2" t="s">
        <v>95</v>
      </c>
      <c r="Y339" s="3">
        <v>0</v>
      </c>
      <c r="Z339" t="str">
        <f>INDEX(Assets!$J:$J,MATCH(UPPER(TRIM(B339)),Assets!$A:$A,0))</f>
        <v>Prairie</v>
      </c>
      <c r="AA339">
        <f t="shared" si="15"/>
        <v>79.987500000000011</v>
      </c>
      <c r="AB339" s="21">
        <f t="shared" si="16"/>
        <v>45931</v>
      </c>
      <c r="AC339">
        <f>SUMIFS(Production!$H:$H,Production!$A:$A,UPPER(TRIM(B339)),Production!$B:$B,AB339)-SUMIFS(Production!$I:$I,Production!$A:$A,UPPER(TRIM(B339)),Production!$B:$B,AB339)</f>
        <v>36</v>
      </c>
      <c r="AD339">
        <f t="shared" si="17"/>
        <v>2879.55</v>
      </c>
    </row>
    <row r="340" spans="1:30" ht="21" customHeight="1">
      <c r="A340" s="2" t="s">
        <v>776</v>
      </c>
      <c r="B340" s="9" t="s">
        <v>48</v>
      </c>
      <c r="C340" s="5">
        <v>45971.5</v>
      </c>
      <c r="D340" s="4">
        <v>45972.345000000001</v>
      </c>
      <c r="E340" s="2" t="s">
        <v>83</v>
      </c>
      <c r="F340" s="2" t="s">
        <v>119</v>
      </c>
      <c r="G340" s="3">
        <v>3.89</v>
      </c>
      <c r="H340" s="3">
        <v>2.77</v>
      </c>
      <c r="I340" s="3">
        <v>0</v>
      </c>
      <c r="J340" s="3">
        <v>12.42</v>
      </c>
      <c r="K340" s="3">
        <v>1.2</v>
      </c>
      <c r="L340" s="3">
        <v>20.28</v>
      </c>
      <c r="M340" s="3">
        <v>547.55999999999995</v>
      </c>
      <c r="N340" s="3">
        <v>0.11</v>
      </c>
      <c r="O340" s="2" t="s">
        <v>777</v>
      </c>
      <c r="P340" s="4">
        <v>45971.662083333329</v>
      </c>
      <c r="Q340" s="4">
        <v>45972.345000000001</v>
      </c>
      <c r="R340" s="2" t="s">
        <v>86</v>
      </c>
      <c r="S340" s="3">
        <v>12.42</v>
      </c>
      <c r="T340" s="2">
        <v>85</v>
      </c>
      <c r="U340" s="3">
        <v>3847</v>
      </c>
      <c r="V340" s="3">
        <v>3039</v>
      </c>
      <c r="W340" s="2" t="s">
        <v>94</v>
      </c>
      <c r="X340" s="2" t="s">
        <v>121</v>
      </c>
      <c r="Y340" s="3">
        <v>0</v>
      </c>
      <c r="Z340" t="str">
        <f>INDEX(Assets!$J:$J,MATCH(UPPER(TRIM(B340)),Assets!$A:$A,0))</f>
        <v>Prairie</v>
      </c>
      <c r="AA340">
        <f t="shared" si="15"/>
        <v>487.32839999999993</v>
      </c>
      <c r="AB340" s="21">
        <f t="shared" si="16"/>
        <v>45962</v>
      </c>
      <c r="AC340">
        <f>SUMIFS(Production!$H:$H,Production!$A:$A,UPPER(TRIM(B340)),Production!$B:$B,AB340)-SUMIFS(Production!$I:$I,Production!$A:$A,UPPER(TRIM(B340)),Production!$B:$B,AB340)</f>
        <v>38</v>
      </c>
      <c r="AD340">
        <f t="shared" si="17"/>
        <v>18518.479199999998</v>
      </c>
    </row>
    <row r="341" spans="1:30" ht="21" customHeight="1">
      <c r="A341" s="2" t="s">
        <v>778</v>
      </c>
      <c r="B341" s="9" t="s">
        <v>48</v>
      </c>
      <c r="C341" s="5">
        <v>46000.5</v>
      </c>
      <c r="D341" s="4">
        <v>46001.027083333334</v>
      </c>
      <c r="E341" s="2" t="s">
        <v>83</v>
      </c>
      <c r="F341" s="2" t="s">
        <v>101</v>
      </c>
      <c r="G341" s="3">
        <v>1.94</v>
      </c>
      <c r="H341" s="3">
        <v>6.39</v>
      </c>
      <c r="I341" s="3">
        <v>0</v>
      </c>
      <c r="J341" s="3">
        <v>2.2599999999999998</v>
      </c>
      <c r="K341" s="3">
        <v>2.06</v>
      </c>
      <c r="L341" s="3">
        <v>12.65</v>
      </c>
      <c r="M341" s="3">
        <v>341.55</v>
      </c>
      <c r="N341" s="3">
        <v>0.26</v>
      </c>
      <c r="O341" s="2" t="s">
        <v>779</v>
      </c>
      <c r="P341" s="4">
        <v>46000.580833333333</v>
      </c>
      <c r="Q341" s="4">
        <v>46001.027083333334</v>
      </c>
      <c r="R341" s="2" t="s">
        <v>86</v>
      </c>
      <c r="S341" s="3">
        <v>2.2599999999999998</v>
      </c>
      <c r="T341" s="2">
        <v>85</v>
      </c>
      <c r="U341" s="3">
        <v>4865</v>
      </c>
      <c r="V341" s="3">
        <v>0</v>
      </c>
      <c r="W341" s="2" t="s">
        <v>94</v>
      </c>
      <c r="X341" s="2" t="s">
        <v>103</v>
      </c>
      <c r="Y341" s="3">
        <v>0</v>
      </c>
      <c r="Z341" t="str">
        <f>INDEX(Assets!$J:$J,MATCH(UPPER(TRIM(B341)),Assets!$A:$A,0))</f>
        <v>Prairie</v>
      </c>
      <c r="AA341">
        <f t="shared" si="15"/>
        <v>252.74700000000001</v>
      </c>
      <c r="AB341" s="21">
        <f t="shared" si="16"/>
        <v>45992</v>
      </c>
      <c r="AC341">
        <f>SUMIFS(Production!$H:$H,Production!$A:$A,UPPER(TRIM(B341)),Production!$B:$B,AB341)-SUMIFS(Production!$I:$I,Production!$A:$A,UPPER(TRIM(B341)),Production!$B:$B,AB341)</f>
        <v>39</v>
      </c>
      <c r="AD341">
        <f t="shared" si="17"/>
        <v>9857.1329999999998</v>
      </c>
    </row>
    <row r="342" spans="1:30" ht="21" customHeight="1">
      <c r="A342" s="2" t="s">
        <v>780</v>
      </c>
      <c r="B342" s="9" t="s">
        <v>51</v>
      </c>
      <c r="C342" s="5">
        <v>45667.5</v>
      </c>
      <c r="D342" s="4">
        <v>45668.208750000005</v>
      </c>
      <c r="E342" s="2" t="s">
        <v>83</v>
      </c>
      <c r="F342" s="2" t="s">
        <v>119</v>
      </c>
      <c r="G342" s="3">
        <v>0.91</v>
      </c>
      <c r="H342" s="3">
        <v>2.64</v>
      </c>
      <c r="I342" s="3">
        <v>0</v>
      </c>
      <c r="J342" s="3">
        <v>11.94</v>
      </c>
      <c r="K342" s="3">
        <v>1.52</v>
      </c>
      <c r="L342" s="3">
        <v>17.010000000000002</v>
      </c>
      <c r="M342" s="3">
        <v>340.2</v>
      </c>
      <c r="N342" s="3">
        <v>0.1</v>
      </c>
      <c r="O342" s="2" t="s">
        <v>781</v>
      </c>
      <c r="P342" s="4">
        <v>45667.537916666668</v>
      </c>
      <c r="Q342" s="4">
        <v>45668.208750000005</v>
      </c>
      <c r="R342" s="2" t="s">
        <v>86</v>
      </c>
      <c r="S342" s="3">
        <v>23.88</v>
      </c>
      <c r="T342" s="2">
        <v>85</v>
      </c>
      <c r="U342" s="3">
        <v>2795</v>
      </c>
      <c r="V342" s="3">
        <v>0</v>
      </c>
      <c r="W342" s="2" t="s">
        <v>94</v>
      </c>
      <c r="X342" s="2" t="s">
        <v>121</v>
      </c>
      <c r="Y342" s="3">
        <v>0</v>
      </c>
      <c r="Z342" t="str">
        <f>INDEX(Assets!$J:$J,MATCH(UPPER(TRIM(B342)),Assets!$A:$A,0))</f>
        <v>Prairie</v>
      </c>
      <c r="AA342">
        <f t="shared" si="15"/>
        <v>306.18</v>
      </c>
      <c r="AB342" s="21">
        <f t="shared" si="16"/>
        <v>45658</v>
      </c>
      <c r="AC342">
        <f>SUMIFS(Production!$H:$H,Production!$A:$A,UPPER(TRIM(B342)),Production!$B:$B,AB342)-SUMIFS(Production!$I:$I,Production!$A:$A,UPPER(TRIM(B342)),Production!$B:$B,AB342)</f>
        <v>46</v>
      </c>
      <c r="AD342">
        <f t="shared" si="17"/>
        <v>14084.28</v>
      </c>
    </row>
    <row r="343" spans="1:30" ht="21" customHeight="1">
      <c r="A343" s="2" t="s">
        <v>782</v>
      </c>
      <c r="B343" s="9" t="s">
        <v>51</v>
      </c>
      <c r="C343" s="5">
        <v>45685.5</v>
      </c>
      <c r="D343" s="4">
        <v>45685.697916666672</v>
      </c>
      <c r="E343" s="2" t="s">
        <v>90</v>
      </c>
      <c r="F343" s="2" t="s">
        <v>91</v>
      </c>
      <c r="G343" s="3">
        <v>0</v>
      </c>
      <c r="H343" s="3">
        <v>0</v>
      </c>
      <c r="I343" s="3">
        <v>0</v>
      </c>
      <c r="J343" s="3">
        <v>4.75</v>
      </c>
      <c r="K343" s="3">
        <v>0</v>
      </c>
      <c r="L343" s="3">
        <v>4.75</v>
      </c>
      <c r="M343" s="3">
        <v>95</v>
      </c>
      <c r="N343" s="3">
        <v>0.25</v>
      </c>
      <c r="O343" s="2" t="s">
        <v>783</v>
      </c>
      <c r="P343" s="4">
        <v>45685.5</v>
      </c>
      <c r="Q343" s="4">
        <v>45685.697916666672</v>
      </c>
      <c r="R343" s="2" t="s">
        <v>93</v>
      </c>
      <c r="S343" s="3">
        <v>4.75</v>
      </c>
      <c r="T343" s="2">
        <v>85</v>
      </c>
      <c r="U343" s="3">
        <v>993</v>
      </c>
      <c r="V343" s="3">
        <v>0</v>
      </c>
      <c r="W343" s="2" t="s">
        <v>94</v>
      </c>
      <c r="X343" s="2" t="s">
        <v>95</v>
      </c>
      <c r="Y343" s="3">
        <v>0</v>
      </c>
      <c r="Z343" t="str">
        <f>INDEX(Assets!$J:$J,MATCH(UPPER(TRIM(B343)),Assets!$A:$A,0))</f>
        <v>Prairie</v>
      </c>
      <c r="AA343">
        <f t="shared" si="15"/>
        <v>71.25</v>
      </c>
      <c r="AB343" s="21">
        <f t="shared" si="16"/>
        <v>45658</v>
      </c>
      <c r="AC343">
        <f>SUMIFS(Production!$H:$H,Production!$A:$A,UPPER(TRIM(B343)),Production!$B:$B,AB343)-SUMIFS(Production!$I:$I,Production!$A:$A,UPPER(TRIM(B343)),Production!$B:$B,AB343)</f>
        <v>46</v>
      </c>
      <c r="AD343">
        <f t="shared" si="17"/>
        <v>3277.5</v>
      </c>
    </row>
    <row r="344" spans="1:30" ht="21" customHeight="1">
      <c r="A344" s="2" t="s">
        <v>784</v>
      </c>
      <c r="B344" s="9" t="s">
        <v>51</v>
      </c>
      <c r="C344" s="5">
        <v>45697.5</v>
      </c>
      <c r="D344" s="4">
        <v>45698.500416666662</v>
      </c>
      <c r="E344" s="2" t="s">
        <v>83</v>
      </c>
      <c r="F344" s="2" t="s">
        <v>84</v>
      </c>
      <c r="G344" s="3">
        <v>2.04</v>
      </c>
      <c r="H344" s="3">
        <v>1.55</v>
      </c>
      <c r="I344" s="3">
        <v>10.87</v>
      </c>
      <c r="J344" s="3">
        <v>7.17</v>
      </c>
      <c r="K344" s="3">
        <v>2.38</v>
      </c>
      <c r="L344" s="3">
        <v>24.01</v>
      </c>
      <c r="M344" s="3">
        <v>480.2</v>
      </c>
      <c r="N344" s="3">
        <v>0.1</v>
      </c>
      <c r="O344" s="2" t="s">
        <v>785</v>
      </c>
      <c r="P344" s="4">
        <v>45697.584999999999</v>
      </c>
      <c r="Q344" s="4">
        <v>45698.500416666662</v>
      </c>
      <c r="R344" s="2" t="s">
        <v>86</v>
      </c>
      <c r="S344" s="3">
        <v>14.34</v>
      </c>
      <c r="T344" s="2">
        <v>85</v>
      </c>
      <c r="U344" s="3">
        <v>5121</v>
      </c>
      <c r="V344" s="3">
        <v>0</v>
      </c>
      <c r="W344" s="2" t="s">
        <v>94</v>
      </c>
      <c r="X344" s="2" t="s">
        <v>88</v>
      </c>
      <c r="Y344" s="3">
        <v>0</v>
      </c>
      <c r="Z344" t="str">
        <f>INDEX(Assets!$J:$J,MATCH(UPPER(TRIM(B344)),Assets!$A:$A,0))</f>
        <v>Prairie</v>
      </c>
      <c r="AA344">
        <f t="shared" si="15"/>
        <v>432.18</v>
      </c>
      <c r="AB344" s="21">
        <f t="shared" si="16"/>
        <v>45689</v>
      </c>
      <c r="AC344">
        <f>SUMIFS(Production!$H:$H,Production!$A:$A,UPPER(TRIM(B344)),Production!$B:$B,AB344)-SUMIFS(Production!$I:$I,Production!$A:$A,UPPER(TRIM(B344)),Production!$B:$B,AB344)</f>
        <v>44</v>
      </c>
      <c r="AD344">
        <f t="shared" si="17"/>
        <v>19015.920000000002</v>
      </c>
    </row>
    <row r="345" spans="1:30" ht="21" customHeight="1">
      <c r="A345" s="2" t="s">
        <v>786</v>
      </c>
      <c r="B345" s="9" t="s">
        <v>51</v>
      </c>
      <c r="C345" s="5">
        <v>45709.5</v>
      </c>
      <c r="D345" s="4">
        <v>45710.441666666666</v>
      </c>
      <c r="E345" s="2" t="s">
        <v>83</v>
      </c>
      <c r="F345" s="2" t="s">
        <v>119</v>
      </c>
      <c r="G345" s="3">
        <v>4.22</v>
      </c>
      <c r="H345" s="3">
        <v>4.9800000000000004</v>
      </c>
      <c r="I345" s="3">
        <v>0</v>
      </c>
      <c r="J345" s="3">
        <v>12.6</v>
      </c>
      <c r="K345" s="3">
        <v>0.8</v>
      </c>
      <c r="L345" s="3">
        <v>22.6</v>
      </c>
      <c r="M345" s="3">
        <v>452</v>
      </c>
      <c r="N345" s="3">
        <v>0.28000000000000003</v>
      </c>
      <c r="O345" s="2" t="s">
        <v>787</v>
      </c>
      <c r="P345" s="4">
        <v>45709.675833333335</v>
      </c>
      <c r="Q345" s="4">
        <v>45710.441666666666</v>
      </c>
      <c r="R345" s="2" t="s">
        <v>86</v>
      </c>
      <c r="S345" s="3">
        <v>12.6</v>
      </c>
      <c r="T345" s="2">
        <v>85</v>
      </c>
      <c r="U345" s="3">
        <v>9302</v>
      </c>
      <c r="V345" s="3">
        <v>0</v>
      </c>
      <c r="W345" s="2" t="s">
        <v>94</v>
      </c>
      <c r="X345" s="2" t="s">
        <v>121</v>
      </c>
      <c r="Y345" s="3">
        <v>0</v>
      </c>
      <c r="Z345" t="str">
        <f>INDEX(Assets!$J:$J,MATCH(UPPER(TRIM(B345)),Assets!$A:$A,0))</f>
        <v>Prairie</v>
      </c>
      <c r="AA345">
        <f t="shared" si="15"/>
        <v>325.44</v>
      </c>
      <c r="AB345" s="21">
        <f t="shared" si="16"/>
        <v>45689</v>
      </c>
      <c r="AC345">
        <f>SUMIFS(Production!$H:$H,Production!$A:$A,UPPER(TRIM(B345)),Production!$B:$B,AB345)-SUMIFS(Production!$I:$I,Production!$A:$A,UPPER(TRIM(B345)),Production!$B:$B,AB345)</f>
        <v>44</v>
      </c>
      <c r="AD345">
        <f t="shared" si="17"/>
        <v>14319.36</v>
      </c>
    </row>
    <row r="346" spans="1:30" ht="21" customHeight="1">
      <c r="A346" s="2" t="s">
        <v>788</v>
      </c>
      <c r="B346" s="9" t="s">
        <v>51</v>
      </c>
      <c r="C346" s="5">
        <v>45723.5</v>
      </c>
      <c r="D346" s="4">
        <v>45723.925000000003</v>
      </c>
      <c r="E346" s="2" t="s">
        <v>83</v>
      </c>
      <c r="F346" s="2" t="s">
        <v>119</v>
      </c>
      <c r="G346" s="3">
        <v>1.24</v>
      </c>
      <c r="H346" s="3">
        <v>1.63</v>
      </c>
      <c r="I346" s="3">
        <v>0</v>
      </c>
      <c r="J346" s="3">
        <v>5.23</v>
      </c>
      <c r="K346" s="3">
        <v>2.1</v>
      </c>
      <c r="L346" s="3">
        <v>10.199999999999999</v>
      </c>
      <c r="M346" s="3">
        <v>204</v>
      </c>
      <c r="N346" s="3">
        <v>0.18</v>
      </c>
      <c r="O346" s="2" t="s">
        <v>789</v>
      </c>
      <c r="P346" s="4">
        <v>45723.551666666666</v>
      </c>
      <c r="Q346" s="4">
        <v>45723.925000000003</v>
      </c>
      <c r="R346" s="2" t="s">
        <v>86</v>
      </c>
      <c r="S346" s="3">
        <v>10.46</v>
      </c>
      <c r="T346" s="2">
        <v>85</v>
      </c>
      <c r="U346" s="3">
        <v>7776</v>
      </c>
      <c r="V346" s="3">
        <v>0</v>
      </c>
      <c r="W346" s="2" t="s">
        <v>94</v>
      </c>
      <c r="X346" s="2" t="s">
        <v>121</v>
      </c>
      <c r="Y346" s="3">
        <v>0</v>
      </c>
      <c r="Z346" t="str">
        <f>INDEX(Assets!$J:$J,MATCH(UPPER(TRIM(B346)),Assets!$A:$A,0))</f>
        <v>Prairie</v>
      </c>
      <c r="AA346">
        <f t="shared" si="15"/>
        <v>167.28</v>
      </c>
      <c r="AB346" s="21">
        <f t="shared" si="16"/>
        <v>45717</v>
      </c>
      <c r="AC346">
        <f>SUMIFS(Production!$H:$H,Production!$A:$A,UPPER(TRIM(B346)),Production!$B:$B,AB346)-SUMIFS(Production!$I:$I,Production!$A:$A,UPPER(TRIM(B346)),Production!$B:$B,AB346)</f>
        <v>42</v>
      </c>
      <c r="AD346">
        <f t="shared" si="17"/>
        <v>7025.76</v>
      </c>
    </row>
    <row r="347" spans="1:30" ht="21" customHeight="1">
      <c r="A347" s="2" t="s">
        <v>790</v>
      </c>
      <c r="B347" s="9" t="s">
        <v>51</v>
      </c>
      <c r="C347" s="5">
        <v>45755.5</v>
      </c>
      <c r="D347" s="4">
        <v>45756.162499999999</v>
      </c>
      <c r="E347" s="2" t="s">
        <v>83</v>
      </c>
      <c r="F347" s="2" t="s">
        <v>119</v>
      </c>
      <c r="G347" s="3">
        <v>1.05</v>
      </c>
      <c r="H347" s="3">
        <v>2.75</v>
      </c>
      <c r="I347" s="3">
        <v>0</v>
      </c>
      <c r="J347" s="3">
        <v>11.51</v>
      </c>
      <c r="K347" s="3">
        <v>0.59</v>
      </c>
      <c r="L347" s="3">
        <v>15.9</v>
      </c>
      <c r="M347" s="3">
        <v>318</v>
      </c>
      <c r="N347" s="3">
        <v>0.18</v>
      </c>
      <c r="O347" s="2" t="s">
        <v>791</v>
      </c>
      <c r="P347" s="4">
        <v>45755.543749999997</v>
      </c>
      <c r="Q347" s="4">
        <v>45756.162499999999</v>
      </c>
      <c r="R347" s="2" t="s">
        <v>86</v>
      </c>
      <c r="S347" s="3">
        <v>11.51</v>
      </c>
      <c r="T347" s="2">
        <v>85</v>
      </c>
      <c r="U347" s="3">
        <v>5571</v>
      </c>
      <c r="V347" s="3">
        <v>0</v>
      </c>
      <c r="W347" s="2" t="s">
        <v>94</v>
      </c>
      <c r="X347" s="2" t="s">
        <v>121</v>
      </c>
      <c r="Y347" s="3">
        <v>0</v>
      </c>
      <c r="Z347" t="str">
        <f>INDEX(Assets!$J:$J,MATCH(UPPER(TRIM(B347)),Assets!$A:$A,0))</f>
        <v>Prairie</v>
      </c>
      <c r="AA347">
        <f t="shared" si="15"/>
        <v>260.76000000000005</v>
      </c>
      <c r="AB347" s="21">
        <f t="shared" si="16"/>
        <v>45748</v>
      </c>
      <c r="AC347">
        <f>SUMIFS(Production!$H:$H,Production!$A:$A,UPPER(TRIM(B347)),Production!$B:$B,AB347)-SUMIFS(Production!$I:$I,Production!$A:$A,UPPER(TRIM(B347)),Production!$B:$B,AB347)</f>
        <v>40</v>
      </c>
      <c r="AD347">
        <f t="shared" si="17"/>
        <v>10430.400000000001</v>
      </c>
    </row>
    <row r="348" spans="1:30" ht="21" customHeight="1">
      <c r="A348" s="2" t="s">
        <v>792</v>
      </c>
      <c r="B348" s="9" t="s">
        <v>51</v>
      </c>
      <c r="C348" s="5">
        <v>45775.5</v>
      </c>
      <c r="D348" s="4">
        <v>45775.749583333338</v>
      </c>
      <c r="E348" s="2" t="s">
        <v>90</v>
      </c>
      <c r="F348" s="2" t="s">
        <v>91</v>
      </c>
      <c r="G348" s="3">
        <v>0</v>
      </c>
      <c r="H348" s="3">
        <v>0</v>
      </c>
      <c r="I348" s="3">
        <v>0</v>
      </c>
      <c r="J348" s="3">
        <v>5.99</v>
      </c>
      <c r="K348" s="3">
        <v>0</v>
      </c>
      <c r="L348" s="3">
        <v>5.99</v>
      </c>
      <c r="M348" s="3">
        <v>119.8</v>
      </c>
      <c r="N348" s="3">
        <v>0.25</v>
      </c>
      <c r="O348" s="2" t="s">
        <v>793</v>
      </c>
      <c r="P348" s="4">
        <v>45775.5</v>
      </c>
      <c r="Q348" s="4">
        <v>45775.749583333338</v>
      </c>
      <c r="R348" s="2" t="s">
        <v>93</v>
      </c>
      <c r="S348" s="3">
        <v>11.98</v>
      </c>
      <c r="T348" s="2">
        <v>85</v>
      </c>
      <c r="U348" s="3">
        <v>1553</v>
      </c>
      <c r="V348" s="3">
        <v>3918</v>
      </c>
      <c r="W348" s="2" t="s">
        <v>94</v>
      </c>
      <c r="X348" s="2" t="s">
        <v>95</v>
      </c>
      <c r="Y348" s="3">
        <v>0</v>
      </c>
      <c r="Z348" t="str">
        <f>INDEX(Assets!$J:$J,MATCH(UPPER(TRIM(B348)),Assets!$A:$A,0))</f>
        <v>Prairie</v>
      </c>
      <c r="AA348">
        <f t="shared" si="15"/>
        <v>89.85</v>
      </c>
      <c r="AB348" s="21">
        <f t="shared" si="16"/>
        <v>45748</v>
      </c>
      <c r="AC348">
        <f>SUMIFS(Production!$H:$H,Production!$A:$A,UPPER(TRIM(B348)),Production!$B:$B,AB348)-SUMIFS(Production!$I:$I,Production!$A:$A,UPPER(TRIM(B348)),Production!$B:$B,AB348)</f>
        <v>40</v>
      </c>
      <c r="AD348">
        <f t="shared" si="17"/>
        <v>3594</v>
      </c>
    </row>
    <row r="349" spans="1:30" ht="21" customHeight="1">
      <c r="A349" s="2" t="s">
        <v>794</v>
      </c>
      <c r="B349" s="9" t="s">
        <v>51</v>
      </c>
      <c r="C349" s="5">
        <v>45782.5</v>
      </c>
      <c r="D349" s="4">
        <v>45783.299583333333</v>
      </c>
      <c r="E349" s="2" t="s">
        <v>83</v>
      </c>
      <c r="F349" s="2" t="s">
        <v>119</v>
      </c>
      <c r="G349" s="3">
        <v>2.13</v>
      </c>
      <c r="H349" s="3">
        <v>3.69</v>
      </c>
      <c r="I349" s="3">
        <v>0</v>
      </c>
      <c r="J349" s="3">
        <v>12.16</v>
      </c>
      <c r="K349" s="3">
        <v>1.21</v>
      </c>
      <c r="L349" s="3">
        <v>19.190000000000001</v>
      </c>
      <c r="M349" s="3">
        <v>383.8</v>
      </c>
      <c r="N349" s="3">
        <v>0.26</v>
      </c>
      <c r="O349" s="2" t="s">
        <v>795</v>
      </c>
      <c r="P349" s="4">
        <v>45782.588749999995</v>
      </c>
      <c r="Q349" s="4">
        <v>45783.299583333333</v>
      </c>
      <c r="R349" s="2" t="s">
        <v>86</v>
      </c>
      <c r="S349" s="3">
        <v>24.32</v>
      </c>
      <c r="T349" s="2">
        <v>85</v>
      </c>
      <c r="U349" s="3">
        <v>8950</v>
      </c>
      <c r="V349" s="3">
        <v>0</v>
      </c>
      <c r="W349" s="2" t="s">
        <v>94</v>
      </c>
      <c r="X349" s="2" t="s">
        <v>121</v>
      </c>
      <c r="Y349" s="3">
        <v>0</v>
      </c>
      <c r="Z349" t="str">
        <f>INDEX(Assets!$J:$J,MATCH(UPPER(TRIM(B349)),Assets!$A:$A,0))</f>
        <v>Prairie</v>
      </c>
      <c r="AA349">
        <f t="shared" si="15"/>
        <v>284.012</v>
      </c>
      <c r="AB349" s="21">
        <f t="shared" si="16"/>
        <v>45778</v>
      </c>
      <c r="AC349">
        <f>SUMIFS(Production!$H:$H,Production!$A:$A,UPPER(TRIM(B349)),Production!$B:$B,AB349)-SUMIFS(Production!$I:$I,Production!$A:$A,UPPER(TRIM(B349)),Production!$B:$B,AB349)</f>
        <v>38</v>
      </c>
      <c r="AD349">
        <f t="shared" si="17"/>
        <v>10792.456</v>
      </c>
    </row>
    <row r="350" spans="1:30" ht="21" customHeight="1">
      <c r="A350" s="2" t="s">
        <v>796</v>
      </c>
      <c r="B350" s="9" t="s">
        <v>51</v>
      </c>
      <c r="C350" s="5">
        <v>45812.5</v>
      </c>
      <c r="D350" s="4">
        <v>45812.962916666671</v>
      </c>
      <c r="E350" s="2" t="s">
        <v>83</v>
      </c>
      <c r="F350" s="2" t="s">
        <v>97</v>
      </c>
      <c r="G350" s="3">
        <v>1.24</v>
      </c>
      <c r="H350" s="3">
        <v>5.39</v>
      </c>
      <c r="I350" s="3">
        <v>0</v>
      </c>
      <c r="J350" s="3">
        <v>3.38</v>
      </c>
      <c r="K350" s="3">
        <v>1.1000000000000001</v>
      </c>
      <c r="L350" s="3">
        <v>11.11</v>
      </c>
      <c r="M350" s="3">
        <v>222.2</v>
      </c>
      <c r="N350" s="3">
        <v>0.15</v>
      </c>
      <c r="O350" s="2" t="s">
        <v>797</v>
      </c>
      <c r="P350" s="4">
        <v>45812.551666666666</v>
      </c>
      <c r="Q350" s="4">
        <v>45812.962916666671</v>
      </c>
      <c r="R350" s="2" t="s">
        <v>86</v>
      </c>
      <c r="S350" s="3">
        <v>3.38</v>
      </c>
      <c r="T350" s="2">
        <v>85</v>
      </c>
      <c r="U350" s="3"/>
      <c r="V350" s="3">
        <v>0</v>
      </c>
      <c r="W350" s="2" t="s">
        <v>87</v>
      </c>
      <c r="X350" s="2" t="s">
        <v>99</v>
      </c>
      <c r="Y350" s="3">
        <v>0</v>
      </c>
      <c r="Z350" t="str">
        <f>INDEX(Assets!$J:$J,MATCH(UPPER(TRIM(B350)),Assets!$A:$A,0))</f>
        <v>Prairie</v>
      </c>
      <c r="AA350">
        <f t="shared" si="15"/>
        <v>188.86999999999998</v>
      </c>
      <c r="AB350" s="21">
        <f t="shared" si="16"/>
        <v>45809</v>
      </c>
      <c r="AC350">
        <f>SUMIFS(Production!$H:$H,Production!$A:$A,UPPER(TRIM(B350)),Production!$B:$B,AB350)-SUMIFS(Production!$I:$I,Production!$A:$A,UPPER(TRIM(B350)),Production!$B:$B,AB350)</f>
        <v>39</v>
      </c>
      <c r="AD350">
        <f t="shared" si="17"/>
        <v>7365.9299999999994</v>
      </c>
    </row>
    <row r="351" spans="1:30" ht="21" customHeight="1">
      <c r="A351" s="2" t="s">
        <v>798</v>
      </c>
      <c r="B351" s="9" t="s">
        <v>51</v>
      </c>
      <c r="C351" s="5">
        <v>45830.5</v>
      </c>
      <c r="D351" s="4">
        <v>45830.926250000004</v>
      </c>
      <c r="E351" s="2" t="s">
        <v>83</v>
      </c>
      <c r="F351" s="2" t="s">
        <v>119</v>
      </c>
      <c r="G351" s="3">
        <v>0.89</v>
      </c>
      <c r="H351" s="3">
        <v>2.09</v>
      </c>
      <c r="I351" s="3">
        <v>0</v>
      </c>
      <c r="J351" s="3">
        <v>6.03</v>
      </c>
      <c r="K351" s="3">
        <v>1.22</v>
      </c>
      <c r="L351" s="3">
        <v>10.23</v>
      </c>
      <c r="M351" s="3">
        <v>204.6</v>
      </c>
      <c r="N351" s="3">
        <v>0.25</v>
      </c>
      <c r="O351" s="2" t="s">
        <v>799</v>
      </c>
      <c r="P351" s="4">
        <v>45830.537083333329</v>
      </c>
      <c r="Q351" s="4">
        <v>45830.926250000004</v>
      </c>
      <c r="R351" s="2" t="s">
        <v>86</v>
      </c>
      <c r="S351" s="3">
        <v>6.03</v>
      </c>
      <c r="T351" s="2">
        <v>85</v>
      </c>
      <c r="U351" s="3">
        <v>7933</v>
      </c>
      <c r="V351" s="3">
        <v>0</v>
      </c>
      <c r="W351" s="2" t="s">
        <v>94</v>
      </c>
      <c r="X351" s="2" t="s">
        <v>121</v>
      </c>
      <c r="Y351" s="3">
        <v>0</v>
      </c>
      <c r="Z351" t="str">
        <f>INDEX(Assets!$J:$J,MATCH(UPPER(TRIM(B351)),Assets!$A:$A,0))</f>
        <v>Prairie</v>
      </c>
      <c r="AA351">
        <f t="shared" si="15"/>
        <v>153.44999999999999</v>
      </c>
      <c r="AB351" s="21">
        <f t="shared" si="16"/>
        <v>45809</v>
      </c>
      <c r="AC351">
        <f>SUMIFS(Production!$H:$H,Production!$A:$A,UPPER(TRIM(B351)),Production!$B:$B,AB351)-SUMIFS(Production!$I:$I,Production!$A:$A,UPPER(TRIM(B351)),Production!$B:$B,AB351)</f>
        <v>39</v>
      </c>
      <c r="AD351">
        <f t="shared" si="17"/>
        <v>5984.5499999999993</v>
      </c>
    </row>
    <row r="352" spans="1:30" ht="21" customHeight="1">
      <c r="A352" s="2" t="s">
        <v>800</v>
      </c>
      <c r="B352" s="9" t="s">
        <v>51</v>
      </c>
      <c r="C352" s="5">
        <v>45845.5</v>
      </c>
      <c r="D352" s="4">
        <v>45846.338333333333</v>
      </c>
      <c r="E352" s="2" t="s">
        <v>83</v>
      </c>
      <c r="F352" s="2" t="s">
        <v>119</v>
      </c>
      <c r="G352" s="3">
        <v>2.95</v>
      </c>
      <c r="H352" s="3">
        <v>3.89</v>
      </c>
      <c r="I352" s="3">
        <v>0</v>
      </c>
      <c r="J352" s="3">
        <v>11.43</v>
      </c>
      <c r="K352" s="3">
        <v>1.85</v>
      </c>
      <c r="L352" s="3">
        <v>20.12</v>
      </c>
      <c r="M352" s="3">
        <v>402.4</v>
      </c>
      <c r="N352" s="3">
        <v>0.12</v>
      </c>
      <c r="O352" s="2" t="s">
        <v>801</v>
      </c>
      <c r="P352" s="4">
        <v>45845.622916666667</v>
      </c>
      <c r="Q352" s="4">
        <v>45846.338333333333</v>
      </c>
      <c r="R352" s="2" t="s">
        <v>86</v>
      </c>
      <c r="S352" s="3">
        <v>11.43</v>
      </c>
      <c r="T352" s="2">
        <v>85</v>
      </c>
      <c r="U352" s="3">
        <v>4294</v>
      </c>
      <c r="V352" s="3">
        <v>4288</v>
      </c>
      <c r="W352" s="2" t="s">
        <v>94</v>
      </c>
      <c r="X352" s="2" t="s">
        <v>121</v>
      </c>
      <c r="Y352" s="3">
        <v>0</v>
      </c>
      <c r="Z352" t="str">
        <f>INDEX(Assets!$J:$J,MATCH(UPPER(TRIM(B352)),Assets!$A:$A,0))</f>
        <v>Prairie</v>
      </c>
      <c r="AA352">
        <f t="shared" si="15"/>
        <v>354.11199999999997</v>
      </c>
      <c r="AB352" s="21">
        <f t="shared" si="16"/>
        <v>45839</v>
      </c>
      <c r="AC352">
        <f>SUMIFS(Production!$H:$H,Production!$A:$A,UPPER(TRIM(B352)),Production!$B:$B,AB352)-SUMIFS(Production!$I:$I,Production!$A:$A,UPPER(TRIM(B352)),Production!$B:$B,AB352)</f>
        <v>41</v>
      </c>
      <c r="AD352">
        <f t="shared" si="17"/>
        <v>14518.591999999999</v>
      </c>
    </row>
    <row r="353" spans="1:30" ht="21" customHeight="1">
      <c r="A353" s="2" t="s">
        <v>802</v>
      </c>
      <c r="B353" s="9" t="s">
        <v>51</v>
      </c>
      <c r="C353" s="5">
        <v>45859.5</v>
      </c>
      <c r="D353" s="4">
        <v>45860.27208333333</v>
      </c>
      <c r="E353" s="2" t="s">
        <v>83</v>
      </c>
      <c r="F353" s="2" t="s">
        <v>101</v>
      </c>
      <c r="G353" s="3">
        <v>3.91</v>
      </c>
      <c r="H353" s="3">
        <v>4.58</v>
      </c>
      <c r="I353" s="3">
        <v>0</v>
      </c>
      <c r="J353" s="3">
        <v>8.6999999999999993</v>
      </c>
      <c r="K353" s="3">
        <v>1.34</v>
      </c>
      <c r="L353" s="3">
        <v>18.53</v>
      </c>
      <c r="M353" s="3">
        <v>370.6</v>
      </c>
      <c r="N353" s="3">
        <v>0.24</v>
      </c>
      <c r="O353" s="2" t="s">
        <v>803</v>
      </c>
      <c r="P353" s="4">
        <v>45859.662916666668</v>
      </c>
      <c r="Q353" s="4">
        <v>45860.27208333333</v>
      </c>
      <c r="R353" s="2" t="s">
        <v>86</v>
      </c>
      <c r="S353" s="3">
        <v>8.6999999999999993</v>
      </c>
      <c r="T353" s="2">
        <v>85</v>
      </c>
      <c r="U353" s="3">
        <v>6927</v>
      </c>
      <c r="V353" s="3">
        <v>0</v>
      </c>
      <c r="W353" s="2" t="s">
        <v>94</v>
      </c>
      <c r="X353" s="2" t="s">
        <v>103</v>
      </c>
      <c r="Y353" s="3">
        <v>0</v>
      </c>
      <c r="Z353" t="str">
        <f>INDEX(Assets!$J:$J,MATCH(UPPER(TRIM(B353)),Assets!$A:$A,0))</f>
        <v>Prairie</v>
      </c>
      <c r="AA353">
        <f t="shared" si="15"/>
        <v>281.65600000000001</v>
      </c>
      <c r="AB353" s="21">
        <f t="shared" si="16"/>
        <v>45839</v>
      </c>
      <c r="AC353">
        <f>SUMIFS(Production!$H:$H,Production!$A:$A,UPPER(TRIM(B353)),Production!$B:$B,AB353)-SUMIFS(Production!$I:$I,Production!$A:$A,UPPER(TRIM(B353)),Production!$B:$B,AB353)</f>
        <v>41</v>
      </c>
      <c r="AD353">
        <f t="shared" si="17"/>
        <v>11547.896000000001</v>
      </c>
    </row>
    <row r="354" spans="1:30" ht="21" customHeight="1">
      <c r="A354" s="2" t="s">
        <v>804</v>
      </c>
      <c r="B354" s="9" t="s">
        <v>51</v>
      </c>
      <c r="C354" s="5">
        <v>45866.5</v>
      </c>
      <c r="D354" s="4">
        <v>45866.759583333333</v>
      </c>
      <c r="E354" s="2" t="s">
        <v>90</v>
      </c>
      <c r="F354" s="2" t="s">
        <v>91</v>
      </c>
      <c r="G354" s="3">
        <v>0</v>
      </c>
      <c r="H354" s="3">
        <v>0</v>
      </c>
      <c r="I354" s="3">
        <v>0</v>
      </c>
      <c r="J354" s="3">
        <v>6.23</v>
      </c>
      <c r="K354" s="3">
        <v>0</v>
      </c>
      <c r="L354" s="3">
        <v>6.23</v>
      </c>
      <c r="M354" s="3">
        <v>124.6</v>
      </c>
      <c r="N354" s="3">
        <v>0.25</v>
      </c>
      <c r="O354" s="2" t="s">
        <v>805</v>
      </c>
      <c r="P354" s="4">
        <v>45866.5</v>
      </c>
      <c r="Q354" s="4">
        <v>45866.759583333333</v>
      </c>
      <c r="R354" s="2" t="s">
        <v>93</v>
      </c>
      <c r="S354" s="3">
        <v>12.46</v>
      </c>
      <c r="T354" s="2">
        <v>85</v>
      </c>
      <c r="U354" s="3">
        <v>1783</v>
      </c>
      <c r="V354" s="3">
        <v>0</v>
      </c>
      <c r="W354" s="2" t="s">
        <v>94</v>
      </c>
      <c r="X354" s="2" t="s">
        <v>95</v>
      </c>
      <c r="Y354" s="3">
        <v>0</v>
      </c>
      <c r="Z354" t="str">
        <f>INDEX(Assets!$J:$J,MATCH(UPPER(TRIM(B354)),Assets!$A:$A,0))</f>
        <v>Prairie</v>
      </c>
      <c r="AA354">
        <f t="shared" si="15"/>
        <v>93.449999999999989</v>
      </c>
      <c r="AB354" s="21">
        <f t="shared" si="16"/>
        <v>45839</v>
      </c>
      <c r="AC354">
        <f>SUMIFS(Production!$H:$H,Production!$A:$A,UPPER(TRIM(B354)),Production!$B:$B,AB354)-SUMIFS(Production!$I:$I,Production!$A:$A,UPPER(TRIM(B354)),Production!$B:$B,AB354)</f>
        <v>41</v>
      </c>
      <c r="AD354">
        <f t="shared" si="17"/>
        <v>3831.4499999999994</v>
      </c>
    </row>
    <row r="355" spans="1:30" ht="21" customHeight="1">
      <c r="A355" s="2" t="s">
        <v>806</v>
      </c>
      <c r="B355" s="9" t="s">
        <v>51</v>
      </c>
      <c r="C355" s="5">
        <v>45879.5</v>
      </c>
      <c r="D355" s="4">
        <v>45880.097500000003</v>
      </c>
      <c r="E355" s="2" t="s">
        <v>83</v>
      </c>
      <c r="F355" s="2" t="s">
        <v>101</v>
      </c>
      <c r="G355" s="3">
        <v>0.95</v>
      </c>
      <c r="H355" s="3">
        <v>4.8</v>
      </c>
      <c r="I355" s="3">
        <v>0</v>
      </c>
      <c r="J355" s="3">
        <v>7.44</v>
      </c>
      <c r="K355" s="3">
        <v>1.1499999999999999</v>
      </c>
      <c r="L355" s="3">
        <v>14.34</v>
      </c>
      <c r="M355" s="3">
        <v>286.8</v>
      </c>
      <c r="N355" s="3">
        <v>0.24</v>
      </c>
      <c r="O355" s="2" t="s">
        <v>807</v>
      </c>
      <c r="P355" s="4">
        <v>45879.539583333331</v>
      </c>
      <c r="Q355" s="4">
        <v>45880.097500000003</v>
      </c>
      <c r="R355" s="2" t="s">
        <v>86</v>
      </c>
      <c r="S355" s="3">
        <v>7.44</v>
      </c>
      <c r="T355" s="2">
        <v>85</v>
      </c>
      <c r="U355" s="3">
        <v>7788</v>
      </c>
      <c r="V355" s="3">
        <v>0</v>
      </c>
      <c r="W355" s="2" t="s">
        <v>94</v>
      </c>
      <c r="X355" s="2" t="s">
        <v>103</v>
      </c>
      <c r="Y355" s="3">
        <v>0</v>
      </c>
      <c r="Z355" t="str">
        <f>INDEX(Assets!$J:$J,MATCH(UPPER(TRIM(B355)),Assets!$A:$A,0))</f>
        <v>Prairie</v>
      </c>
      <c r="AA355">
        <f t="shared" si="15"/>
        <v>217.96800000000002</v>
      </c>
      <c r="AB355" s="21">
        <f t="shared" si="16"/>
        <v>45870</v>
      </c>
      <c r="AC355">
        <f>SUMIFS(Production!$H:$H,Production!$A:$A,UPPER(TRIM(B355)),Production!$B:$B,AB355)-SUMIFS(Production!$I:$I,Production!$A:$A,UPPER(TRIM(B355)),Production!$B:$B,AB355)</f>
        <v>40</v>
      </c>
      <c r="AD355">
        <f t="shared" si="17"/>
        <v>8718.7200000000012</v>
      </c>
    </row>
    <row r="356" spans="1:30" ht="21" customHeight="1">
      <c r="A356" s="2" t="s">
        <v>808</v>
      </c>
      <c r="B356" s="9" t="s">
        <v>51</v>
      </c>
      <c r="C356" s="5">
        <v>45909.5</v>
      </c>
      <c r="D356" s="4">
        <v>45910.2575</v>
      </c>
      <c r="E356" s="2" t="s">
        <v>83</v>
      </c>
      <c r="F356" s="2" t="s">
        <v>119</v>
      </c>
      <c r="G356" s="3">
        <v>3.24</v>
      </c>
      <c r="H356" s="3">
        <v>4.91</v>
      </c>
      <c r="I356" s="3">
        <v>0</v>
      </c>
      <c r="J356" s="3">
        <v>9.09</v>
      </c>
      <c r="K356" s="3">
        <v>0.94</v>
      </c>
      <c r="L356" s="3">
        <v>18.18</v>
      </c>
      <c r="M356" s="3">
        <v>363.6</v>
      </c>
      <c r="N356" s="3">
        <v>0.25</v>
      </c>
      <c r="O356" s="2" t="s">
        <v>809</v>
      </c>
      <c r="P356" s="4">
        <v>45909.634999999995</v>
      </c>
      <c r="Q356" s="4">
        <v>45910.2575</v>
      </c>
      <c r="R356" s="2" t="s">
        <v>86</v>
      </c>
      <c r="S356" s="3">
        <v>18.18</v>
      </c>
      <c r="T356" s="2">
        <v>85</v>
      </c>
      <c r="U356" s="3">
        <v>9056</v>
      </c>
      <c r="V356" s="3">
        <v>0</v>
      </c>
      <c r="W356" s="2" t="s">
        <v>94</v>
      </c>
      <c r="X356" s="2" t="s">
        <v>121</v>
      </c>
      <c r="Y356" s="3">
        <v>0</v>
      </c>
      <c r="Z356" t="str">
        <f>INDEX(Assets!$J:$J,MATCH(UPPER(TRIM(B356)),Assets!$A:$A,0))</f>
        <v>Prairie</v>
      </c>
      <c r="AA356">
        <f t="shared" si="15"/>
        <v>272.70000000000005</v>
      </c>
      <c r="AB356" s="21">
        <f t="shared" si="16"/>
        <v>45901</v>
      </c>
      <c r="AC356">
        <f>SUMIFS(Production!$H:$H,Production!$A:$A,UPPER(TRIM(B356)),Production!$B:$B,AB356)-SUMIFS(Production!$I:$I,Production!$A:$A,UPPER(TRIM(B356)),Production!$B:$B,AB356)</f>
        <v>37</v>
      </c>
      <c r="AD356">
        <f t="shared" si="17"/>
        <v>10089.900000000001</v>
      </c>
    </row>
    <row r="357" spans="1:30" ht="21" customHeight="1">
      <c r="A357" s="2" t="s">
        <v>810</v>
      </c>
      <c r="B357" s="9" t="s">
        <v>51</v>
      </c>
      <c r="C357" s="5">
        <v>45919.5</v>
      </c>
      <c r="D357" s="4">
        <v>45920.061666666668</v>
      </c>
      <c r="E357" s="2" t="s">
        <v>83</v>
      </c>
      <c r="F357" s="2" t="s">
        <v>97</v>
      </c>
      <c r="G357" s="3">
        <v>4.43</v>
      </c>
      <c r="H357" s="3">
        <v>4.8899999999999997</v>
      </c>
      <c r="I357" s="3">
        <v>0</v>
      </c>
      <c r="J357" s="3">
        <v>2.5099999999999998</v>
      </c>
      <c r="K357" s="3">
        <v>1.65</v>
      </c>
      <c r="L357" s="3">
        <v>13.48</v>
      </c>
      <c r="M357" s="3">
        <v>269.60000000000002</v>
      </c>
      <c r="N357" s="3">
        <v>0.08</v>
      </c>
      <c r="O357" s="2" t="s">
        <v>811</v>
      </c>
      <c r="P357" s="4">
        <v>45919.684583333335</v>
      </c>
      <c r="Q357" s="4">
        <v>45920.061666666668</v>
      </c>
      <c r="R357" s="2" t="s">
        <v>86</v>
      </c>
      <c r="S357" s="3">
        <v>2.5099999999999998</v>
      </c>
      <c r="T357" s="2">
        <v>85</v>
      </c>
      <c r="U357" s="3">
        <v>9206</v>
      </c>
      <c r="V357" s="3">
        <v>0</v>
      </c>
      <c r="W357" s="2" t="s">
        <v>94</v>
      </c>
      <c r="X357" s="2" t="s">
        <v>99</v>
      </c>
      <c r="Y357" s="3">
        <v>0</v>
      </c>
      <c r="Z357" t="str">
        <f>INDEX(Assets!$J:$J,MATCH(UPPER(TRIM(B357)),Assets!$A:$A,0))</f>
        <v>Prairie</v>
      </c>
      <c r="AA357">
        <f t="shared" si="15"/>
        <v>248.03200000000004</v>
      </c>
      <c r="AB357" s="21">
        <f t="shared" si="16"/>
        <v>45901</v>
      </c>
      <c r="AC357">
        <f>SUMIFS(Production!$H:$H,Production!$A:$A,UPPER(TRIM(B357)),Production!$B:$B,AB357)-SUMIFS(Production!$I:$I,Production!$A:$A,UPPER(TRIM(B357)),Production!$B:$B,AB357)</f>
        <v>37</v>
      </c>
      <c r="AD357">
        <f t="shared" si="17"/>
        <v>9177.1840000000011</v>
      </c>
    </row>
    <row r="358" spans="1:30" ht="21" customHeight="1">
      <c r="A358" s="2" t="s">
        <v>812</v>
      </c>
      <c r="B358" s="9" t="s">
        <v>51</v>
      </c>
      <c r="C358" s="5">
        <v>45940.5</v>
      </c>
      <c r="D358" s="4">
        <v>45940.995833333334</v>
      </c>
      <c r="E358" s="2" t="s">
        <v>83</v>
      </c>
      <c r="F358" s="2" t="s">
        <v>119</v>
      </c>
      <c r="G358" s="3">
        <v>3.35</v>
      </c>
      <c r="H358" s="3">
        <v>1.8</v>
      </c>
      <c r="I358" s="3">
        <v>0</v>
      </c>
      <c r="J358" s="3">
        <v>5.0199999999999996</v>
      </c>
      <c r="K358" s="3">
        <v>1.73</v>
      </c>
      <c r="L358" s="3">
        <v>11.9</v>
      </c>
      <c r="M358" s="3">
        <v>238</v>
      </c>
      <c r="N358" s="3">
        <v>0.14000000000000001</v>
      </c>
      <c r="O358" s="2" t="s">
        <v>813</v>
      </c>
      <c r="P358" s="4">
        <v>45940.639583333337</v>
      </c>
      <c r="Q358" s="4">
        <v>45940.995833333334</v>
      </c>
      <c r="R358" s="2" t="s">
        <v>86</v>
      </c>
      <c r="S358" s="3">
        <v>10.039999999999999</v>
      </c>
      <c r="T358" s="2">
        <v>85</v>
      </c>
      <c r="U358" s="3">
        <v>4067</v>
      </c>
      <c r="V358" s="3">
        <v>0</v>
      </c>
      <c r="W358" s="2" t="s">
        <v>94</v>
      </c>
      <c r="X358" s="2" t="s">
        <v>121</v>
      </c>
      <c r="Y358" s="3">
        <v>0</v>
      </c>
      <c r="Z358" t="str">
        <f>INDEX(Assets!$J:$J,MATCH(UPPER(TRIM(B358)),Assets!$A:$A,0))</f>
        <v>Prairie</v>
      </c>
      <c r="AA358">
        <f t="shared" si="15"/>
        <v>204.68</v>
      </c>
      <c r="AB358" s="21">
        <f t="shared" si="16"/>
        <v>45931</v>
      </c>
      <c r="AC358">
        <f>SUMIFS(Production!$H:$H,Production!$A:$A,UPPER(TRIM(B358)),Production!$B:$B,AB358)-SUMIFS(Production!$I:$I,Production!$A:$A,UPPER(TRIM(B358)),Production!$B:$B,AB358)</f>
        <v>36</v>
      </c>
      <c r="AD358">
        <f t="shared" si="17"/>
        <v>7368.4800000000005</v>
      </c>
    </row>
    <row r="359" spans="1:30" ht="21" customHeight="1">
      <c r="A359" s="2" t="s">
        <v>814</v>
      </c>
      <c r="B359" s="9" t="s">
        <v>51</v>
      </c>
      <c r="C359" s="5">
        <v>45958.5</v>
      </c>
      <c r="D359" s="4">
        <v>45958.668333333335</v>
      </c>
      <c r="E359" s="2" t="s">
        <v>90</v>
      </c>
      <c r="F359" s="2" t="s">
        <v>91</v>
      </c>
      <c r="G359" s="3">
        <v>0</v>
      </c>
      <c r="H359" s="3">
        <v>0</v>
      </c>
      <c r="I359" s="3">
        <v>0</v>
      </c>
      <c r="J359" s="3">
        <v>4.04</v>
      </c>
      <c r="K359" s="3">
        <v>0</v>
      </c>
      <c r="L359" s="3">
        <v>4.04</v>
      </c>
      <c r="M359" s="3">
        <v>80.8</v>
      </c>
      <c r="N359" s="3">
        <v>0.25</v>
      </c>
      <c r="O359" s="2" t="s">
        <v>815</v>
      </c>
      <c r="P359" s="4">
        <v>45958.5</v>
      </c>
      <c r="Q359" s="4">
        <v>45958.668333333335</v>
      </c>
      <c r="R359" s="2" t="s">
        <v>93</v>
      </c>
      <c r="S359" s="3">
        <v>8.08</v>
      </c>
      <c r="T359" s="2">
        <v>85</v>
      </c>
      <c r="U359" s="3">
        <v>666</v>
      </c>
      <c r="V359" s="3">
        <v>0</v>
      </c>
      <c r="W359" s="2" t="s">
        <v>94</v>
      </c>
      <c r="X359" s="2" t="s">
        <v>95</v>
      </c>
      <c r="Y359" s="3">
        <v>0</v>
      </c>
      <c r="Z359" t="str">
        <f>INDEX(Assets!$J:$J,MATCH(UPPER(TRIM(B359)),Assets!$A:$A,0))</f>
        <v>Prairie</v>
      </c>
      <c r="AA359">
        <f t="shared" si="15"/>
        <v>60.599999999999994</v>
      </c>
      <c r="AB359" s="21">
        <f t="shared" si="16"/>
        <v>45931</v>
      </c>
      <c r="AC359">
        <f>SUMIFS(Production!$H:$H,Production!$A:$A,UPPER(TRIM(B359)),Production!$B:$B,AB359)-SUMIFS(Production!$I:$I,Production!$A:$A,UPPER(TRIM(B359)),Production!$B:$B,AB359)</f>
        <v>36</v>
      </c>
      <c r="AD359">
        <f t="shared" si="17"/>
        <v>2181.6</v>
      </c>
    </row>
    <row r="360" spans="1:30" ht="21" customHeight="1">
      <c r="A360" s="2" t="s">
        <v>816</v>
      </c>
      <c r="B360" s="9" t="s">
        <v>51</v>
      </c>
      <c r="C360" s="5">
        <v>45965.5</v>
      </c>
      <c r="D360" s="4">
        <v>45966.250833333332</v>
      </c>
      <c r="E360" s="2" t="s">
        <v>83</v>
      </c>
      <c r="F360" s="2" t="s">
        <v>97</v>
      </c>
      <c r="G360" s="3">
        <v>1.98</v>
      </c>
      <c r="H360" s="3">
        <v>4.03</v>
      </c>
      <c r="I360" s="3">
        <v>0</v>
      </c>
      <c r="J360" s="3">
        <v>9.7799999999999994</v>
      </c>
      <c r="K360" s="3">
        <v>2.23</v>
      </c>
      <c r="L360" s="3">
        <v>18.02</v>
      </c>
      <c r="M360" s="3">
        <v>360.4</v>
      </c>
      <c r="N360" s="3">
        <v>0.27</v>
      </c>
      <c r="O360" s="2" t="s">
        <v>817</v>
      </c>
      <c r="P360" s="4">
        <v>45965.582500000004</v>
      </c>
      <c r="Q360" s="4">
        <v>45966.250833333332</v>
      </c>
      <c r="R360" s="2" t="s">
        <v>86</v>
      </c>
      <c r="S360" s="3">
        <v>9.7799999999999994</v>
      </c>
      <c r="T360" s="2">
        <v>85</v>
      </c>
      <c r="U360" s="3">
        <v>7502</v>
      </c>
      <c r="V360" s="3">
        <v>0</v>
      </c>
      <c r="W360" s="2" t="s">
        <v>94</v>
      </c>
      <c r="X360" s="2" t="s">
        <v>99</v>
      </c>
      <c r="Y360" s="3">
        <v>0</v>
      </c>
      <c r="Z360" t="str">
        <f>INDEX(Assets!$J:$J,MATCH(UPPER(TRIM(B360)),Assets!$A:$A,0))</f>
        <v>Prairie</v>
      </c>
      <c r="AA360">
        <f t="shared" si="15"/>
        <v>263.09199999999998</v>
      </c>
      <c r="AB360" s="21">
        <f t="shared" si="16"/>
        <v>45962</v>
      </c>
      <c r="AC360">
        <f>SUMIFS(Production!$H:$H,Production!$A:$A,UPPER(TRIM(B360)),Production!$B:$B,AB360)-SUMIFS(Production!$I:$I,Production!$A:$A,UPPER(TRIM(B360)),Production!$B:$B,AB360)</f>
        <v>38</v>
      </c>
      <c r="AD360">
        <f t="shared" si="17"/>
        <v>9997.4959999999992</v>
      </c>
    </row>
    <row r="361" spans="1:30" ht="21" customHeight="1">
      <c r="A361" s="2" t="s">
        <v>818</v>
      </c>
      <c r="B361" s="9" t="s">
        <v>51</v>
      </c>
      <c r="C361" s="5">
        <v>45980.5</v>
      </c>
      <c r="D361" s="4">
        <v>45981.127083333333</v>
      </c>
      <c r="E361" s="2" t="s">
        <v>83</v>
      </c>
      <c r="F361" s="2" t="s">
        <v>84</v>
      </c>
      <c r="G361" s="3">
        <v>4.28</v>
      </c>
      <c r="H361" s="3">
        <v>4.34</v>
      </c>
      <c r="I361" s="3">
        <v>0</v>
      </c>
      <c r="J361" s="3">
        <v>5.09</v>
      </c>
      <c r="K361" s="3">
        <v>1.34</v>
      </c>
      <c r="L361" s="3">
        <v>15.05</v>
      </c>
      <c r="M361" s="3">
        <v>301</v>
      </c>
      <c r="N361" s="3">
        <v>0.12</v>
      </c>
      <c r="O361" s="2" t="s">
        <v>819</v>
      </c>
      <c r="P361" s="4">
        <v>45980.67833333333</v>
      </c>
      <c r="Q361" s="4">
        <v>45981.127083333333</v>
      </c>
      <c r="R361" s="2" t="s">
        <v>86</v>
      </c>
      <c r="S361" s="3">
        <v>5.09</v>
      </c>
      <c r="T361" s="2">
        <v>85</v>
      </c>
      <c r="U361" s="3">
        <v>8560</v>
      </c>
      <c r="V361" s="3">
        <v>0</v>
      </c>
      <c r="W361" s="2" t="s">
        <v>94</v>
      </c>
      <c r="X361" s="2" t="s">
        <v>88</v>
      </c>
      <c r="Y361" s="3">
        <v>0</v>
      </c>
      <c r="Z361" t="str">
        <f>INDEX(Assets!$J:$J,MATCH(UPPER(TRIM(B361)),Assets!$A:$A,0))</f>
        <v>Prairie</v>
      </c>
      <c r="AA361">
        <f t="shared" si="15"/>
        <v>264.88</v>
      </c>
      <c r="AB361" s="21">
        <f t="shared" si="16"/>
        <v>45962</v>
      </c>
      <c r="AC361">
        <f>SUMIFS(Production!$H:$H,Production!$A:$A,UPPER(TRIM(B361)),Production!$B:$B,AB361)-SUMIFS(Production!$I:$I,Production!$A:$A,UPPER(TRIM(B361)),Production!$B:$B,AB361)</f>
        <v>38</v>
      </c>
      <c r="AD361">
        <f t="shared" si="17"/>
        <v>10065.44</v>
      </c>
    </row>
    <row r="362" spans="1:30" ht="21" customHeight="1">
      <c r="A362" s="2" t="s">
        <v>820</v>
      </c>
      <c r="B362" s="9" t="s">
        <v>51</v>
      </c>
      <c r="C362" s="5">
        <v>45999.5</v>
      </c>
      <c r="D362" s="4">
        <v>46000.328333333338</v>
      </c>
      <c r="E362" s="2" t="s">
        <v>83</v>
      </c>
      <c r="F362" s="2" t="s">
        <v>101</v>
      </c>
      <c r="G362" s="3">
        <v>4.4800000000000004</v>
      </c>
      <c r="H362" s="3">
        <v>4.0199999999999996</v>
      </c>
      <c r="I362" s="3">
        <v>0</v>
      </c>
      <c r="J362" s="3">
        <v>9.17</v>
      </c>
      <c r="K362" s="3">
        <v>2.21</v>
      </c>
      <c r="L362" s="3">
        <v>19.88</v>
      </c>
      <c r="M362" s="3">
        <v>397.6</v>
      </c>
      <c r="N362" s="3">
        <v>0.27</v>
      </c>
      <c r="O362" s="2" t="s">
        <v>821</v>
      </c>
      <c r="P362" s="4">
        <v>45999.686666666668</v>
      </c>
      <c r="Q362" s="4">
        <v>46000.328333333338</v>
      </c>
      <c r="R362" s="2" t="s">
        <v>86</v>
      </c>
      <c r="S362" s="3">
        <v>18.34</v>
      </c>
      <c r="T362" s="2">
        <v>85</v>
      </c>
      <c r="U362" s="3">
        <v>6315</v>
      </c>
      <c r="V362" s="3">
        <v>0</v>
      </c>
      <c r="W362" s="2" t="s">
        <v>94</v>
      </c>
      <c r="X362" s="2" t="s">
        <v>103</v>
      </c>
      <c r="Y362" s="3">
        <v>0</v>
      </c>
      <c r="Z362" t="str">
        <f>INDEX(Assets!$J:$J,MATCH(UPPER(TRIM(B362)),Assets!$A:$A,0))</f>
        <v>Prairie</v>
      </c>
      <c r="AA362">
        <f t="shared" si="15"/>
        <v>290.24799999999999</v>
      </c>
      <c r="AB362" s="21">
        <f t="shared" si="16"/>
        <v>45992</v>
      </c>
      <c r="AC362">
        <f>SUMIFS(Production!$H:$H,Production!$A:$A,UPPER(TRIM(B362)),Production!$B:$B,AB362)-SUMIFS(Production!$I:$I,Production!$A:$A,UPPER(TRIM(B362)),Production!$B:$B,AB362)</f>
        <v>39</v>
      </c>
      <c r="AD362">
        <f t="shared" si="17"/>
        <v>11319.672</v>
      </c>
    </row>
    <row r="363" spans="1:30" ht="21" customHeight="1">
      <c r="A363" s="2" t="s">
        <v>822</v>
      </c>
      <c r="B363" s="9" t="s">
        <v>52</v>
      </c>
      <c r="C363" s="5">
        <v>45666.5</v>
      </c>
      <c r="D363" s="4">
        <v>45667.701249999998</v>
      </c>
      <c r="E363" s="2" t="s">
        <v>83</v>
      </c>
      <c r="F363" s="2" t="s">
        <v>119</v>
      </c>
      <c r="G363" s="3">
        <v>1.01</v>
      </c>
      <c r="H363" s="3">
        <v>4.84</v>
      </c>
      <c r="I363" s="3">
        <v>13.93</v>
      </c>
      <c r="J363" s="3">
        <v>7.79</v>
      </c>
      <c r="K363" s="3">
        <v>1.26</v>
      </c>
      <c r="L363" s="3">
        <v>28.83</v>
      </c>
      <c r="M363" s="3">
        <v>691.92</v>
      </c>
      <c r="N363" s="3">
        <v>0.11</v>
      </c>
      <c r="O363" s="2" t="s">
        <v>823</v>
      </c>
      <c r="P363" s="4">
        <v>45666.542083333334</v>
      </c>
      <c r="Q363" s="4">
        <v>45667.701249999998</v>
      </c>
      <c r="R363" s="2" t="s">
        <v>86</v>
      </c>
      <c r="S363" s="3">
        <v>7.79</v>
      </c>
      <c r="T363" s="2">
        <v>85</v>
      </c>
      <c r="U363" s="3">
        <v>9159</v>
      </c>
      <c r="V363" s="3">
        <v>0</v>
      </c>
      <c r="W363" s="2" t="s">
        <v>94</v>
      </c>
      <c r="X363" s="2" t="s">
        <v>121</v>
      </c>
      <c r="Y363" s="3">
        <v>0</v>
      </c>
      <c r="Z363" t="str">
        <f>INDEX(Assets!$J:$J,MATCH(UPPER(TRIM(B363)),Assets!$A:$A,0))</f>
        <v>Prairie</v>
      </c>
      <c r="AA363">
        <f t="shared" si="15"/>
        <v>615.80880000000002</v>
      </c>
      <c r="AB363" s="21">
        <f t="shared" si="16"/>
        <v>45658</v>
      </c>
      <c r="AC363">
        <f>SUMIFS(Production!$H:$H,Production!$A:$A,UPPER(TRIM(B363)),Production!$B:$B,AB363)-SUMIFS(Production!$I:$I,Production!$A:$A,UPPER(TRIM(B363)),Production!$B:$B,AB363)</f>
        <v>46</v>
      </c>
      <c r="AD363">
        <f t="shared" si="17"/>
        <v>28327.2048</v>
      </c>
    </row>
    <row r="364" spans="1:30" ht="21" customHeight="1">
      <c r="A364" s="2" t="s">
        <v>824</v>
      </c>
      <c r="B364" s="9" t="s">
        <v>52</v>
      </c>
      <c r="C364" s="5">
        <v>45685.5</v>
      </c>
      <c r="D364" s="4">
        <v>45685.653749999998</v>
      </c>
      <c r="E364" s="2" t="s">
        <v>90</v>
      </c>
      <c r="F364" s="2" t="s">
        <v>91</v>
      </c>
      <c r="G364" s="3">
        <v>0</v>
      </c>
      <c r="H364" s="3">
        <v>0</v>
      </c>
      <c r="I364" s="3">
        <v>0</v>
      </c>
      <c r="J364" s="3">
        <v>3.69</v>
      </c>
      <c r="K364" s="3">
        <v>0</v>
      </c>
      <c r="L364" s="3">
        <v>3.69</v>
      </c>
      <c r="M364" s="3">
        <v>88.56</v>
      </c>
      <c r="N364" s="3">
        <v>0.25</v>
      </c>
      <c r="O364" s="2" t="s">
        <v>825</v>
      </c>
      <c r="P364" s="4">
        <v>45685.5</v>
      </c>
      <c r="Q364" s="4">
        <v>45685.653749999998</v>
      </c>
      <c r="R364" s="2" t="s">
        <v>93</v>
      </c>
      <c r="S364" s="3">
        <v>3.69</v>
      </c>
      <c r="T364" s="2">
        <v>85</v>
      </c>
      <c r="U364" s="3">
        <v>756</v>
      </c>
      <c r="V364" s="3">
        <v>0</v>
      </c>
      <c r="W364" s="2" t="s">
        <v>94</v>
      </c>
      <c r="X364" s="2" t="s">
        <v>95</v>
      </c>
      <c r="Y364" s="3">
        <v>0</v>
      </c>
      <c r="Z364" t="str">
        <f>INDEX(Assets!$J:$J,MATCH(UPPER(TRIM(B364)),Assets!$A:$A,0))</f>
        <v>Prairie</v>
      </c>
      <c r="AA364">
        <f t="shared" si="15"/>
        <v>66.42</v>
      </c>
      <c r="AB364" s="21">
        <f t="shared" si="16"/>
        <v>45658</v>
      </c>
      <c r="AC364">
        <f>SUMIFS(Production!$H:$H,Production!$A:$A,UPPER(TRIM(B364)),Production!$B:$B,AB364)-SUMIFS(Production!$I:$I,Production!$A:$A,UPPER(TRIM(B364)),Production!$B:$B,AB364)</f>
        <v>46</v>
      </c>
      <c r="AD364">
        <f t="shared" si="17"/>
        <v>3055.32</v>
      </c>
    </row>
    <row r="365" spans="1:30" ht="21" customHeight="1">
      <c r="A365" s="2" t="s">
        <v>826</v>
      </c>
      <c r="B365" s="9" t="s">
        <v>52</v>
      </c>
      <c r="C365" s="5">
        <v>45694.5</v>
      </c>
      <c r="D365" s="4">
        <v>45695.140833333338</v>
      </c>
      <c r="E365" s="2" t="s">
        <v>83</v>
      </c>
      <c r="F365" s="2" t="s">
        <v>119</v>
      </c>
      <c r="G365" s="3">
        <v>4.04</v>
      </c>
      <c r="H365" s="3">
        <v>1.41</v>
      </c>
      <c r="I365" s="3">
        <v>0</v>
      </c>
      <c r="J365" s="3">
        <v>8.6</v>
      </c>
      <c r="K365" s="3">
        <v>1.33</v>
      </c>
      <c r="L365" s="3">
        <v>15.38</v>
      </c>
      <c r="M365" s="3">
        <v>369.12</v>
      </c>
      <c r="N365" s="3">
        <v>0.2</v>
      </c>
      <c r="O365" s="2" t="s">
        <v>827</v>
      </c>
      <c r="P365" s="4">
        <v>45694.668333333335</v>
      </c>
      <c r="Q365" s="4">
        <v>45695.140833333338</v>
      </c>
      <c r="R365" s="2" t="s">
        <v>86</v>
      </c>
      <c r="S365" s="3">
        <v>8.6</v>
      </c>
      <c r="T365" s="2">
        <v>85</v>
      </c>
      <c r="U365" s="3">
        <v>9659</v>
      </c>
      <c r="V365" s="3">
        <v>0</v>
      </c>
      <c r="W365" s="2" t="s">
        <v>94</v>
      </c>
      <c r="X365" s="2" t="s">
        <v>121</v>
      </c>
      <c r="Y365" s="3">
        <v>0</v>
      </c>
      <c r="Z365" t="str">
        <f>INDEX(Assets!$J:$J,MATCH(UPPER(TRIM(B365)),Assets!$A:$A,0))</f>
        <v>Prairie</v>
      </c>
      <c r="AA365">
        <f t="shared" si="15"/>
        <v>295.29599999999999</v>
      </c>
      <c r="AB365" s="21">
        <f t="shared" si="16"/>
        <v>45689</v>
      </c>
      <c r="AC365">
        <f>SUMIFS(Production!$H:$H,Production!$A:$A,UPPER(TRIM(B365)),Production!$B:$B,AB365)-SUMIFS(Production!$I:$I,Production!$A:$A,UPPER(TRIM(B365)),Production!$B:$B,AB365)</f>
        <v>44</v>
      </c>
      <c r="AD365">
        <f t="shared" si="17"/>
        <v>12993.023999999999</v>
      </c>
    </row>
    <row r="366" spans="1:30" ht="21" customHeight="1">
      <c r="A366" s="2" t="s">
        <v>828</v>
      </c>
      <c r="B366" s="9" t="s">
        <v>52</v>
      </c>
      <c r="C366" s="5">
        <v>45708.5</v>
      </c>
      <c r="D366" s="4">
        <v>45709.171666666662</v>
      </c>
      <c r="E366" s="2" t="s">
        <v>83</v>
      </c>
      <c r="F366" s="2" t="s">
        <v>119</v>
      </c>
      <c r="G366" s="3">
        <v>0.91</v>
      </c>
      <c r="H366" s="3">
        <v>1.71</v>
      </c>
      <c r="I366" s="3">
        <v>0</v>
      </c>
      <c r="J366" s="3">
        <v>11.28</v>
      </c>
      <c r="K366" s="3">
        <v>2.2200000000000002</v>
      </c>
      <c r="L366" s="3">
        <v>16.12</v>
      </c>
      <c r="M366" s="3">
        <v>386.88</v>
      </c>
      <c r="N366" s="3">
        <v>0.11</v>
      </c>
      <c r="O366" s="2" t="s">
        <v>829</v>
      </c>
      <c r="P366" s="4">
        <v>45708.537916666668</v>
      </c>
      <c r="Q366" s="4">
        <v>45709.171666666662</v>
      </c>
      <c r="R366" s="2" t="s">
        <v>86</v>
      </c>
      <c r="S366" s="3">
        <v>11.28</v>
      </c>
      <c r="T366" s="2">
        <v>85</v>
      </c>
      <c r="U366" s="3">
        <v>3802</v>
      </c>
      <c r="V366" s="3">
        <v>0</v>
      </c>
      <c r="W366" s="2" t="s">
        <v>94</v>
      </c>
      <c r="X366" s="2" t="s">
        <v>121</v>
      </c>
      <c r="Y366" s="3">
        <v>0</v>
      </c>
      <c r="Z366" t="str">
        <f>INDEX(Assets!$J:$J,MATCH(UPPER(TRIM(B366)),Assets!$A:$A,0))</f>
        <v>Prairie</v>
      </c>
      <c r="AA366">
        <f t="shared" si="15"/>
        <v>344.32319999999999</v>
      </c>
      <c r="AB366" s="21">
        <f t="shared" si="16"/>
        <v>45689</v>
      </c>
      <c r="AC366">
        <f>SUMIFS(Production!$H:$H,Production!$A:$A,UPPER(TRIM(B366)),Production!$B:$B,AB366)-SUMIFS(Production!$I:$I,Production!$A:$A,UPPER(TRIM(B366)),Production!$B:$B,AB366)</f>
        <v>44</v>
      </c>
      <c r="AD366">
        <f t="shared" si="17"/>
        <v>15150.220799999999</v>
      </c>
    </row>
    <row r="367" spans="1:30" ht="21" customHeight="1">
      <c r="A367" s="2" t="s">
        <v>830</v>
      </c>
      <c r="B367" s="9" t="s">
        <v>52</v>
      </c>
      <c r="C367" s="5">
        <v>45723.5</v>
      </c>
      <c r="D367" s="4">
        <v>45724.170833333337</v>
      </c>
      <c r="E367" s="2" t="s">
        <v>83</v>
      </c>
      <c r="F367" s="2" t="s">
        <v>84</v>
      </c>
      <c r="G367" s="3">
        <v>0.91</v>
      </c>
      <c r="H367" s="3">
        <v>4.93</v>
      </c>
      <c r="I367" s="3">
        <v>0</v>
      </c>
      <c r="J367" s="3">
        <v>9.64</v>
      </c>
      <c r="K367" s="3">
        <v>0.62</v>
      </c>
      <c r="L367" s="3">
        <v>16.100000000000001</v>
      </c>
      <c r="M367" s="3">
        <v>386.4</v>
      </c>
      <c r="N367" s="3">
        <v>0.13</v>
      </c>
      <c r="O367" s="2" t="s">
        <v>831</v>
      </c>
      <c r="P367" s="4">
        <v>45723.537916666668</v>
      </c>
      <c r="Q367" s="4">
        <v>45724.170833333337</v>
      </c>
      <c r="R367" s="2" t="s">
        <v>86</v>
      </c>
      <c r="S367" s="3">
        <v>9.64</v>
      </c>
      <c r="T367" s="2">
        <v>85</v>
      </c>
      <c r="U367" s="3">
        <v>5529</v>
      </c>
      <c r="V367" s="3">
        <v>0</v>
      </c>
      <c r="W367" s="2" t="s">
        <v>94</v>
      </c>
      <c r="X367" s="2" t="s">
        <v>88</v>
      </c>
      <c r="Y367" s="3">
        <v>0</v>
      </c>
      <c r="Z367" t="str">
        <f>INDEX(Assets!$J:$J,MATCH(UPPER(TRIM(B367)),Assets!$A:$A,0))</f>
        <v>Prairie</v>
      </c>
      <c r="AA367">
        <f t="shared" si="15"/>
        <v>336.16800000000001</v>
      </c>
      <c r="AB367" s="21">
        <f t="shared" si="16"/>
        <v>45717</v>
      </c>
      <c r="AC367">
        <f>SUMIFS(Production!$H:$H,Production!$A:$A,UPPER(TRIM(B367)),Production!$B:$B,AB367)-SUMIFS(Production!$I:$I,Production!$A:$A,UPPER(TRIM(B367)),Production!$B:$B,AB367)</f>
        <v>42</v>
      </c>
      <c r="AD367">
        <f t="shared" si="17"/>
        <v>14119.056</v>
      </c>
    </row>
    <row r="368" spans="1:30" ht="21" customHeight="1">
      <c r="A368" s="2" t="s">
        <v>832</v>
      </c>
      <c r="B368" s="9" t="s">
        <v>52</v>
      </c>
      <c r="C368" s="5">
        <v>45735.5</v>
      </c>
      <c r="D368" s="4">
        <v>45736.535833333328</v>
      </c>
      <c r="E368" s="2" t="s">
        <v>83</v>
      </c>
      <c r="F368" s="2" t="s">
        <v>119</v>
      </c>
      <c r="G368" s="3">
        <v>1.1499999999999999</v>
      </c>
      <c r="H368" s="3">
        <v>3.26</v>
      </c>
      <c r="I368" s="3">
        <v>10.86</v>
      </c>
      <c r="J368" s="3">
        <v>8.1199999999999992</v>
      </c>
      <c r="K368" s="3">
        <v>1.47</v>
      </c>
      <c r="L368" s="3">
        <v>24.86</v>
      </c>
      <c r="M368" s="3">
        <v>596.64</v>
      </c>
      <c r="N368" s="3">
        <v>0.27</v>
      </c>
      <c r="O368" s="2" t="s">
        <v>833</v>
      </c>
      <c r="P368" s="4">
        <v>45735.547916666663</v>
      </c>
      <c r="Q368" s="4">
        <v>45736.535833333328</v>
      </c>
      <c r="R368" s="2" t="s">
        <v>86</v>
      </c>
      <c r="S368" s="3">
        <v>16.239999999999998</v>
      </c>
      <c r="T368" s="2">
        <v>85</v>
      </c>
      <c r="U368" s="3">
        <v>6358</v>
      </c>
      <c r="V368" s="3">
        <v>2245</v>
      </c>
      <c r="W368" s="2" t="s">
        <v>94</v>
      </c>
      <c r="X368" s="2" t="s">
        <v>121</v>
      </c>
      <c r="Y368" s="3">
        <v>0</v>
      </c>
      <c r="Z368" t="str">
        <f>INDEX(Assets!$J:$J,MATCH(UPPER(TRIM(B368)),Assets!$A:$A,0))</f>
        <v>Prairie</v>
      </c>
      <c r="AA368">
        <f t="shared" si="15"/>
        <v>435.54719999999998</v>
      </c>
      <c r="AB368" s="21">
        <f t="shared" si="16"/>
        <v>45717</v>
      </c>
      <c r="AC368">
        <f>SUMIFS(Production!$H:$H,Production!$A:$A,UPPER(TRIM(B368)),Production!$B:$B,AB368)-SUMIFS(Production!$I:$I,Production!$A:$A,UPPER(TRIM(B368)),Production!$B:$B,AB368)</f>
        <v>42</v>
      </c>
      <c r="AD368">
        <f t="shared" si="17"/>
        <v>18292.982400000001</v>
      </c>
    </row>
    <row r="369" spans="1:30" ht="21" customHeight="1">
      <c r="A369" s="2" t="s">
        <v>834</v>
      </c>
      <c r="B369" s="9" t="s">
        <v>52</v>
      </c>
      <c r="C369" s="5">
        <v>45751.5</v>
      </c>
      <c r="D369" s="4">
        <v>45753.094583333332</v>
      </c>
      <c r="E369" s="2" t="s">
        <v>83</v>
      </c>
      <c r="F369" s="2" t="s">
        <v>84</v>
      </c>
      <c r="G369" s="3">
        <v>4.62</v>
      </c>
      <c r="H369" s="3">
        <v>2.6</v>
      </c>
      <c r="I369" s="3">
        <v>25.43</v>
      </c>
      <c r="J369" s="3">
        <v>4.83</v>
      </c>
      <c r="K369" s="3">
        <v>0.79</v>
      </c>
      <c r="L369" s="3">
        <v>38.270000000000003</v>
      </c>
      <c r="M369" s="3">
        <v>918.48</v>
      </c>
      <c r="N369" s="3">
        <v>0.24</v>
      </c>
      <c r="O369" s="2" t="s">
        <v>835</v>
      </c>
      <c r="P369" s="4">
        <v>45751.692500000005</v>
      </c>
      <c r="Q369" s="4">
        <v>45753.094583333332</v>
      </c>
      <c r="R369" s="2" t="s">
        <v>86</v>
      </c>
      <c r="S369" s="3">
        <v>9.66</v>
      </c>
      <c r="T369" s="2">
        <v>85</v>
      </c>
      <c r="U369" s="3">
        <v>8840</v>
      </c>
      <c r="V369" s="3">
        <v>0</v>
      </c>
      <c r="W369" s="2" t="s">
        <v>94</v>
      </c>
      <c r="X369" s="2" t="s">
        <v>88</v>
      </c>
      <c r="Y369" s="3">
        <v>0</v>
      </c>
      <c r="Z369" t="str">
        <f>INDEX(Assets!$J:$J,MATCH(UPPER(TRIM(B369)),Assets!$A:$A,0))</f>
        <v>Prairie</v>
      </c>
      <c r="AA369">
        <f t="shared" si="15"/>
        <v>698.04480000000001</v>
      </c>
      <c r="AB369" s="21">
        <f t="shared" si="16"/>
        <v>45748</v>
      </c>
      <c r="AC369">
        <f>SUMIFS(Production!$H:$H,Production!$A:$A,UPPER(TRIM(B369)),Production!$B:$B,AB369)-SUMIFS(Production!$I:$I,Production!$A:$A,UPPER(TRIM(B369)),Production!$B:$B,AB369)</f>
        <v>40</v>
      </c>
      <c r="AD369">
        <f t="shared" si="17"/>
        <v>27921.792000000001</v>
      </c>
    </row>
    <row r="370" spans="1:30" ht="21" customHeight="1">
      <c r="A370" s="2" t="s">
        <v>836</v>
      </c>
      <c r="B370" s="9" t="s">
        <v>52</v>
      </c>
      <c r="C370" s="5">
        <v>45775.5</v>
      </c>
      <c r="D370" s="4">
        <v>45775.7575</v>
      </c>
      <c r="E370" s="2" t="s">
        <v>90</v>
      </c>
      <c r="F370" s="2" t="s">
        <v>91</v>
      </c>
      <c r="G370" s="3">
        <v>0</v>
      </c>
      <c r="H370" s="3">
        <v>0</v>
      </c>
      <c r="I370" s="3">
        <v>0</v>
      </c>
      <c r="J370" s="3">
        <v>6.18</v>
      </c>
      <c r="K370" s="3">
        <v>0</v>
      </c>
      <c r="L370" s="3">
        <v>6.18</v>
      </c>
      <c r="M370" s="3">
        <v>148.32</v>
      </c>
      <c r="N370" s="3">
        <v>0.25</v>
      </c>
      <c r="O370" s="2" t="s">
        <v>837</v>
      </c>
      <c r="P370" s="4">
        <v>45775.5</v>
      </c>
      <c r="Q370" s="4">
        <v>45775.7575</v>
      </c>
      <c r="R370" s="2" t="s">
        <v>93</v>
      </c>
      <c r="S370" s="3">
        <v>12.36</v>
      </c>
      <c r="T370" s="2">
        <v>85</v>
      </c>
      <c r="U370" s="3">
        <v>1529</v>
      </c>
      <c r="V370" s="3">
        <v>0</v>
      </c>
      <c r="W370" s="2" t="s">
        <v>94</v>
      </c>
      <c r="X370" s="2" t="s">
        <v>95</v>
      </c>
      <c r="Y370" s="3">
        <v>0</v>
      </c>
      <c r="Z370" t="str">
        <f>INDEX(Assets!$J:$J,MATCH(UPPER(TRIM(B370)),Assets!$A:$A,0))</f>
        <v>Prairie</v>
      </c>
      <c r="AA370">
        <f t="shared" si="15"/>
        <v>111.24</v>
      </c>
      <c r="AB370" s="21">
        <f t="shared" si="16"/>
        <v>45748</v>
      </c>
      <c r="AC370">
        <f>SUMIFS(Production!$H:$H,Production!$A:$A,UPPER(TRIM(B370)),Production!$B:$B,AB370)-SUMIFS(Production!$I:$I,Production!$A:$A,UPPER(TRIM(B370)),Production!$B:$B,AB370)</f>
        <v>40</v>
      </c>
      <c r="AD370">
        <f t="shared" si="17"/>
        <v>4449.5999999999995</v>
      </c>
    </row>
    <row r="371" spans="1:30" ht="21" customHeight="1">
      <c r="A371" s="2" t="s">
        <v>838</v>
      </c>
      <c r="B371" s="9" t="s">
        <v>52</v>
      </c>
      <c r="C371" s="5">
        <v>45782.5</v>
      </c>
      <c r="D371" s="4">
        <v>45783</v>
      </c>
      <c r="E371" s="2" t="s">
        <v>83</v>
      </c>
      <c r="F371" s="2" t="s">
        <v>115</v>
      </c>
      <c r="G371" s="3">
        <v>3.56</v>
      </c>
      <c r="H371" s="3">
        <v>1.42</v>
      </c>
      <c r="I371" s="3">
        <v>0</v>
      </c>
      <c r="J371" s="3">
        <v>4.66</v>
      </c>
      <c r="K371" s="3">
        <v>2.36</v>
      </c>
      <c r="L371" s="3">
        <v>12</v>
      </c>
      <c r="M371" s="3">
        <v>288</v>
      </c>
      <c r="N371" s="3">
        <v>0.12</v>
      </c>
      <c r="O371" s="2" t="s">
        <v>839</v>
      </c>
      <c r="P371" s="4">
        <v>45782.648333333331</v>
      </c>
      <c r="Q371" s="4">
        <v>45783</v>
      </c>
      <c r="R371" s="2" t="s">
        <v>86</v>
      </c>
      <c r="S371" s="3">
        <v>4.66</v>
      </c>
      <c r="T371" s="2">
        <v>85</v>
      </c>
      <c r="U371" s="3">
        <v>4880</v>
      </c>
      <c r="V371" s="3">
        <v>0</v>
      </c>
      <c r="W371" s="2" t="s">
        <v>94</v>
      </c>
      <c r="X371" s="2" t="s">
        <v>117</v>
      </c>
      <c r="Y371" s="3">
        <v>0</v>
      </c>
      <c r="Z371" t="str">
        <f>INDEX(Assets!$J:$J,MATCH(UPPER(TRIM(B371)),Assets!$A:$A,0))</f>
        <v>Prairie</v>
      </c>
      <c r="AA371">
        <f t="shared" si="15"/>
        <v>253.44</v>
      </c>
      <c r="AB371" s="21">
        <f t="shared" si="16"/>
        <v>45778</v>
      </c>
      <c r="AC371">
        <f>SUMIFS(Production!$H:$H,Production!$A:$A,UPPER(TRIM(B371)),Production!$B:$B,AB371)-SUMIFS(Production!$I:$I,Production!$A:$A,UPPER(TRIM(B371)),Production!$B:$B,AB371)</f>
        <v>38</v>
      </c>
      <c r="AD371">
        <f t="shared" si="17"/>
        <v>9630.7199999999993</v>
      </c>
    </row>
    <row r="372" spans="1:30" ht="21" customHeight="1">
      <c r="A372" s="2" t="s">
        <v>840</v>
      </c>
      <c r="B372" s="9" t="s">
        <v>52</v>
      </c>
      <c r="C372" s="5">
        <v>45799.5</v>
      </c>
      <c r="D372" s="4">
        <v>45800.207500000004</v>
      </c>
      <c r="E372" s="2" t="s">
        <v>83</v>
      </c>
      <c r="F372" s="2" t="s">
        <v>84</v>
      </c>
      <c r="G372" s="3">
        <v>1.0900000000000001</v>
      </c>
      <c r="H372" s="3">
        <v>5.92</v>
      </c>
      <c r="I372" s="3">
        <v>0</v>
      </c>
      <c r="J372" s="3">
        <v>8.39</v>
      </c>
      <c r="K372" s="3">
        <v>1.58</v>
      </c>
      <c r="L372" s="3">
        <v>16.98</v>
      </c>
      <c r="M372" s="3">
        <v>407.52</v>
      </c>
      <c r="N372" s="3">
        <v>0.28999999999999998</v>
      </c>
      <c r="O372" s="2" t="s">
        <v>841</v>
      </c>
      <c r="P372" s="4">
        <v>45799.545416666668</v>
      </c>
      <c r="Q372" s="4">
        <v>45800.207500000004</v>
      </c>
      <c r="R372" s="2" t="s">
        <v>86</v>
      </c>
      <c r="S372" s="3">
        <v>16.78</v>
      </c>
      <c r="T372" s="2">
        <v>85</v>
      </c>
      <c r="U372" s="3">
        <v>5209</v>
      </c>
      <c r="V372" s="3">
        <v>0</v>
      </c>
      <c r="W372" s="2" t="s">
        <v>94</v>
      </c>
      <c r="X372" s="2" t="s">
        <v>88</v>
      </c>
      <c r="Y372" s="3">
        <v>0</v>
      </c>
      <c r="Z372" t="str">
        <f>INDEX(Assets!$J:$J,MATCH(UPPER(TRIM(B372)),Assets!$A:$A,0))</f>
        <v>Prairie</v>
      </c>
      <c r="AA372">
        <f t="shared" si="15"/>
        <v>289.33919999999995</v>
      </c>
      <c r="AB372" s="21">
        <f t="shared" si="16"/>
        <v>45778</v>
      </c>
      <c r="AC372">
        <f>SUMIFS(Production!$H:$H,Production!$A:$A,UPPER(TRIM(B372)),Production!$B:$B,AB372)-SUMIFS(Production!$I:$I,Production!$A:$A,UPPER(TRIM(B372)),Production!$B:$B,AB372)</f>
        <v>38</v>
      </c>
      <c r="AD372">
        <f t="shared" si="17"/>
        <v>10994.889599999999</v>
      </c>
    </row>
    <row r="373" spans="1:30" ht="21" customHeight="1">
      <c r="A373" s="2" t="s">
        <v>842</v>
      </c>
      <c r="B373" s="9" t="s">
        <v>52</v>
      </c>
      <c r="C373" s="5">
        <v>45812.5</v>
      </c>
      <c r="D373" s="4">
        <v>45813.626250000001</v>
      </c>
      <c r="E373" s="2" t="s">
        <v>83</v>
      </c>
      <c r="F373" s="2" t="s">
        <v>84</v>
      </c>
      <c r="G373" s="3">
        <v>1.51</v>
      </c>
      <c r="H373" s="3">
        <v>2.4700000000000002</v>
      </c>
      <c r="I373" s="3">
        <v>13.28</v>
      </c>
      <c r="J373" s="3">
        <v>8.84</v>
      </c>
      <c r="K373" s="3">
        <v>0.93</v>
      </c>
      <c r="L373" s="3">
        <v>27.03</v>
      </c>
      <c r="M373" s="3">
        <v>648.72</v>
      </c>
      <c r="N373" s="3">
        <v>0.22</v>
      </c>
      <c r="O373" s="2" t="s">
        <v>843</v>
      </c>
      <c r="P373" s="4">
        <v>45812.562916666662</v>
      </c>
      <c r="Q373" s="4">
        <v>45813.626250000001</v>
      </c>
      <c r="R373" s="2" t="s">
        <v>86</v>
      </c>
      <c r="S373" s="3">
        <v>8.84</v>
      </c>
      <c r="T373" s="2">
        <v>85</v>
      </c>
      <c r="U373" s="3">
        <v>2833</v>
      </c>
      <c r="V373" s="3">
        <v>0</v>
      </c>
      <c r="W373" s="2" t="s">
        <v>94</v>
      </c>
      <c r="X373" s="2" t="s">
        <v>88</v>
      </c>
      <c r="Y373" s="3">
        <v>0</v>
      </c>
      <c r="Z373" t="str">
        <f>INDEX(Assets!$J:$J,MATCH(UPPER(TRIM(B373)),Assets!$A:$A,0))</f>
        <v>Prairie</v>
      </c>
      <c r="AA373">
        <f t="shared" si="15"/>
        <v>506.00160000000005</v>
      </c>
      <c r="AB373" s="21">
        <f t="shared" si="16"/>
        <v>45809</v>
      </c>
      <c r="AC373">
        <f>SUMIFS(Production!$H:$H,Production!$A:$A,UPPER(TRIM(B373)),Production!$B:$B,AB373)-SUMIFS(Production!$I:$I,Production!$A:$A,UPPER(TRIM(B373)),Production!$B:$B,AB373)</f>
        <v>39</v>
      </c>
      <c r="AD373">
        <f t="shared" si="17"/>
        <v>19734.062400000003</v>
      </c>
    </row>
    <row r="374" spans="1:30" ht="21" customHeight="1">
      <c r="A374" s="2" t="s">
        <v>844</v>
      </c>
      <c r="B374" s="9" t="s">
        <v>52</v>
      </c>
      <c r="C374" s="5">
        <v>45829.5</v>
      </c>
      <c r="D374" s="4">
        <v>45830.426666666666</v>
      </c>
      <c r="E374" s="2" t="s">
        <v>83</v>
      </c>
      <c r="F374" s="2" t="s">
        <v>115</v>
      </c>
      <c r="G374" s="3">
        <v>2.27</v>
      </c>
      <c r="H374" s="3">
        <v>2.67</v>
      </c>
      <c r="I374" s="3">
        <v>9.61</v>
      </c>
      <c r="J374" s="3">
        <v>5.91</v>
      </c>
      <c r="K374" s="3">
        <v>1.78</v>
      </c>
      <c r="L374" s="3">
        <v>22.24</v>
      </c>
      <c r="M374" s="3">
        <v>533.76</v>
      </c>
      <c r="N374" s="3">
        <v>0.09</v>
      </c>
      <c r="O374" s="2" t="s">
        <v>845</v>
      </c>
      <c r="P374" s="4">
        <v>45829.594583333332</v>
      </c>
      <c r="Q374" s="4">
        <v>45830.426666666666</v>
      </c>
      <c r="R374" s="2" t="s">
        <v>86</v>
      </c>
      <c r="S374" s="3">
        <v>5.91</v>
      </c>
      <c r="T374" s="2">
        <v>85</v>
      </c>
      <c r="U374" s="3">
        <v>1702</v>
      </c>
      <c r="V374" s="3">
        <v>0</v>
      </c>
      <c r="W374" s="2" t="s">
        <v>94</v>
      </c>
      <c r="X374" s="2" t="s">
        <v>117</v>
      </c>
      <c r="Y374" s="3">
        <v>0</v>
      </c>
      <c r="Z374" t="str">
        <f>INDEX(Assets!$J:$J,MATCH(UPPER(TRIM(B374)),Assets!$A:$A,0))</f>
        <v>Prairie</v>
      </c>
      <c r="AA374">
        <f t="shared" si="15"/>
        <v>485.72160000000002</v>
      </c>
      <c r="AB374" s="21">
        <f t="shared" si="16"/>
        <v>45809</v>
      </c>
      <c r="AC374">
        <f>SUMIFS(Production!$H:$H,Production!$A:$A,UPPER(TRIM(B374)),Production!$B:$B,AB374)-SUMIFS(Production!$I:$I,Production!$A:$A,UPPER(TRIM(B374)),Production!$B:$B,AB374)</f>
        <v>39</v>
      </c>
      <c r="AD374">
        <f t="shared" si="17"/>
        <v>18943.142400000001</v>
      </c>
    </row>
    <row r="375" spans="1:30" ht="21" customHeight="1">
      <c r="A375" s="2" t="s">
        <v>846</v>
      </c>
      <c r="B375" s="9" t="s">
        <v>52</v>
      </c>
      <c r="C375" s="5">
        <v>45848.5</v>
      </c>
      <c r="D375" s="4">
        <v>45849.278333333335</v>
      </c>
      <c r="E375" s="2" t="s">
        <v>83</v>
      </c>
      <c r="F375" s="2" t="s">
        <v>119</v>
      </c>
      <c r="G375" s="3">
        <v>0.85</v>
      </c>
      <c r="H375" s="3">
        <v>5.44</v>
      </c>
      <c r="I375" s="3">
        <v>0</v>
      </c>
      <c r="J375" s="3">
        <v>11.79</v>
      </c>
      <c r="K375" s="3">
        <v>0.6</v>
      </c>
      <c r="L375" s="3">
        <v>18.68</v>
      </c>
      <c r="M375" s="3">
        <v>448.32</v>
      </c>
      <c r="N375" s="3">
        <v>0.2</v>
      </c>
      <c r="O375" s="2" t="s">
        <v>847</v>
      </c>
      <c r="P375" s="4">
        <v>45848.535416666666</v>
      </c>
      <c r="Q375" s="4">
        <v>45849.278333333335</v>
      </c>
      <c r="R375" s="2" t="s">
        <v>86</v>
      </c>
      <c r="S375" s="3">
        <v>11.79</v>
      </c>
      <c r="T375" s="2">
        <v>85</v>
      </c>
      <c r="U375" s="3">
        <v>1329</v>
      </c>
      <c r="V375" s="3">
        <v>0</v>
      </c>
      <c r="W375" s="2" t="s">
        <v>94</v>
      </c>
      <c r="X375" s="2" t="s">
        <v>121</v>
      </c>
      <c r="Y375" s="3">
        <v>0</v>
      </c>
      <c r="Z375" t="str">
        <f>INDEX(Assets!$J:$J,MATCH(UPPER(TRIM(B375)),Assets!$A:$A,0))</f>
        <v>Prairie</v>
      </c>
      <c r="AA375">
        <f t="shared" si="15"/>
        <v>358.65600000000001</v>
      </c>
      <c r="AB375" s="21">
        <f t="shared" si="16"/>
        <v>45839</v>
      </c>
      <c r="AC375">
        <f>SUMIFS(Production!$H:$H,Production!$A:$A,UPPER(TRIM(B375)),Production!$B:$B,AB375)-SUMIFS(Production!$I:$I,Production!$A:$A,UPPER(TRIM(B375)),Production!$B:$B,AB375)</f>
        <v>41</v>
      </c>
      <c r="AD375">
        <f t="shared" si="17"/>
        <v>14704.896000000001</v>
      </c>
    </row>
    <row r="376" spans="1:30" ht="21" customHeight="1">
      <c r="A376" s="2" t="s">
        <v>848</v>
      </c>
      <c r="B376" s="9" t="s">
        <v>52</v>
      </c>
      <c r="C376" s="5">
        <v>45859.5</v>
      </c>
      <c r="D376" s="4">
        <v>45860.959166666667</v>
      </c>
      <c r="E376" s="2" t="s">
        <v>83</v>
      </c>
      <c r="F376" s="2" t="s">
        <v>97</v>
      </c>
      <c r="G376" s="3">
        <v>2.04</v>
      </c>
      <c r="H376" s="3">
        <v>3.75</v>
      </c>
      <c r="I376" s="3">
        <v>19.649999999999999</v>
      </c>
      <c r="J376" s="3">
        <v>8.66</v>
      </c>
      <c r="K376" s="3">
        <v>0.92</v>
      </c>
      <c r="L376" s="3">
        <v>35.020000000000003</v>
      </c>
      <c r="M376" s="3">
        <v>840.48</v>
      </c>
      <c r="N376" s="3">
        <v>0.2</v>
      </c>
      <c r="O376" s="2" t="s">
        <v>849</v>
      </c>
      <c r="P376" s="4">
        <v>45859.584999999999</v>
      </c>
      <c r="Q376" s="4">
        <v>45860.959166666667</v>
      </c>
      <c r="R376" s="2" t="s">
        <v>86</v>
      </c>
      <c r="S376" s="3">
        <v>8.66</v>
      </c>
      <c r="T376" s="2">
        <v>85</v>
      </c>
      <c r="U376" s="3">
        <v>7220</v>
      </c>
      <c r="V376" s="3">
        <v>0</v>
      </c>
      <c r="W376" s="2" t="s">
        <v>94</v>
      </c>
      <c r="X376" s="2" t="s">
        <v>99</v>
      </c>
      <c r="Y376" s="3">
        <v>0</v>
      </c>
      <c r="Z376" t="str">
        <f>INDEX(Assets!$J:$J,MATCH(UPPER(TRIM(B376)),Assets!$A:$A,0))</f>
        <v>Prairie</v>
      </c>
      <c r="AA376">
        <f t="shared" si="15"/>
        <v>672.38400000000001</v>
      </c>
      <c r="AB376" s="21">
        <f t="shared" si="16"/>
        <v>45839</v>
      </c>
      <c r="AC376">
        <f>SUMIFS(Production!$H:$H,Production!$A:$A,UPPER(TRIM(B376)),Production!$B:$B,AB376)-SUMIFS(Production!$I:$I,Production!$A:$A,UPPER(TRIM(B376)),Production!$B:$B,AB376)</f>
        <v>41</v>
      </c>
      <c r="AD376">
        <f t="shared" si="17"/>
        <v>27567.743999999999</v>
      </c>
    </row>
    <row r="377" spans="1:30" ht="21" customHeight="1">
      <c r="A377" s="2" t="s">
        <v>850</v>
      </c>
      <c r="B377" s="9" t="s">
        <v>52</v>
      </c>
      <c r="C377" s="5">
        <v>45866.5</v>
      </c>
      <c r="D377" s="4">
        <v>45866.727083333331</v>
      </c>
      <c r="E377" s="2" t="s">
        <v>90</v>
      </c>
      <c r="F377" s="2" t="s">
        <v>91</v>
      </c>
      <c r="G377" s="3">
        <v>0</v>
      </c>
      <c r="H377" s="3">
        <v>0</v>
      </c>
      <c r="I377" s="3">
        <v>0</v>
      </c>
      <c r="J377" s="3">
        <v>5.45</v>
      </c>
      <c r="K377" s="3">
        <v>0</v>
      </c>
      <c r="L377" s="3">
        <v>5.45</v>
      </c>
      <c r="M377" s="3">
        <v>130.80000000000001</v>
      </c>
      <c r="N377" s="3">
        <v>0.25</v>
      </c>
      <c r="O377" s="2" t="s">
        <v>851</v>
      </c>
      <c r="P377" s="4">
        <v>45866.5</v>
      </c>
      <c r="Q377" s="4">
        <v>45866.727083333331</v>
      </c>
      <c r="R377" s="2" t="s">
        <v>93</v>
      </c>
      <c r="S377" s="3">
        <v>5.45</v>
      </c>
      <c r="T377" s="2">
        <v>85</v>
      </c>
      <c r="U377" s="3">
        <v>1697</v>
      </c>
      <c r="V377" s="3">
        <v>2775</v>
      </c>
      <c r="W377" s="2" t="s">
        <v>94</v>
      </c>
      <c r="X377" s="2" t="s">
        <v>95</v>
      </c>
      <c r="Y377" s="3">
        <v>0</v>
      </c>
      <c r="Z377" t="str">
        <f>INDEX(Assets!$J:$J,MATCH(UPPER(TRIM(B377)),Assets!$A:$A,0))</f>
        <v>Prairie</v>
      </c>
      <c r="AA377">
        <f t="shared" si="15"/>
        <v>98.100000000000009</v>
      </c>
      <c r="AB377" s="21">
        <f t="shared" si="16"/>
        <v>45839</v>
      </c>
      <c r="AC377">
        <f>SUMIFS(Production!$H:$H,Production!$A:$A,UPPER(TRIM(B377)),Production!$B:$B,AB377)-SUMIFS(Production!$I:$I,Production!$A:$A,UPPER(TRIM(B377)),Production!$B:$B,AB377)</f>
        <v>41</v>
      </c>
      <c r="AD377">
        <f t="shared" si="17"/>
        <v>4022.1000000000004</v>
      </c>
    </row>
    <row r="378" spans="1:30" ht="21" customHeight="1">
      <c r="A378" s="2" t="s">
        <v>852</v>
      </c>
      <c r="B378" s="9" t="s">
        <v>52</v>
      </c>
      <c r="C378" s="5">
        <v>45875.5</v>
      </c>
      <c r="D378" s="4">
        <v>45877.070833333331</v>
      </c>
      <c r="E378" s="2" t="s">
        <v>83</v>
      </c>
      <c r="F378" s="2" t="s">
        <v>97</v>
      </c>
      <c r="G378" s="3">
        <v>2.7</v>
      </c>
      <c r="H378" s="3">
        <v>2.94</v>
      </c>
      <c r="I378" s="3">
        <v>21.71</v>
      </c>
      <c r="J378" s="3">
        <v>8</v>
      </c>
      <c r="K378" s="3">
        <v>2.35</v>
      </c>
      <c r="L378" s="3">
        <v>37.700000000000003</v>
      </c>
      <c r="M378" s="3">
        <v>904.8</v>
      </c>
      <c r="N378" s="3">
        <v>0.15</v>
      </c>
      <c r="O378" s="2" t="s">
        <v>853</v>
      </c>
      <c r="P378" s="4">
        <v>45875.612500000003</v>
      </c>
      <c r="Q378" s="4">
        <v>45877.070833333331</v>
      </c>
      <c r="R378" s="2" t="s">
        <v>86</v>
      </c>
      <c r="S378" s="3">
        <v>16</v>
      </c>
      <c r="T378" s="2">
        <v>85</v>
      </c>
      <c r="U378" s="3">
        <v>3097</v>
      </c>
      <c r="V378" s="3">
        <v>3454</v>
      </c>
      <c r="W378" s="2" t="s">
        <v>94</v>
      </c>
      <c r="X378" s="2" t="s">
        <v>99</v>
      </c>
      <c r="Y378" s="3">
        <v>0</v>
      </c>
      <c r="Z378" t="str">
        <f>INDEX(Assets!$J:$J,MATCH(UPPER(TRIM(B378)),Assets!$A:$A,0))</f>
        <v>Prairie</v>
      </c>
      <c r="AA378">
        <f t="shared" si="15"/>
        <v>769.07999999999993</v>
      </c>
      <c r="AB378" s="21">
        <f t="shared" si="16"/>
        <v>45870</v>
      </c>
      <c r="AC378">
        <f>SUMIFS(Production!$H:$H,Production!$A:$A,UPPER(TRIM(B378)),Production!$B:$B,AB378)-SUMIFS(Production!$I:$I,Production!$A:$A,UPPER(TRIM(B378)),Production!$B:$B,AB378)</f>
        <v>40</v>
      </c>
      <c r="AD378">
        <f t="shared" si="17"/>
        <v>30763.199999999997</v>
      </c>
    </row>
    <row r="379" spans="1:30" ht="21" customHeight="1">
      <c r="A379" s="2" t="s">
        <v>854</v>
      </c>
      <c r="B379" s="9" t="s">
        <v>52</v>
      </c>
      <c r="C379" s="5">
        <v>45910.5</v>
      </c>
      <c r="D379" s="4">
        <v>45911.175416666665</v>
      </c>
      <c r="E379" s="2" t="s">
        <v>83</v>
      </c>
      <c r="F379" s="2" t="s">
        <v>97</v>
      </c>
      <c r="G379" s="3">
        <v>1.74</v>
      </c>
      <c r="H379" s="3">
        <v>3.23</v>
      </c>
      <c r="I379" s="3">
        <v>0</v>
      </c>
      <c r="J379" s="3">
        <v>9.8699999999999992</v>
      </c>
      <c r="K379" s="3">
        <v>1.37</v>
      </c>
      <c r="L379" s="3">
        <v>16.21</v>
      </c>
      <c r="M379" s="3">
        <v>389.04</v>
      </c>
      <c r="N379" s="3">
        <v>0.15</v>
      </c>
      <c r="O379" s="2" t="s">
        <v>855</v>
      </c>
      <c r="P379" s="4">
        <v>45910.572499999995</v>
      </c>
      <c r="Q379" s="4">
        <v>45911.175416666665</v>
      </c>
      <c r="R379" s="2" t="s">
        <v>86</v>
      </c>
      <c r="S379" s="3">
        <v>9.8699999999999992</v>
      </c>
      <c r="T379" s="2">
        <v>85</v>
      </c>
      <c r="U379" s="3"/>
      <c r="V379" s="3">
        <v>0</v>
      </c>
      <c r="W379" s="2" t="s">
        <v>87</v>
      </c>
      <c r="X379" s="2" t="s">
        <v>99</v>
      </c>
      <c r="Y379" s="3">
        <v>0</v>
      </c>
      <c r="Z379" t="str">
        <f>INDEX(Assets!$J:$J,MATCH(UPPER(TRIM(B379)),Assets!$A:$A,0))</f>
        <v>Prairie</v>
      </c>
      <c r="AA379">
        <f t="shared" si="15"/>
        <v>330.68400000000003</v>
      </c>
      <c r="AB379" s="21">
        <f t="shared" si="16"/>
        <v>45901</v>
      </c>
      <c r="AC379">
        <f>SUMIFS(Production!$H:$H,Production!$A:$A,UPPER(TRIM(B379)),Production!$B:$B,AB379)-SUMIFS(Production!$I:$I,Production!$A:$A,UPPER(TRIM(B379)),Production!$B:$B,AB379)</f>
        <v>37</v>
      </c>
      <c r="AD379">
        <f t="shared" si="17"/>
        <v>12235.308000000001</v>
      </c>
    </row>
    <row r="380" spans="1:30" ht="21" customHeight="1">
      <c r="A380" s="2" t="s">
        <v>856</v>
      </c>
      <c r="B380" s="9" t="s">
        <v>52</v>
      </c>
      <c r="C380" s="5">
        <v>45919.5</v>
      </c>
      <c r="D380" s="4">
        <v>45920.722500000003</v>
      </c>
      <c r="E380" s="2" t="s">
        <v>83</v>
      </c>
      <c r="F380" s="2" t="s">
        <v>119</v>
      </c>
      <c r="G380" s="3">
        <v>3.96</v>
      </c>
      <c r="H380" s="3">
        <v>1.76</v>
      </c>
      <c r="I380" s="3">
        <v>12.77</v>
      </c>
      <c r="J380" s="3">
        <v>10.02</v>
      </c>
      <c r="K380" s="3">
        <v>0.83</v>
      </c>
      <c r="L380" s="3">
        <v>29.34</v>
      </c>
      <c r="M380" s="3">
        <v>704.16</v>
      </c>
      <c r="N380" s="3">
        <v>0.17</v>
      </c>
      <c r="O380" s="2" t="s">
        <v>857</v>
      </c>
      <c r="P380" s="4">
        <v>45919.665000000001</v>
      </c>
      <c r="Q380" s="4">
        <v>45920.722500000003</v>
      </c>
      <c r="R380" s="2" t="s">
        <v>86</v>
      </c>
      <c r="S380" s="3">
        <v>10.02</v>
      </c>
      <c r="T380" s="2">
        <v>85</v>
      </c>
      <c r="U380" s="3">
        <v>1946</v>
      </c>
      <c r="V380" s="3">
        <v>1875</v>
      </c>
      <c r="W380" s="2" t="s">
        <v>94</v>
      </c>
      <c r="X380" s="2" t="s">
        <v>121</v>
      </c>
      <c r="Y380" s="3">
        <v>0</v>
      </c>
      <c r="Z380" t="str">
        <f>INDEX(Assets!$J:$J,MATCH(UPPER(TRIM(B380)),Assets!$A:$A,0))</f>
        <v>Prairie</v>
      </c>
      <c r="AA380">
        <f t="shared" si="15"/>
        <v>584.45279999999991</v>
      </c>
      <c r="AB380" s="21">
        <f t="shared" si="16"/>
        <v>45901</v>
      </c>
      <c r="AC380">
        <f>SUMIFS(Production!$H:$H,Production!$A:$A,UPPER(TRIM(B380)),Production!$B:$B,AB380)-SUMIFS(Production!$I:$I,Production!$A:$A,UPPER(TRIM(B380)),Production!$B:$B,AB380)</f>
        <v>37</v>
      </c>
      <c r="AD380">
        <f t="shared" si="17"/>
        <v>21624.753599999996</v>
      </c>
    </row>
    <row r="381" spans="1:30" ht="21" customHeight="1">
      <c r="A381" s="2" t="s">
        <v>858</v>
      </c>
      <c r="B381" s="9" t="s">
        <v>52</v>
      </c>
      <c r="C381" s="5">
        <v>45939.5</v>
      </c>
      <c r="D381" s="4">
        <v>45940.151666666672</v>
      </c>
      <c r="E381" s="2" t="s">
        <v>83</v>
      </c>
      <c r="F381" s="2" t="s">
        <v>101</v>
      </c>
      <c r="G381" s="3">
        <v>1.92</v>
      </c>
      <c r="H381" s="3">
        <v>4.5599999999999996</v>
      </c>
      <c r="I381" s="3">
        <v>0</v>
      </c>
      <c r="J381" s="3">
        <v>7.59</v>
      </c>
      <c r="K381" s="3">
        <v>1.57</v>
      </c>
      <c r="L381" s="3">
        <v>15.64</v>
      </c>
      <c r="M381" s="3">
        <v>375.36</v>
      </c>
      <c r="N381" s="3">
        <v>0.19</v>
      </c>
      <c r="O381" s="2" t="s">
        <v>859</v>
      </c>
      <c r="P381" s="4">
        <v>45939.58</v>
      </c>
      <c r="Q381" s="4">
        <v>45940.151666666672</v>
      </c>
      <c r="R381" s="2" t="s">
        <v>86</v>
      </c>
      <c r="S381" s="3">
        <v>7.59</v>
      </c>
      <c r="T381" s="2">
        <v>85</v>
      </c>
      <c r="U381" s="3">
        <v>8216</v>
      </c>
      <c r="V381" s="3">
        <v>0</v>
      </c>
      <c r="W381" s="2" t="s">
        <v>94</v>
      </c>
      <c r="X381" s="2" t="s">
        <v>103</v>
      </c>
      <c r="Y381" s="3">
        <v>0</v>
      </c>
      <c r="Z381" t="str">
        <f>INDEX(Assets!$J:$J,MATCH(UPPER(TRIM(B381)),Assets!$A:$A,0))</f>
        <v>Prairie</v>
      </c>
      <c r="AA381">
        <f t="shared" si="15"/>
        <v>304.04160000000002</v>
      </c>
      <c r="AB381" s="21">
        <f t="shared" si="16"/>
        <v>45931</v>
      </c>
      <c r="AC381">
        <f>SUMIFS(Production!$H:$H,Production!$A:$A,UPPER(TRIM(B381)),Production!$B:$B,AB381)-SUMIFS(Production!$I:$I,Production!$A:$A,UPPER(TRIM(B381)),Production!$B:$B,AB381)</f>
        <v>36</v>
      </c>
      <c r="AD381">
        <f t="shared" si="17"/>
        <v>10945.497600000001</v>
      </c>
    </row>
    <row r="382" spans="1:30" ht="21" customHeight="1">
      <c r="A382" s="2" t="s">
        <v>860</v>
      </c>
      <c r="B382" s="9" t="s">
        <v>52</v>
      </c>
      <c r="C382" s="5">
        <v>45950.5</v>
      </c>
      <c r="D382" s="4">
        <v>45951.237083333333</v>
      </c>
      <c r="E382" s="2" t="s">
        <v>83</v>
      </c>
      <c r="F382" s="2" t="s">
        <v>97</v>
      </c>
      <c r="G382" s="3">
        <v>1.32</v>
      </c>
      <c r="H382" s="3">
        <v>5.85</v>
      </c>
      <c r="I382" s="3">
        <v>0</v>
      </c>
      <c r="J382" s="3">
        <v>9.57</v>
      </c>
      <c r="K382" s="3">
        <v>0.95</v>
      </c>
      <c r="L382" s="3">
        <v>17.690000000000001</v>
      </c>
      <c r="M382" s="3">
        <v>424.56</v>
      </c>
      <c r="N382" s="3">
        <v>0.14000000000000001</v>
      </c>
      <c r="O382" s="2" t="s">
        <v>861</v>
      </c>
      <c r="P382" s="4">
        <v>45950.555</v>
      </c>
      <c r="Q382" s="4">
        <v>45951.237083333333</v>
      </c>
      <c r="R382" s="2" t="s">
        <v>86</v>
      </c>
      <c r="S382" s="3">
        <v>9.57</v>
      </c>
      <c r="T382" s="2">
        <v>85</v>
      </c>
      <c r="U382" s="3">
        <v>6143</v>
      </c>
      <c r="V382" s="3">
        <v>0</v>
      </c>
      <c r="W382" s="2" t="s">
        <v>94</v>
      </c>
      <c r="X382" s="2" t="s">
        <v>99</v>
      </c>
      <c r="Y382" s="3">
        <v>0</v>
      </c>
      <c r="Z382" t="str">
        <f>INDEX(Assets!$J:$J,MATCH(UPPER(TRIM(B382)),Assets!$A:$A,0))</f>
        <v>Prairie</v>
      </c>
      <c r="AA382">
        <f t="shared" si="15"/>
        <v>365.1216</v>
      </c>
      <c r="AB382" s="21">
        <f t="shared" si="16"/>
        <v>45931</v>
      </c>
      <c r="AC382">
        <f>SUMIFS(Production!$H:$H,Production!$A:$A,UPPER(TRIM(B382)),Production!$B:$B,AB382)-SUMIFS(Production!$I:$I,Production!$A:$A,UPPER(TRIM(B382)),Production!$B:$B,AB382)</f>
        <v>36</v>
      </c>
      <c r="AD382">
        <f t="shared" si="17"/>
        <v>13144.3776</v>
      </c>
    </row>
    <row r="383" spans="1:30" ht="21" customHeight="1">
      <c r="A383" s="2" t="s">
        <v>862</v>
      </c>
      <c r="B383" s="9" t="s">
        <v>52</v>
      </c>
      <c r="C383" s="5">
        <v>45958.5</v>
      </c>
      <c r="D383" s="4">
        <v>45958.637499999997</v>
      </c>
      <c r="E383" s="2" t="s">
        <v>90</v>
      </c>
      <c r="F383" s="2" t="s">
        <v>91</v>
      </c>
      <c r="G383" s="3">
        <v>0</v>
      </c>
      <c r="H383" s="3">
        <v>0</v>
      </c>
      <c r="I383" s="3">
        <v>0</v>
      </c>
      <c r="J383" s="3">
        <v>3.3</v>
      </c>
      <c r="K383" s="3">
        <v>0</v>
      </c>
      <c r="L383" s="3">
        <v>3.3</v>
      </c>
      <c r="M383" s="3">
        <v>79.2</v>
      </c>
      <c r="N383" s="3">
        <v>0.25</v>
      </c>
      <c r="O383" s="2" t="s">
        <v>863</v>
      </c>
      <c r="P383" s="4">
        <v>45958.5</v>
      </c>
      <c r="Q383" s="4">
        <v>45958.637499999997</v>
      </c>
      <c r="R383" s="2" t="s">
        <v>93</v>
      </c>
      <c r="S383" s="3">
        <v>3.3</v>
      </c>
      <c r="T383" s="2">
        <v>85</v>
      </c>
      <c r="U383" s="3">
        <v>1360</v>
      </c>
      <c r="V383" s="3">
        <v>0</v>
      </c>
      <c r="W383" s="2" t="s">
        <v>94</v>
      </c>
      <c r="X383" s="2" t="s">
        <v>95</v>
      </c>
      <c r="Y383" s="3">
        <v>0</v>
      </c>
      <c r="Z383" t="str">
        <f>INDEX(Assets!$J:$J,MATCH(UPPER(TRIM(B383)),Assets!$A:$A,0))</f>
        <v>Prairie</v>
      </c>
      <c r="AA383">
        <f t="shared" si="15"/>
        <v>59.400000000000006</v>
      </c>
      <c r="AB383" s="21">
        <f t="shared" si="16"/>
        <v>45931</v>
      </c>
      <c r="AC383">
        <f>SUMIFS(Production!$H:$H,Production!$A:$A,UPPER(TRIM(B383)),Production!$B:$B,AB383)-SUMIFS(Production!$I:$I,Production!$A:$A,UPPER(TRIM(B383)),Production!$B:$B,AB383)</f>
        <v>36</v>
      </c>
      <c r="AD383">
        <f t="shared" si="17"/>
        <v>2138.4</v>
      </c>
    </row>
    <row r="384" spans="1:30" ht="21" customHeight="1">
      <c r="A384" s="2" t="s">
        <v>864</v>
      </c>
      <c r="B384" s="9" t="s">
        <v>52</v>
      </c>
      <c r="C384" s="5">
        <v>45967.5</v>
      </c>
      <c r="D384" s="4">
        <v>45968.903749999998</v>
      </c>
      <c r="E384" s="2" t="s">
        <v>83</v>
      </c>
      <c r="F384" s="2" t="s">
        <v>84</v>
      </c>
      <c r="G384" s="3">
        <v>2.57</v>
      </c>
      <c r="H384" s="3">
        <v>6.11</v>
      </c>
      <c r="I384" s="3">
        <v>20.66</v>
      </c>
      <c r="J384" s="3">
        <v>2.73</v>
      </c>
      <c r="K384" s="3">
        <v>1.62</v>
      </c>
      <c r="L384" s="3">
        <v>33.69</v>
      </c>
      <c r="M384" s="3">
        <v>808.56</v>
      </c>
      <c r="N384" s="3">
        <v>0.12</v>
      </c>
      <c r="O384" s="2" t="s">
        <v>865</v>
      </c>
      <c r="P384" s="4">
        <v>45967.607083333336</v>
      </c>
      <c r="Q384" s="4">
        <v>45968.903749999998</v>
      </c>
      <c r="R384" s="2" t="s">
        <v>86</v>
      </c>
      <c r="S384" s="3">
        <v>2.73</v>
      </c>
      <c r="T384" s="2">
        <v>85</v>
      </c>
      <c r="U384" s="3">
        <v>8885</v>
      </c>
      <c r="V384" s="3">
        <v>0</v>
      </c>
      <c r="W384" s="2" t="s">
        <v>94</v>
      </c>
      <c r="X384" s="2" t="s">
        <v>88</v>
      </c>
      <c r="Y384" s="3">
        <v>0</v>
      </c>
      <c r="Z384" t="str">
        <f>INDEX(Assets!$J:$J,MATCH(UPPER(TRIM(B384)),Assets!$A:$A,0))</f>
        <v>Prairie</v>
      </c>
      <c r="AA384">
        <f t="shared" si="15"/>
        <v>711.53279999999995</v>
      </c>
      <c r="AB384" s="21">
        <f t="shared" si="16"/>
        <v>45962</v>
      </c>
      <c r="AC384">
        <f>SUMIFS(Production!$H:$H,Production!$A:$A,UPPER(TRIM(B384)),Production!$B:$B,AB384)-SUMIFS(Production!$I:$I,Production!$A:$A,UPPER(TRIM(B384)),Production!$B:$B,AB384)</f>
        <v>38</v>
      </c>
      <c r="AD384">
        <f t="shared" si="17"/>
        <v>27038.246399999996</v>
      </c>
    </row>
    <row r="385" spans="1:30" ht="21" customHeight="1">
      <c r="A385" s="2" t="s">
        <v>866</v>
      </c>
      <c r="B385" s="9" t="s">
        <v>52</v>
      </c>
      <c r="C385" s="5">
        <v>45981.5</v>
      </c>
      <c r="D385" s="4">
        <v>45982.040833333333</v>
      </c>
      <c r="E385" s="2" t="s">
        <v>83</v>
      </c>
      <c r="F385" s="2" t="s">
        <v>115</v>
      </c>
      <c r="G385" s="3">
        <v>3.58</v>
      </c>
      <c r="H385" s="3">
        <v>5.13</v>
      </c>
      <c r="I385" s="3">
        <v>0</v>
      </c>
      <c r="J385" s="3">
        <v>3.27</v>
      </c>
      <c r="K385" s="3">
        <v>1</v>
      </c>
      <c r="L385" s="3">
        <v>12.98</v>
      </c>
      <c r="M385" s="3">
        <v>311.52</v>
      </c>
      <c r="N385" s="3">
        <v>0.28000000000000003</v>
      </c>
      <c r="O385" s="2" t="s">
        <v>867</v>
      </c>
      <c r="P385" s="4">
        <v>45981.64916666667</v>
      </c>
      <c r="Q385" s="4">
        <v>45982.040833333333</v>
      </c>
      <c r="R385" s="2" t="s">
        <v>86</v>
      </c>
      <c r="S385" s="3">
        <v>6.54</v>
      </c>
      <c r="T385" s="2">
        <v>85</v>
      </c>
      <c r="U385" s="3">
        <v>4003</v>
      </c>
      <c r="V385" s="3">
        <v>0</v>
      </c>
      <c r="W385" s="2" t="s">
        <v>94</v>
      </c>
      <c r="X385" s="2" t="s">
        <v>117</v>
      </c>
      <c r="Y385" s="3">
        <v>0</v>
      </c>
      <c r="Z385" t="str">
        <f>INDEX(Assets!$J:$J,MATCH(UPPER(TRIM(B385)),Assets!$A:$A,0))</f>
        <v>Prairie</v>
      </c>
      <c r="AA385">
        <f t="shared" si="15"/>
        <v>224.29439999999997</v>
      </c>
      <c r="AB385" s="21">
        <f t="shared" si="16"/>
        <v>45962</v>
      </c>
      <c r="AC385">
        <f>SUMIFS(Production!$H:$H,Production!$A:$A,UPPER(TRIM(B385)),Production!$B:$B,AB385)-SUMIFS(Production!$I:$I,Production!$A:$A,UPPER(TRIM(B385)),Production!$B:$B,AB385)</f>
        <v>38</v>
      </c>
      <c r="AD385">
        <f t="shared" si="17"/>
        <v>8523.1871999999985</v>
      </c>
    </row>
    <row r="386" spans="1:30" ht="21" customHeight="1">
      <c r="A386" s="2" t="s">
        <v>868</v>
      </c>
      <c r="B386" s="9" t="s">
        <v>52</v>
      </c>
      <c r="C386" s="5">
        <v>45995.5</v>
      </c>
      <c r="D386" s="4">
        <v>45996.037083333329</v>
      </c>
      <c r="E386" s="2" t="s">
        <v>83</v>
      </c>
      <c r="F386" s="2" t="s">
        <v>101</v>
      </c>
      <c r="G386" s="3">
        <v>1.32</v>
      </c>
      <c r="H386" s="3">
        <v>4.97</v>
      </c>
      <c r="I386" s="3">
        <v>0</v>
      </c>
      <c r="J386" s="3">
        <v>4.41</v>
      </c>
      <c r="K386" s="3">
        <v>2.19</v>
      </c>
      <c r="L386" s="3">
        <v>12.89</v>
      </c>
      <c r="M386" s="3">
        <v>309.36</v>
      </c>
      <c r="N386" s="3">
        <v>0.2</v>
      </c>
      <c r="O386" s="2" t="s">
        <v>869</v>
      </c>
      <c r="P386" s="4">
        <v>45995.555</v>
      </c>
      <c r="Q386" s="4">
        <v>45996.037083333329</v>
      </c>
      <c r="R386" s="2" t="s">
        <v>86</v>
      </c>
      <c r="S386" s="3">
        <v>8.82</v>
      </c>
      <c r="T386" s="2">
        <v>85</v>
      </c>
      <c r="U386" s="3">
        <v>9526</v>
      </c>
      <c r="V386" s="3">
        <v>0</v>
      </c>
      <c r="W386" s="2" t="s">
        <v>94</v>
      </c>
      <c r="X386" s="2" t="s">
        <v>103</v>
      </c>
      <c r="Y386" s="3">
        <v>0</v>
      </c>
      <c r="Z386" t="str">
        <f>INDEX(Assets!$J:$J,MATCH(UPPER(TRIM(B386)),Assets!$A:$A,0))</f>
        <v>Prairie</v>
      </c>
      <c r="AA386">
        <f t="shared" si="15"/>
        <v>247.48800000000003</v>
      </c>
      <c r="AB386" s="21">
        <f t="shared" si="16"/>
        <v>45992</v>
      </c>
      <c r="AC386">
        <f>SUMIFS(Production!$H:$H,Production!$A:$A,UPPER(TRIM(B386)),Production!$B:$B,AB386)-SUMIFS(Production!$I:$I,Production!$A:$A,UPPER(TRIM(B386)),Production!$B:$B,AB386)</f>
        <v>39</v>
      </c>
      <c r="AD386">
        <f t="shared" ref="AD386:AD449" si="18">AA386*AC386</f>
        <v>9652.0320000000011</v>
      </c>
    </row>
    <row r="387" spans="1:30" ht="21" customHeight="1">
      <c r="B387"/>
    </row>
    <row r="388" spans="1:30" ht="21" customHeight="1">
      <c r="B388"/>
    </row>
    <row r="389" spans="1:30" ht="15.75" customHeight="1"/>
    <row r="390" spans="1:30" ht="15.75" customHeight="1"/>
    <row r="391" spans="1:30" ht="15.75" customHeight="1"/>
    <row r="392" spans="1:30" ht="15.75" customHeight="1"/>
    <row r="393" spans="1:30" ht="15.75" customHeight="1"/>
    <row r="394" spans="1:30" ht="15.75" customHeight="1"/>
    <row r="395" spans="1:30" ht="15.75" customHeight="1"/>
    <row r="396" spans="1:30" ht="15.75" customHeight="1"/>
    <row r="397" spans="1:30" ht="15.75" customHeight="1"/>
    <row r="398" spans="1:30" ht="15.75" customHeight="1"/>
    <row r="399" spans="1:30" ht="15.75" customHeight="1"/>
    <row r="400" spans="1:3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ustomSheetViews>
    <customSheetView guid="{32F56CEF-5C94-48B5-AB61-CE849CF34946}" filter="1" showAutoFilter="1">
      <pageMargins left="0" right="0" top="0" bottom="0" header="0" footer="0"/>
      <autoFilter ref="A1:Y388" xr:uid="{023D743D-5D8D-4FBA-A6C7-129A020E7A1A}"/>
    </customSheetView>
  </customSheetViews>
  <phoneticPr fontId="3" type="noConversion"/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B0DA-21CC-49DB-A4D7-0E9BCA021172}">
  <dimension ref="A1:F13"/>
  <sheetViews>
    <sheetView workbookViewId="0"/>
  </sheetViews>
  <sheetFormatPr defaultRowHeight="14.25"/>
  <cols>
    <col min="1" max="1" width="10.5" bestFit="1" customWidth="1"/>
  </cols>
  <sheetData>
    <row r="1" spans="1:6">
      <c r="A1" t="s">
        <v>870</v>
      </c>
      <c r="B1" t="s">
        <v>871</v>
      </c>
      <c r="C1" t="s">
        <v>872</v>
      </c>
      <c r="D1" t="s">
        <v>873</v>
      </c>
      <c r="E1" t="s">
        <v>874</v>
      </c>
      <c r="F1" t="s">
        <v>875</v>
      </c>
    </row>
    <row r="2" spans="1:6">
      <c r="A2" s="21">
        <v>46319</v>
      </c>
      <c r="B2" t="s">
        <v>876</v>
      </c>
      <c r="C2" t="s">
        <v>877</v>
      </c>
      <c r="D2" t="s">
        <v>878</v>
      </c>
      <c r="E2" t="s">
        <v>879</v>
      </c>
      <c r="F2" t="s">
        <v>38</v>
      </c>
    </row>
    <row r="3" spans="1:6">
      <c r="A3" s="21">
        <v>46319</v>
      </c>
      <c r="B3" t="s">
        <v>880</v>
      </c>
      <c r="C3" t="s">
        <v>881</v>
      </c>
      <c r="D3" t="s">
        <v>882</v>
      </c>
      <c r="E3">
        <v>16368</v>
      </c>
      <c r="F3">
        <v>15840</v>
      </c>
    </row>
    <row r="4" spans="1:6">
      <c r="A4" s="21">
        <v>46319</v>
      </c>
      <c r="B4" t="s">
        <v>880</v>
      </c>
      <c r="C4" t="s">
        <v>883</v>
      </c>
      <c r="D4" t="s">
        <v>884</v>
      </c>
      <c r="E4">
        <v>15120</v>
      </c>
      <c r="F4">
        <v>15624</v>
      </c>
    </row>
    <row r="5" spans="1:6">
      <c r="A5" s="21">
        <v>46319</v>
      </c>
      <c r="B5" t="s">
        <v>876</v>
      </c>
      <c r="C5" t="s">
        <v>885</v>
      </c>
      <c r="D5" t="s">
        <v>886</v>
      </c>
      <c r="E5" t="s">
        <v>887</v>
      </c>
      <c r="F5" t="s">
        <v>888</v>
      </c>
    </row>
    <row r="6" spans="1:6">
      <c r="A6" s="21">
        <v>46319</v>
      </c>
      <c r="B6" t="s">
        <v>889</v>
      </c>
      <c r="C6" t="s">
        <v>890</v>
      </c>
      <c r="D6" t="s">
        <v>891</v>
      </c>
      <c r="E6" t="s">
        <v>892</v>
      </c>
      <c r="F6" t="s">
        <v>893</v>
      </c>
    </row>
    <row r="7" spans="1:6">
      <c r="A7" s="21">
        <v>46319</v>
      </c>
      <c r="B7" t="s">
        <v>894</v>
      </c>
      <c r="C7" t="s">
        <v>895</v>
      </c>
      <c r="D7" t="s">
        <v>896</v>
      </c>
      <c r="E7" t="s">
        <v>897</v>
      </c>
      <c r="F7" t="s">
        <v>898</v>
      </c>
    </row>
    <row r="8" spans="1:6">
      <c r="A8" s="21">
        <v>46319</v>
      </c>
      <c r="B8" t="s">
        <v>894</v>
      </c>
      <c r="C8" t="s">
        <v>899</v>
      </c>
      <c r="D8" t="s">
        <v>900</v>
      </c>
      <c r="E8" t="s">
        <v>901</v>
      </c>
      <c r="F8" t="s">
        <v>902</v>
      </c>
    </row>
    <row r="9" spans="1:6">
      <c r="A9" s="21">
        <v>46319</v>
      </c>
      <c r="B9" t="s">
        <v>894</v>
      </c>
      <c r="C9" t="s">
        <v>903</v>
      </c>
      <c r="D9" t="s">
        <v>904</v>
      </c>
      <c r="E9" t="s">
        <v>905</v>
      </c>
      <c r="F9" t="s">
        <v>906</v>
      </c>
    </row>
    <row r="10" spans="1:6">
      <c r="A10" s="21">
        <v>46319</v>
      </c>
      <c r="B10" t="s">
        <v>894</v>
      </c>
      <c r="C10" t="s">
        <v>907</v>
      </c>
      <c r="D10" t="s">
        <v>908</v>
      </c>
      <c r="E10" t="s">
        <v>909</v>
      </c>
      <c r="F10" t="s">
        <v>910</v>
      </c>
    </row>
    <row r="11" spans="1:6">
      <c r="A11" s="21">
        <v>46319</v>
      </c>
      <c r="B11" t="s">
        <v>894</v>
      </c>
      <c r="C11" t="s">
        <v>911</v>
      </c>
      <c r="D11" t="s">
        <v>912</v>
      </c>
      <c r="E11" t="s">
        <v>913</v>
      </c>
      <c r="F11" t="s">
        <v>914</v>
      </c>
    </row>
    <row r="12" spans="1:6">
      <c r="A12" s="21">
        <v>46319</v>
      </c>
      <c r="B12" t="s">
        <v>915</v>
      </c>
      <c r="C12" t="s">
        <v>916</v>
      </c>
      <c r="D12" t="s">
        <v>917</v>
      </c>
      <c r="E12" t="s">
        <v>918</v>
      </c>
      <c r="F12" t="s">
        <v>919</v>
      </c>
    </row>
    <row r="13" spans="1:6">
      <c r="A13" s="21">
        <v>46319</v>
      </c>
      <c r="B13" t="s">
        <v>920</v>
      </c>
      <c r="C13" t="s">
        <v>921</v>
      </c>
      <c r="D13" t="s">
        <v>922</v>
      </c>
      <c r="E13" t="s">
        <v>923</v>
      </c>
      <c r="F13" t="s">
        <v>924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09DD8-6C32-4DD8-8DFB-BE15F013E38F}">
  <dimension ref="A1:C29"/>
  <sheetViews>
    <sheetView tabSelected="1" workbookViewId="0">
      <selection activeCell="C14" sqref="C14"/>
    </sheetView>
  </sheetViews>
  <sheetFormatPr defaultRowHeight="14.25"/>
  <cols>
    <col min="1" max="1" width="11.375" bestFit="1" customWidth="1"/>
    <col min="2" max="2" width="12.75" bestFit="1" customWidth="1"/>
    <col min="3" max="3" width="21" bestFit="1" customWidth="1"/>
  </cols>
  <sheetData>
    <row r="1" spans="1:3">
      <c r="A1" s="23" t="s">
        <v>56</v>
      </c>
      <c r="B1" t="s">
        <v>83</v>
      </c>
    </row>
    <row r="3" spans="1:3">
      <c r="A3" s="23" t="s">
        <v>77</v>
      </c>
      <c r="B3" t="s">
        <v>925</v>
      </c>
      <c r="C3" t="s">
        <v>926</v>
      </c>
    </row>
    <row r="4" spans="1:3">
      <c r="A4" t="s">
        <v>40</v>
      </c>
      <c r="B4">
        <v>2017459.2348600004</v>
      </c>
      <c r="C4" s="24">
        <v>1986.1200000000001</v>
      </c>
    </row>
    <row r="5" spans="1:3">
      <c r="A5" t="s">
        <v>45</v>
      </c>
      <c r="B5">
        <v>594480.14688000001</v>
      </c>
      <c r="C5" s="24">
        <v>844.53999999999985</v>
      </c>
    </row>
    <row r="6" spans="1:3">
      <c r="A6" t="s">
        <v>22</v>
      </c>
      <c r="B6">
        <v>615781.77919999999</v>
      </c>
      <c r="C6" s="24">
        <v>815.89</v>
      </c>
    </row>
    <row r="7" spans="1:3">
      <c r="A7" t="s">
        <v>35</v>
      </c>
      <c r="B7">
        <v>506754.18139999988</v>
      </c>
      <c r="C7" s="24">
        <v>625.26999999999975</v>
      </c>
    </row>
    <row r="8" spans="1:3">
      <c r="A8" t="s">
        <v>30</v>
      </c>
      <c r="B8">
        <v>1032194.76244</v>
      </c>
      <c r="C8" s="24">
        <v>1246.3999999999999</v>
      </c>
    </row>
    <row r="9" spans="1:3">
      <c r="A9" t="s">
        <v>50</v>
      </c>
      <c r="B9">
        <v>841719.50619999971</v>
      </c>
      <c r="C9" s="24">
        <v>1080.33</v>
      </c>
    </row>
    <row r="10" spans="1:3">
      <c r="A10" t="s">
        <v>927</v>
      </c>
      <c r="B10">
        <v>5608389.6109800003</v>
      </c>
      <c r="C10" s="24">
        <v>6598.5499999999993</v>
      </c>
    </row>
    <row r="22" spans="1:2">
      <c r="A22" s="23" t="s">
        <v>77</v>
      </c>
      <c r="B22" t="s">
        <v>928</v>
      </c>
    </row>
    <row r="23" spans="1:2">
      <c r="A23" t="s">
        <v>40</v>
      </c>
      <c r="B23" s="24">
        <v>644.80999999999995</v>
      </c>
    </row>
    <row r="24" spans="1:2">
      <c r="A24" t="s">
        <v>45</v>
      </c>
      <c r="B24" s="24">
        <v>194.90999999999997</v>
      </c>
    </row>
    <row r="25" spans="1:2">
      <c r="A25" t="s">
        <v>22</v>
      </c>
      <c r="B25" s="24">
        <v>110.45</v>
      </c>
    </row>
    <row r="26" spans="1:2">
      <c r="A26" t="s">
        <v>35</v>
      </c>
      <c r="B26" s="24">
        <v>88.43</v>
      </c>
    </row>
    <row r="27" spans="1:2">
      <c r="A27" t="s">
        <v>30</v>
      </c>
      <c r="B27" s="24">
        <v>326.60999999999996</v>
      </c>
    </row>
    <row r="28" spans="1:2">
      <c r="A28" t="s">
        <v>50</v>
      </c>
      <c r="B28" s="24">
        <v>248.11</v>
      </c>
    </row>
    <row r="29" spans="1:2">
      <c r="A29" t="s">
        <v>927</v>
      </c>
      <c r="B29" s="24">
        <v>1613.3199999999997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7E0E1-8F29-481A-8CCC-5604BE7CB465}">
  <dimension ref="A1:Z1000"/>
  <sheetViews>
    <sheetView zoomScale="68" workbookViewId="0">
      <selection activeCell="D1" sqref="D1:E4"/>
    </sheetView>
  </sheetViews>
  <sheetFormatPr defaultColWidth="12.625" defaultRowHeight="15" customHeight="1"/>
  <cols>
    <col min="1" max="1" width="38.625" style="14" customWidth="1"/>
    <col min="2" max="2" width="11.625" style="14" customWidth="1"/>
    <col min="3" max="3" width="10.625" style="14" customWidth="1"/>
    <col min="4" max="4" width="19.625" style="14" customWidth="1"/>
    <col min="5" max="5" width="26" style="14" customWidth="1"/>
    <col min="6" max="6" width="10.625" style="14" customWidth="1"/>
    <col min="7" max="7" width="18.875" style="14" customWidth="1"/>
    <col min="8" max="8" width="17.625" style="14" customWidth="1"/>
    <col min="9" max="9" width="10.625" style="14" customWidth="1"/>
    <col min="10" max="10" width="19.625" style="14" customWidth="1"/>
    <col min="11" max="11" width="21.875" style="14" customWidth="1"/>
    <col min="12" max="12" width="10.625" style="14" customWidth="1"/>
    <col min="13" max="13" width="12.125" style="14" customWidth="1"/>
    <col min="14" max="14" width="20.375" style="14" customWidth="1"/>
    <col min="15" max="26" width="10.625" style="14" customWidth="1"/>
    <col min="27" max="16384" width="12.625" style="14"/>
  </cols>
  <sheetData>
    <row r="1" spans="1:26" ht="13.5" customHeight="1">
      <c r="A1" s="16" t="s">
        <v>929</v>
      </c>
      <c r="B1" s="15">
        <f>SUMIFS(Events!L:L,Events!F:F,"Bearing wear",Events!E:E,"Unplanned")</f>
        <v>2705.1899999999996</v>
      </c>
      <c r="D1" s="16" t="s">
        <v>930</v>
      </c>
      <c r="E1" s="16" t="s">
        <v>931</v>
      </c>
      <c r="G1" s="16" t="s">
        <v>930</v>
      </c>
      <c r="H1" s="16" t="s">
        <v>932</v>
      </c>
      <c r="J1" s="16" t="s">
        <v>930</v>
      </c>
      <c r="K1" s="16" t="s">
        <v>933</v>
      </c>
      <c r="M1" s="16" t="s">
        <v>934</v>
      </c>
      <c r="N1" s="16" t="s">
        <v>935</v>
      </c>
      <c r="P1" s="19">
        <f>SUMIFS(Events!I:I,Events!F:F,"Bearing wear",Events!E:E,"Unplanned")+SUMIFS(Events!I:I,Events!F:F,"Seal leak",Events!E:E,"Unplanned")</f>
        <v>879.31</v>
      </c>
      <c r="R1" s="19">
        <f>SUMIFS(Events!G:G,Events!F:F,"Bearing wear",Events!E:E,"Unplanned")+SUMIFS(Events!G:G,Events!F:F,"Seal leak",Events!E:E,"Unplanned")</f>
        <v>545.78000000000009</v>
      </c>
      <c r="T1" s="17">
        <f>SUMIFS(Events!J:J,Events!F:F,"Bearing wear",Events!E:E,"Unplanned")+SUMIFS(Events!J:J,Events!F:F,"Seal leak",Events!E:E,"Unplanned")</f>
        <v>1448.7999999999995</v>
      </c>
      <c r="V1" s="19">
        <f>SUMIFS(Events!H:H,Events!F:F,"Bearing wear",Events!E:E,"Unplanned")+SUMIFS(Events!H:H,Events!F:F,"Seal leak",Events!E:E,"Unplanned")</f>
        <v>678.37999999999988</v>
      </c>
      <c r="X1" s="19">
        <f>SUMIFS(Events!K:K,Events!F:F,"Bearing wear",Events!E:E,"Unplanned")+SUMIFS(Events!K:K,Events!F:F,"Seal leak",Events!E:E,"Unplanned")</f>
        <v>249.07</v>
      </c>
      <c r="Z1" s="26">
        <f>ROUND(P1+R1+T1+V1+X1,2)</f>
        <v>3801.34</v>
      </c>
    </row>
    <row r="2" spans="1:26" ht="13.5" customHeight="1">
      <c r="A2" s="16" t="s">
        <v>936</v>
      </c>
      <c r="B2" s="15">
        <f>SUMIFS(Events!L:L,Events!F:F,"Seal leak",Events!E:E,"Unplanned")</f>
        <v>1096.1499999999999</v>
      </c>
      <c r="D2" s="16" t="s">
        <v>937</v>
      </c>
      <c r="E2" s="18">
        <f>B15</f>
        <v>2296844.476139999</v>
      </c>
      <c r="G2" s="16" t="s">
        <v>937</v>
      </c>
      <c r="H2" s="15">
        <f>B1</f>
        <v>2705.1899999999996</v>
      </c>
      <c r="J2" s="16" t="s">
        <v>937</v>
      </c>
      <c r="K2" s="18">
        <f>B12</f>
        <v>55023.721600000012</v>
      </c>
      <c r="M2" s="16" t="s">
        <v>937</v>
      </c>
      <c r="N2" s="16">
        <f>COUNTIFS(Events!F:F,M2,Events!E:E,"Unplanned")</f>
        <v>115</v>
      </c>
      <c r="P2" s="14" t="s">
        <v>938</v>
      </c>
      <c r="R2" s="14" t="s">
        <v>939</v>
      </c>
      <c r="T2" s="14" t="s">
        <v>940</v>
      </c>
      <c r="V2" s="14" t="s">
        <v>941</v>
      </c>
      <c r="X2" s="14" t="s">
        <v>942</v>
      </c>
      <c r="Z2" s="14" t="s">
        <v>943</v>
      </c>
    </row>
    <row r="3" spans="1:26" ht="13.5" customHeight="1">
      <c r="A3" s="16" t="s">
        <v>944</v>
      </c>
      <c r="B3" s="15">
        <f>B1+B2</f>
        <v>3801.3399999999992</v>
      </c>
      <c r="D3" s="16" t="s">
        <v>945</v>
      </c>
      <c r="E3" s="18">
        <f>B16</f>
        <v>917931.73702</v>
      </c>
      <c r="G3" s="16" t="s">
        <v>945</v>
      </c>
      <c r="H3" s="15">
        <f>B2</f>
        <v>1096.1499999999999</v>
      </c>
      <c r="J3" s="16" t="s">
        <v>945</v>
      </c>
      <c r="K3" s="18">
        <f>B13</f>
        <v>21862.457400000007</v>
      </c>
      <c r="M3" s="16" t="s">
        <v>945</v>
      </c>
      <c r="N3" s="16">
        <f>COUNTIFS(Events!F:F,M3,Events!E:E,"Unplanned")</f>
        <v>57</v>
      </c>
    </row>
    <row r="4" spans="1:26" ht="13.5" customHeight="1">
      <c r="A4" s="16" t="s">
        <v>946</v>
      </c>
      <c r="B4" s="15">
        <f>SUMIFS(Events!L:L,Events!E:E,"Unplanned")</f>
        <v>6598.5499999999975</v>
      </c>
      <c r="D4" s="16" t="s">
        <v>947</v>
      </c>
      <c r="E4" s="18">
        <f>B17</f>
        <v>3214776.2131599989</v>
      </c>
      <c r="G4" s="16" t="s">
        <v>947</v>
      </c>
      <c r="H4" s="15">
        <f>B3</f>
        <v>3801.3399999999992</v>
      </c>
      <c r="J4" s="16" t="s">
        <v>947</v>
      </c>
      <c r="K4" s="18">
        <f>B14</f>
        <v>76886.179000000018</v>
      </c>
      <c r="M4" s="16" t="s">
        <v>948</v>
      </c>
      <c r="N4" s="16">
        <f>COUNTIFS(Events!F:F,M4,Events!E:E,"Unplanned")</f>
        <v>53</v>
      </c>
    </row>
    <row r="5" spans="1:26" ht="13.5" customHeight="1">
      <c r="A5" s="16" t="s">
        <v>949</v>
      </c>
      <c r="B5" s="15">
        <f>B3/B4*100</f>
        <v>57.608717066628287</v>
      </c>
      <c r="G5" s="16" t="s">
        <v>948</v>
      </c>
      <c r="H5" s="16">
        <f>SUMIFS(Events!L:L,Events!F:F,"Electrical trip",Events!E:E,"Unplanned")</f>
        <v>1011.8000000000001</v>
      </c>
      <c r="M5" s="16" t="s">
        <v>950</v>
      </c>
      <c r="N5" s="16">
        <f>COUNTIFS(Events!F:F,M5,Events!E:E,"Unplanned")</f>
        <v>52</v>
      </c>
    </row>
    <row r="6" spans="1:26" ht="13.5" customHeight="1">
      <c r="A6" s="16" t="s">
        <v>951</v>
      </c>
      <c r="B6" s="15">
        <f>SUMIFS(Events!M:M,Events!F:F,"Bearing wear",Events!E:E,"Unplanned")</f>
        <v>68014.38</v>
      </c>
      <c r="G6" s="16" t="s">
        <v>952</v>
      </c>
      <c r="H6" s="17">
        <f>SUMIFS(Events!L:L,Events!F:F,"Process upset",Events!E:E,"Unplanned")</f>
        <v>1010.2099999999998</v>
      </c>
      <c r="M6" s="16" t="s">
        <v>115</v>
      </c>
      <c r="N6" s="16">
        <f>COUNTIFS(Events!F:F,M6,Events!E:E,"Unplanned")</f>
        <v>36</v>
      </c>
    </row>
    <row r="7" spans="1:26" ht="13.5" customHeight="1">
      <c r="A7" s="16" t="s">
        <v>953</v>
      </c>
      <c r="B7" s="15">
        <f>SUMIFS(Events!M:M,Events!F:F,"Seal leak",Events!E:E,"Unplanned")</f>
        <v>26964.880000000001</v>
      </c>
      <c r="G7" s="16" t="s">
        <v>115</v>
      </c>
      <c r="H7" s="16">
        <f>SUMIFS(Events!L:L,Events!F:F,"Unknown",Events!E:E,"Unplanned")</f>
        <v>775.2</v>
      </c>
    </row>
    <row r="8" spans="1:26" ht="13.5" customHeight="1">
      <c r="A8" s="16" t="s">
        <v>954</v>
      </c>
      <c r="B8" s="15">
        <f>B6+B7</f>
        <v>94979.260000000009</v>
      </c>
    </row>
    <row r="9" spans="1:26" ht="13.5" customHeight="1">
      <c r="A9" s="16" t="s">
        <v>955</v>
      </c>
      <c r="B9" s="15">
        <f>SUMIFS(Events!M:M,Events!E:E,"Unplanned")</f>
        <v>165679.12000000005</v>
      </c>
    </row>
    <row r="10" spans="1:26" ht="13.5" customHeight="1">
      <c r="A10" s="16" t="s">
        <v>956</v>
      </c>
      <c r="B10" s="15">
        <f>B8/B9*100</f>
        <v>57.327235924478579</v>
      </c>
    </row>
    <row r="11" spans="1:26" ht="13.5" customHeight="1">
      <c r="A11" s="16" t="s">
        <v>957</v>
      </c>
      <c r="B11" s="15">
        <f>SUMIFS(Events!AD:AD,Events!E:E,"Unplanned")</f>
        <v>5608389.6109800059</v>
      </c>
    </row>
    <row r="12" spans="1:26" ht="13.5" customHeight="1">
      <c r="A12" s="16" t="s">
        <v>958</v>
      </c>
      <c r="B12" s="15">
        <f>SUMIFS(Events!AA:AA,Events!F:F,"Bearing wear",Events!E:E,"Unplanned")</f>
        <v>55023.721600000012</v>
      </c>
    </row>
    <row r="13" spans="1:26" ht="13.5" customHeight="1">
      <c r="A13" s="16" t="s">
        <v>959</v>
      </c>
      <c r="B13" s="15">
        <f>SUMIFS(Events!AA:AA,Events!F:F,"Seal leak",Events!E:E,"Unplanned")</f>
        <v>21862.457400000007</v>
      </c>
    </row>
    <row r="14" spans="1:26" ht="13.5" customHeight="1">
      <c r="A14" s="16" t="s">
        <v>960</v>
      </c>
      <c r="B14" s="15">
        <f>B12+B13</f>
        <v>76886.179000000018</v>
      </c>
    </row>
    <row r="15" spans="1:26" ht="13.5" customHeight="1">
      <c r="A15" s="16" t="s">
        <v>961</v>
      </c>
      <c r="B15" s="15">
        <f>SUMIFS(Events!AD:AD,Events!F:F,"Bearing wear",Events!E:E,"Unplanned")</f>
        <v>2296844.476139999</v>
      </c>
    </row>
    <row r="16" spans="1:26" ht="13.5" customHeight="1">
      <c r="A16" s="16" t="s">
        <v>962</v>
      </c>
      <c r="B16" s="15">
        <f>SUMIFS(Events!AD:AD,Events!F:F,"Seal leak",Events!E:E,"Unplanned")</f>
        <v>917931.73702</v>
      </c>
    </row>
    <row r="17" spans="1:2" ht="13.5" customHeight="1">
      <c r="A17" s="16" t="s">
        <v>963</v>
      </c>
      <c r="B17" s="15">
        <f>B15+B16</f>
        <v>3214776.2131599989</v>
      </c>
    </row>
    <row r="18" spans="1:2" ht="13.5" customHeight="1"/>
    <row r="19" spans="1:2" ht="13.5" customHeight="1"/>
    <row r="20" spans="1:2" ht="13.5" customHeight="1"/>
    <row r="21" spans="1:2" ht="13.5" customHeight="1"/>
    <row r="22" spans="1:2" ht="13.5" customHeight="1"/>
    <row r="23" spans="1:2" ht="13.5" customHeight="1"/>
    <row r="24" spans="1:2" ht="13.5" customHeight="1"/>
    <row r="25" spans="1:2" ht="13.5" customHeight="1"/>
    <row r="26" spans="1:2" ht="13.5" customHeight="1"/>
    <row r="27" spans="1:2" ht="13.5" customHeight="1"/>
    <row r="28" spans="1:2" ht="13.5" customHeight="1"/>
    <row r="29" spans="1:2" ht="13.5" customHeight="1"/>
    <row r="30" spans="1:2" ht="13.5" customHeight="1"/>
    <row r="31" spans="1:2" ht="13.5" customHeight="1"/>
    <row r="32" spans="1:2" ht="13.5" customHeight="1"/>
    <row r="33" s="14" customFormat="1" ht="13.5" customHeight="1"/>
    <row r="34" s="14" customFormat="1" ht="13.5" customHeight="1"/>
    <row r="35" s="14" customFormat="1" ht="13.5" customHeight="1"/>
    <row r="36" s="14" customFormat="1" ht="13.5" customHeight="1"/>
    <row r="37" s="14" customFormat="1" ht="13.5" customHeight="1"/>
    <row r="38" s="14" customFormat="1" ht="13.5" customHeight="1"/>
    <row r="39" s="14" customFormat="1" ht="13.5" customHeight="1"/>
    <row r="40" s="14" customFormat="1" ht="13.5" customHeight="1"/>
    <row r="41" s="14" customFormat="1" ht="13.5" customHeight="1"/>
    <row r="42" s="14" customFormat="1" ht="13.5" customHeight="1"/>
    <row r="43" s="14" customFormat="1" ht="13.5" customHeight="1"/>
    <row r="44" s="14" customFormat="1" ht="13.5" customHeight="1"/>
    <row r="45" s="14" customFormat="1" ht="13.5" customHeight="1"/>
    <row r="46" s="14" customFormat="1" ht="13.5" customHeight="1"/>
    <row r="47" s="14" customFormat="1" ht="13.5" customHeight="1"/>
    <row r="48" s="14" customFormat="1" ht="13.5" customHeight="1"/>
    <row r="49" s="14" customFormat="1" ht="13.5" customHeight="1"/>
    <row r="50" s="14" customFormat="1" ht="13.5" customHeight="1"/>
    <row r="51" s="14" customFormat="1" ht="13.5" customHeight="1"/>
    <row r="52" s="14" customFormat="1" ht="13.5" customHeight="1"/>
    <row r="53" s="14" customFormat="1" ht="13.5" customHeight="1"/>
    <row r="54" s="14" customFormat="1" ht="13.5" customHeight="1"/>
    <row r="55" s="14" customFormat="1" ht="13.5" customHeight="1"/>
    <row r="56" s="14" customFormat="1" ht="13.5" customHeight="1"/>
    <row r="57" s="14" customFormat="1" ht="13.5" customHeight="1"/>
    <row r="58" s="14" customFormat="1" ht="13.5" customHeight="1"/>
    <row r="59" s="14" customFormat="1" ht="13.5" customHeight="1"/>
    <row r="60" s="14" customFormat="1" ht="13.5" customHeight="1"/>
    <row r="61" s="14" customFormat="1" ht="13.5" customHeight="1"/>
    <row r="62" s="14" customFormat="1" ht="13.5" customHeight="1"/>
    <row r="63" s="14" customFormat="1" ht="13.5" customHeight="1"/>
    <row r="64" s="14" customFormat="1" ht="13.5" customHeight="1"/>
    <row r="65" s="14" customFormat="1" ht="13.5" customHeight="1"/>
    <row r="66" s="14" customFormat="1" ht="13.5" customHeight="1"/>
    <row r="67" s="14" customFormat="1" ht="13.5" customHeight="1"/>
    <row r="68" s="14" customFormat="1" ht="13.5" customHeight="1"/>
    <row r="69" s="14" customFormat="1" ht="13.5" customHeight="1"/>
    <row r="70" s="14" customFormat="1" ht="13.5" customHeight="1"/>
    <row r="71" s="14" customFormat="1" ht="13.5" customHeight="1"/>
    <row r="72" s="14" customFormat="1" ht="13.5" customHeight="1"/>
    <row r="73" s="14" customFormat="1" ht="13.5" customHeight="1"/>
    <row r="74" s="14" customFormat="1" ht="13.5" customHeight="1"/>
    <row r="75" s="14" customFormat="1" ht="13.5" customHeight="1"/>
    <row r="76" s="14" customFormat="1" ht="13.5" customHeight="1"/>
    <row r="77" s="14" customFormat="1" ht="13.5" customHeight="1"/>
    <row r="78" s="14" customFormat="1" ht="13.5" customHeight="1"/>
    <row r="79" s="14" customFormat="1" ht="13.5" customHeight="1"/>
    <row r="80" s="14" customFormat="1" ht="13.5" customHeight="1"/>
    <row r="81" s="14" customFormat="1" ht="13.5" customHeight="1"/>
    <row r="82" s="14" customFormat="1" ht="13.5" customHeight="1"/>
    <row r="83" s="14" customFormat="1" ht="13.5" customHeight="1"/>
    <row r="84" s="14" customFormat="1" ht="13.5" customHeight="1"/>
    <row r="85" s="14" customFormat="1" ht="13.5" customHeight="1"/>
    <row r="86" s="14" customFormat="1" ht="13.5" customHeight="1"/>
    <row r="87" s="14" customFormat="1" ht="13.5" customHeight="1"/>
    <row r="88" s="14" customFormat="1" ht="13.5" customHeight="1"/>
    <row r="89" s="14" customFormat="1" ht="13.5" customHeight="1"/>
    <row r="90" s="14" customFormat="1" ht="13.5" customHeight="1"/>
    <row r="91" s="14" customFormat="1" ht="13.5" customHeight="1"/>
    <row r="92" s="14" customFormat="1" ht="13.5" customHeight="1"/>
    <row r="93" s="14" customFormat="1" ht="13.5" customHeight="1"/>
    <row r="94" s="14" customFormat="1" ht="13.5" customHeight="1"/>
    <row r="95" s="14" customFormat="1" ht="13.5" customHeight="1"/>
    <row r="96" s="14" customFormat="1" ht="13.5" customHeight="1"/>
    <row r="97" s="14" customFormat="1" ht="13.5" customHeight="1"/>
    <row r="98" s="14" customFormat="1" ht="13.5" customHeight="1"/>
    <row r="99" s="14" customFormat="1" ht="13.5" customHeight="1"/>
    <row r="100" s="14" customFormat="1" ht="13.5" customHeight="1"/>
    <row r="101" s="14" customFormat="1" ht="13.5" customHeight="1"/>
    <row r="102" s="14" customFormat="1" ht="13.5" customHeight="1"/>
    <row r="103" s="14" customFormat="1" ht="13.5" customHeight="1"/>
    <row r="104" s="14" customFormat="1" ht="13.5" customHeight="1"/>
    <row r="105" s="14" customFormat="1" ht="13.5" customHeight="1"/>
    <row r="106" s="14" customFormat="1" ht="13.5" customHeight="1"/>
    <row r="107" s="14" customFormat="1" ht="13.5" customHeight="1"/>
    <row r="108" s="14" customFormat="1" ht="13.5" customHeight="1"/>
    <row r="109" s="14" customFormat="1" ht="13.5" customHeight="1"/>
    <row r="110" s="14" customFormat="1" ht="13.5" customHeight="1"/>
    <row r="111" s="14" customFormat="1" ht="13.5" customHeight="1"/>
    <row r="112" s="14" customFormat="1" ht="13.5" customHeight="1"/>
    <row r="113" s="14" customFormat="1" ht="13.5" customHeight="1"/>
    <row r="114" s="14" customFormat="1" ht="13.5" customHeight="1"/>
    <row r="115" s="14" customFormat="1" ht="13.5" customHeight="1"/>
    <row r="116" s="14" customFormat="1" ht="13.5" customHeight="1"/>
    <row r="117" s="14" customFormat="1" ht="13.5" customHeight="1"/>
    <row r="118" s="14" customFormat="1" ht="13.5" customHeight="1"/>
    <row r="119" s="14" customFormat="1" ht="13.5" customHeight="1"/>
    <row r="120" s="14" customFormat="1" ht="13.5" customHeight="1"/>
    <row r="121" s="14" customFormat="1" ht="13.5" customHeight="1"/>
    <row r="122" s="14" customFormat="1" ht="13.5" customHeight="1"/>
    <row r="123" s="14" customFormat="1" ht="13.5" customHeight="1"/>
    <row r="124" s="14" customFormat="1" ht="13.5" customHeight="1"/>
    <row r="125" s="14" customFormat="1" ht="13.5" customHeight="1"/>
    <row r="126" s="14" customFormat="1" ht="13.5" customHeight="1"/>
    <row r="127" s="14" customFormat="1" ht="13.5" customHeight="1"/>
    <row r="128" s="14" customFormat="1" ht="13.5" customHeight="1"/>
    <row r="129" s="14" customFormat="1" ht="13.5" customHeight="1"/>
    <row r="130" s="14" customFormat="1" ht="13.5" customHeight="1"/>
    <row r="131" s="14" customFormat="1" ht="13.5" customHeight="1"/>
    <row r="132" s="14" customFormat="1" ht="13.5" customHeight="1"/>
    <row r="133" s="14" customFormat="1" ht="13.5" customHeight="1"/>
    <row r="134" s="14" customFormat="1" ht="13.5" customHeight="1"/>
    <row r="135" s="14" customFormat="1" ht="13.5" customHeight="1"/>
    <row r="136" s="14" customFormat="1" ht="13.5" customHeight="1"/>
    <row r="137" s="14" customFormat="1" ht="13.5" customHeight="1"/>
    <row r="138" s="14" customFormat="1" ht="13.5" customHeight="1"/>
    <row r="139" s="14" customFormat="1" ht="13.5" customHeight="1"/>
    <row r="140" s="14" customFormat="1" ht="13.5" customHeight="1"/>
    <row r="141" s="14" customFormat="1" ht="13.5" customHeight="1"/>
    <row r="142" s="14" customFormat="1" ht="13.5" customHeight="1"/>
    <row r="143" s="14" customFormat="1" ht="13.5" customHeight="1"/>
    <row r="144" s="14" customFormat="1" ht="13.5" customHeight="1"/>
    <row r="145" s="14" customFormat="1" ht="13.5" customHeight="1"/>
    <row r="146" s="14" customFormat="1" ht="13.5" customHeight="1"/>
    <row r="147" s="14" customFormat="1" ht="13.5" customHeight="1"/>
    <row r="148" s="14" customFormat="1" ht="13.5" customHeight="1"/>
    <row r="149" s="14" customFormat="1" ht="13.5" customHeight="1"/>
    <row r="150" s="14" customFormat="1" ht="13.5" customHeight="1"/>
    <row r="151" s="14" customFormat="1" ht="13.5" customHeight="1"/>
    <row r="152" s="14" customFormat="1" ht="13.5" customHeight="1"/>
    <row r="153" s="14" customFormat="1" ht="13.5" customHeight="1"/>
    <row r="154" s="14" customFormat="1" ht="13.5" customHeight="1"/>
    <row r="155" s="14" customFormat="1" ht="13.5" customHeight="1"/>
    <row r="156" s="14" customFormat="1" ht="13.5" customHeight="1"/>
    <row r="157" s="14" customFormat="1" ht="13.5" customHeight="1"/>
    <row r="158" s="14" customFormat="1" ht="13.5" customHeight="1"/>
    <row r="159" s="14" customFormat="1" ht="13.5" customHeight="1"/>
    <row r="160" s="14" customFormat="1" ht="13.5" customHeight="1"/>
    <row r="161" s="14" customFormat="1" ht="13.5" customHeight="1"/>
    <row r="162" s="14" customFormat="1" ht="13.5" customHeight="1"/>
    <row r="163" s="14" customFormat="1" ht="13.5" customHeight="1"/>
    <row r="164" s="14" customFormat="1" ht="13.5" customHeight="1"/>
    <row r="165" s="14" customFormat="1" ht="13.5" customHeight="1"/>
    <row r="166" s="14" customFormat="1" ht="13.5" customHeight="1"/>
    <row r="167" s="14" customFormat="1" ht="13.5" customHeight="1"/>
    <row r="168" s="14" customFormat="1" ht="13.5" customHeight="1"/>
    <row r="169" s="14" customFormat="1" ht="13.5" customHeight="1"/>
    <row r="170" s="14" customFormat="1" ht="13.5" customHeight="1"/>
    <row r="171" s="14" customFormat="1" ht="13.5" customHeight="1"/>
    <row r="172" s="14" customFormat="1" ht="13.5" customHeight="1"/>
    <row r="173" s="14" customFormat="1" ht="13.5" customHeight="1"/>
    <row r="174" s="14" customFormat="1" ht="13.5" customHeight="1"/>
    <row r="175" s="14" customFormat="1" ht="13.5" customHeight="1"/>
    <row r="176" s="14" customFormat="1" ht="13.5" customHeight="1"/>
    <row r="177" s="14" customFormat="1" ht="13.5" customHeight="1"/>
    <row r="178" s="14" customFormat="1" ht="13.5" customHeight="1"/>
    <row r="179" s="14" customFormat="1" ht="13.5" customHeight="1"/>
    <row r="180" s="14" customFormat="1" ht="13.5" customHeight="1"/>
    <row r="181" s="14" customFormat="1" ht="13.5" customHeight="1"/>
    <row r="182" s="14" customFormat="1" ht="13.5" customHeight="1"/>
    <row r="183" s="14" customFormat="1" ht="13.5" customHeight="1"/>
    <row r="184" s="14" customFormat="1" ht="13.5" customHeight="1"/>
    <row r="185" s="14" customFormat="1" ht="13.5" customHeight="1"/>
    <row r="186" s="14" customFormat="1" ht="13.5" customHeight="1"/>
    <row r="187" s="14" customFormat="1" ht="13.5" customHeight="1"/>
    <row r="188" s="14" customFormat="1" ht="13.5" customHeight="1"/>
    <row r="189" s="14" customFormat="1" ht="13.5" customHeight="1"/>
    <row r="190" s="14" customFormat="1" ht="13.5" customHeight="1"/>
    <row r="191" s="14" customFormat="1" ht="13.5" customHeight="1"/>
    <row r="192" s="14" customFormat="1" ht="13.5" customHeight="1"/>
    <row r="193" s="14" customFormat="1" ht="13.5" customHeight="1"/>
    <row r="194" s="14" customFormat="1" ht="13.5" customHeight="1"/>
    <row r="195" s="14" customFormat="1" ht="13.5" customHeight="1"/>
    <row r="196" s="14" customFormat="1" ht="13.5" customHeight="1"/>
    <row r="197" s="14" customFormat="1" ht="13.5" customHeight="1"/>
    <row r="198" s="14" customFormat="1" ht="13.5" customHeight="1"/>
    <row r="199" s="14" customFormat="1" ht="13.5" customHeight="1"/>
    <row r="200" s="14" customFormat="1" ht="13.5" customHeight="1"/>
    <row r="201" s="14" customFormat="1" ht="13.5" customHeight="1"/>
    <row r="202" s="14" customFormat="1" ht="13.5" customHeight="1"/>
    <row r="203" s="14" customFormat="1" ht="13.5" customHeight="1"/>
    <row r="204" s="14" customFormat="1" ht="13.5" customHeight="1"/>
    <row r="205" s="14" customFormat="1" ht="13.5" customHeight="1"/>
    <row r="206" s="14" customFormat="1" ht="13.5" customHeight="1"/>
    <row r="207" s="14" customFormat="1" ht="13.5" customHeight="1"/>
    <row r="208" s="14" customFormat="1" ht="13.5" customHeight="1"/>
    <row r="209" s="14" customFormat="1" ht="13.5" customHeight="1"/>
    <row r="210" s="14" customFormat="1" ht="13.5" customHeight="1"/>
    <row r="211" s="14" customFormat="1" ht="13.5" customHeight="1"/>
    <row r="212" s="14" customFormat="1" ht="13.5" customHeight="1"/>
    <row r="213" s="14" customFormat="1" ht="13.5" customHeight="1"/>
    <row r="214" s="14" customFormat="1" ht="13.5" customHeight="1"/>
    <row r="215" s="14" customFormat="1" ht="13.5" customHeight="1"/>
    <row r="216" s="14" customFormat="1" ht="13.5" customHeight="1"/>
    <row r="217" s="14" customFormat="1" ht="13.5" customHeight="1"/>
    <row r="218" s="14" customFormat="1" ht="13.5" customHeight="1"/>
    <row r="219" s="14" customFormat="1" ht="13.5" customHeight="1"/>
    <row r="220" s="14" customFormat="1" ht="13.5" customHeight="1"/>
    <row r="221" s="14" customFormat="1" ht="13.5" customHeight="1"/>
    <row r="222" s="14" customFormat="1" ht="13.5" customHeight="1"/>
    <row r="223" s="14" customFormat="1" ht="13.5" customHeight="1"/>
    <row r="224" s="14" customFormat="1" ht="13.5" customHeight="1"/>
    <row r="225" s="14" customFormat="1" ht="13.5" customHeight="1"/>
    <row r="226" s="14" customFormat="1" ht="13.5" customHeight="1"/>
    <row r="227" s="14" customFormat="1" ht="13.5" customHeight="1"/>
    <row r="228" s="14" customFormat="1" ht="13.5" customHeight="1"/>
    <row r="229" s="14" customFormat="1" ht="13.5" customHeight="1"/>
    <row r="230" s="14" customFormat="1" ht="13.5" customHeight="1"/>
    <row r="231" s="14" customFormat="1" ht="13.5" customHeight="1"/>
    <row r="232" s="14" customFormat="1" ht="13.5" customHeight="1"/>
    <row r="233" s="14" customFormat="1" ht="13.5" customHeight="1"/>
    <row r="234" s="14" customFormat="1" ht="13.5" customHeight="1"/>
    <row r="235" s="14" customFormat="1" ht="13.5" customHeight="1"/>
    <row r="236" s="14" customFormat="1" ht="13.5" customHeight="1"/>
    <row r="237" s="14" customFormat="1" ht="13.5" customHeight="1"/>
    <row r="238" s="14" customFormat="1" ht="13.5" customHeight="1"/>
    <row r="239" s="14" customFormat="1" ht="13.5" customHeight="1"/>
    <row r="240" s="14" customFormat="1" ht="13.5" customHeight="1"/>
    <row r="241" s="14" customFormat="1" ht="13.5" customHeight="1"/>
    <row r="242" s="14" customFormat="1" ht="13.5" customHeight="1"/>
    <row r="243" s="14" customFormat="1" ht="13.5" customHeight="1"/>
    <row r="244" s="14" customFormat="1" ht="13.5" customHeight="1"/>
    <row r="245" s="14" customFormat="1" ht="13.5" customHeight="1"/>
    <row r="246" s="14" customFormat="1" ht="13.5" customHeight="1"/>
    <row r="247" s="14" customFormat="1" ht="13.5" customHeight="1"/>
    <row r="248" s="14" customFormat="1" ht="13.5" customHeight="1"/>
    <row r="249" s="14" customFormat="1" ht="13.5" customHeight="1"/>
    <row r="250" s="14" customFormat="1" ht="13.5" customHeight="1"/>
    <row r="251" s="14" customFormat="1" ht="13.5" customHeight="1"/>
    <row r="252" s="14" customFormat="1" ht="13.5" customHeight="1"/>
    <row r="253" s="14" customFormat="1" ht="13.5" customHeight="1"/>
    <row r="254" s="14" customFormat="1" ht="13.5" customHeight="1"/>
    <row r="255" s="14" customFormat="1" ht="13.5" customHeight="1"/>
    <row r="256" s="14" customFormat="1" ht="13.5" customHeight="1"/>
    <row r="257" s="14" customFormat="1" ht="13.5" customHeight="1"/>
    <row r="258" s="14" customFormat="1" ht="13.5" customHeight="1"/>
    <row r="259" s="14" customFormat="1" ht="13.5" customHeight="1"/>
    <row r="260" s="14" customFormat="1" ht="13.5" customHeight="1"/>
    <row r="261" s="14" customFormat="1" ht="13.5" customHeight="1"/>
    <row r="262" s="14" customFormat="1" ht="13.5" customHeight="1"/>
    <row r="263" s="14" customFormat="1" ht="13.5" customHeight="1"/>
    <row r="264" s="14" customFormat="1" ht="13.5" customHeight="1"/>
    <row r="265" s="14" customFormat="1" ht="13.5" customHeight="1"/>
    <row r="266" s="14" customFormat="1" ht="13.5" customHeight="1"/>
    <row r="267" s="14" customFormat="1" ht="13.5" customHeight="1"/>
    <row r="268" s="14" customFormat="1" ht="13.5" customHeight="1"/>
    <row r="269" s="14" customFormat="1" ht="13.5" customHeight="1"/>
    <row r="270" s="14" customFormat="1" ht="13.5" customHeight="1"/>
    <row r="271" s="14" customFormat="1" ht="13.5" customHeight="1"/>
    <row r="272" s="14" customFormat="1" ht="13.5" customHeight="1"/>
    <row r="273" s="14" customFormat="1" ht="13.5" customHeight="1"/>
    <row r="274" s="14" customFormat="1" ht="13.5" customHeight="1"/>
    <row r="275" s="14" customFormat="1" ht="13.5" customHeight="1"/>
    <row r="276" s="14" customFormat="1" ht="13.5" customHeight="1"/>
    <row r="277" s="14" customFormat="1" ht="13.5" customHeight="1"/>
    <row r="278" s="14" customFormat="1" ht="13.5" customHeight="1"/>
    <row r="279" s="14" customFormat="1" ht="13.5" customHeight="1"/>
    <row r="280" s="14" customFormat="1" ht="13.5" customHeight="1"/>
    <row r="281" s="14" customFormat="1" ht="13.5" customHeight="1"/>
    <row r="282" s="14" customFormat="1" ht="13.5" customHeight="1"/>
    <row r="283" s="14" customFormat="1" ht="13.5" customHeight="1"/>
    <row r="284" s="14" customFormat="1" ht="13.5" customHeight="1"/>
    <row r="285" s="14" customFormat="1" ht="13.5" customHeight="1"/>
    <row r="286" s="14" customFormat="1" ht="13.5" customHeight="1"/>
    <row r="287" s="14" customFormat="1" ht="13.5" customHeight="1"/>
    <row r="288" s="14" customFormat="1" ht="13.5" customHeight="1"/>
    <row r="289" s="14" customFormat="1" ht="13.5" customHeight="1"/>
    <row r="290" s="14" customFormat="1" ht="13.5" customHeight="1"/>
    <row r="291" s="14" customFormat="1" ht="13.5" customHeight="1"/>
    <row r="292" s="14" customFormat="1" ht="13.5" customHeight="1"/>
    <row r="293" s="14" customFormat="1" ht="13.5" customHeight="1"/>
    <row r="294" s="14" customFormat="1" ht="13.5" customHeight="1"/>
    <row r="295" s="14" customFormat="1" ht="13.5" customHeight="1"/>
    <row r="296" s="14" customFormat="1" ht="13.5" customHeight="1"/>
    <row r="297" s="14" customFormat="1" ht="13.5" customHeight="1"/>
    <row r="298" s="14" customFormat="1" ht="13.5" customHeight="1"/>
    <row r="299" s="14" customFormat="1" ht="13.5" customHeight="1"/>
    <row r="300" s="14" customFormat="1" ht="13.5" customHeight="1"/>
    <row r="301" s="14" customFormat="1" ht="13.5" customHeight="1"/>
    <row r="302" s="14" customFormat="1" ht="13.5" customHeight="1"/>
    <row r="303" s="14" customFormat="1" ht="13.5" customHeight="1"/>
    <row r="304" s="14" customFormat="1" ht="13.5" customHeight="1"/>
    <row r="305" s="14" customFormat="1" ht="13.5" customHeight="1"/>
    <row r="306" s="14" customFormat="1" ht="13.5" customHeight="1"/>
    <row r="307" s="14" customFormat="1" ht="13.5" customHeight="1"/>
    <row r="308" s="14" customFormat="1" ht="13.5" customHeight="1"/>
    <row r="309" s="14" customFormat="1" ht="13.5" customHeight="1"/>
    <row r="310" s="14" customFormat="1" ht="13.5" customHeight="1"/>
    <row r="311" s="14" customFormat="1" ht="13.5" customHeight="1"/>
    <row r="312" s="14" customFormat="1" ht="13.5" customHeight="1"/>
    <row r="313" s="14" customFormat="1" ht="13.5" customHeight="1"/>
    <row r="314" s="14" customFormat="1" ht="13.5" customHeight="1"/>
    <row r="315" s="14" customFormat="1" ht="13.5" customHeight="1"/>
    <row r="316" s="14" customFormat="1" ht="13.5" customHeight="1"/>
    <row r="317" s="14" customFormat="1" ht="13.5" customHeight="1"/>
    <row r="318" s="14" customFormat="1" ht="13.5" customHeight="1"/>
    <row r="319" s="14" customFormat="1" ht="13.5" customHeight="1"/>
    <row r="320" s="14" customFormat="1" ht="13.5" customHeight="1"/>
    <row r="321" s="14" customFormat="1" ht="13.5" customHeight="1"/>
    <row r="322" s="14" customFormat="1" ht="13.5" customHeight="1"/>
    <row r="323" s="14" customFormat="1" ht="13.5" customHeight="1"/>
    <row r="324" s="14" customFormat="1" ht="13.5" customHeight="1"/>
    <row r="325" s="14" customFormat="1" ht="13.5" customHeight="1"/>
    <row r="326" s="14" customFormat="1" ht="13.5" customHeight="1"/>
    <row r="327" s="14" customFormat="1" ht="13.5" customHeight="1"/>
    <row r="328" s="14" customFormat="1" ht="13.5" customHeight="1"/>
    <row r="329" s="14" customFormat="1" ht="13.5" customHeight="1"/>
    <row r="330" s="14" customFormat="1" ht="13.5" customHeight="1"/>
    <row r="331" s="14" customFormat="1" ht="13.5" customHeight="1"/>
    <row r="332" s="14" customFormat="1" ht="13.5" customHeight="1"/>
    <row r="333" s="14" customFormat="1" ht="13.5" customHeight="1"/>
    <row r="334" s="14" customFormat="1" ht="13.5" customHeight="1"/>
    <row r="335" s="14" customFormat="1" ht="13.5" customHeight="1"/>
    <row r="336" s="14" customFormat="1" ht="13.5" customHeight="1"/>
    <row r="337" s="14" customFormat="1" ht="13.5" customHeight="1"/>
    <row r="338" s="14" customFormat="1" ht="13.5" customHeight="1"/>
    <row r="339" s="14" customFormat="1" ht="13.5" customHeight="1"/>
    <row r="340" s="14" customFormat="1" ht="13.5" customHeight="1"/>
    <row r="341" s="14" customFormat="1" ht="13.5" customHeight="1"/>
    <row r="342" s="14" customFormat="1" ht="13.5" customHeight="1"/>
    <row r="343" s="14" customFormat="1" ht="13.5" customHeight="1"/>
    <row r="344" s="14" customFormat="1" ht="13.5" customHeight="1"/>
    <row r="345" s="14" customFormat="1" ht="13.5" customHeight="1"/>
    <row r="346" s="14" customFormat="1" ht="13.5" customHeight="1"/>
    <row r="347" s="14" customFormat="1" ht="13.5" customHeight="1"/>
    <row r="348" s="14" customFormat="1" ht="13.5" customHeight="1"/>
    <row r="349" s="14" customFormat="1" ht="13.5" customHeight="1"/>
    <row r="350" s="14" customFormat="1" ht="13.5" customHeight="1"/>
    <row r="351" s="14" customFormat="1" ht="13.5" customHeight="1"/>
    <row r="352" s="14" customFormat="1" ht="13.5" customHeight="1"/>
    <row r="353" s="14" customFormat="1" ht="13.5" customHeight="1"/>
    <row r="354" s="14" customFormat="1" ht="13.5" customHeight="1"/>
    <row r="355" s="14" customFormat="1" ht="13.5" customHeight="1"/>
    <row r="356" s="14" customFormat="1" ht="13.5" customHeight="1"/>
    <row r="357" s="14" customFormat="1" ht="13.5" customHeight="1"/>
    <row r="358" s="14" customFormat="1" ht="13.5" customHeight="1"/>
    <row r="359" s="14" customFormat="1" ht="13.5" customHeight="1"/>
    <row r="360" s="14" customFormat="1" ht="13.5" customHeight="1"/>
    <row r="361" s="14" customFormat="1" ht="13.5" customHeight="1"/>
    <row r="362" s="14" customFormat="1" ht="13.5" customHeight="1"/>
    <row r="363" s="14" customFormat="1" ht="13.5" customHeight="1"/>
    <row r="364" s="14" customFormat="1" ht="13.5" customHeight="1"/>
    <row r="365" s="14" customFormat="1" ht="13.5" customHeight="1"/>
    <row r="366" s="14" customFormat="1" ht="13.5" customHeight="1"/>
    <row r="367" s="14" customFormat="1" ht="13.5" customHeight="1"/>
    <row r="368" s="14" customFormat="1" ht="13.5" customHeight="1"/>
    <row r="369" s="14" customFormat="1" ht="13.5" customHeight="1"/>
    <row r="370" s="14" customFormat="1" ht="13.5" customHeight="1"/>
    <row r="371" s="14" customFormat="1" ht="13.5" customHeight="1"/>
    <row r="372" s="14" customFormat="1" ht="13.5" customHeight="1"/>
    <row r="373" s="14" customFormat="1" ht="13.5" customHeight="1"/>
    <row r="374" s="14" customFormat="1" ht="13.5" customHeight="1"/>
    <row r="375" s="14" customFormat="1" ht="13.5" customHeight="1"/>
    <row r="376" s="14" customFormat="1" ht="13.5" customHeight="1"/>
    <row r="377" s="14" customFormat="1" ht="13.5" customHeight="1"/>
    <row r="378" s="14" customFormat="1" ht="13.5" customHeight="1"/>
    <row r="379" s="14" customFormat="1" ht="13.5" customHeight="1"/>
    <row r="380" s="14" customFormat="1" ht="13.5" customHeight="1"/>
    <row r="381" s="14" customFormat="1" ht="13.5" customHeight="1"/>
    <row r="382" s="14" customFormat="1" ht="13.5" customHeight="1"/>
    <row r="383" s="14" customFormat="1" ht="13.5" customHeight="1"/>
    <row r="384" s="14" customFormat="1" ht="13.5" customHeight="1"/>
    <row r="385" s="14" customFormat="1" ht="13.5" customHeight="1"/>
    <row r="386" s="14" customFormat="1" ht="13.5" customHeight="1"/>
    <row r="387" s="14" customFormat="1" ht="13.5" customHeight="1"/>
    <row r="388" s="14" customFormat="1" ht="13.5" customHeight="1"/>
    <row r="389" s="14" customFormat="1" ht="13.5" customHeight="1"/>
    <row r="390" s="14" customFormat="1" ht="13.5" customHeight="1"/>
    <row r="391" s="14" customFormat="1" ht="13.5" customHeight="1"/>
    <row r="392" s="14" customFormat="1" ht="13.5" customHeight="1"/>
    <row r="393" s="14" customFormat="1" ht="13.5" customHeight="1"/>
    <row r="394" s="14" customFormat="1" ht="13.5" customHeight="1"/>
    <row r="395" s="14" customFormat="1" ht="13.5" customHeight="1"/>
    <row r="396" s="14" customFormat="1" ht="13.5" customHeight="1"/>
    <row r="397" s="14" customFormat="1" ht="13.5" customHeight="1"/>
    <row r="398" s="14" customFormat="1" ht="13.5" customHeight="1"/>
    <row r="399" s="14" customFormat="1" ht="13.5" customHeight="1"/>
    <row r="400" s="14" customFormat="1" ht="13.5" customHeight="1"/>
    <row r="401" s="14" customFormat="1" ht="13.5" customHeight="1"/>
    <row r="402" s="14" customFormat="1" ht="13.5" customHeight="1"/>
    <row r="403" s="14" customFormat="1" ht="13.5" customHeight="1"/>
    <row r="404" s="14" customFormat="1" ht="13.5" customHeight="1"/>
    <row r="405" s="14" customFormat="1" ht="13.5" customHeight="1"/>
    <row r="406" s="14" customFormat="1" ht="13.5" customHeight="1"/>
    <row r="407" s="14" customFormat="1" ht="13.5" customHeight="1"/>
    <row r="408" s="14" customFormat="1" ht="13.5" customHeight="1"/>
    <row r="409" s="14" customFormat="1" ht="13.5" customHeight="1"/>
    <row r="410" s="14" customFormat="1" ht="13.5" customHeight="1"/>
    <row r="411" s="14" customFormat="1" ht="13.5" customHeight="1"/>
    <row r="412" s="14" customFormat="1" ht="13.5" customHeight="1"/>
    <row r="413" s="14" customFormat="1" ht="13.5" customHeight="1"/>
    <row r="414" s="14" customFormat="1" ht="13.5" customHeight="1"/>
    <row r="415" s="14" customFormat="1" ht="13.5" customHeight="1"/>
    <row r="416" s="14" customFormat="1" ht="13.5" customHeight="1"/>
    <row r="417" s="14" customFormat="1" ht="13.5" customHeight="1"/>
    <row r="418" s="14" customFormat="1" ht="13.5" customHeight="1"/>
    <row r="419" s="14" customFormat="1" ht="13.5" customHeight="1"/>
    <row r="420" s="14" customFormat="1" ht="13.5" customHeight="1"/>
    <row r="421" s="14" customFormat="1" ht="13.5" customHeight="1"/>
    <row r="422" s="14" customFormat="1" ht="13.5" customHeight="1"/>
    <row r="423" s="14" customFormat="1" ht="13.5" customHeight="1"/>
    <row r="424" s="14" customFormat="1" ht="13.5" customHeight="1"/>
    <row r="425" s="14" customFormat="1" ht="13.5" customHeight="1"/>
    <row r="426" s="14" customFormat="1" ht="13.5" customHeight="1"/>
    <row r="427" s="14" customFormat="1" ht="13.5" customHeight="1"/>
    <row r="428" s="14" customFormat="1" ht="13.5" customHeight="1"/>
    <row r="429" s="14" customFormat="1" ht="13.5" customHeight="1"/>
    <row r="430" s="14" customFormat="1" ht="13.5" customHeight="1"/>
    <row r="431" s="14" customFormat="1" ht="13.5" customHeight="1"/>
    <row r="432" s="14" customFormat="1" ht="13.5" customHeight="1"/>
    <row r="433" s="14" customFormat="1" ht="13.5" customHeight="1"/>
    <row r="434" s="14" customFormat="1" ht="13.5" customHeight="1"/>
    <row r="435" s="14" customFormat="1" ht="13.5" customHeight="1"/>
    <row r="436" s="14" customFormat="1" ht="13.5" customHeight="1"/>
    <row r="437" s="14" customFormat="1" ht="13.5" customHeight="1"/>
    <row r="438" s="14" customFormat="1" ht="13.5" customHeight="1"/>
    <row r="439" s="14" customFormat="1" ht="13.5" customHeight="1"/>
    <row r="440" s="14" customFormat="1" ht="13.5" customHeight="1"/>
    <row r="441" s="14" customFormat="1" ht="13.5" customHeight="1"/>
    <row r="442" s="14" customFormat="1" ht="13.5" customHeight="1"/>
    <row r="443" s="14" customFormat="1" ht="13.5" customHeight="1"/>
    <row r="444" s="14" customFormat="1" ht="13.5" customHeight="1"/>
    <row r="445" s="14" customFormat="1" ht="13.5" customHeight="1"/>
    <row r="446" s="14" customFormat="1" ht="13.5" customHeight="1"/>
    <row r="447" s="14" customFormat="1" ht="13.5" customHeight="1"/>
    <row r="448" s="14" customFormat="1" ht="13.5" customHeight="1"/>
    <row r="449" s="14" customFormat="1" ht="13.5" customHeight="1"/>
    <row r="450" s="14" customFormat="1" ht="13.5" customHeight="1"/>
    <row r="451" s="14" customFormat="1" ht="13.5" customHeight="1"/>
    <row r="452" s="14" customFormat="1" ht="13.5" customHeight="1"/>
    <row r="453" s="14" customFormat="1" ht="13.5" customHeight="1"/>
    <row r="454" s="14" customFormat="1" ht="13.5" customHeight="1"/>
    <row r="455" s="14" customFormat="1" ht="13.5" customHeight="1"/>
    <row r="456" s="14" customFormat="1" ht="13.5" customHeight="1"/>
    <row r="457" s="14" customFormat="1" ht="13.5" customHeight="1"/>
    <row r="458" s="14" customFormat="1" ht="13.5" customHeight="1"/>
    <row r="459" s="14" customFormat="1" ht="13.5" customHeight="1"/>
    <row r="460" s="14" customFormat="1" ht="13.5" customHeight="1"/>
    <row r="461" s="14" customFormat="1" ht="13.5" customHeight="1"/>
    <row r="462" s="14" customFormat="1" ht="13.5" customHeight="1"/>
    <row r="463" s="14" customFormat="1" ht="13.5" customHeight="1"/>
    <row r="464" s="14" customFormat="1" ht="13.5" customHeight="1"/>
    <row r="465" s="14" customFormat="1" ht="13.5" customHeight="1"/>
    <row r="466" s="14" customFormat="1" ht="13.5" customHeight="1"/>
    <row r="467" s="14" customFormat="1" ht="13.5" customHeight="1"/>
    <row r="468" s="14" customFormat="1" ht="13.5" customHeight="1"/>
    <row r="469" s="14" customFormat="1" ht="13.5" customHeight="1"/>
    <row r="470" s="14" customFormat="1" ht="13.5" customHeight="1"/>
    <row r="471" s="14" customFormat="1" ht="13.5" customHeight="1"/>
    <row r="472" s="14" customFormat="1" ht="13.5" customHeight="1"/>
    <row r="473" s="14" customFormat="1" ht="13.5" customHeight="1"/>
    <row r="474" s="14" customFormat="1" ht="13.5" customHeight="1"/>
    <row r="475" s="14" customFormat="1" ht="13.5" customHeight="1"/>
    <row r="476" s="14" customFormat="1" ht="13.5" customHeight="1"/>
    <row r="477" s="14" customFormat="1" ht="13.5" customHeight="1"/>
    <row r="478" s="14" customFormat="1" ht="13.5" customHeight="1"/>
    <row r="479" s="14" customFormat="1" ht="13.5" customHeight="1"/>
    <row r="480" s="14" customFormat="1" ht="13.5" customHeight="1"/>
    <row r="481" s="14" customFormat="1" ht="13.5" customHeight="1"/>
    <row r="482" s="14" customFormat="1" ht="13.5" customHeight="1"/>
    <row r="483" s="14" customFormat="1" ht="13.5" customHeight="1"/>
    <row r="484" s="14" customFormat="1" ht="13.5" customHeight="1"/>
    <row r="485" s="14" customFormat="1" ht="13.5" customHeight="1"/>
    <row r="486" s="14" customFormat="1" ht="13.5" customHeight="1"/>
    <row r="487" s="14" customFormat="1" ht="13.5" customHeight="1"/>
    <row r="488" s="14" customFormat="1" ht="13.5" customHeight="1"/>
    <row r="489" s="14" customFormat="1" ht="13.5" customHeight="1"/>
    <row r="490" s="14" customFormat="1" ht="13.5" customHeight="1"/>
    <row r="491" s="14" customFormat="1" ht="13.5" customHeight="1"/>
    <row r="492" s="14" customFormat="1" ht="13.5" customHeight="1"/>
    <row r="493" s="14" customFormat="1" ht="13.5" customHeight="1"/>
    <row r="494" s="14" customFormat="1" ht="13.5" customHeight="1"/>
    <row r="495" s="14" customFormat="1" ht="13.5" customHeight="1"/>
    <row r="496" s="14" customFormat="1" ht="13.5" customHeight="1"/>
    <row r="497" s="14" customFormat="1" ht="13.5" customHeight="1"/>
    <row r="498" s="14" customFormat="1" ht="13.5" customHeight="1"/>
    <row r="499" s="14" customFormat="1" ht="13.5" customHeight="1"/>
    <row r="500" s="14" customFormat="1" ht="13.5" customHeight="1"/>
    <row r="501" s="14" customFormat="1" ht="13.5" customHeight="1"/>
    <row r="502" s="14" customFormat="1" ht="13.5" customHeight="1"/>
    <row r="503" s="14" customFormat="1" ht="13.5" customHeight="1"/>
    <row r="504" s="14" customFormat="1" ht="13.5" customHeight="1"/>
    <row r="505" s="14" customFormat="1" ht="13.5" customHeight="1"/>
    <row r="506" s="14" customFormat="1" ht="13.5" customHeight="1"/>
    <row r="507" s="14" customFormat="1" ht="13.5" customHeight="1"/>
    <row r="508" s="14" customFormat="1" ht="13.5" customHeight="1"/>
    <row r="509" s="14" customFormat="1" ht="13.5" customHeight="1"/>
    <row r="510" s="14" customFormat="1" ht="13.5" customHeight="1"/>
    <row r="511" s="14" customFormat="1" ht="13.5" customHeight="1"/>
    <row r="512" s="14" customFormat="1" ht="13.5" customHeight="1"/>
    <row r="513" s="14" customFormat="1" ht="13.5" customHeight="1"/>
    <row r="514" s="14" customFormat="1" ht="13.5" customHeight="1"/>
    <row r="515" s="14" customFormat="1" ht="13.5" customHeight="1"/>
    <row r="516" s="14" customFormat="1" ht="13.5" customHeight="1"/>
    <row r="517" s="14" customFormat="1" ht="13.5" customHeight="1"/>
    <row r="518" s="14" customFormat="1" ht="13.5" customHeight="1"/>
    <row r="519" s="14" customFormat="1" ht="13.5" customHeight="1"/>
    <row r="520" s="14" customFormat="1" ht="13.5" customHeight="1"/>
    <row r="521" s="14" customFormat="1" ht="13.5" customHeight="1"/>
    <row r="522" s="14" customFormat="1" ht="13.5" customHeight="1"/>
    <row r="523" s="14" customFormat="1" ht="13.5" customHeight="1"/>
    <row r="524" s="14" customFormat="1" ht="13.5" customHeight="1"/>
    <row r="525" s="14" customFormat="1" ht="13.5" customHeight="1"/>
    <row r="526" s="14" customFormat="1" ht="13.5" customHeight="1"/>
    <row r="527" s="14" customFormat="1" ht="13.5" customHeight="1"/>
    <row r="528" s="14" customFormat="1" ht="13.5" customHeight="1"/>
    <row r="529" s="14" customFormat="1" ht="13.5" customHeight="1"/>
    <row r="530" s="14" customFormat="1" ht="13.5" customHeight="1"/>
    <row r="531" s="14" customFormat="1" ht="13.5" customHeight="1"/>
    <row r="532" s="14" customFormat="1" ht="13.5" customHeight="1"/>
    <row r="533" s="14" customFormat="1" ht="13.5" customHeight="1"/>
    <row r="534" s="14" customFormat="1" ht="13.5" customHeight="1"/>
    <row r="535" s="14" customFormat="1" ht="13.5" customHeight="1"/>
    <row r="536" s="14" customFormat="1" ht="13.5" customHeight="1"/>
    <row r="537" s="14" customFormat="1" ht="13.5" customHeight="1"/>
    <row r="538" s="14" customFormat="1" ht="13.5" customHeight="1"/>
    <row r="539" s="14" customFormat="1" ht="13.5" customHeight="1"/>
    <row r="540" s="14" customFormat="1" ht="13.5" customHeight="1"/>
    <row r="541" s="14" customFormat="1" ht="13.5" customHeight="1"/>
    <row r="542" s="14" customFormat="1" ht="13.5" customHeight="1"/>
    <row r="543" s="14" customFormat="1" ht="13.5" customHeight="1"/>
    <row r="544" s="14" customFormat="1" ht="13.5" customHeight="1"/>
    <row r="545" s="14" customFormat="1" ht="13.5" customHeight="1"/>
    <row r="546" s="14" customFormat="1" ht="13.5" customHeight="1"/>
    <row r="547" s="14" customFormat="1" ht="13.5" customHeight="1"/>
    <row r="548" s="14" customFormat="1" ht="13.5" customHeight="1"/>
    <row r="549" s="14" customFormat="1" ht="13.5" customHeight="1"/>
    <row r="550" s="14" customFormat="1" ht="13.5" customHeight="1"/>
    <row r="551" s="14" customFormat="1" ht="13.5" customHeight="1"/>
    <row r="552" s="14" customFormat="1" ht="13.5" customHeight="1"/>
    <row r="553" s="14" customFormat="1" ht="13.5" customHeight="1"/>
    <row r="554" s="14" customFormat="1" ht="13.5" customHeight="1"/>
    <row r="555" s="14" customFormat="1" ht="13.5" customHeight="1"/>
    <row r="556" s="14" customFormat="1" ht="13.5" customHeight="1"/>
    <row r="557" s="14" customFormat="1" ht="13.5" customHeight="1"/>
    <row r="558" s="14" customFormat="1" ht="13.5" customHeight="1"/>
    <row r="559" s="14" customFormat="1" ht="13.5" customHeight="1"/>
    <row r="560" s="14" customFormat="1" ht="13.5" customHeight="1"/>
    <row r="561" s="14" customFormat="1" ht="13.5" customHeight="1"/>
    <row r="562" s="14" customFormat="1" ht="13.5" customHeight="1"/>
    <row r="563" s="14" customFormat="1" ht="13.5" customHeight="1"/>
    <row r="564" s="14" customFormat="1" ht="13.5" customHeight="1"/>
    <row r="565" s="14" customFormat="1" ht="13.5" customHeight="1"/>
    <row r="566" s="14" customFormat="1" ht="13.5" customHeight="1"/>
    <row r="567" s="14" customFormat="1" ht="13.5" customHeight="1"/>
    <row r="568" s="14" customFormat="1" ht="13.5" customHeight="1"/>
    <row r="569" s="14" customFormat="1" ht="13.5" customHeight="1"/>
    <row r="570" s="14" customFormat="1" ht="13.5" customHeight="1"/>
    <row r="571" s="14" customFormat="1" ht="13.5" customHeight="1"/>
    <row r="572" s="14" customFormat="1" ht="13.5" customHeight="1"/>
    <row r="573" s="14" customFormat="1" ht="13.5" customHeight="1"/>
    <row r="574" s="14" customFormat="1" ht="13.5" customHeight="1"/>
    <row r="575" s="14" customFormat="1" ht="13.5" customHeight="1"/>
    <row r="576" s="14" customFormat="1" ht="13.5" customHeight="1"/>
    <row r="577" s="14" customFormat="1" ht="13.5" customHeight="1"/>
    <row r="578" s="14" customFormat="1" ht="13.5" customHeight="1"/>
    <row r="579" s="14" customFormat="1" ht="13.5" customHeight="1"/>
    <row r="580" s="14" customFormat="1" ht="13.5" customHeight="1"/>
    <row r="581" s="14" customFormat="1" ht="13.5" customHeight="1"/>
    <row r="582" s="14" customFormat="1" ht="13.5" customHeight="1"/>
    <row r="583" s="14" customFormat="1" ht="13.5" customHeight="1"/>
    <row r="584" s="14" customFormat="1" ht="13.5" customHeight="1"/>
    <row r="585" s="14" customFormat="1" ht="13.5" customHeight="1"/>
    <row r="586" s="14" customFormat="1" ht="13.5" customHeight="1"/>
    <row r="587" s="14" customFormat="1" ht="13.5" customHeight="1"/>
    <row r="588" s="14" customFormat="1" ht="13.5" customHeight="1"/>
    <row r="589" s="14" customFormat="1" ht="13.5" customHeight="1"/>
    <row r="590" s="14" customFormat="1" ht="13.5" customHeight="1"/>
    <row r="591" s="14" customFormat="1" ht="13.5" customHeight="1"/>
    <row r="592" s="14" customFormat="1" ht="13.5" customHeight="1"/>
    <row r="593" s="14" customFormat="1" ht="13.5" customHeight="1"/>
    <row r="594" s="14" customFormat="1" ht="13.5" customHeight="1"/>
    <row r="595" s="14" customFormat="1" ht="13.5" customHeight="1"/>
    <row r="596" s="14" customFormat="1" ht="13.5" customHeight="1"/>
    <row r="597" s="14" customFormat="1" ht="13.5" customHeight="1"/>
    <row r="598" s="14" customFormat="1" ht="13.5" customHeight="1"/>
    <row r="599" s="14" customFormat="1" ht="13.5" customHeight="1"/>
    <row r="600" s="14" customFormat="1" ht="13.5" customHeight="1"/>
    <row r="601" s="14" customFormat="1" ht="13.5" customHeight="1"/>
    <row r="602" s="14" customFormat="1" ht="13.5" customHeight="1"/>
    <row r="603" s="14" customFormat="1" ht="13.5" customHeight="1"/>
    <row r="604" s="14" customFormat="1" ht="13.5" customHeight="1"/>
    <row r="605" s="14" customFormat="1" ht="13.5" customHeight="1"/>
    <row r="606" s="14" customFormat="1" ht="13.5" customHeight="1"/>
    <row r="607" s="14" customFormat="1" ht="13.5" customHeight="1"/>
    <row r="608" s="14" customFormat="1" ht="13.5" customHeight="1"/>
    <row r="609" s="14" customFormat="1" ht="13.5" customHeight="1"/>
    <row r="610" s="14" customFormat="1" ht="13.5" customHeight="1"/>
    <row r="611" s="14" customFormat="1" ht="13.5" customHeight="1"/>
    <row r="612" s="14" customFormat="1" ht="13.5" customHeight="1"/>
    <row r="613" s="14" customFormat="1" ht="13.5" customHeight="1"/>
    <row r="614" s="14" customFormat="1" ht="13.5" customHeight="1"/>
    <row r="615" s="14" customFormat="1" ht="13.5" customHeight="1"/>
    <row r="616" s="14" customFormat="1" ht="13.5" customHeight="1"/>
    <row r="617" s="14" customFormat="1" ht="13.5" customHeight="1"/>
    <row r="618" s="14" customFormat="1" ht="13.5" customHeight="1"/>
    <row r="619" s="14" customFormat="1" ht="13.5" customHeight="1"/>
    <row r="620" s="14" customFormat="1" ht="13.5" customHeight="1"/>
    <row r="621" s="14" customFormat="1" ht="13.5" customHeight="1"/>
    <row r="622" s="14" customFormat="1" ht="13.5" customHeight="1"/>
    <row r="623" s="14" customFormat="1" ht="13.5" customHeight="1"/>
    <row r="624" s="14" customFormat="1" ht="13.5" customHeight="1"/>
    <row r="625" s="14" customFormat="1" ht="13.5" customHeight="1"/>
    <row r="626" s="14" customFormat="1" ht="13.5" customHeight="1"/>
    <row r="627" s="14" customFormat="1" ht="13.5" customHeight="1"/>
    <row r="628" s="14" customFormat="1" ht="13.5" customHeight="1"/>
    <row r="629" s="14" customFormat="1" ht="13.5" customHeight="1"/>
    <row r="630" s="14" customFormat="1" ht="13.5" customHeight="1"/>
    <row r="631" s="14" customFormat="1" ht="13.5" customHeight="1"/>
    <row r="632" s="14" customFormat="1" ht="13.5" customHeight="1"/>
    <row r="633" s="14" customFormat="1" ht="13.5" customHeight="1"/>
    <row r="634" s="14" customFormat="1" ht="13.5" customHeight="1"/>
    <row r="635" s="14" customFormat="1" ht="13.5" customHeight="1"/>
    <row r="636" s="14" customFormat="1" ht="13.5" customHeight="1"/>
    <row r="637" s="14" customFormat="1" ht="13.5" customHeight="1"/>
    <row r="638" s="14" customFormat="1" ht="13.5" customHeight="1"/>
    <row r="639" s="14" customFormat="1" ht="13.5" customHeight="1"/>
    <row r="640" s="14" customFormat="1" ht="13.5" customHeight="1"/>
    <row r="641" s="14" customFormat="1" ht="13.5" customHeight="1"/>
    <row r="642" s="14" customFormat="1" ht="13.5" customHeight="1"/>
    <row r="643" s="14" customFormat="1" ht="13.5" customHeight="1"/>
    <row r="644" s="14" customFormat="1" ht="13.5" customHeight="1"/>
    <row r="645" s="14" customFormat="1" ht="13.5" customHeight="1"/>
    <row r="646" s="14" customFormat="1" ht="13.5" customHeight="1"/>
    <row r="647" s="14" customFormat="1" ht="13.5" customHeight="1"/>
    <row r="648" s="14" customFormat="1" ht="13.5" customHeight="1"/>
    <row r="649" s="14" customFormat="1" ht="13.5" customHeight="1"/>
    <row r="650" s="14" customFormat="1" ht="13.5" customHeight="1"/>
    <row r="651" s="14" customFormat="1" ht="13.5" customHeight="1"/>
    <row r="652" s="14" customFormat="1" ht="13.5" customHeight="1"/>
    <row r="653" s="14" customFormat="1" ht="13.5" customHeight="1"/>
    <row r="654" s="14" customFormat="1" ht="13.5" customHeight="1"/>
    <row r="655" s="14" customFormat="1" ht="13.5" customHeight="1"/>
    <row r="656" s="14" customFormat="1" ht="13.5" customHeight="1"/>
    <row r="657" s="14" customFormat="1" ht="13.5" customHeight="1"/>
    <row r="658" s="14" customFormat="1" ht="13.5" customHeight="1"/>
    <row r="659" s="14" customFormat="1" ht="13.5" customHeight="1"/>
    <row r="660" s="14" customFormat="1" ht="13.5" customHeight="1"/>
    <row r="661" s="14" customFormat="1" ht="13.5" customHeight="1"/>
    <row r="662" s="14" customFormat="1" ht="13.5" customHeight="1"/>
    <row r="663" s="14" customFormat="1" ht="13.5" customHeight="1"/>
    <row r="664" s="14" customFormat="1" ht="13.5" customHeight="1"/>
    <row r="665" s="14" customFormat="1" ht="13.5" customHeight="1"/>
    <row r="666" s="14" customFormat="1" ht="13.5" customHeight="1"/>
    <row r="667" s="14" customFormat="1" ht="13.5" customHeight="1"/>
    <row r="668" s="14" customFormat="1" ht="13.5" customHeight="1"/>
    <row r="669" s="14" customFormat="1" ht="13.5" customHeight="1"/>
    <row r="670" s="14" customFormat="1" ht="13.5" customHeight="1"/>
    <row r="671" s="14" customFormat="1" ht="13.5" customHeight="1"/>
    <row r="672" s="14" customFormat="1" ht="13.5" customHeight="1"/>
    <row r="673" s="14" customFormat="1" ht="13.5" customHeight="1"/>
    <row r="674" s="14" customFormat="1" ht="13.5" customHeight="1"/>
    <row r="675" s="14" customFormat="1" ht="13.5" customHeight="1"/>
    <row r="676" s="14" customFormat="1" ht="13.5" customHeight="1"/>
    <row r="677" s="14" customFormat="1" ht="13.5" customHeight="1"/>
    <row r="678" s="14" customFormat="1" ht="13.5" customHeight="1"/>
    <row r="679" s="14" customFormat="1" ht="13.5" customHeight="1"/>
    <row r="680" s="14" customFormat="1" ht="13.5" customHeight="1"/>
    <row r="681" s="14" customFormat="1" ht="13.5" customHeight="1"/>
    <row r="682" s="14" customFormat="1" ht="13.5" customHeight="1"/>
    <row r="683" s="14" customFormat="1" ht="13.5" customHeight="1"/>
    <row r="684" s="14" customFormat="1" ht="13.5" customHeight="1"/>
    <row r="685" s="14" customFormat="1" ht="13.5" customHeight="1"/>
    <row r="686" s="14" customFormat="1" ht="13.5" customHeight="1"/>
    <row r="687" s="14" customFormat="1" ht="13.5" customHeight="1"/>
    <row r="688" s="14" customFormat="1" ht="13.5" customHeight="1"/>
    <row r="689" s="14" customFormat="1" ht="13.5" customHeight="1"/>
    <row r="690" s="14" customFormat="1" ht="13.5" customHeight="1"/>
    <row r="691" s="14" customFormat="1" ht="13.5" customHeight="1"/>
    <row r="692" s="14" customFormat="1" ht="13.5" customHeight="1"/>
    <row r="693" s="14" customFormat="1" ht="13.5" customHeight="1"/>
    <row r="694" s="14" customFormat="1" ht="13.5" customHeight="1"/>
    <row r="695" s="14" customFormat="1" ht="13.5" customHeight="1"/>
    <row r="696" s="14" customFormat="1" ht="13.5" customHeight="1"/>
    <row r="697" s="14" customFormat="1" ht="13.5" customHeight="1"/>
    <row r="698" s="14" customFormat="1" ht="13.5" customHeight="1"/>
    <row r="699" s="14" customFormat="1" ht="13.5" customHeight="1"/>
    <row r="700" s="14" customFormat="1" ht="13.5" customHeight="1"/>
    <row r="701" s="14" customFormat="1" ht="13.5" customHeight="1"/>
    <row r="702" s="14" customFormat="1" ht="13.5" customHeight="1"/>
    <row r="703" s="14" customFormat="1" ht="13.5" customHeight="1"/>
    <row r="704" s="14" customFormat="1" ht="13.5" customHeight="1"/>
    <row r="705" s="14" customFormat="1" ht="13.5" customHeight="1"/>
    <row r="706" s="14" customFormat="1" ht="13.5" customHeight="1"/>
    <row r="707" s="14" customFormat="1" ht="13.5" customHeight="1"/>
    <row r="708" s="14" customFormat="1" ht="13.5" customHeight="1"/>
    <row r="709" s="14" customFormat="1" ht="13.5" customHeight="1"/>
    <row r="710" s="14" customFormat="1" ht="13.5" customHeight="1"/>
    <row r="711" s="14" customFormat="1" ht="13.5" customHeight="1"/>
    <row r="712" s="14" customFormat="1" ht="13.5" customHeight="1"/>
    <row r="713" s="14" customFormat="1" ht="13.5" customHeight="1"/>
    <row r="714" s="14" customFormat="1" ht="13.5" customHeight="1"/>
    <row r="715" s="14" customFormat="1" ht="13.5" customHeight="1"/>
    <row r="716" s="14" customFormat="1" ht="13.5" customHeight="1"/>
    <row r="717" s="14" customFormat="1" ht="13.5" customHeight="1"/>
    <row r="718" s="14" customFormat="1" ht="13.5" customHeight="1"/>
    <row r="719" s="14" customFormat="1" ht="13.5" customHeight="1"/>
    <row r="720" s="14" customFormat="1" ht="13.5" customHeight="1"/>
    <row r="721" s="14" customFormat="1" ht="13.5" customHeight="1"/>
    <row r="722" s="14" customFormat="1" ht="13.5" customHeight="1"/>
    <row r="723" s="14" customFormat="1" ht="13.5" customHeight="1"/>
    <row r="724" s="14" customFormat="1" ht="13.5" customHeight="1"/>
    <row r="725" s="14" customFormat="1" ht="13.5" customHeight="1"/>
    <row r="726" s="14" customFormat="1" ht="13.5" customHeight="1"/>
    <row r="727" s="14" customFormat="1" ht="13.5" customHeight="1"/>
    <row r="728" s="14" customFormat="1" ht="13.5" customHeight="1"/>
    <row r="729" s="14" customFormat="1" ht="13.5" customHeight="1"/>
    <row r="730" s="14" customFormat="1" ht="13.5" customHeight="1"/>
    <row r="731" s="14" customFormat="1" ht="13.5" customHeight="1"/>
    <row r="732" s="14" customFormat="1" ht="13.5" customHeight="1"/>
    <row r="733" s="14" customFormat="1" ht="13.5" customHeight="1"/>
    <row r="734" s="14" customFormat="1" ht="13.5" customHeight="1"/>
    <row r="735" s="14" customFormat="1" ht="13.5" customHeight="1"/>
    <row r="736" s="14" customFormat="1" ht="13.5" customHeight="1"/>
    <row r="737" s="14" customFormat="1" ht="13.5" customHeight="1"/>
    <row r="738" s="14" customFormat="1" ht="13.5" customHeight="1"/>
    <row r="739" s="14" customFormat="1" ht="13.5" customHeight="1"/>
    <row r="740" s="14" customFormat="1" ht="13.5" customHeight="1"/>
    <row r="741" s="14" customFormat="1" ht="13.5" customHeight="1"/>
    <row r="742" s="14" customFormat="1" ht="13.5" customHeight="1"/>
    <row r="743" s="14" customFormat="1" ht="13.5" customHeight="1"/>
    <row r="744" s="14" customFormat="1" ht="13.5" customHeight="1"/>
    <row r="745" s="14" customFormat="1" ht="13.5" customHeight="1"/>
    <row r="746" s="14" customFormat="1" ht="13.5" customHeight="1"/>
    <row r="747" s="14" customFormat="1" ht="13.5" customHeight="1"/>
    <row r="748" s="14" customFormat="1" ht="13.5" customHeight="1"/>
    <row r="749" s="14" customFormat="1" ht="13.5" customHeight="1"/>
    <row r="750" s="14" customFormat="1" ht="13.5" customHeight="1"/>
    <row r="751" s="14" customFormat="1" ht="13.5" customHeight="1"/>
    <row r="752" s="14" customFormat="1" ht="13.5" customHeight="1"/>
    <row r="753" s="14" customFormat="1" ht="13.5" customHeight="1"/>
    <row r="754" s="14" customFormat="1" ht="13.5" customHeight="1"/>
    <row r="755" s="14" customFormat="1" ht="13.5" customHeight="1"/>
    <row r="756" s="14" customFormat="1" ht="13.5" customHeight="1"/>
    <row r="757" s="14" customFormat="1" ht="13.5" customHeight="1"/>
    <row r="758" s="14" customFormat="1" ht="13.5" customHeight="1"/>
    <row r="759" s="14" customFormat="1" ht="13.5" customHeight="1"/>
    <row r="760" s="14" customFormat="1" ht="13.5" customHeight="1"/>
    <row r="761" s="14" customFormat="1" ht="13.5" customHeight="1"/>
    <row r="762" s="14" customFormat="1" ht="13.5" customHeight="1"/>
    <row r="763" s="14" customFormat="1" ht="13.5" customHeight="1"/>
    <row r="764" s="14" customFormat="1" ht="13.5" customHeight="1"/>
    <row r="765" s="14" customFormat="1" ht="13.5" customHeight="1"/>
    <row r="766" s="14" customFormat="1" ht="13.5" customHeight="1"/>
    <row r="767" s="14" customFormat="1" ht="13.5" customHeight="1"/>
    <row r="768" s="14" customFormat="1" ht="13.5" customHeight="1"/>
    <row r="769" s="14" customFormat="1" ht="13.5" customHeight="1"/>
    <row r="770" s="14" customFormat="1" ht="13.5" customHeight="1"/>
    <row r="771" s="14" customFormat="1" ht="13.5" customHeight="1"/>
    <row r="772" s="14" customFormat="1" ht="13.5" customHeight="1"/>
    <row r="773" s="14" customFormat="1" ht="13.5" customHeight="1"/>
    <row r="774" s="14" customFormat="1" ht="13.5" customHeight="1"/>
    <row r="775" s="14" customFormat="1" ht="13.5" customHeight="1"/>
    <row r="776" s="14" customFormat="1" ht="13.5" customHeight="1"/>
    <row r="777" s="14" customFormat="1" ht="13.5" customHeight="1"/>
    <row r="778" s="14" customFormat="1" ht="13.5" customHeight="1"/>
    <row r="779" s="14" customFormat="1" ht="13.5" customHeight="1"/>
    <row r="780" s="14" customFormat="1" ht="13.5" customHeight="1"/>
    <row r="781" s="14" customFormat="1" ht="13.5" customHeight="1"/>
    <row r="782" s="14" customFormat="1" ht="13.5" customHeight="1"/>
    <row r="783" s="14" customFormat="1" ht="13.5" customHeight="1"/>
    <row r="784" s="14" customFormat="1" ht="13.5" customHeight="1"/>
    <row r="785" s="14" customFormat="1" ht="13.5" customHeight="1"/>
    <row r="786" s="14" customFormat="1" ht="13.5" customHeight="1"/>
    <row r="787" s="14" customFormat="1" ht="13.5" customHeight="1"/>
    <row r="788" s="14" customFormat="1" ht="13.5" customHeight="1"/>
    <row r="789" s="14" customFormat="1" ht="13.5" customHeight="1"/>
    <row r="790" s="14" customFormat="1" ht="13.5" customHeight="1"/>
    <row r="791" s="14" customFormat="1" ht="13.5" customHeight="1"/>
    <row r="792" s="14" customFormat="1" ht="13.5" customHeight="1"/>
    <row r="793" s="14" customFormat="1" ht="13.5" customHeight="1"/>
    <row r="794" s="14" customFormat="1" ht="13.5" customHeight="1"/>
    <row r="795" s="14" customFormat="1" ht="13.5" customHeight="1"/>
    <row r="796" s="14" customFormat="1" ht="13.5" customHeight="1"/>
    <row r="797" s="14" customFormat="1" ht="13.5" customHeight="1"/>
    <row r="798" s="14" customFormat="1" ht="13.5" customHeight="1"/>
    <row r="799" s="14" customFormat="1" ht="13.5" customHeight="1"/>
    <row r="800" s="14" customFormat="1" ht="13.5" customHeight="1"/>
    <row r="801" s="14" customFormat="1" ht="13.5" customHeight="1"/>
    <row r="802" s="14" customFormat="1" ht="13.5" customHeight="1"/>
    <row r="803" s="14" customFormat="1" ht="13.5" customHeight="1"/>
    <row r="804" s="14" customFormat="1" ht="13.5" customHeight="1"/>
    <row r="805" s="14" customFormat="1" ht="13.5" customHeight="1"/>
    <row r="806" s="14" customFormat="1" ht="13.5" customHeight="1"/>
    <row r="807" s="14" customFormat="1" ht="13.5" customHeight="1"/>
    <row r="808" s="14" customFormat="1" ht="13.5" customHeight="1"/>
    <row r="809" s="14" customFormat="1" ht="13.5" customHeight="1"/>
    <row r="810" s="14" customFormat="1" ht="13.5" customHeight="1"/>
    <row r="811" s="14" customFormat="1" ht="13.5" customHeight="1"/>
    <row r="812" s="14" customFormat="1" ht="13.5" customHeight="1"/>
    <row r="813" s="14" customFormat="1" ht="13.5" customHeight="1"/>
    <row r="814" s="14" customFormat="1" ht="13.5" customHeight="1"/>
    <row r="815" s="14" customFormat="1" ht="13.5" customHeight="1"/>
    <row r="816" s="14" customFormat="1" ht="13.5" customHeight="1"/>
    <row r="817" s="14" customFormat="1" ht="13.5" customHeight="1"/>
    <row r="818" s="14" customFormat="1" ht="13.5" customHeight="1"/>
    <row r="819" s="14" customFormat="1" ht="13.5" customHeight="1"/>
    <row r="820" s="14" customFormat="1" ht="13.5" customHeight="1"/>
    <row r="821" s="14" customFormat="1" ht="13.5" customHeight="1"/>
    <row r="822" s="14" customFormat="1" ht="13.5" customHeight="1"/>
    <row r="823" s="14" customFormat="1" ht="13.5" customHeight="1"/>
    <row r="824" s="14" customFormat="1" ht="13.5" customHeight="1"/>
    <row r="825" s="14" customFormat="1" ht="13.5" customHeight="1"/>
    <row r="826" s="14" customFormat="1" ht="13.5" customHeight="1"/>
    <row r="827" s="14" customFormat="1" ht="13.5" customHeight="1"/>
    <row r="828" s="14" customFormat="1" ht="13.5" customHeight="1"/>
    <row r="829" s="14" customFormat="1" ht="13.5" customHeight="1"/>
    <row r="830" s="14" customFormat="1" ht="13.5" customHeight="1"/>
    <row r="831" s="14" customFormat="1" ht="13.5" customHeight="1"/>
    <row r="832" s="14" customFormat="1" ht="13.5" customHeight="1"/>
    <row r="833" s="14" customFormat="1" ht="13.5" customHeight="1"/>
    <row r="834" s="14" customFormat="1" ht="13.5" customHeight="1"/>
    <row r="835" s="14" customFormat="1" ht="13.5" customHeight="1"/>
    <row r="836" s="14" customFormat="1" ht="13.5" customHeight="1"/>
    <row r="837" s="14" customFormat="1" ht="13.5" customHeight="1"/>
    <row r="838" s="14" customFormat="1" ht="13.5" customHeight="1"/>
    <row r="839" s="14" customFormat="1" ht="13.5" customHeight="1"/>
    <row r="840" s="14" customFormat="1" ht="13.5" customHeight="1"/>
    <row r="841" s="14" customFormat="1" ht="13.5" customHeight="1"/>
    <row r="842" s="14" customFormat="1" ht="13.5" customHeight="1"/>
    <row r="843" s="14" customFormat="1" ht="13.5" customHeight="1"/>
    <row r="844" s="14" customFormat="1" ht="13.5" customHeight="1"/>
    <row r="845" s="14" customFormat="1" ht="13.5" customHeight="1"/>
    <row r="846" s="14" customFormat="1" ht="13.5" customHeight="1"/>
    <row r="847" s="14" customFormat="1" ht="13.5" customHeight="1"/>
    <row r="848" s="14" customFormat="1" ht="13.5" customHeight="1"/>
    <row r="849" s="14" customFormat="1" ht="13.5" customHeight="1"/>
    <row r="850" s="14" customFormat="1" ht="13.5" customHeight="1"/>
    <row r="851" s="14" customFormat="1" ht="13.5" customHeight="1"/>
    <row r="852" s="14" customFormat="1" ht="13.5" customHeight="1"/>
    <row r="853" s="14" customFormat="1" ht="13.5" customHeight="1"/>
    <row r="854" s="14" customFormat="1" ht="13.5" customHeight="1"/>
    <row r="855" s="14" customFormat="1" ht="13.5" customHeight="1"/>
    <row r="856" s="14" customFormat="1" ht="13.5" customHeight="1"/>
    <row r="857" s="14" customFormat="1" ht="13.5" customHeight="1"/>
    <row r="858" s="14" customFormat="1" ht="13.5" customHeight="1"/>
    <row r="859" s="14" customFormat="1" ht="13.5" customHeight="1"/>
    <row r="860" s="14" customFormat="1" ht="13.5" customHeight="1"/>
    <row r="861" s="14" customFormat="1" ht="13.5" customHeight="1"/>
    <row r="862" s="14" customFormat="1" ht="13.5" customHeight="1"/>
    <row r="863" s="14" customFormat="1" ht="13.5" customHeight="1"/>
    <row r="864" s="14" customFormat="1" ht="13.5" customHeight="1"/>
    <row r="865" s="14" customFormat="1" ht="13.5" customHeight="1"/>
    <row r="866" s="14" customFormat="1" ht="13.5" customHeight="1"/>
    <row r="867" s="14" customFormat="1" ht="13.5" customHeight="1"/>
    <row r="868" s="14" customFormat="1" ht="13.5" customHeight="1"/>
    <row r="869" s="14" customFormat="1" ht="13.5" customHeight="1"/>
    <row r="870" s="14" customFormat="1" ht="13.5" customHeight="1"/>
    <row r="871" s="14" customFormat="1" ht="13.5" customHeight="1"/>
    <row r="872" s="14" customFormat="1" ht="13.5" customHeight="1"/>
    <row r="873" s="14" customFormat="1" ht="13.5" customHeight="1"/>
    <row r="874" s="14" customFormat="1" ht="13.5" customHeight="1"/>
    <row r="875" s="14" customFormat="1" ht="13.5" customHeight="1"/>
    <row r="876" s="14" customFormat="1" ht="13.5" customHeight="1"/>
    <row r="877" s="14" customFormat="1" ht="13.5" customHeight="1"/>
    <row r="878" s="14" customFormat="1" ht="13.5" customHeight="1"/>
    <row r="879" s="14" customFormat="1" ht="13.5" customHeight="1"/>
    <row r="880" s="14" customFormat="1" ht="13.5" customHeight="1"/>
    <row r="881" s="14" customFormat="1" ht="13.5" customHeight="1"/>
    <row r="882" s="14" customFormat="1" ht="13.5" customHeight="1"/>
    <row r="883" s="14" customFormat="1" ht="13.5" customHeight="1"/>
    <row r="884" s="14" customFormat="1" ht="13.5" customHeight="1"/>
    <row r="885" s="14" customFormat="1" ht="13.5" customHeight="1"/>
    <row r="886" s="14" customFormat="1" ht="13.5" customHeight="1"/>
    <row r="887" s="14" customFormat="1" ht="13.5" customHeight="1"/>
    <row r="888" s="14" customFormat="1" ht="13.5" customHeight="1"/>
    <row r="889" s="14" customFormat="1" ht="13.5" customHeight="1"/>
    <row r="890" s="14" customFormat="1" ht="13.5" customHeight="1"/>
    <row r="891" s="14" customFormat="1" ht="13.5" customHeight="1"/>
    <row r="892" s="14" customFormat="1" ht="13.5" customHeight="1"/>
    <row r="893" s="14" customFormat="1" ht="13.5" customHeight="1"/>
    <row r="894" s="14" customFormat="1" ht="13.5" customHeight="1"/>
    <row r="895" s="14" customFormat="1" ht="13.5" customHeight="1"/>
    <row r="896" s="14" customFormat="1" ht="13.5" customHeight="1"/>
    <row r="897" s="14" customFormat="1" ht="13.5" customHeight="1"/>
    <row r="898" s="14" customFormat="1" ht="13.5" customHeight="1"/>
    <row r="899" s="14" customFormat="1" ht="13.5" customHeight="1"/>
    <row r="900" s="14" customFormat="1" ht="13.5" customHeight="1"/>
    <row r="901" s="14" customFormat="1" ht="13.5" customHeight="1"/>
    <row r="902" s="14" customFormat="1" ht="13.5" customHeight="1"/>
    <row r="903" s="14" customFormat="1" ht="13.5" customHeight="1"/>
    <row r="904" s="14" customFormat="1" ht="13.5" customHeight="1"/>
    <row r="905" s="14" customFormat="1" ht="13.5" customHeight="1"/>
    <row r="906" s="14" customFormat="1" ht="13.5" customHeight="1"/>
    <row r="907" s="14" customFormat="1" ht="13.5" customHeight="1"/>
    <row r="908" s="14" customFormat="1" ht="13.5" customHeight="1"/>
    <row r="909" s="14" customFormat="1" ht="13.5" customHeight="1"/>
    <row r="910" s="14" customFormat="1" ht="13.5" customHeight="1"/>
    <row r="911" s="14" customFormat="1" ht="13.5" customHeight="1"/>
    <row r="912" s="14" customFormat="1" ht="13.5" customHeight="1"/>
    <row r="913" s="14" customFormat="1" ht="13.5" customHeight="1"/>
    <row r="914" s="14" customFormat="1" ht="13.5" customHeight="1"/>
    <row r="915" s="14" customFormat="1" ht="13.5" customHeight="1"/>
    <row r="916" s="14" customFormat="1" ht="13.5" customHeight="1"/>
    <row r="917" s="14" customFormat="1" ht="13.5" customHeight="1"/>
    <row r="918" s="14" customFormat="1" ht="13.5" customHeight="1"/>
    <row r="919" s="14" customFormat="1" ht="13.5" customHeight="1"/>
    <row r="920" s="14" customFormat="1" ht="13.5" customHeight="1"/>
    <row r="921" s="14" customFormat="1" ht="13.5" customHeight="1"/>
    <row r="922" s="14" customFormat="1" ht="13.5" customHeight="1"/>
    <row r="923" s="14" customFormat="1" ht="13.5" customHeight="1"/>
    <row r="924" s="14" customFormat="1" ht="13.5" customHeight="1"/>
    <row r="925" s="14" customFormat="1" ht="13.5" customHeight="1"/>
    <row r="926" s="14" customFormat="1" ht="13.5" customHeight="1"/>
    <row r="927" s="14" customFormat="1" ht="13.5" customHeight="1"/>
    <row r="928" s="14" customFormat="1" ht="13.5" customHeight="1"/>
    <row r="929" s="14" customFormat="1" ht="13.5" customHeight="1"/>
    <row r="930" s="14" customFormat="1" ht="13.5" customHeight="1"/>
    <row r="931" s="14" customFormat="1" ht="13.5" customHeight="1"/>
    <row r="932" s="14" customFormat="1" ht="13.5" customHeight="1"/>
    <row r="933" s="14" customFormat="1" ht="13.5" customHeight="1"/>
    <row r="934" s="14" customFormat="1" ht="13.5" customHeight="1"/>
    <row r="935" s="14" customFormat="1" ht="13.5" customHeight="1"/>
    <row r="936" s="14" customFormat="1" ht="13.5" customHeight="1"/>
    <row r="937" s="14" customFormat="1" ht="13.5" customHeight="1"/>
    <row r="938" s="14" customFormat="1" ht="13.5" customHeight="1"/>
    <row r="939" s="14" customFormat="1" ht="13.5" customHeight="1"/>
    <row r="940" s="14" customFormat="1" ht="13.5" customHeight="1"/>
    <row r="941" s="14" customFormat="1" ht="13.5" customHeight="1"/>
    <row r="942" s="14" customFormat="1" ht="13.5" customHeight="1"/>
    <row r="943" s="14" customFormat="1" ht="13.5" customHeight="1"/>
    <row r="944" s="14" customFormat="1" ht="13.5" customHeight="1"/>
    <row r="945" s="14" customFormat="1" ht="13.5" customHeight="1"/>
    <row r="946" s="14" customFormat="1" ht="13.5" customHeight="1"/>
    <row r="947" s="14" customFormat="1" ht="13.5" customHeight="1"/>
    <row r="948" s="14" customFormat="1" ht="13.5" customHeight="1"/>
    <row r="949" s="14" customFormat="1" ht="13.5" customHeight="1"/>
    <row r="950" s="14" customFormat="1" ht="13.5" customHeight="1"/>
    <row r="951" s="14" customFormat="1" ht="13.5" customHeight="1"/>
    <row r="952" s="14" customFormat="1" ht="13.5" customHeight="1"/>
    <row r="953" s="14" customFormat="1" ht="13.5" customHeight="1"/>
    <row r="954" s="14" customFormat="1" ht="13.5" customHeight="1"/>
    <row r="955" s="14" customFormat="1" ht="13.5" customHeight="1"/>
    <row r="956" s="14" customFormat="1" ht="13.5" customHeight="1"/>
    <row r="957" s="14" customFormat="1" ht="13.5" customHeight="1"/>
    <row r="958" s="14" customFormat="1" ht="13.5" customHeight="1"/>
    <row r="959" s="14" customFormat="1" ht="13.5" customHeight="1"/>
    <row r="960" s="14" customFormat="1" ht="13.5" customHeight="1"/>
    <row r="961" s="14" customFormat="1" ht="13.5" customHeight="1"/>
    <row r="962" s="14" customFormat="1" ht="13.5" customHeight="1"/>
    <row r="963" s="14" customFormat="1" ht="13.5" customHeight="1"/>
    <row r="964" s="14" customFormat="1" ht="13.5" customHeight="1"/>
    <row r="965" s="14" customFormat="1" ht="13.5" customHeight="1"/>
    <row r="966" s="14" customFormat="1" ht="13.5" customHeight="1"/>
    <row r="967" s="14" customFormat="1" ht="13.5" customHeight="1"/>
    <row r="968" s="14" customFormat="1" ht="13.5" customHeight="1"/>
    <row r="969" s="14" customFormat="1" ht="13.5" customHeight="1"/>
    <row r="970" s="14" customFormat="1" ht="13.5" customHeight="1"/>
    <row r="971" s="14" customFormat="1" ht="13.5" customHeight="1"/>
    <row r="972" s="14" customFormat="1" ht="13.5" customHeight="1"/>
    <row r="973" s="14" customFormat="1" ht="13.5" customHeight="1"/>
    <row r="974" s="14" customFormat="1" ht="13.5" customHeight="1"/>
    <row r="975" s="14" customFormat="1" ht="13.5" customHeight="1"/>
    <row r="976" s="14" customFormat="1" ht="13.5" customHeight="1"/>
    <row r="977" s="14" customFormat="1" ht="13.5" customHeight="1"/>
    <row r="978" s="14" customFormat="1" ht="13.5" customHeight="1"/>
    <row r="979" s="14" customFormat="1" ht="13.5" customHeight="1"/>
    <row r="980" s="14" customFormat="1" ht="13.5" customHeight="1"/>
    <row r="981" s="14" customFormat="1" ht="13.5" customHeight="1"/>
    <row r="982" s="14" customFormat="1" ht="13.5" customHeight="1"/>
    <row r="983" s="14" customFormat="1" ht="13.5" customHeight="1"/>
    <row r="984" s="14" customFormat="1" ht="13.5" customHeight="1"/>
    <row r="985" s="14" customFormat="1" ht="13.5" customHeight="1"/>
    <row r="986" s="14" customFormat="1" ht="13.5" customHeight="1"/>
    <row r="987" s="14" customFormat="1" ht="13.5" customHeight="1"/>
    <row r="988" s="14" customFormat="1" ht="13.5" customHeight="1"/>
    <row r="989" s="14" customFormat="1" ht="13.5" customHeight="1"/>
    <row r="990" s="14" customFormat="1" ht="13.5" customHeight="1"/>
    <row r="991" s="14" customFormat="1" ht="13.5" customHeight="1"/>
    <row r="992" s="14" customFormat="1" ht="13.5" customHeight="1"/>
    <row r="993" s="14" customFormat="1" ht="13.5" customHeight="1"/>
    <row r="994" s="14" customFormat="1" ht="13.5" customHeight="1"/>
    <row r="995" s="14" customFormat="1" ht="13.5" customHeight="1"/>
    <row r="996" s="14" customFormat="1" ht="13.5" customHeight="1"/>
    <row r="997" s="14" customFormat="1" ht="13.5" customHeight="1"/>
    <row r="998" s="14" customFormat="1" ht="13.5" customHeight="1"/>
    <row r="999" s="14" customFormat="1" ht="13.5" customHeight="1"/>
    <row r="1000" s="14" customFormat="1" ht="13.5" customHeight="1"/>
  </sheetData>
  <pageMargins left="0.7" right="0.7" top="0.75" bottom="0.75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0"/>
  <sheetViews>
    <sheetView showGridLines="0" topLeftCell="B1" workbookViewId="0">
      <pane ySplit="1" topLeftCell="A125" activePane="bottomLeft" state="frozen"/>
      <selection pane="bottomLeft" activeCell="E130" sqref="E130"/>
    </sheetView>
  </sheetViews>
  <sheetFormatPr defaultColWidth="12.625" defaultRowHeight="15" customHeight="1"/>
  <cols>
    <col min="1" max="9" width="22" customWidth="1"/>
    <col min="10" max="26" width="8.875" customWidth="1"/>
  </cols>
  <sheetData>
    <row r="1" spans="1:9" ht="42" customHeight="1">
      <c r="A1" s="1" t="s">
        <v>0</v>
      </c>
      <c r="B1" s="1" t="s">
        <v>964</v>
      </c>
      <c r="C1" s="1" t="s">
        <v>965</v>
      </c>
      <c r="D1" s="1" t="s">
        <v>966</v>
      </c>
      <c r="E1" s="1" t="s">
        <v>967</v>
      </c>
      <c r="F1" s="1" t="s">
        <v>968</v>
      </c>
      <c r="G1" s="1" t="s">
        <v>969</v>
      </c>
      <c r="H1" s="1" t="s">
        <v>970</v>
      </c>
      <c r="I1" s="1" t="s">
        <v>971</v>
      </c>
    </row>
    <row r="2" spans="1:9" ht="21" customHeight="1">
      <c r="A2" s="2" t="s">
        <v>18</v>
      </c>
      <c r="B2" s="4">
        <v>45658</v>
      </c>
      <c r="C2" s="3">
        <v>744</v>
      </c>
      <c r="D2" s="3">
        <v>16368</v>
      </c>
      <c r="E2" s="3">
        <v>16016.3</v>
      </c>
      <c r="F2" s="3">
        <v>449.46</v>
      </c>
      <c r="G2" s="3">
        <v>97.76</v>
      </c>
      <c r="H2" s="3">
        <v>73</v>
      </c>
      <c r="I2" s="3">
        <v>23</v>
      </c>
    </row>
    <row r="3" spans="1:9" ht="21" customHeight="1">
      <c r="A3" s="2" t="s">
        <v>18</v>
      </c>
      <c r="B3" s="4">
        <v>45689</v>
      </c>
      <c r="C3" s="3">
        <v>672</v>
      </c>
      <c r="D3" s="3">
        <v>14784</v>
      </c>
      <c r="E3" s="3">
        <v>14577.49</v>
      </c>
      <c r="F3" s="3">
        <v>295.02</v>
      </c>
      <c r="G3" s="3">
        <v>88.51</v>
      </c>
      <c r="H3" s="3">
        <v>71</v>
      </c>
      <c r="I3" s="3">
        <v>23</v>
      </c>
    </row>
    <row r="4" spans="1:9" ht="21" customHeight="1">
      <c r="A4" s="2" t="s">
        <v>18</v>
      </c>
      <c r="B4" s="4">
        <v>45717</v>
      </c>
      <c r="C4" s="3">
        <v>744</v>
      </c>
      <c r="D4" s="3">
        <v>16368</v>
      </c>
      <c r="E4" s="3">
        <v>16105.97</v>
      </c>
      <c r="F4" s="3">
        <v>315.7</v>
      </c>
      <c r="G4" s="3">
        <v>53.67</v>
      </c>
      <c r="H4" s="3">
        <v>69</v>
      </c>
      <c r="I4" s="3">
        <v>23</v>
      </c>
    </row>
    <row r="5" spans="1:9" ht="21" customHeight="1">
      <c r="A5" s="2" t="s">
        <v>18</v>
      </c>
      <c r="B5" s="4">
        <v>45748</v>
      </c>
      <c r="C5" s="3">
        <v>720</v>
      </c>
      <c r="D5" s="3">
        <v>15840</v>
      </c>
      <c r="E5" s="3">
        <v>15545</v>
      </c>
      <c r="F5" s="3">
        <v>407.66</v>
      </c>
      <c r="G5" s="3">
        <v>112.66</v>
      </c>
      <c r="H5" s="3">
        <v>67</v>
      </c>
      <c r="I5" s="3">
        <v>23</v>
      </c>
    </row>
    <row r="6" spans="1:9" ht="21" customHeight="1">
      <c r="A6" s="2" t="s">
        <v>18</v>
      </c>
      <c r="B6" s="4">
        <v>45778</v>
      </c>
      <c r="C6" s="3">
        <v>744</v>
      </c>
      <c r="D6" s="3">
        <v>16368</v>
      </c>
      <c r="E6" s="3">
        <v>15988.56</v>
      </c>
      <c r="F6" s="3">
        <v>492.58</v>
      </c>
      <c r="G6" s="3">
        <v>113.14</v>
      </c>
      <c r="H6" s="3">
        <v>65</v>
      </c>
      <c r="I6" s="3">
        <v>23</v>
      </c>
    </row>
    <row r="7" spans="1:9" ht="21" customHeight="1">
      <c r="A7" s="2" t="s">
        <v>18</v>
      </c>
      <c r="B7" s="4">
        <v>45809</v>
      </c>
      <c r="C7" s="3">
        <v>720</v>
      </c>
      <c r="D7" s="3">
        <v>15840</v>
      </c>
      <c r="E7" s="3">
        <v>15341.47</v>
      </c>
      <c r="F7" s="3">
        <v>576.4</v>
      </c>
      <c r="G7" s="3">
        <v>77.87</v>
      </c>
      <c r="H7" s="3">
        <v>66</v>
      </c>
      <c r="I7" s="3">
        <v>23</v>
      </c>
    </row>
    <row r="8" spans="1:9" ht="21" customHeight="1">
      <c r="A8" s="2" t="s">
        <v>18</v>
      </c>
      <c r="B8" s="4">
        <v>45839</v>
      </c>
      <c r="C8" s="3">
        <v>744</v>
      </c>
      <c r="D8" s="3">
        <v>16368</v>
      </c>
      <c r="E8" s="3">
        <v>15815.17</v>
      </c>
      <c r="F8" s="3">
        <v>720.72</v>
      </c>
      <c r="G8" s="3">
        <v>167.89</v>
      </c>
      <c r="H8" s="3">
        <v>68</v>
      </c>
      <c r="I8" s="3">
        <v>23</v>
      </c>
    </row>
    <row r="9" spans="1:9" ht="21" customHeight="1">
      <c r="A9" s="2" t="s">
        <v>18</v>
      </c>
      <c r="B9" s="4">
        <v>45870</v>
      </c>
      <c r="C9" s="3">
        <v>744</v>
      </c>
      <c r="D9" s="3">
        <v>16368</v>
      </c>
      <c r="E9" s="3">
        <v>16126.99</v>
      </c>
      <c r="F9" s="3">
        <v>344.3</v>
      </c>
      <c r="G9" s="3">
        <v>103.29</v>
      </c>
      <c r="H9" s="3">
        <v>67</v>
      </c>
      <c r="I9" s="3">
        <v>23</v>
      </c>
    </row>
    <row r="10" spans="1:9" ht="21" customHeight="1">
      <c r="A10" s="2" t="s">
        <v>18</v>
      </c>
      <c r="B10" s="4">
        <v>45901</v>
      </c>
      <c r="C10" s="3">
        <v>720</v>
      </c>
      <c r="D10" s="3">
        <v>15840</v>
      </c>
      <c r="E10" s="3">
        <v>15247.13</v>
      </c>
      <c r="F10" s="3">
        <v>689.04</v>
      </c>
      <c r="G10" s="3">
        <v>96.17</v>
      </c>
      <c r="H10" s="3">
        <v>64</v>
      </c>
      <c r="I10" s="3">
        <v>23</v>
      </c>
    </row>
    <row r="11" spans="1:9" ht="21" customHeight="1">
      <c r="A11" s="2" t="s">
        <v>18</v>
      </c>
      <c r="B11" s="4">
        <v>45931</v>
      </c>
      <c r="C11" s="3">
        <v>744</v>
      </c>
      <c r="D11" s="3">
        <v>16368</v>
      </c>
      <c r="E11" s="3">
        <v>15740.07</v>
      </c>
      <c r="F11" s="3">
        <v>820.6</v>
      </c>
      <c r="G11" s="3">
        <v>192.67</v>
      </c>
      <c r="H11" s="3">
        <v>63</v>
      </c>
      <c r="I11" s="3">
        <v>23</v>
      </c>
    </row>
    <row r="12" spans="1:9" ht="21" customHeight="1">
      <c r="A12" s="2" t="s">
        <v>18</v>
      </c>
      <c r="B12" s="4">
        <v>45962</v>
      </c>
      <c r="C12" s="3">
        <v>720</v>
      </c>
      <c r="D12" s="3">
        <v>15840</v>
      </c>
      <c r="E12" s="3">
        <v>15391.28</v>
      </c>
      <c r="F12" s="3">
        <v>548.24</v>
      </c>
      <c r="G12" s="3">
        <v>99.52</v>
      </c>
      <c r="H12" s="3">
        <v>65</v>
      </c>
      <c r="I12" s="3">
        <v>23</v>
      </c>
    </row>
    <row r="13" spans="1:9" ht="21" customHeight="1">
      <c r="A13" s="2" t="s">
        <v>18</v>
      </c>
      <c r="B13" s="4">
        <v>45992</v>
      </c>
      <c r="C13" s="3">
        <v>744</v>
      </c>
      <c r="D13" s="3">
        <v>16368</v>
      </c>
      <c r="E13" s="3">
        <v>15637.42</v>
      </c>
      <c r="F13" s="3">
        <v>880.22</v>
      </c>
      <c r="G13" s="3">
        <v>149.63999999999999</v>
      </c>
      <c r="H13" s="3">
        <v>66</v>
      </c>
      <c r="I13" s="3">
        <v>23</v>
      </c>
    </row>
    <row r="14" spans="1:9" ht="21" customHeight="1">
      <c r="A14" s="2" t="s">
        <v>23</v>
      </c>
      <c r="B14" s="4">
        <v>45658</v>
      </c>
      <c r="C14" s="3">
        <v>744</v>
      </c>
      <c r="D14" s="3">
        <v>11904</v>
      </c>
      <c r="E14" s="3">
        <v>11610.73</v>
      </c>
      <c r="F14" s="3">
        <v>374.24</v>
      </c>
      <c r="G14" s="3">
        <v>80.97</v>
      </c>
      <c r="H14" s="3">
        <v>73</v>
      </c>
      <c r="I14" s="3">
        <v>23</v>
      </c>
    </row>
    <row r="15" spans="1:9" ht="21" customHeight="1">
      <c r="A15" s="2" t="s">
        <v>23</v>
      </c>
      <c r="B15" s="4">
        <v>45689</v>
      </c>
      <c r="C15" s="3">
        <v>672</v>
      </c>
      <c r="D15" s="3">
        <v>10752</v>
      </c>
      <c r="E15" s="3">
        <v>10166.1</v>
      </c>
      <c r="F15" s="3">
        <v>793.28</v>
      </c>
      <c r="G15" s="3">
        <v>207.38</v>
      </c>
      <c r="H15" s="3">
        <v>71</v>
      </c>
      <c r="I15" s="3">
        <v>23</v>
      </c>
    </row>
    <row r="16" spans="1:9" ht="21" customHeight="1">
      <c r="A16" s="2" t="s">
        <v>23</v>
      </c>
      <c r="B16" s="4">
        <v>45717</v>
      </c>
      <c r="C16" s="3">
        <v>744</v>
      </c>
      <c r="D16" s="3">
        <v>11904</v>
      </c>
      <c r="E16" s="3">
        <v>11520.7</v>
      </c>
      <c r="F16" s="3">
        <v>490.88</v>
      </c>
      <c r="G16" s="3">
        <v>107.58</v>
      </c>
      <c r="H16" s="3">
        <v>69</v>
      </c>
      <c r="I16" s="3">
        <v>23</v>
      </c>
    </row>
    <row r="17" spans="1:9" ht="21" customHeight="1">
      <c r="A17" s="2" t="s">
        <v>23</v>
      </c>
      <c r="B17" s="4">
        <v>45748</v>
      </c>
      <c r="C17" s="3">
        <v>720</v>
      </c>
      <c r="D17" s="3">
        <v>11520</v>
      </c>
      <c r="E17" s="3">
        <v>11334.77</v>
      </c>
      <c r="F17" s="3">
        <v>257.76</v>
      </c>
      <c r="G17" s="3">
        <v>72.53</v>
      </c>
      <c r="H17" s="3">
        <v>67</v>
      </c>
      <c r="I17" s="3">
        <v>23</v>
      </c>
    </row>
    <row r="18" spans="1:9" ht="21" customHeight="1">
      <c r="A18" s="2" t="s">
        <v>23</v>
      </c>
      <c r="B18" s="4">
        <v>45778</v>
      </c>
      <c r="C18" s="3">
        <v>744</v>
      </c>
      <c r="D18" s="3">
        <v>11904</v>
      </c>
      <c r="E18" s="3">
        <v>11788.22</v>
      </c>
      <c r="F18" s="3">
        <v>146.56</v>
      </c>
      <c r="G18" s="3">
        <v>30.78</v>
      </c>
      <c r="H18" s="3">
        <v>65</v>
      </c>
      <c r="I18" s="3">
        <v>23</v>
      </c>
    </row>
    <row r="19" spans="1:9" ht="21" customHeight="1">
      <c r="A19" s="2" t="s">
        <v>23</v>
      </c>
      <c r="B19" s="4">
        <v>45809</v>
      </c>
      <c r="C19" s="3">
        <v>720</v>
      </c>
      <c r="D19" s="3">
        <v>11520</v>
      </c>
      <c r="E19" s="3">
        <v>11330.52</v>
      </c>
      <c r="F19" s="3">
        <v>266.88</v>
      </c>
      <c r="G19" s="3">
        <v>77.400000000000006</v>
      </c>
      <c r="H19" s="3">
        <v>66</v>
      </c>
      <c r="I19" s="3">
        <v>23</v>
      </c>
    </row>
    <row r="20" spans="1:9" ht="21" customHeight="1">
      <c r="A20" s="2" t="s">
        <v>23</v>
      </c>
      <c r="B20" s="4">
        <v>45839</v>
      </c>
      <c r="C20" s="3">
        <v>744</v>
      </c>
      <c r="D20" s="3">
        <v>11904</v>
      </c>
      <c r="E20" s="3">
        <v>11561.18</v>
      </c>
      <c r="F20" s="3">
        <v>437.92</v>
      </c>
      <c r="G20" s="3">
        <v>95.1</v>
      </c>
      <c r="H20" s="3">
        <v>68</v>
      </c>
      <c r="I20" s="3">
        <v>23</v>
      </c>
    </row>
    <row r="21" spans="1:9" ht="21" customHeight="1">
      <c r="A21" s="2" t="s">
        <v>23</v>
      </c>
      <c r="B21" s="4">
        <v>45870</v>
      </c>
      <c r="C21" s="3">
        <v>744</v>
      </c>
      <c r="D21" s="3">
        <v>11904</v>
      </c>
      <c r="E21" s="3">
        <v>11722.56</v>
      </c>
      <c r="F21" s="3">
        <v>224</v>
      </c>
      <c r="G21" s="3">
        <v>42.56</v>
      </c>
      <c r="H21" s="3">
        <v>67</v>
      </c>
      <c r="I21" s="3">
        <v>23</v>
      </c>
    </row>
    <row r="22" spans="1:9" ht="21" customHeight="1">
      <c r="A22" s="2" t="s">
        <v>23</v>
      </c>
      <c r="B22" s="4">
        <v>45901</v>
      </c>
      <c r="C22" s="3">
        <v>720</v>
      </c>
      <c r="D22" s="3">
        <v>11520</v>
      </c>
      <c r="E22" s="3">
        <v>10851.38</v>
      </c>
      <c r="F22" s="3">
        <v>766.08</v>
      </c>
      <c r="G22" s="3">
        <v>97.46</v>
      </c>
      <c r="H22" s="3">
        <v>64</v>
      </c>
      <c r="I22" s="3">
        <v>23</v>
      </c>
    </row>
    <row r="23" spans="1:9" ht="21" customHeight="1">
      <c r="A23" s="2" t="s">
        <v>23</v>
      </c>
      <c r="B23" s="4">
        <v>45931</v>
      </c>
      <c r="C23" s="3">
        <v>744</v>
      </c>
      <c r="D23" s="3">
        <v>11904</v>
      </c>
      <c r="E23" s="3">
        <v>11599.61</v>
      </c>
      <c r="F23" s="3">
        <v>353.12</v>
      </c>
      <c r="G23" s="3">
        <v>48.73</v>
      </c>
      <c r="H23" s="3">
        <v>63</v>
      </c>
      <c r="I23" s="3">
        <v>23</v>
      </c>
    </row>
    <row r="24" spans="1:9" ht="21" customHeight="1">
      <c r="A24" s="2" t="s">
        <v>23</v>
      </c>
      <c r="B24" s="4">
        <v>45962</v>
      </c>
      <c r="C24" s="3">
        <v>720</v>
      </c>
      <c r="D24" s="3">
        <v>11520</v>
      </c>
      <c r="E24" s="3">
        <v>11174.3</v>
      </c>
      <c r="F24" s="3">
        <v>432.48</v>
      </c>
      <c r="G24" s="3">
        <v>86.78</v>
      </c>
      <c r="H24" s="3">
        <v>65</v>
      </c>
      <c r="I24" s="3">
        <v>23</v>
      </c>
    </row>
    <row r="25" spans="1:9" ht="21" customHeight="1">
      <c r="A25" s="2" t="s">
        <v>23</v>
      </c>
      <c r="B25" s="4">
        <v>45992</v>
      </c>
      <c r="C25" s="3">
        <v>744</v>
      </c>
      <c r="D25" s="3">
        <v>11904</v>
      </c>
      <c r="E25" s="3">
        <v>11481.19</v>
      </c>
      <c r="F25" s="3">
        <v>509.92</v>
      </c>
      <c r="G25" s="3">
        <v>87.11</v>
      </c>
      <c r="H25" s="3">
        <v>66</v>
      </c>
      <c r="I25" s="3">
        <v>23</v>
      </c>
    </row>
    <row r="26" spans="1:9" ht="21" customHeight="1">
      <c r="A26" s="2" t="s">
        <v>26</v>
      </c>
      <c r="B26" s="4">
        <v>45658</v>
      </c>
      <c r="C26" s="3">
        <v>744</v>
      </c>
      <c r="D26" s="3">
        <v>20832</v>
      </c>
      <c r="E26" s="3">
        <v>20345.009999999998</v>
      </c>
      <c r="F26" s="3">
        <v>649.32000000000005</v>
      </c>
      <c r="G26" s="3">
        <v>162.33000000000001</v>
      </c>
      <c r="H26" s="3">
        <v>73</v>
      </c>
      <c r="I26" s="3">
        <v>23</v>
      </c>
    </row>
    <row r="27" spans="1:9" ht="21" customHeight="1">
      <c r="A27" s="2" t="s">
        <v>26</v>
      </c>
      <c r="B27" s="4">
        <v>45689</v>
      </c>
      <c r="C27" s="3">
        <v>672</v>
      </c>
      <c r="D27" s="3">
        <v>18816</v>
      </c>
      <c r="E27" s="3">
        <v>18272.72</v>
      </c>
      <c r="F27" s="3">
        <v>714.84</v>
      </c>
      <c r="G27" s="3">
        <v>171.56</v>
      </c>
      <c r="H27" s="3">
        <v>71</v>
      </c>
      <c r="I27" s="3">
        <v>23</v>
      </c>
    </row>
    <row r="28" spans="1:9" ht="21" customHeight="1">
      <c r="A28" s="2" t="s">
        <v>26</v>
      </c>
      <c r="B28" s="4">
        <v>45717</v>
      </c>
      <c r="C28" s="3">
        <v>744</v>
      </c>
      <c r="D28" s="3">
        <v>20832</v>
      </c>
      <c r="E28" s="3">
        <v>20479.41</v>
      </c>
      <c r="F28" s="3">
        <v>470.12</v>
      </c>
      <c r="G28" s="3">
        <v>117.53</v>
      </c>
      <c r="H28" s="3">
        <v>69</v>
      </c>
      <c r="I28" s="3">
        <v>23</v>
      </c>
    </row>
    <row r="29" spans="1:9" ht="21" customHeight="1">
      <c r="A29" s="2" t="s">
        <v>26</v>
      </c>
      <c r="B29" s="4">
        <v>45748</v>
      </c>
      <c r="C29" s="3">
        <v>720</v>
      </c>
      <c r="D29" s="3">
        <v>20160</v>
      </c>
      <c r="E29" s="3">
        <v>19704.91</v>
      </c>
      <c r="F29" s="3">
        <v>618.52</v>
      </c>
      <c r="G29" s="3">
        <v>163.43</v>
      </c>
      <c r="H29" s="3">
        <v>67</v>
      </c>
      <c r="I29" s="3">
        <v>23</v>
      </c>
    </row>
    <row r="30" spans="1:9" ht="21" customHeight="1">
      <c r="A30" s="2" t="s">
        <v>26</v>
      </c>
      <c r="B30" s="4">
        <v>45778</v>
      </c>
      <c r="C30" s="3">
        <v>744</v>
      </c>
      <c r="D30" s="3">
        <v>20832</v>
      </c>
      <c r="E30" s="3">
        <v>20431.52</v>
      </c>
      <c r="F30" s="3">
        <v>460.32</v>
      </c>
      <c r="G30" s="3">
        <v>59.84</v>
      </c>
      <c r="H30" s="3">
        <v>65</v>
      </c>
      <c r="I30" s="3">
        <v>23</v>
      </c>
    </row>
    <row r="31" spans="1:9" ht="21" customHeight="1">
      <c r="A31" s="2" t="s">
        <v>26</v>
      </c>
      <c r="B31" s="4">
        <v>45809</v>
      </c>
      <c r="C31" s="3">
        <v>720</v>
      </c>
      <c r="D31" s="3">
        <v>20160</v>
      </c>
      <c r="E31" s="3">
        <v>19825.63</v>
      </c>
      <c r="F31" s="3">
        <v>428.68</v>
      </c>
      <c r="G31" s="3">
        <v>94.31</v>
      </c>
      <c r="H31" s="3">
        <v>66</v>
      </c>
      <c r="I31" s="3">
        <v>23</v>
      </c>
    </row>
    <row r="32" spans="1:9" ht="21" customHeight="1">
      <c r="A32" s="2" t="s">
        <v>26</v>
      </c>
      <c r="B32" s="4">
        <v>45839</v>
      </c>
      <c r="C32" s="3">
        <v>744</v>
      </c>
      <c r="D32" s="3">
        <v>20832</v>
      </c>
      <c r="E32" s="3">
        <v>19798.63</v>
      </c>
      <c r="F32" s="3">
        <v>1169</v>
      </c>
      <c r="G32" s="3">
        <v>135.63</v>
      </c>
      <c r="H32" s="3">
        <v>68</v>
      </c>
      <c r="I32" s="3">
        <v>23</v>
      </c>
    </row>
    <row r="33" spans="1:9" ht="21" customHeight="1">
      <c r="A33" s="2" t="s">
        <v>26</v>
      </c>
      <c r="B33" s="4">
        <v>45870</v>
      </c>
      <c r="C33" s="3">
        <v>744</v>
      </c>
      <c r="D33" s="3">
        <v>20832</v>
      </c>
      <c r="E33" s="3">
        <v>20268.810000000001</v>
      </c>
      <c r="F33" s="3">
        <v>759.92</v>
      </c>
      <c r="G33" s="3">
        <v>196.73</v>
      </c>
      <c r="H33" s="3">
        <v>67</v>
      </c>
      <c r="I33" s="3">
        <v>23</v>
      </c>
    </row>
    <row r="34" spans="1:9" ht="21" customHeight="1">
      <c r="A34" s="2" t="s">
        <v>26</v>
      </c>
      <c r="B34" s="4">
        <v>45901</v>
      </c>
      <c r="C34" s="3">
        <v>720</v>
      </c>
      <c r="D34" s="3">
        <v>20160</v>
      </c>
      <c r="E34" s="3">
        <v>19485.419999999998</v>
      </c>
      <c r="F34" s="3">
        <v>768.04</v>
      </c>
      <c r="G34" s="3">
        <v>93.46</v>
      </c>
      <c r="H34" s="3">
        <v>64</v>
      </c>
      <c r="I34" s="3">
        <v>23</v>
      </c>
    </row>
    <row r="35" spans="1:9" ht="21" customHeight="1">
      <c r="A35" s="2" t="s">
        <v>26</v>
      </c>
      <c r="B35" s="4">
        <v>45931</v>
      </c>
      <c r="C35" s="3">
        <v>744</v>
      </c>
      <c r="D35" s="3">
        <v>20832</v>
      </c>
      <c r="E35" s="3">
        <v>20384.990000000002</v>
      </c>
      <c r="F35" s="3">
        <v>606.48</v>
      </c>
      <c r="G35" s="3">
        <v>159.47</v>
      </c>
      <c r="H35" s="3">
        <v>63</v>
      </c>
      <c r="I35" s="3">
        <v>23</v>
      </c>
    </row>
    <row r="36" spans="1:9" ht="21" customHeight="1">
      <c r="A36" s="2" t="s">
        <v>26</v>
      </c>
      <c r="B36" s="4">
        <v>45962</v>
      </c>
      <c r="C36" s="3">
        <v>720</v>
      </c>
      <c r="D36" s="3">
        <v>20160</v>
      </c>
      <c r="E36" s="3">
        <v>19784.79</v>
      </c>
      <c r="F36" s="3">
        <v>481.04</v>
      </c>
      <c r="G36" s="3">
        <v>105.83</v>
      </c>
      <c r="H36" s="3">
        <v>65</v>
      </c>
      <c r="I36" s="3">
        <v>23</v>
      </c>
    </row>
    <row r="37" spans="1:9" ht="21" customHeight="1">
      <c r="A37" s="2" t="s">
        <v>26</v>
      </c>
      <c r="B37" s="4">
        <v>45992</v>
      </c>
      <c r="C37" s="3">
        <v>744</v>
      </c>
      <c r="D37" s="3">
        <v>20832</v>
      </c>
      <c r="E37" s="3">
        <v>20418.009999999998</v>
      </c>
      <c r="F37" s="3">
        <v>559.44000000000005</v>
      </c>
      <c r="G37" s="3">
        <v>145.44999999999999</v>
      </c>
      <c r="H37" s="3">
        <v>66</v>
      </c>
      <c r="I37" s="3">
        <v>23</v>
      </c>
    </row>
    <row r="38" spans="1:9" ht="21" customHeight="1">
      <c r="A38" s="2" t="s">
        <v>28</v>
      </c>
      <c r="B38" s="4">
        <v>45658</v>
      </c>
      <c r="C38" s="3">
        <v>744</v>
      </c>
      <c r="D38" s="3">
        <v>22320</v>
      </c>
      <c r="E38" s="3">
        <v>21609.71</v>
      </c>
      <c r="F38" s="3">
        <v>995.1</v>
      </c>
      <c r="G38" s="3">
        <v>284.81</v>
      </c>
      <c r="H38" s="3">
        <v>73</v>
      </c>
      <c r="I38" s="3">
        <v>23.8</v>
      </c>
    </row>
    <row r="39" spans="1:9" ht="21" customHeight="1">
      <c r="A39" s="2" t="s">
        <v>28</v>
      </c>
      <c r="B39" s="4">
        <v>45689</v>
      </c>
      <c r="C39" s="3">
        <v>672</v>
      </c>
      <c r="D39" s="3">
        <v>20160</v>
      </c>
      <c r="E39" s="3">
        <v>18936.29</v>
      </c>
      <c r="F39" s="3">
        <v>1456.8</v>
      </c>
      <c r="G39" s="3">
        <v>233.09</v>
      </c>
      <c r="H39" s="3">
        <v>71</v>
      </c>
      <c r="I39" s="3">
        <v>23.8</v>
      </c>
    </row>
    <row r="40" spans="1:9" ht="21" customHeight="1">
      <c r="A40" s="2" t="s">
        <v>28</v>
      </c>
      <c r="B40" s="4">
        <v>45717</v>
      </c>
      <c r="C40" s="3">
        <v>744</v>
      </c>
      <c r="D40" s="3">
        <v>22320</v>
      </c>
      <c r="E40" s="3">
        <v>21903.919999999998</v>
      </c>
      <c r="F40" s="3">
        <v>501.3</v>
      </c>
      <c r="G40" s="3">
        <v>85.22</v>
      </c>
      <c r="H40" s="3">
        <v>69</v>
      </c>
      <c r="I40" s="3">
        <v>23.8</v>
      </c>
    </row>
    <row r="41" spans="1:9" ht="21" customHeight="1">
      <c r="A41" s="2" t="s">
        <v>28</v>
      </c>
      <c r="B41" s="4">
        <v>45748</v>
      </c>
      <c r="C41" s="3">
        <v>720</v>
      </c>
      <c r="D41" s="3">
        <v>21600</v>
      </c>
      <c r="E41" s="3">
        <v>20472.98</v>
      </c>
      <c r="F41" s="3">
        <v>1336.2</v>
      </c>
      <c r="G41" s="3">
        <v>209.18</v>
      </c>
      <c r="H41" s="3">
        <v>67</v>
      </c>
      <c r="I41" s="3">
        <v>23.8</v>
      </c>
    </row>
    <row r="42" spans="1:9" ht="21" customHeight="1">
      <c r="A42" s="2" t="s">
        <v>28</v>
      </c>
      <c r="B42" s="4">
        <v>45778</v>
      </c>
      <c r="C42" s="3">
        <v>744</v>
      </c>
      <c r="D42" s="3">
        <v>22320</v>
      </c>
      <c r="E42" s="3">
        <v>21714.18</v>
      </c>
      <c r="F42" s="3">
        <v>680.7</v>
      </c>
      <c r="G42" s="3">
        <v>74.88</v>
      </c>
      <c r="H42" s="3">
        <v>65</v>
      </c>
      <c r="I42" s="3">
        <v>23.8</v>
      </c>
    </row>
    <row r="43" spans="1:9" ht="21" customHeight="1">
      <c r="A43" s="2" t="s">
        <v>28</v>
      </c>
      <c r="B43" s="4">
        <v>45809</v>
      </c>
      <c r="C43" s="3">
        <v>720</v>
      </c>
      <c r="D43" s="3">
        <v>21600</v>
      </c>
      <c r="E43" s="3">
        <v>20486.900000000001</v>
      </c>
      <c r="F43" s="3">
        <v>1497</v>
      </c>
      <c r="G43" s="3">
        <v>383.9</v>
      </c>
      <c r="H43" s="3">
        <v>66</v>
      </c>
      <c r="I43" s="3">
        <v>23.8</v>
      </c>
    </row>
    <row r="44" spans="1:9" ht="21" customHeight="1">
      <c r="A44" s="2" t="s">
        <v>28</v>
      </c>
      <c r="B44" s="4">
        <v>45839</v>
      </c>
      <c r="C44" s="3">
        <v>744</v>
      </c>
      <c r="D44" s="3">
        <v>22320</v>
      </c>
      <c r="E44" s="3">
        <v>21824.86</v>
      </c>
      <c r="F44" s="3">
        <v>575.4</v>
      </c>
      <c r="G44" s="3">
        <v>80.260000000000005</v>
      </c>
      <c r="H44" s="3">
        <v>68</v>
      </c>
      <c r="I44" s="3">
        <v>23.8</v>
      </c>
    </row>
    <row r="45" spans="1:9" ht="21" customHeight="1">
      <c r="A45" s="2" t="s">
        <v>28</v>
      </c>
      <c r="B45" s="4">
        <v>45870</v>
      </c>
      <c r="C45" s="3">
        <v>744</v>
      </c>
      <c r="D45" s="3">
        <v>22320</v>
      </c>
      <c r="E45" s="3">
        <v>20921.689999999999</v>
      </c>
      <c r="F45" s="3">
        <v>1789.8</v>
      </c>
      <c r="G45" s="3">
        <v>391.49</v>
      </c>
      <c r="H45" s="3">
        <v>67</v>
      </c>
      <c r="I45" s="3">
        <v>23.8</v>
      </c>
    </row>
    <row r="46" spans="1:9" ht="21" customHeight="1">
      <c r="A46" s="2" t="s">
        <v>28</v>
      </c>
      <c r="B46" s="4">
        <v>45901</v>
      </c>
      <c r="C46" s="3">
        <v>720</v>
      </c>
      <c r="D46" s="3">
        <v>21600</v>
      </c>
      <c r="E46" s="3">
        <v>20886.62</v>
      </c>
      <c r="F46" s="3">
        <v>864</v>
      </c>
      <c r="G46" s="3">
        <v>150.62</v>
      </c>
      <c r="H46" s="3">
        <v>64</v>
      </c>
      <c r="I46" s="3">
        <v>23.8</v>
      </c>
    </row>
    <row r="47" spans="1:9" ht="21" customHeight="1">
      <c r="A47" s="2" t="s">
        <v>28</v>
      </c>
      <c r="B47" s="4">
        <v>45931</v>
      </c>
      <c r="C47" s="3">
        <v>744</v>
      </c>
      <c r="D47" s="3">
        <v>22320</v>
      </c>
      <c r="E47" s="3">
        <v>21412.91</v>
      </c>
      <c r="F47" s="3">
        <v>1123.5</v>
      </c>
      <c r="G47" s="3">
        <v>216.41</v>
      </c>
      <c r="H47" s="3">
        <v>63</v>
      </c>
      <c r="I47" s="3">
        <v>23.8</v>
      </c>
    </row>
    <row r="48" spans="1:9" ht="21" customHeight="1">
      <c r="A48" s="2" t="s">
        <v>28</v>
      </c>
      <c r="B48" s="4">
        <v>45962</v>
      </c>
      <c r="C48" s="3">
        <v>720</v>
      </c>
      <c r="D48" s="3">
        <v>21600</v>
      </c>
      <c r="E48" s="3">
        <v>20918.63</v>
      </c>
      <c r="F48" s="3">
        <v>862.5</v>
      </c>
      <c r="G48" s="3">
        <v>181.13</v>
      </c>
      <c r="H48" s="3">
        <v>65</v>
      </c>
      <c r="I48" s="3">
        <v>23.8</v>
      </c>
    </row>
    <row r="49" spans="1:9" ht="21" customHeight="1">
      <c r="A49" s="2" t="s">
        <v>28</v>
      </c>
      <c r="B49" s="4">
        <v>45992</v>
      </c>
      <c r="C49" s="3">
        <v>744</v>
      </c>
      <c r="D49" s="3">
        <v>22320</v>
      </c>
      <c r="E49" s="3">
        <v>21930.55</v>
      </c>
      <c r="F49" s="3">
        <v>540.9</v>
      </c>
      <c r="G49" s="3">
        <v>151.44999999999999</v>
      </c>
      <c r="H49" s="3">
        <v>66</v>
      </c>
      <c r="I49" s="3">
        <v>23.8</v>
      </c>
    </row>
    <row r="50" spans="1:9" ht="21" customHeight="1">
      <c r="A50" s="2" t="s">
        <v>31</v>
      </c>
      <c r="B50" s="4">
        <v>45658</v>
      </c>
      <c r="C50" s="3">
        <v>744</v>
      </c>
      <c r="D50" s="3">
        <v>16368</v>
      </c>
      <c r="E50" s="3">
        <v>15792.88</v>
      </c>
      <c r="F50" s="3">
        <v>706.64</v>
      </c>
      <c r="G50" s="3">
        <v>131.52000000000001</v>
      </c>
      <c r="H50" s="3">
        <v>73</v>
      </c>
      <c r="I50" s="3">
        <v>23.8</v>
      </c>
    </row>
    <row r="51" spans="1:9" ht="21" customHeight="1">
      <c r="A51" s="2" t="s">
        <v>31</v>
      </c>
      <c r="B51" s="4">
        <v>45689</v>
      </c>
      <c r="C51" s="3">
        <v>672</v>
      </c>
      <c r="D51" s="3">
        <v>14784</v>
      </c>
      <c r="E51" s="3">
        <v>14166.99</v>
      </c>
      <c r="F51" s="3">
        <v>717.42</v>
      </c>
      <c r="G51" s="3">
        <v>100.41</v>
      </c>
      <c r="H51" s="3">
        <v>71</v>
      </c>
      <c r="I51" s="3">
        <v>23.8</v>
      </c>
    </row>
    <row r="52" spans="1:9" ht="21" customHeight="1">
      <c r="A52" s="2" t="s">
        <v>31</v>
      </c>
      <c r="B52" s="4">
        <v>45717</v>
      </c>
      <c r="C52" s="3">
        <v>744</v>
      </c>
      <c r="D52" s="3">
        <v>16368</v>
      </c>
      <c r="E52" s="3">
        <v>15270.07</v>
      </c>
      <c r="F52" s="3">
        <v>1274.02</v>
      </c>
      <c r="G52" s="3">
        <v>176.09</v>
      </c>
      <c r="H52" s="3">
        <v>69</v>
      </c>
      <c r="I52" s="3">
        <v>23.8</v>
      </c>
    </row>
    <row r="53" spans="1:9" ht="21" customHeight="1">
      <c r="A53" s="2" t="s">
        <v>31</v>
      </c>
      <c r="B53" s="4">
        <v>45748</v>
      </c>
      <c r="C53" s="3">
        <v>720</v>
      </c>
      <c r="D53" s="3">
        <v>15840</v>
      </c>
      <c r="E53" s="3">
        <v>14984.85</v>
      </c>
      <c r="F53" s="3">
        <v>1009.36</v>
      </c>
      <c r="G53" s="3">
        <v>154.21</v>
      </c>
      <c r="H53" s="3">
        <v>67</v>
      </c>
      <c r="I53" s="3">
        <v>23.8</v>
      </c>
    </row>
    <row r="54" spans="1:9" ht="21" customHeight="1">
      <c r="A54" s="2" t="s">
        <v>31</v>
      </c>
      <c r="B54" s="4">
        <v>45778</v>
      </c>
      <c r="C54" s="3">
        <v>744</v>
      </c>
      <c r="D54" s="3">
        <v>16368</v>
      </c>
      <c r="E54" s="3">
        <v>15914.85</v>
      </c>
      <c r="F54" s="3">
        <v>607.86</v>
      </c>
      <c r="G54" s="3">
        <v>154.71</v>
      </c>
      <c r="H54" s="3">
        <v>65</v>
      </c>
      <c r="I54" s="3">
        <v>23.8</v>
      </c>
    </row>
    <row r="55" spans="1:9" ht="21" customHeight="1">
      <c r="A55" s="2" t="s">
        <v>31</v>
      </c>
      <c r="B55" s="4">
        <v>45809</v>
      </c>
      <c r="C55" s="3">
        <v>720</v>
      </c>
      <c r="D55" s="3">
        <v>15840</v>
      </c>
      <c r="E55" s="3">
        <v>15561.64</v>
      </c>
      <c r="F55" s="3">
        <v>339.46</v>
      </c>
      <c r="G55" s="3">
        <v>61.1</v>
      </c>
      <c r="H55" s="3">
        <v>66</v>
      </c>
      <c r="I55" s="3">
        <v>23.8</v>
      </c>
    </row>
    <row r="56" spans="1:9" ht="21" customHeight="1">
      <c r="A56" s="2" t="s">
        <v>31</v>
      </c>
      <c r="B56" s="4">
        <v>45839</v>
      </c>
      <c r="C56" s="3">
        <v>744</v>
      </c>
      <c r="D56" s="3">
        <v>16368</v>
      </c>
      <c r="E56" s="3">
        <v>15438.41</v>
      </c>
      <c r="F56" s="3">
        <v>1188.44</v>
      </c>
      <c r="G56" s="3">
        <v>258.85000000000002</v>
      </c>
      <c r="H56" s="3">
        <v>68</v>
      </c>
      <c r="I56" s="3">
        <v>23.8</v>
      </c>
    </row>
    <row r="57" spans="1:9" ht="21" customHeight="1">
      <c r="A57" s="2" t="s">
        <v>31</v>
      </c>
      <c r="B57" s="4">
        <v>45870</v>
      </c>
      <c r="C57" s="3">
        <v>744</v>
      </c>
      <c r="D57" s="3">
        <v>16368</v>
      </c>
      <c r="E57" s="3">
        <v>15369.67</v>
      </c>
      <c r="F57" s="3">
        <v>1344.64</v>
      </c>
      <c r="G57" s="3">
        <v>346.31</v>
      </c>
      <c r="H57" s="3">
        <v>67</v>
      </c>
      <c r="I57" s="3">
        <v>23.8</v>
      </c>
    </row>
    <row r="58" spans="1:9" ht="21" customHeight="1">
      <c r="A58" s="2" t="s">
        <v>31</v>
      </c>
      <c r="B58" s="4">
        <v>45901</v>
      </c>
      <c r="C58" s="3">
        <v>720</v>
      </c>
      <c r="D58" s="3">
        <v>15840</v>
      </c>
      <c r="E58" s="3">
        <v>15284.73</v>
      </c>
      <c r="F58" s="3">
        <v>677.16</v>
      </c>
      <c r="G58" s="3">
        <v>121.89</v>
      </c>
      <c r="H58" s="3">
        <v>64</v>
      </c>
      <c r="I58" s="3">
        <v>23.8</v>
      </c>
    </row>
    <row r="59" spans="1:9" ht="21" customHeight="1">
      <c r="A59" s="2" t="s">
        <v>31</v>
      </c>
      <c r="B59" s="4">
        <v>45931</v>
      </c>
      <c r="C59" s="3">
        <v>744</v>
      </c>
      <c r="D59" s="3">
        <v>16368</v>
      </c>
      <c r="E59" s="3">
        <v>15432.94</v>
      </c>
      <c r="F59" s="3">
        <v>1087.02</v>
      </c>
      <c r="G59" s="3">
        <v>151.96</v>
      </c>
      <c r="H59" s="3">
        <v>63</v>
      </c>
      <c r="I59" s="3">
        <v>23.8</v>
      </c>
    </row>
    <row r="60" spans="1:9" ht="21" customHeight="1">
      <c r="A60" s="2" t="s">
        <v>31</v>
      </c>
      <c r="B60" s="4">
        <v>45962</v>
      </c>
      <c r="C60" s="3">
        <v>720</v>
      </c>
      <c r="D60" s="3">
        <v>15840</v>
      </c>
      <c r="E60" s="3">
        <v>15079.99</v>
      </c>
      <c r="F60" s="3">
        <v>1026.74</v>
      </c>
      <c r="G60" s="3">
        <v>266.73</v>
      </c>
      <c r="H60" s="3">
        <v>65</v>
      </c>
      <c r="I60" s="3">
        <v>23.8</v>
      </c>
    </row>
    <row r="61" spans="1:9" ht="21" customHeight="1">
      <c r="A61" s="2" t="s">
        <v>31</v>
      </c>
      <c r="B61" s="4">
        <v>45992</v>
      </c>
      <c r="C61" s="3">
        <v>744</v>
      </c>
      <c r="D61" s="3">
        <v>16368</v>
      </c>
      <c r="E61" s="3">
        <v>16076.67</v>
      </c>
      <c r="F61" s="3">
        <v>399.08</v>
      </c>
      <c r="G61" s="3">
        <v>107.75</v>
      </c>
      <c r="H61" s="3">
        <v>66</v>
      </c>
      <c r="I61" s="3">
        <v>23.8</v>
      </c>
    </row>
    <row r="62" spans="1:9" ht="21" customHeight="1">
      <c r="A62" s="2" t="s">
        <v>32</v>
      </c>
      <c r="B62" s="4">
        <v>45658</v>
      </c>
      <c r="C62" s="3">
        <v>744</v>
      </c>
      <c r="D62" s="3">
        <v>14880</v>
      </c>
      <c r="E62" s="3">
        <v>14597.97</v>
      </c>
      <c r="F62" s="3">
        <v>324.2</v>
      </c>
      <c r="G62" s="3">
        <v>42.17</v>
      </c>
      <c r="H62" s="3">
        <v>73</v>
      </c>
      <c r="I62" s="3">
        <v>23.8</v>
      </c>
    </row>
    <row r="63" spans="1:9" ht="21" customHeight="1">
      <c r="A63" s="2" t="s">
        <v>32</v>
      </c>
      <c r="B63" s="4">
        <v>45689</v>
      </c>
      <c r="C63" s="3">
        <v>672</v>
      </c>
      <c r="D63" s="3">
        <v>13440</v>
      </c>
      <c r="E63" s="3">
        <v>13286.23</v>
      </c>
      <c r="F63" s="3">
        <v>207.8</v>
      </c>
      <c r="G63" s="3">
        <v>54.03</v>
      </c>
      <c r="H63" s="3">
        <v>71</v>
      </c>
      <c r="I63" s="3">
        <v>23.8</v>
      </c>
    </row>
    <row r="64" spans="1:9" ht="21" customHeight="1">
      <c r="A64" s="2" t="s">
        <v>32</v>
      </c>
      <c r="B64" s="4">
        <v>45717</v>
      </c>
      <c r="C64" s="3">
        <v>744</v>
      </c>
      <c r="D64" s="3">
        <v>14880</v>
      </c>
      <c r="E64" s="3">
        <v>14510.16</v>
      </c>
      <c r="F64" s="3">
        <v>478.4</v>
      </c>
      <c r="G64" s="3">
        <v>108.56</v>
      </c>
      <c r="H64" s="3">
        <v>69</v>
      </c>
      <c r="I64" s="3">
        <v>23.8</v>
      </c>
    </row>
    <row r="65" spans="1:9" ht="21" customHeight="1">
      <c r="A65" s="2" t="s">
        <v>32</v>
      </c>
      <c r="B65" s="4">
        <v>45748</v>
      </c>
      <c r="C65" s="3">
        <v>720</v>
      </c>
      <c r="D65" s="3">
        <v>14400</v>
      </c>
      <c r="E65" s="3">
        <v>13833.09</v>
      </c>
      <c r="F65" s="3">
        <v>791.8</v>
      </c>
      <c r="G65" s="3">
        <v>224.89</v>
      </c>
      <c r="H65" s="3">
        <v>67</v>
      </c>
      <c r="I65" s="3">
        <v>23.8</v>
      </c>
    </row>
    <row r="66" spans="1:9" ht="21" customHeight="1">
      <c r="A66" s="2" t="s">
        <v>32</v>
      </c>
      <c r="B66" s="4">
        <v>45778</v>
      </c>
      <c r="C66" s="3">
        <v>744</v>
      </c>
      <c r="D66" s="3">
        <v>14880</v>
      </c>
      <c r="E66" s="3">
        <v>13826.48</v>
      </c>
      <c r="F66" s="3">
        <v>1198</v>
      </c>
      <c r="G66" s="3">
        <v>144.47999999999999</v>
      </c>
      <c r="H66" s="3">
        <v>65</v>
      </c>
      <c r="I66" s="3">
        <v>23.8</v>
      </c>
    </row>
    <row r="67" spans="1:9" ht="21" customHeight="1">
      <c r="A67" s="2" t="s">
        <v>32</v>
      </c>
      <c r="B67" s="4">
        <v>45809</v>
      </c>
      <c r="C67" s="3">
        <v>720</v>
      </c>
      <c r="D67" s="3">
        <v>14400</v>
      </c>
      <c r="E67" s="3">
        <v>13913.91</v>
      </c>
      <c r="F67" s="3">
        <v>595.6</v>
      </c>
      <c r="G67" s="3">
        <v>109.51</v>
      </c>
      <c r="H67" s="3">
        <v>66</v>
      </c>
      <c r="I67" s="3">
        <v>23.8</v>
      </c>
    </row>
    <row r="68" spans="1:9" ht="21" customHeight="1">
      <c r="A68" s="2" t="s">
        <v>32</v>
      </c>
      <c r="B68" s="4">
        <v>45839</v>
      </c>
      <c r="C68" s="3">
        <v>744</v>
      </c>
      <c r="D68" s="3">
        <v>14880</v>
      </c>
      <c r="E68" s="3">
        <v>14004.88</v>
      </c>
      <c r="F68" s="3">
        <v>1159.8</v>
      </c>
      <c r="G68" s="3">
        <v>284.68</v>
      </c>
      <c r="H68" s="3">
        <v>68</v>
      </c>
      <c r="I68" s="3">
        <v>23.8</v>
      </c>
    </row>
    <row r="69" spans="1:9" ht="21" customHeight="1">
      <c r="A69" s="2" t="s">
        <v>32</v>
      </c>
      <c r="B69" s="4">
        <v>45870</v>
      </c>
      <c r="C69" s="3">
        <v>744</v>
      </c>
      <c r="D69" s="3">
        <v>14880</v>
      </c>
      <c r="E69" s="3">
        <v>14362.74</v>
      </c>
      <c r="F69" s="3">
        <v>587.79999999999995</v>
      </c>
      <c r="G69" s="3">
        <v>70.540000000000006</v>
      </c>
      <c r="H69" s="3">
        <v>67</v>
      </c>
      <c r="I69" s="3">
        <v>23.8</v>
      </c>
    </row>
    <row r="70" spans="1:9" ht="21" customHeight="1">
      <c r="A70" s="2" t="s">
        <v>32</v>
      </c>
      <c r="B70" s="4">
        <v>45901</v>
      </c>
      <c r="C70" s="3">
        <v>720</v>
      </c>
      <c r="D70" s="3">
        <v>14400</v>
      </c>
      <c r="E70" s="3">
        <v>14119.98</v>
      </c>
      <c r="F70" s="3">
        <v>378.4</v>
      </c>
      <c r="G70" s="3">
        <v>98.38</v>
      </c>
      <c r="H70" s="3">
        <v>64</v>
      </c>
      <c r="I70" s="3">
        <v>23.8</v>
      </c>
    </row>
    <row r="71" spans="1:9" ht="21" customHeight="1">
      <c r="A71" s="2" t="s">
        <v>32</v>
      </c>
      <c r="B71" s="4">
        <v>45931</v>
      </c>
      <c r="C71" s="3">
        <v>744</v>
      </c>
      <c r="D71" s="3">
        <v>14880</v>
      </c>
      <c r="E71" s="3">
        <v>13779.09</v>
      </c>
      <c r="F71" s="3">
        <v>1258.4000000000001</v>
      </c>
      <c r="G71" s="3">
        <v>157.49</v>
      </c>
      <c r="H71" s="3">
        <v>63</v>
      </c>
      <c r="I71" s="3">
        <v>23.8</v>
      </c>
    </row>
    <row r="72" spans="1:9" ht="21" customHeight="1">
      <c r="A72" s="2" t="s">
        <v>32</v>
      </c>
      <c r="B72" s="4">
        <v>45962</v>
      </c>
      <c r="C72" s="3">
        <v>720</v>
      </c>
      <c r="D72" s="3">
        <v>14400</v>
      </c>
      <c r="E72" s="3">
        <v>13810.35</v>
      </c>
      <c r="F72" s="3">
        <v>786.2</v>
      </c>
      <c r="G72" s="3">
        <v>196.55</v>
      </c>
      <c r="H72" s="3">
        <v>65</v>
      </c>
      <c r="I72" s="3">
        <v>23.8</v>
      </c>
    </row>
    <row r="73" spans="1:9" ht="21" customHeight="1">
      <c r="A73" s="2" t="s">
        <v>32</v>
      </c>
      <c r="B73" s="4">
        <v>45992</v>
      </c>
      <c r="C73" s="3">
        <v>744</v>
      </c>
      <c r="D73" s="3">
        <v>14880</v>
      </c>
      <c r="E73" s="3">
        <v>14326.13</v>
      </c>
      <c r="F73" s="3">
        <v>629.4</v>
      </c>
      <c r="G73" s="3">
        <v>75.53</v>
      </c>
      <c r="H73" s="3">
        <v>66</v>
      </c>
      <c r="I73" s="3">
        <v>23.8</v>
      </c>
    </row>
    <row r="74" spans="1:9" ht="21" customHeight="1">
      <c r="A74" s="2" t="s">
        <v>33</v>
      </c>
      <c r="B74" s="4">
        <v>45658</v>
      </c>
      <c r="C74" s="3">
        <v>744</v>
      </c>
      <c r="D74" s="3">
        <v>17856</v>
      </c>
      <c r="E74" s="3">
        <v>17442.09</v>
      </c>
      <c r="F74" s="3">
        <v>498</v>
      </c>
      <c r="G74" s="3">
        <v>84.09</v>
      </c>
      <c r="H74" s="3">
        <v>73</v>
      </c>
      <c r="I74" s="3">
        <v>24.6</v>
      </c>
    </row>
    <row r="75" spans="1:9" ht="21" customHeight="1">
      <c r="A75" s="2" t="s">
        <v>33</v>
      </c>
      <c r="B75" s="4">
        <v>45689</v>
      </c>
      <c r="C75" s="3">
        <v>672</v>
      </c>
      <c r="D75" s="3">
        <v>16128</v>
      </c>
      <c r="E75" s="3">
        <v>15890.72</v>
      </c>
      <c r="F75" s="3">
        <v>308.16000000000003</v>
      </c>
      <c r="G75" s="3">
        <v>70.88</v>
      </c>
      <c r="H75" s="3">
        <v>71</v>
      </c>
      <c r="I75" s="3">
        <v>24.6</v>
      </c>
    </row>
    <row r="76" spans="1:9" ht="21" customHeight="1">
      <c r="A76" s="2" t="s">
        <v>33</v>
      </c>
      <c r="B76" s="4">
        <v>45717</v>
      </c>
      <c r="C76" s="3">
        <v>744</v>
      </c>
      <c r="D76" s="3">
        <v>17856</v>
      </c>
      <c r="E76" s="3">
        <v>17544.490000000002</v>
      </c>
      <c r="F76" s="3">
        <v>366.48</v>
      </c>
      <c r="G76" s="3">
        <v>54.97</v>
      </c>
      <c r="H76" s="3">
        <v>69</v>
      </c>
      <c r="I76" s="3">
        <v>24.6</v>
      </c>
    </row>
    <row r="77" spans="1:9" ht="21" customHeight="1">
      <c r="A77" s="2" t="s">
        <v>33</v>
      </c>
      <c r="B77" s="4">
        <v>45748</v>
      </c>
      <c r="C77" s="3">
        <v>720</v>
      </c>
      <c r="D77" s="3">
        <v>17280</v>
      </c>
      <c r="E77" s="3">
        <v>16987.52</v>
      </c>
      <c r="F77" s="3">
        <v>409.2</v>
      </c>
      <c r="G77" s="3">
        <v>116.72</v>
      </c>
      <c r="H77" s="3">
        <v>67</v>
      </c>
      <c r="I77" s="3">
        <v>24.6</v>
      </c>
    </row>
    <row r="78" spans="1:9" ht="21" customHeight="1">
      <c r="A78" s="2" t="s">
        <v>33</v>
      </c>
      <c r="B78" s="4">
        <v>45778</v>
      </c>
      <c r="C78" s="3">
        <v>744</v>
      </c>
      <c r="D78" s="3">
        <v>17856</v>
      </c>
      <c r="E78" s="3">
        <v>17592.240000000002</v>
      </c>
      <c r="F78" s="3">
        <v>376.8</v>
      </c>
      <c r="G78" s="3">
        <v>113.04</v>
      </c>
      <c r="H78" s="3">
        <v>65</v>
      </c>
      <c r="I78" s="3">
        <v>24.6</v>
      </c>
    </row>
    <row r="79" spans="1:9" ht="21" customHeight="1">
      <c r="A79" s="2" t="s">
        <v>33</v>
      </c>
      <c r="B79" s="4">
        <v>45809</v>
      </c>
      <c r="C79" s="3">
        <v>720</v>
      </c>
      <c r="D79" s="3">
        <v>17280</v>
      </c>
      <c r="E79" s="3">
        <v>16886.32</v>
      </c>
      <c r="F79" s="3">
        <v>447.36</v>
      </c>
      <c r="G79" s="3">
        <v>53.68</v>
      </c>
      <c r="H79" s="3">
        <v>66</v>
      </c>
      <c r="I79" s="3">
        <v>24.6</v>
      </c>
    </row>
    <row r="80" spans="1:9" ht="21" customHeight="1">
      <c r="A80" s="2" t="s">
        <v>33</v>
      </c>
      <c r="B80" s="4">
        <v>45839</v>
      </c>
      <c r="C80" s="3">
        <v>744</v>
      </c>
      <c r="D80" s="3">
        <v>17856</v>
      </c>
      <c r="E80" s="3">
        <v>17367</v>
      </c>
      <c r="F80" s="3">
        <v>586.55999999999995</v>
      </c>
      <c r="G80" s="3">
        <v>97.56</v>
      </c>
      <c r="H80" s="3">
        <v>68</v>
      </c>
      <c r="I80" s="3">
        <v>24.6</v>
      </c>
    </row>
    <row r="81" spans="1:9" ht="21" customHeight="1">
      <c r="A81" s="2" t="s">
        <v>33</v>
      </c>
      <c r="B81" s="4">
        <v>45870</v>
      </c>
      <c r="C81" s="3">
        <v>744</v>
      </c>
      <c r="D81" s="3">
        <v>17856</v>
      </c>
      <c r="E81" s="3">
        <v>17592.91</v>
      </c>
      <c r="F81" s="3">
        <v>302.39999999999998</v>
      </c>
      <c r="G81" s="3">
        <v>39.31</v>
      </c>
      <c r="H81" s="3">
        <v>67</v>
      </c>
      <c r="I81" s="3">
        <v>24.6</v>
      </c>
    </row>
    <row r="82" spans="1:9" ht="21" customHeight="1">
      <c r="A82" s="2" t="s">
        <v>33</v>
      </c>
      <c r="B82" s="4">
        <v>45901</v>
      </c>
      <c r="C82" s="3">
        <v>720</v>
      </c>
      <c r="D82" s="3">
        <v>17280</v>
      </c>
      <c r="E82" s="3">
        <v>16972.86</v>
      </c>
      <c r="F82" s="3">
        <v>398.88</v>
      </c>
      <c r="G82" s="3">
        <v>91.74</v>
      </c>
      <c r="H82" s="3">
        <v>64</v>
      </c>
      <c r="I82" s="3">
        <v>24.6</v>
      </c>
    </row>
    <row r="83" spans="1:9" ht="21" customHeight="1">
      <c r="A83" s="2" t="s">
        <v>33</v>
      </c>
      <c r="B83" s="4">
        <v>45931</v>
      </c>
      <c r="C83" s="3">
        <v>744</v>
      </c>
      <c r="D83" s="3">
        <v>17856</v>
      </c>
      <c r="E83" s="3">
        <v>17499.86</v>
      </c>
      <c r="F83" s="3">
        <v>495.12</v>
      </c>
      <c r="G83" s="3">
        <v>138.97999999999999</v>
      </c>
      <c r="H83" s="3">
        <v>63</v>
      </c>
      <c r="I83" s="3">
        <v>24.6</v>
      </c>
    </row>
    <row r="84" spans="1:9" ht="21" customHeight="1">
      <c r="A84" s="2" t="s">
        <v>33</v>
      </c>
      <c r="B84" s="4">
        <v>45962</v>
      </c>
      <c r="C84" s="3">
        <v>720</v>
      </c>
      <c r="D84" s="3">
        <v>17280</v>
      </c>
      <c r="E84" s="3">
        <v>16766.48</v>
      </c>
      <c r="F84" s="3">
        <v>597.12</v>
      </c>
      <c r="G84" s="3">
        <v>83.6</v>
      </c>
      <c r="H84" s="3">
        <v>65</v>
      </c>
      <c r="I84" s="3">
        <v>24.6</v>
      </c>
    </row>
    <row r="85" spans="1:9" ht="21" customHeight="1">
      <c r="A85" s="2" t="s">
        <v>33</v>
      </c>
      <c r="B85" s="4">
        <v>45992</v>
      </c>
      <c r="C85" s="3">
        <v>744</v>
      </c>
      <c r="D85" s="3">
        <v>17856</v>
      </c>
      <c r="E85" s="3">
        <v>17569.45</v>
      </c>
      <c r="F85" s="3">
        <v>377.04</v>
      </c>
      <c r="G85" s="3">
        <v>90.49</v>
      </c>
      <c r="H85" s="3">
        <v>66</v>
      </c>
      <c r="I85" s="3">
        <v>24.6</v>
      </c>
    </row>
    <row r="86" spans="1:9" ht="21" customHeight="1">
      <c r="A86" s="2" t="s">
        <v>36</v>
      </c>
      <c r="B86" s="4">
        <v>45658</v>
      </c>
      <c r="C86" s="3">
        <v>744</v>
      </c>
      <c r="D86" s="3">
        <v>13392</v>
      </c>
      <c r="E86" s="3">
        <v>12478.23</v>
      </c>
      <c r="F86" s="3">
        <v>1136.1600000000001</v>
      </c>
      <c r="G86" s="3">
        <v>222.39</v>
      </c>
      <c r="H86" s="3">
        <v>73</v>
      </c>
      <c r="I86" s="3">
        <v>24.6</v>
      </c>
    </row>
    <row r="87" spans="1:9" ht="21" customHeight="1">
      <c r="A87" s="2" t="s">
        <v>36</v>
      </c>
      <c r="B87" s="4">
        <v>45689</v>
      </c>
      <c r="C87" s="3">
        <v>672</v>
      </c>
      <c r="D87" s="3">
        <v>12096</v>
      </c>
      <c r="E87" s="3">
        <v>11479.46</v>
      </c>
      <c r="F87" s="3">
        <v>677.52</v>
      </c>
      <c r="G87" s="3">
        <v>60.98</v>
      </c>
      <c r="H87" s="3">
        <v>71</v>
      </c>
      <c r="I87" s="3">
        <v>24.6</v>
      </c>
    </row>
    <row r="88" spans="1:9" ht="21" customHeight="1">
      <c r="A88" s="2" t="s">
        <v>36</v>
      </c>
      <c r="B88" s="4">
        <v>45717</v>
      </c>
      <c r="C88" s="3">
        <v>744</v>
      </c>
      <c r="D88" s="3">
        <v>13392</v>
      </c>
      <c r="E88" s="3">
        <v>13058.25</v>
      </c>
      <c r="F88" s="3">
        <v>414.9</v>
      </c>
      <c r="G88" s="3">
        <v>81.150000000000006</v>
      </c>
      <c r="H88" s="3">
        <v>69</v>
      </c>
      <c r="I88" s="3">
        <v>24.6</v>
      </c>
    </row>
    <row r="89" spans="1:9" ht="21" customHeight="1">
      <c r="A89" s="2" t="s">
        <v>36</v>
      </c>
      <c r="B89" s="4">
        <v>45748</v>
      </c>
      <c r="C89" s="3">
        <v>720</v>
      </c>
      <c r="D89" s="3">
        <v>12960</v>
      </c>
      <c r="E89" s="3">
        <v>12671.07</v>
      </c>
      <c r="F89" s="3">
        <v>378.54</v>
      </c>
      <c r="G89" s="3">
        <v>89.61</v>
      </c>
      <c r="H89" s="3">
        <v>67</v>
      </c>
      <c r="I89" s="3">
        <v>24.6</v>
      </c>
    </row>
    <row r="90" spans="1:9" ht="21" customHeight="1">
      <c r="A90" s="2" t="s">
        <v>36</v>
      </c>
      <c r="B90" s="4">
        <v>45778</v>
      </c>
      <c r="C90" s="3">
        <v>744</v>
      </c>
      <c r="D90" s="3">
        <v>13392</v>
      </c>
      <c r="E90" s="3">
        <v>13161.21</v>
      </c>
      <c r="F90" s="3">
        <v>262.26</v>
      </c>
      <c r="G90" s="3">
        <v>31.47</v>
      </c>
      <c r="H90" s="3">
        <v>65</v>
      </c>
      <c r="I90" s="3">
        <v>24.6</v>
      </c>
    </row>
    <row r="91" spans="1:9" ht="21" customHeight="1">
      <c r="A91" s="2" t="s">
        <v>36</v>
      </c>
      <c r="B91" s="4">
        <v>45809</v>
      </c>
      <c r="C91" s="3">
        <v>720</v>
      </c>
      <c r="D91" s="3">
        <v>12960</v>
      </c>
      <c r="E91" s="3">
        <v>12731.71</v>
      </c>
      <c r="F91" s="3">
        <v>304.38</v>
      </c>
      <c r="G91" s="3">
        <v>76.09</v>
      </c>
      <c r="H91" s="3">
        <v>66</v>
      </c>
      <c r="I91" s="3">
        <v>24.6</v>
      </c>
    </row>
    <row r="92" spans="1:9" ht="21" customHeight="1">
      <c r="A92" s="2" t="s">
        <v>36</v>
      </c>
      <c r="B92" s="4">
        <v>45839</v>
      </c>
      <c r="C92" s="3">
        <v>744</v>
      </c>
      <c r="D92" s="3">
        <v>13392</v>
      </c>
      <c r="E92" s="3">
        <v>12808.01</v>
      </c>
      <c r="F92" s="3">
        <v>694.08</v>
      </c>
      <c r="G92" s="3">
        <v>110.09</v>
      </c>
      <c r="H92" s="3">
        <v>68</v>
      </c>
      <c r="I92" s="3">
        <v>24.6</v>
      </c>
    </row>
    <row r="93" spans="1:9" ht="21" customHeight="1">
      <c r="A93" s="2" t="s">
        <v>36</v>
      </c>
      <c r="B93" s="4">
        <v>45870</v>
      </c>
      <c r="C93" s="3">
        <v>744</v>
      </c>
      <c r="D93" s="3">
        <v>13392</v>
      </c>
      <c r="E93" s="3">
        <v>13242.05</v>
      </c>
      <c r="F93" s="3">
        <v>192.24</v>
      </c>
      <c r="G93" s="3">
        <v>42.29</v>
      </c>
      <c r="H93" s="3">
        <v>67</v>
      </c>
      <c r="I93" s="3">
        <v>24.6</v>
      </c>
    </row>
    <row r="94" spans="1:9" ht="21" customHeight="1">
      <c r="A94" s="2" t="s">
        <v>36</v>
      </c>
      <c r="B94" s="4">
        <v>45901</v>
      </c>
      <c r="C94" s="3">
        <v>720</v>
      </c>
      <c r="D94" s="3">
        <v>12960</v>
      </c>
      <c r="E94" s="3">
        <v>12737.38</v>
      </c>
      <c r="F94" s="3">
        <v>296.82</v>
      </c>
      <c r="G94" s="3">
        <v>74.2</v>
      </c>
      <c r="H94" s="3">
        <v>64</v>
      </c>
      <c r="I94" s="3">
        <v>24.6</v>
      </c>
    </row>
    <row r="95" spans="1:9" ht="21" customHeight="1">
      <c r="A95" s="2" t="s">
        <v>36</v>
      </c>
      <c r="B95" s="4">
        <v>45931</v>
      </c>
      <c r="C95" s="3">
        <v>744</v>
      </c>
      <c r="D95" s="3">
        <v>13392</v>
      </c>
      <c r="E95" s="3">
        <v>12899</v>
      </c>
      <c r="F95" s="3">
        <v>562.5</v>
      </c>
      <c r="G95" s="3">
        <v>69.5</v>
      </c>
      <c r="H95" s="3">
        <v>63</v>
      </c>
      <c r="I95" s="3">
        <v>24.6</v>
      </c>
    </row>
    <row r="96" spans="1:9" ht="21" customHeight="1">
      <c r="A96" s="2" t="s">
        <v>36</v>
      </c>
      <c r="B96" s="4">
        <v>45962</v>
      </c>
      <c r="C96" s="3">
        <v>720</v>
      </c>
      <c r="D96" s="3">
        <v>12960</v>
      </c>
      <c r="E96" s="3">
        <v>12770.73</v>
      </c>
      <c r="F96" s="3">
        <v>239.58</v>
      </c>
      <c r="G96" s="3">
        <v>50.31</v>
      </c>
      <c r="H96" s="3">
        <v>65</v>
      </c>
      <c r="I96" s="3">
        <v>24.6</v>
      </c>
    </row>
    <row r="97" spans="1:9" ht="21" customHeight="1">
      <c r="A97" s="2" t="s">
        <v>36</v>
      </c>
      <c r="B97" s="4">
        <v>45992</v>
      </c>
      <c r="C97" s="3">
        <v>744</v>
      </c>
      <c r="D97" s="3">
        <v>13392</v>
      </c>
      <c r="E97" s="3">
        <v>13184.25</v>
      </c>
      <c r="F97" s="3">
        <v>262.98</v>
      </c>
      <c r="G97" s="3">
        <v>55.23</v>
      </c>
      <c r="H97" s="3">
        <v>66</v>
      </c>
      <c r="I97" s="3">
        <v>24.6</v>
      </c>
    </row>
    <row r="98" spans="1:9" ht="21" customHeight="1">
      <c r="A98" s="2" t="s">
        <v>37</v>
      </c>
      <c r="B98" s="4">
        <v>45658</v>
      </c>
      <c r="C98" s="3">
        <v>744</v>
      </c>
      <c r="D98" s="3">
        <v>23808</v>
      </c>
      <c r="E98" s="3">
        <v>23417.040000000001</v>
      </c>
      <c r="F98" s="3">
        <v>521.28</v>
      </c>
      <c r="G98" s="3">
        <v>130.32</v>
      </c>
      <c r="H98" s="3">
        <v>73</v>
      </c>
      <c r="I98" s="3">
        <v>24.6</v>
      </c>
    </row>
    <row r="99" spans="1:9" ht="21" customHeight="1">
      <c r="A99" s="2" t="s">
        <v>37</v>
      </c>
      <c r="B99" s="4">
        <v>45689</v>
      </c>
      <c r="C99" s="3">
        <v>672</v>
      </c>
      <c r="D99" s="3">
        <v>21504</v>
      </c>
      <c r="E99" s="3">
        <v>21307.93</v>
      </c>
      <c r="F99" s="3">
        <v>264.95999999999998</v>
      </c>
      <c r="G99" s="3">
        <v>68.89</v>
      </c>
      <c r="H99" s="3">
        <v>71</v>
      </c>
      <c r="I99" s="3">
        <v>24.6</v>
      </c>
    </row>
    <row r="100" spans="1:9" ht="21" customHeight="1">
      <c r="A100" s="2" t="s">
        <v>37</v>
      </c>
      <c r="B100" s="4">
        <v>45717</v>
      </c>
      <c r="C100" s="3">
        <v>744</v>
      </c>
      <c r="D100" s="3">
        <v>23808</v>
      </c>
      <c r="E100" s="3">
        <v>23485.14</v>
      </c>
      <c r="F100" s="3">
        <v>379.84</v>
      </c>
      <c r="G100" s="3">
        <v>56.98</v>
      </c>
      <c r="H100" s="3">
        <v>69</v>
      </c>
      <c r="I100" s="3">
        <v>24.6</v>
      </c>
    </row>
    <row r="101" spans="1:9" ht="21" customHeight="1">
      <c r="A101" s="2" t="s">
        <v>37</v>
      </c>
      <c r="B101" s="4">
        <v>45748</v>
      </c>
      <c r="C101" s="3">
        <v>720</v>
      </c>
      <c r="D101" s="3">
        <v>23040</v>
      </c>
      <c r="E101" s="3">
        <v>22534.92</v>
      </c>
      <c r="F101" s="3">
        <v>653.76</v>
      </c>
      <c r="G101" s="3">
        <v>148.68</v>
      </c>
      <c r="H101" s="3">
        <v>67</v>
      </c>
      <c r="I101" s="3">
        <v>24.6</v>
      </c>
    </row>
    <row r="102" spans="1:9" ht="21" customHeight="1">
      <c r="A102" s="2" t="s">
        <v>37</v>
      </c>
      <c r="B102" s="4">
        <v>45778</v>
      </c>
      <c r="C102" s="3">
        <v>744</v>
      </c>
      <c r="D102" s="3">
        <v>23808</v>
      </c>
      <c r="E102" s="3">
        <v>23469.19</v>
      </c>
      <c r="F102" s="3">
        <v>389.44</v>
      </c>
      <c r="G102" s="3">
        <v>50.63</v>
      </c>
      <c r="H102" s="3">
        <v>65</v>
      </c>
      <c r="I102" s="3">
        <v>24.6</v>
      </c>
    </row>
    <row r="103" spans="1:9" ht="21" customHeight="1">
      <c r="A103" s="2" t="s">
        <v>37</v>
      </c>
      <c r="B103" s="4">
        <v>45809</v>
      </c>
      <c r="C103" s="3">
        <v>720</v>
      </c>
      <c r="D103" s="3">
        <v>23040</v>
      </c>
      <c r="E103" s="3">
        <v>22709.08</v>
      </c>
      <c r="F103" s="3">
        <v>429.76</v>
      </c>
      <c r="G103" s="3">
        <v>98.84</v>
      </c>
      <c r="H103" s="3">
        <v>66</v>
      </c>
      <c r="I103" s="3">
        <v>24.6</v>
      </c>
    </row>
    <row r="104" spans="1:9" ht="21" customHeight="1">
      <c r="A104" s="2" t="s">
        <v>37</v>
      </c>
      <c r="B104" s="4">
        <v>45839</v>
      </c>
      <c r="C104" s="3">
        <v>744</v>
      </c>
      <c r="D104" s="3">
        <v>23808</v>
      </c>
      <c r="E104" s="3">
        <v>23452.68</v>
      </c>
      <c r="F104" s="3">
        <v>485.44</v>
      </c>
      <c r="G104" s="3">
        <v>130.12</v>
      </c>
      <c r="H104" s="3">
        <v>68</v>
      </c>
      <c r="I104" s="3">
        <v>24.6</v>
      </c>
    </row>
    <row r="105" spans="1:9" ht="21" customHeight="1">
      <c r="A105" s="2" t="s">
        <v>37</v>
      </c>
      <c r="B105" s="4">
        <v>45870</v>
      </c>
      <c r="C105" s="3">
        <v>744</v>
      </c>
      <c r="D105" s="3">
        <v>23808</v>
      </c>
      <c r="E105" s="3">
        <v>23033.66</v>
      </c>
      <c r="F105" s="3">
        <v>884.16</v>
      </c>
      <c r="G105" s="3">
        <v>109.82</v>
      </c>
      <c r="H105" s="3">
        <v>67</v>
      </c>
      <c r="I105" s="3">
        <v>24.6</v>
      </c>
    </row>
    <row r="106" spans="1:9" ht="21" customHeight="1">
      <c r="A106" s="2" t="s">
        <v>37</v>
      </c>
      <c r="B106" s="4">
        <v>45901</v>
      </c>
      <c r="C106" s="3">
        <v>720</v>
      </c>
      <c r="D106" s="3">
        <v>23040</v>
      </c>
      <c r="E106" s="3">
        <v>22797.5</v>
      </c>
      <c r="F106" s="3">
        <v>269.44</v>
      </c>
      <c r="G106" s="3">
        <v>26.94</v>
      </c>
      <c r="H106" s="3">
        <v>64</v>
      </c>
      <c r="I106" s="3">
        <v>24.6</v>
      </c>
    </row>
    <row r="107" spans="1:9" ht="21" customHeight="1">
      <c r="A107" s="2" t="s">
        <v>37</v>
      </c>
      <c r="B107" s="4">
        <v>45931</v>
      </c>
      <c r="C107" s="3">
        <v>744</v>
      </c>
      <c r="D107" s="3">
        <v>23808</v>
      </c>
      <c r="E107" s="3">
        <v>23299.31</v>
      </c>
      <c r="F107" s="3">
        <v>632</v>
      </c>
      <c r="G107" s="3">
        <v>123.31</v>
      </c>
      <c r="H107" s="3">
        <v>63</v>
      </c>
      <c r="I107" s="3">
        <v>24.6</v>
      </c>
    </row>
    <row r="108" spans="1:9" ht="21" customHeight="1">
      <c r="A108" s="2" t="s">
        <v>37</v>
      </c>
      <c r="B108" s="4">
        <v>45962</v>
      </c>
      <c r="C108" s="3">
        <v>720</v>
      </c>
      <c r="D108" s="3">
        <v>23040</v>
      </c>
      <c r="E108" s="3">
        <v>22743.09</v>
      </c>
      <c r="F108" s="3">
        <v>385.6</v>
      </c>
      <c r="G108" s="3">
        <v>88.69</v>
      </c>
      <c r="H108" s="3">
        <v>65</v>
      </c>
      <c r="I108" s="3">
        <v>24.6</v>
      </c>
    </row>
    <row r="109" spans="1:9" ht="21" customHeight="1">
      <c r="A109" s="2" t="s">
        <v>37</v>
      </c>
      <c r="B109" s="4">
        <v>45992</v>
      </c>
      <c r="C109" s="3">
        <v>744</v>
      </c>
      <c r="D109" s="3">
        <v>23808</v>
      </c>
      <c r="E109" s="3">
        <v>23601.52</v>
      </c>
      <c r="F109" s="3">
        <v>271.68</v>
      </c>
      <c r="G109" s="3">
        <v>65.2</v>
      </c>
      <c r="H109" s="3">
        <v>66</v>
      </c>
      <c r="I109" s="3">
        <v>24.6</v>
      </c>
    </row>
    <row r="110" spans="1:9" ht="21" customHeight="1">
      <c r="A110" s="2" t="s">
        <v>38</v>
      </c>
      <c r="B110" s="4">
        <v>45658</v>
      </c>
      <c r="C110" s="3">
        <v>744</v>
      </c>
      <c r="D110" s="3">
        <v>26040</v>
      </c>
      <c r="E110" s="3">
        <v>24894.400000000001</v>
      </c>
      <c r="F110" s="3">
        <v>1370.25</v>
      </c>
      <c r="G110" s="3">
        <v>224.65</v>
      </c>
      <c r="H110" s="3">
        <v>73</v>
      </c>
      <c r="I110" s="3">
        <v>25.4</v>
      </c>
    </row>
    <row r="111" spans="1:9" ht="21" customHeight="1">
      <c r="A111" s="2" t="s">
        <v>38</v>
      </c>
      <c r="B111" s="4">
        <v>45689</v>
      </c>
      <c r="C111" s="3">
        <v>672</v>
      </c>
      <c r="D111" s="3">
        <v>23520</v>
      </c>
      <c r="E111" s="3">
        <v>22066.85</v>
      </c>
      <c r="F111" s="3">
        <v>1632.75</v>
      </c>
      <c r="G111" s="3">
        <v>179.6</v>
      </c>
      <c r="H111" s="3">
        <v>71</v>
      </c>
      <c r="I111" s="3">
        <v>25.4</v>
      </c>
    </row>
    <row r="112" spans="1:9" ht="21" customHeight="1">
      <c r="A112" s="2" t="s">
        <v>38</v>
      </c>
      <c r="B112" s="4">
        <v>45717</v>
      </c>
      <c r="C112" s="3">
        <v>744</v>
      </c>
      <c r="D112" s="3">
        <v>26040</v>
      </c>
      <c r="E112" s="3">
        <v>24936.67</v>
      </c>
      <c r="F112" s="3">
        <v>1430.1</v>
      </c>
      <c r="G112" s="3">
        <v>326.77</v>
      </c>
      <c r="H112" s="3">
        <v>69</v>
      </c>
      <c r="I112" s="3">
        <v>25.4</v>
      </c>
    </row>
    <row r="113" spans="1:9" ht="21" customHeight="1">
      <c r="A113" s="2" t="s">
        <v>38</v>
      </c>
      <c r="B113" s="4">
        <v>45748</v>
      </c>
      <c r="C113" s="3">
        <v>720</v>
      </c>
      <c r="D113" s="3">
        <v>25200</v>
      </c>
      <c r="E113" s="3">
        <v>23726.84</v>
      </c>
      <c r="F113" s="3">
        <v>1680.35</v>
      </c>
      <c r="G113" s="3">
        <v>207.19</v>
      </c>
      <c r="H113" s="3">
        <v>67</v>
      </c>
      <c r="I113" s="3">
        <v>25.4</v>
      </c>
    </row>
    <row r="114" spans="1:9" ht="21" customHeight="1">
      <c r="A114" s="2" t="s">
        <v>38</v>
      </c>
      <c r="B114" s="4">
        <v>45778</v>
      </c>
      <c r="C114" s="3">
        <v>744</v>
      </c>
      <c r="D114" s="3">
        <v>26040</v>
      </c>
      <c r="E114" s="3">
        <v>24555.51</v>
      </c>
      <c r="F114" s="3">
        <v>1729</v>
      </c>
      <c r="G114" s="3">
        <v>244.51</v>
      </c>
      <c r="H114" s="3">
        <v>65</v>
      </c>
      <c r="I114" s="3">
        <v>25.4</v>
      </c>
    </row>
    <row r="115" spans="1:9" ht="21" customHeight="1">
      <c r="A115" s="2" t="s">
        <v>38</v>
      </c>
      <c r="B115" s="4">
        <v>45809</v>
      </c>
      <c r="C115" s="3">
        <v>720</v>
      </c>
      <c r="D115" s="3">
        <v>25200</v>
      </c>
      <c r="E115" s="3">
        <v>23460.41</v>
      </c>
      <c r="F115" s="3">
        <v>1983.45</v>
      </c>
      <c r="G115" s="3">
        <v>243.86</v>
      </c>
      <c r="H115" s="3">
        <v>66</v>
      </c>
      <c r="I115" s="3">
        <v>25.4</v>
      </c>
    </row>
    <row r="116" spans="1:9" ht="21" customHeight="1">
      <c r="A116" s="2" t="s">
        <v>38</v>
      </c>
      <c r="B116" s="4">
        <v>45839</v>
      </c>
      <c r="C116" s="3">
        <v>744</v>
      </c>
      <c r="D116" s="3">
        <v>26040</v>
      </c>
      <c r="E116" s="3">
        <v>24398.42</v>
      </c>
      <c r="F116" s="3">
        <v>2114</v>
      </c>
      <c r="G116" s="3">
        <v>472.42</v>
      </c>
      <c r="H116" s="3">
        <v>68</v>
      </c>
      <c r="I116" s="3">
        <v>25.4</v>
      </c>
    </row>
    <row r="117" spans="1:9" ht="21" customHeight="1">
      <c r="A117" s="2" t="s">
        <v>38</v>
      </c>
      <c r="B117" s="4">
        <v>45870</v>
      </c>
      <c r="C117" s="3">
        <v>744</v>
      </c>
      <c r="D117" s="3">
        <v>26040</v>
      </c>
      <c r="E117" s="3">
        <v>24512.959999999999</v>
      </c>
      <c r="F117" s="3">
        <v>1866.2</v>
      </c>
      <c r="G117" s="3">
        <v>339.16</v>
      </c>
      <c r="H117" s="3">
        <v>67</v>
      </c>
      <c r="I117" s="3">
        <v>25.4</v>
      </c>
    </row>
    <row r="118" spans="1:9" ht="21" customHeight="1">
      <c r="A118" s="2" t="s">
        <v>38</v>
      </c>
      <c r="B118" s="4">
        <v>45901</v>
      </c>
      <c r="C118" s="3">
        <v>720</v>
      </c>
      <c r="D118" s="3">
        <v>25200</v>
      </c>
      <c r="E118" s="3">
        <v>22496.43</v>
      </c>
      <c r="F118" s="3">
        <v>2991.45</v>
      </c>
      <c r="G118" s="3">
        <v>287.88</v>
      </c>
      <c r="H118" s="3">
        <v>64</v>
      </c>
      <c r="I118" s="3">
        <v>25.4</v>
      </c>
    </row>
    <row r="119" spans="1:9" ht="21" customHeight="1">
      <c r="A119" s="2" t="s">
        <v>38</v>
      </c>
      <c r="B119" s="4">
        <v>45931</v>
      </c>
      <c r="C119" s="3">
        <v>744</v>
      </c>
      <c r="D119" s="3">
        <v>26040</v>
      </c>
      <c r="E119" s="3">
        <v>24402.57</v>
      </c>
      <c r="F119" s="3">
        <v>2173.15</v>
      </c>
      <c r="G119" s="3">
        <v>535.72</v>
      </c>
      <c r="H119" s="3">
        <v>63</v>
      </c>
      <c r="I119" s="3">
        <v>25.4</v>
      </c>
    </row>
    <row r="120" spans="1:9" ht="21" customHeight="1">
      <c r="A120" s="2" t="s">
        <v>38</v>
      </c>
      <c r="B120" s="4">
        <v>45962</v>
      </c>
      <c r="C120" s="3">
        <v>720</v>
      </c>
      <c r="D120" s="3">
        <v>25200</v>
      </c>
      <c r="E120" s="3">
        <v>23996.71</v>
      </c>
      <c r="F120" s="3">
        <v>1402.45</v>
      </c>
      <c r="G120" s="3">
        <v>199.16</v>
      </c>
      <c r="H120" s="3">
        <v>65</v>
      </c>
      <c r="I120" s="3">
        <v>25.4</v>
      </c>
    </row>
    <row r="121" spans="1:9" ht="21" customHeight="1">
      <c r="A121" s="2" t="s">
        <v>38</v>
      </c>
      <c r="B121" s="4">
        <v>45992</v>
      </c>
      <c r="C121" s="3">
        <v>744</v>
      </c>
      <c r="D121" s="3">
        <v>26040</v>
      </c>
      <c r="E121" s="3">
        <v>24948.73</v>
      </c>
      <c r="F121" s="3">
        <v>1366.4</v>
      </c>
      <c r="G121" s="3">
        <v>275.13</v>
      </c>
      <c r="H121" s="3">
        <v>66</v>
      </c>
      <c r="I121" s="3">
        <v>25.4</v>
      </c>
    </row>
    <row r="122" spans="1:9" ht="21" customHeight="1">
      <c r="A122" s="2" t="s">
        <v>41</v>
      </c>
      <c r="B122" s="4">
        <v>45658</v>
      </c>
      <c r="C122" s="3">
        <v>744</v>
      </c>
      <c r="D122" s="3">
        <v>19344</v>
      </c>
      <c r="E122" s="3">
        <v>17951.009999999998</v>
      </c>
      <c r="F122" s="3">
        <v>1883.7</v>
      </c>
      <c r="G122" s="3">
        <v>490.71</v>
      </c>
      <c r="H122" s="3">
        <v>73</v>
      </c>
      <c r="I122" s="3">
        <v>25.4</v>
      </c>
    </row>
    <row r="123" spans="1:9" ht="21" customHeight="1">
      <c r="A123" s="2" t="s">
        <v>41</v>
      </c>
      <c r="B123" s="4">
        <v>45689</v>
      </c>
      <c r="C123" s="3">
        <v>672</v>
      </c>
      <c r="D123" s="3">
        <v>17472</v>
      </c>
      <c r="E123" s="3">
        <v>16021.96</v>
      </c>
      <c r="F123" s="3">
        <v>1644.76</v>
      </c>
      <c r="G123" s="3">
        <v>194.72</v>
      </c>
      <c r="H123" s="3">
        <v>71</v>
      </c>
      <c r="I123" s="3">
        <v>25.4</v>
      </c>
    </row>
    <row r="124" spans="1:9" ht="21" customHeight="1">
      <c r="A124" s="2" t="s">
        <v>41</v>
      </c>
      <c r="B124" s="4">
        <v>45717</v>
      </c>
      <c r="C124" s="3">
        <v>744</v>
      </c>
      <c r="D124" s="3">
        <v>19344</v>
      </c>
      <c r="E124" s="3">
        <v>18553.009999999998</v>
      </c>
      <c r="F124" s="3">
        <v>1027.26</v>
      </c>
      <c r="G124" s="3">
        <v>236.27</v>
      </c>
      <c r="H124" s="3">
        <v>69</v>
      </c>
      <c r="I124" s="3">
        <v>25.4</v>
      </c>
    </row>
    <row r="125" spans="1:9" ht="21" customHeight="1">
      <c r="A125" s="2" t="s">
        <v>41</v>
      </c>
      <c r="B125" s="4">
        <v>45748</v>
      </c>
      <c r="C125" s="3">
        <v>720</v>
      </c>
      <c r="D125" s="3">
        <v>18720</v>
      </c>
      <c r="E125" s="3">
        <v>16760.52</v>
      </c>
      <c r="F125" s="3">
        <v>2390.96</v>
      </c>
      <c r="G125" s="3">
        <v>431.48</v>
      </c>
      <c r="H125" s="3">
        <v>67</v>
      </c>
      <c r="I125" s="3">
        <v>25.4</v>
      </c>
    </row>
    <row r="126" spans="1:9" ht="21" customHeight="1">
      <c r="A126" s="2" t="s">
        <v>41</v>
      </c>
      <c r="B126" s="4">
        <v>45778</v>
      </c>
      <c r="C126" s="3">
        <v>744</v>
      </c>
      <c r="D126" s="3">
        <v>19344</v>
      </c>
      <c r="E126" s="3">
        <v>17323.650000000001</v>
      </c>
      <c r="F126" s="3">
        <v>2271.88</v>
      </c>
      <c r="G126" s="3">
        <v>251.53</v>
      </c>
      <c r="H126" s="3">
        <v>65</v>
      </c>
      <c r="I126" s="3">
        <v>25.4</v>
      </c>
    </row>
    <row r="127" spans="1:9" ht="21" customHeight="1">
      <c r="A127" s="2" t="s">
        <v>41</v>
      </c>
      <c r="B127" s="4">
        <v>45809</v>
      </c>
      <c r="C127" s="3">
        <v>720</v>
      </c>
      <c r="D127" s="3">
        <v>18720</v>
      </c>
      <c r="E127" s="3">
        <v>17936.68</v>
      </c>
      <c r="F127" s="3">
        <v>967.98</v>
      </c>
      <c r="G127" s="3">
        <v>184.66</v>
      </c>
      <c r="H127" s="3">
        <v>66</v>
      </c>
      <c r="I127" s="3">
        <v>25.4</v>
      </c>
    </row>
    <row r="128" spans="1:9" ht="21" customHeight="1">
      <c r="A128" s="2" t="s">
        <v>41</v>
      </c>
      <c r="B128" s="4">
        <v>45839</v>
      </c>
      <c r="C128" s="3">
        <v>744</v>
      </c>
      <c r="D128" s="3">
        <v>19344</v>
      </c>
      <c r="E128" s="3">
        <v>18350.46</v>
      </c>
      <c r="F128" s="3">
        <v>1327.3</v>
      </c>
      <c r="G128" s="3">
        <v>333.76</v>
      </c>
      <c r="H128" s="3">
        <v>68</v>
      </c>
      <c r="I128" s="3">
        <v>25.4</v>
      </c>
    </row>
    <row r="129" spans="1:9" ht="21" customHeight="1">
      <c r="A129" s="2" t="s">
        <v>41</v>
      </c>
      <c r="B129" s="4">
        <v>45870</v>
      </c>
      <c r="C129" s="3">
        <v>744</v>
      </c>
      <c r="D129" s="3">
        <v>19344</v>
      </c>
      <c r="E129" s="3">
        <v>18387.189999999999</v>
      </c>
      <c r="F129" s="3">
        <v>1292.98</v>
      </c>
      <c r="G129" s="3">
        <v>336.17</v>
      </c>
      <c r="H129" s="3">
        <v>67</v>
      </c>
      <c r="I129" s="3">
        <v>25.4</v>
      </c>
    </row>
    <row r="130" spans="1:9" ht="21" customHeight="1">
      <c r="A130" s="2" t="s">
        <v>41</v>
      </c>
      <c r="B130" s="4">
        <v>45901</v>
      </c>
      <c r="C130" s="3">
        <v>720</v>
      </c>
      <c r="D130" s="3">
        <v>18720</v>
      </c>
      <c r="E130" s="3">
        <v>17274.23</v>
      </c>
      <c r="F130" s="3">
        <v>1833.26</v>
      </c>
      <c r="G130" s="3">
        <v>387.49</v>
      </c>
      <c r="H130" s="3">
        <v>64</v>
      </c>
      <c r="I130" s="3">
        <v>25.4</v>
      </c>
    </row>
    <row r="131" spans="1:9" ht="21" customHeight="1">
      <c r="A131" s="2" t="s">
        <v>41</v>
      </c>
      <c r="B131" s="4">
        <v>45931</v>
      </c>
      <c r="C131" s="3">
        <v>744</v>
      </c>
      <c r="D131" s="3">
        <v>19344</v>
      </c>
      <c r="E131" s="3">
        <v>18223.75</v>
      </c>
      <c r="F131" s="3">
        <v>1394.38</v>
      </c>
      <c r="G131" s="3">
        <v>274.13</v>
      </c>
      <c r="H131" s="3">
        <v>63</v>
      </c>
      <c r="I131" s="3">
        <v>25.4</v>
      </c>
    </row>
    <row r="132" spans="1:9" ht="21" customHeight="1">
      <c r="A132" s="2" t="s">
        <v>41</v>
      </c>
      <c r="B132" s="4">
        <v>45962</v>
      </c>
      <c r="C132" s="3">
        <v>720</v>
      </c>
      <c r="D132" s="3">
        <v>18720</v>
      </c>
      <c r="E132" s="3">
        <v>18065.349999999999</v>
      </c>
      <c r="F132" s="3">
        <v>873.6</v>
      </c>
      <c r="G132" s="3">
        <v>218.95</v>
      </c>
      <c r="H132" s="3">
        <v>65</v>
      </c>
      <c r="I132" s="3">
        <v>25.4</v>
      </c>
    </row>
    <row r="133" spans="1:9" ht="21" customHeight="1">
      <c r="A133" s="2" t="s">
        <v>41</v>
      </c>
      <c r="B133" s="4">
        <v>45992</v>
      </c>
      <c r="C133" s="3">
        <v>744</v>
      </c>
      <c r="D133" s="3">
        <v>19344</v>
      </c>
      <c r="E133" s="3">
        <v>17886.990000000002</v>
      </c>
      <c r="F133" s="3">
        <v>1790.88</v>
      </c>
      <c r="G133" s="3">
        <v>333.87</v>
      </c>
      <c r="H133" s="3">
        <v>66</v>
      </c>
      <c r="I133" s="3">
        <v>25.4</v>
      </c>
    </row>
    <row r="134" spans="1:9" ht="21" customHeight="1">
      <c r="A134" s="2" t="s">
        <v>42</v>
      </c>
      <c r="B134" s="4">
        <v>45658</v>
      </c>
      <c r="C134" s="3">
        <v>744</v>
      </c>
      <c r="D134" s="3">
        <v>22320</v>
      </c>
      <c r="E134" s="3">
        <v>20972.93</v>
      </c>
      <c r="F134" s="3">
        <v>1766.4</v>
      </c>
      <c r="G134" s="3">
        <v>419.33</v>
      </c>
      <c r="H134" s="3">
        <v>73</v>
      </c>
      <c r="I134" s="3">
        <v>25.4</v>
      </c>
    </row>
    <row r="135" spans="1:9" ht="21" customHeight="1">
      <c r="A135" s="2" t="s">
        <v>42</v>
      </c>
      <c r="B135" s="4">
        <v>45689</v>
      </c>
      <c r="C135" s="3">
        <v>672</v>
      </c>
      <c r="D135" s="3">
        <v>20160</v>
      </c>
      <c r="E135" s="3">
        <v>18686.86</v>
      </c>
      <c r="F135" s="3">
        <v>1782.6</v>
      </c>
      <c r="G135" s="3">
        <v>309.45999999999998</v>
      </c>
      <c r="H135" s="3">
        <v>71</v>
      </c>
      <c r="I135" s="3">
        <v>25.4</v>
      </c>
    </row>
    <row r="136" spans="1:9" ht="21" customHeight="1">
      <c r="A136" s="2" t="s">
        <v>42</v>
      </c>
      <c r="B136" s="4">
        <v>45717</v>
      </c>
      <c r="C136" s="3">
        <v>744</v>
      </c>
      <c r="D136" s="3">
        <v>22320</v>
      </c>
      <c r="E136" s="3">
        <v>20992.59</v>
      </c>
      <c r="F136" s="3">
        <v>1783.5</v>
      </c>
      <c r="G136" s="3">
        <v>456.09</v>
      </c>
      <c r="H136" s="3">
        <v>69</v>
      </c>
      <c r="I136" s="3">
        <v>25.4</v>
      </c>
    </row>
    <row r="137" spans="1:9" ht="21" customHeight="1">
      <c r="A137" s="2" t="s">
        <v>42</v>
      </c>
      <c r="B137" s="4">
        <v>45748</v>
      </c>
      <c r="C137" s="3">
        <v>720</v>
      </c>
      <c r="D137" s="3">
        <v>21600</v>
      </c>
      <c r="E137" s="3">
        <v>20490.189999999999</v>
      </c>
      <c r="F137" s="3">
        <v>1408.2</v>
      </c>
      <c r="G137" s="3">
        <v>298.39</v>
      </c>
      <c r="H137" s="3">
        <v>67</v>
      </c>
      <c r="I137" s="3">
        <v>25.4</v>
      </c>
    </row>
    <row r="138" spans="1:9" ht="21" customHeight="1">
      <c r="A138" s="2" t="s">
        <v>42</v>
      </c>
      <c r="B138" s="4">
        <v>45778</v>
      </c>
      <c r="C138" s="3">
        <v>744</v>
      </c>
      <c r="D138" s="3">
        <v>22320</v>
      </c>
      <c r="E138" s="3">
        <v>20408.669999999998</v>
      </c>
      <c r="F138" s="3">
        <v>2348.1</v>
      </c>
      <c r="G138" s="3">
        <v>436.77</v>
      </c>
      <c r="H138" s="3">
        <v>65</v>
      </c>
      <c r="I138" s="3">
        <v>25.4</v>
      </c>
    </row>
    <row r="139" spans="1:9" ht="21" customHeight="1">
      <c r="A139" s="2" t="s">
        <v>42</v>
      </c>
      <c r="B139" s="4">
        <v>45809</v>
      </c>
      <c r="C139" s="3">
        <v>720</v>
      </c>
      <c r="D139" s="3">
        <v>21600</v>
      </c>
      <c r="E139" s="3">
        <v>20494.400000000001</v>
      </c>
      <c r="F139" s="3">
        <v>1270.8</v>
      </c>
      <c r="G139" s="3">
        <v>165.2</v>
      </c>
      <c r="H139" s="3">
        <v>66</v>
      </c>
      <c r="I139" s="3">
        <v>25.4</v>
      </c>
    </row>
    <row r="140" spans="1:9" ht="21" customHeight="1">
      <c r="A140" s="2" t="s">
        <v>42</v>
      </c>
      <c r="B140" s="4">
        <v>45839</v>
      </c>
      <c r="C140" s="3">
        <v>744</v>
      </c>
      <c r="D140" s="3">
        <v>22320</v>
      </c>
      <c r="E140" s="3">
        <v>20591.98</v>
      </c>
      <c r="F140" s="3">
        <v>2358.6</v>
      </c>
      <c r="G140" s="3">
        <v>630.58000000000004</v>
      </c>
      <c r="H140" s="3">
        <v>68</v>
      </c>
      <c r="I140" s="3">
        <v>25.4</v>
      </c>
    </row>
    <row r="141" spans="1:9" ht="21" customHeight="1">
      <c r="A141" s="2" t="s">
        <v>42</v>
      </c>
      <c r="B141" s="4">
        <v>45870</v>
      </c>
      <c r="C141" s="3">
        <v>744</v>
      </c>
      <c r="D141" s="3">
        <v>22320</v>
      </c>
      <c r="E141" s="3">
        <v>20838.509999999998</v>
      </c>
      <c r="F141" s="3">
        <v>1891.5</v>
      </c>
      <c r="G141" s="3">
        <v>410.01</v>
      </c>
      <c r="H141" s="3">
        <v>67</v>
      </c>
      <c r="I141" s="3">
        <v>25.4</v>
      </c>
    </row>
    <row r="142" spans="1:9" ht="21" customHeight="1">
      <c r="A142" s="2" t="s">
        <v>42</v>
      </c>
      <c r="B142" s="4">
        <v>45901</v>
      </c>
      <c r="C142" s="3">
        <v>720</v>
      </c>
      <c r="D142" s="3">
        <v>21600</v>
      </c>
      <c r="E142" s="3">
        <v>20624.27</v>
      </c>
      <c r="F142" s="3">
        <v>1240.2</v>
      </c>
      <c r="G142" s="3">
        <v>264.47000000000003</v>
      </c>
      <c r="H142" s="3">
        <v>64</v>
      </c>
      <c r="I142" s="3">
        <v>25.4</v>
      </c>
    </row>
    <row r="143" spans="1:9" ht="21" customHeight="1">
      <c r="A143" s="2" t="s">
        <v>42</v>
      </c>
      <c r="B143" s="4">
        <v>45931</v>
      </c>
      <c r="C143" s="3">
        <v>744</v>
      </c>
      <c r="D143" s="3">
        <v>22320</v>
      </c>
      <c r="E143" s="3">
        <v>20787.89</v>
      </c>
      <c r="F143" s="3">
        <v>1883.1</v>
      </c>
      <c r="G143" s="3">
        <v>350.99</v>
      </c>
      <c r="H143" s="3">
        <v>63</v>
      </c>
      <c r="I143" s="3">
        <v>25.4</v>
      </c>
    </row>
    <row r="144" spans="1:9" ht="21" customHeight="1">
      <c r="A144" s="2" t="s">
        <v>42</v>
      </c>
      <c r="B144" s="4">
        <v>45962</v>
      </c>
      <c r="C144" s="3">
        <v>720</v>
      </c>
      <c r="D144" s="3">
        <v>21600</v>
      </c>
      <c r="E144" s="3">
        <v>20467.79</v>
      </c>
      <c r="F144" s="3">
        <v>1275</v>
      </c>
      <c r="G144" s="3">
        <v>142.79</v>
      </c>
      <c r="H144" s="3">
        <v>65</v>
      </c>
      <c r="I144" s="3">
        <v>25.4</v>
      </c>
    </row>
    <row r="145" spans="1:9" ht="21" customHeight="1">
      <c r="A145" s="2" t="s">
        <v>42</v>
      </c>
      <c r="B145" s="4">
        <v>45992</v>
      </c>
      <c r="C145" s="3">
        <v>744</v>
      </c>
      <c r="D145" s="3">
        <v>22320</v>
      </c>
      <c r="E145" s="3">
        <v>20537.150000000001</v>
      </c>
      <c r="F145" s="3">
        <v>2321.4</v>
      </c>
      <c r="G145" s="3">
        <v>538.54999999999995</v>
      </c>
      <c r="H145" s="3">
        <v>66</v>
      </c>
      <c r="I145" s="3">
        <v>25.4</v>
      </c>
    </row>
    <row r="146" spans="1:9" ht="21" customHeight="1">
      <c r="A146" s="2" t="s">
        <v>43</v>
      </c>
      <c r="B146" s="4">
        <v>45658</v>
      </c>
      <c r="C146" s="3">
        <v>744</v>
      </c>
      <c r="D146" s="3">
        <v>15624</v>
      </c>
      <c r="E146" s="3">
        <v>15234.64</v>
      </c>
      <c r="F146" s="3">
        <v>507.57</v>
      </c>
      <c r="G146" s="3">
        <v>118.21</v>
      </c>
      <c r="H146" s="3">
        <v>73</v>
      </c>
      <c r="I146" s="3">
        <v>26.2</v>
      </c>
    </row>
    <row r="147" spans="1:9" ht="21" customHeight="1">
      <c r="A147" s="2" t="s">
        <v>43</v>
      </c>
      <c r="B147" s="4">
        <v>45689</v>
      </c>
      <c r="C147" s="3">
        <v>672</v>
      </c>
      <c r="D147" s="3">
        <v>14112</v>
      </c>
      <c r="E147" s="3">
        <v>13915.91</v>
      </c>
      <c r="F147" s="3">
        <v>261.45</v>
      </c>
      <c r="G147" s="3">
        <v>65.36</v>
      </c>
      <c r="H147" s="3">
        <v>71</v>
      </c>
      <c r="I147" s="3">
        <v>26.2</v>
      </c>
    </row>
    <row r="148" spans="1:9" ht="21" customHeight="1">
      <c r="A148" s="2" t="s">
        <v>43</v>
      </c>
      <c r="B148" s="4">
        <v>45717</v>
      </c>
      <c r="C148" s="3">
        <v>744</v>
      </c>
      <c r="D148" s="3">
        <v>15624</v>
      </c>
      <c r="E148" s="3">
        <v>15311.4</v>
      </c>
      <c r="F148" s="3">
        <v>421.05</v>
      </c>
      <c r="G148" s="3">
        <v>108.45</v>
      </c>
      <c r="H148" s="3">
        <v>69</v>
      </c>
      <c r="I148" s="3">
        <v>26.2</v>
      </c>
    </row>
    <row r="149" spans="1:9" ht="21" customHeight="1">
      <c r="A149" s="2" t="s">
        <v>43</v>
      </c>
      <c r="B149" s="4">
        <v>45748</v>
      </c>
      <c r="C149" s="3">
        <v>720</v>
      </c>
      <c r="D149" s="3">
        <v>15120</v>
      </c>
      <c r="E149" s="3">
        <v>14239.2</v>
      </c>
      <c r="F149" s="3">
        <v>1129.5899999999999</v>
      </c>
      <c r="G149" s="3">
        <v>248.79</v>
      </c>
      <c r="H149" s="3">
        <v>67</v>
      </c>
      <c r="I149" s="3">
        <v>26.2</v>
      </c>
    </row>
    <row r="150" spans="1:9" ht="21" customHeight="1">
      <c r="A150" s="2" t="s">
        <v>43</v>
      </c>
      <c r="B150" s="4">
        <v>45778</v>
      </c>
      <c r="C150" s="3">
        <v>744</v>
      </c>
      <c r="D150" s="3">
        <v>15624</v>
      </c>
      <c r="E150" s="3">
        <v>15452.99</v>
      </c>
      <c r="F150" s="3">
        <v>237.51</v>
      </c>
      <c r="G150" s="3">
        <v>66.5</v>
      </c>
      <c r="H150" s="3">
        <v>65</v>
      </c>
      <c r="I150" s="3">
        <v>26.2</v>
      </c>
    </row>
    <row r="151" spans="1:9" ht="21" customHeight="1">
      <c r="A151" s="2" t="s">
        <v>43</v>
      </c>
      <c r="B151" s="4">
        <v>45809</v>
      </c>
      <c r="C151" s="3">
        <v>720</v>
      </c>
      <c r="D151" s="3">
        <v>15120</v>
      </c>
      <c r="E151" s="3">
        <v>14601.94</v>
      </c>
      <c r="F151" s="3">
        <v>690.06</v>
      </c>
      <c r="G151" s="3">
        <v>172</v>
      </c>
      <c r="H151" s="3">
        <v>66</v>
      </c>
      <c r="I151" s="3">
        <v>26.2</v>
      </c>
    </row>
    <row r="152" spans="1:9" ht="21" customHeight="1">
      <c r="A152" s="2" t="s">
        <v>43</v>
      </c>
      <c r="B152" s="4">
        <v>45839</v>
      </c>
      <c r="C152" s="3">
        <v>744</v>
      </c>
      <c r="D152" s="3">
        <v>15624</v>
      </c>
      <c r="E152" s="3">
        <v>15386.02</v>
      </c>
      <c r="F152" s="3">
        <v>317.31</v>
      </c>
      <c r="G152" s="3">
        <v>79.33</v>
      </c>
      <c r="H152" s="3">
        <v>68</v>
      </c>
      <c r="I152" s="3">
        <v>26.2</v>
      </c>
    </row>
    <row r="153" spans="1:9" ht="21" customHeight="1">
      <c r="A153" s="2" t="s">
        <v>43</v>
      </c>
      <c r="B153" s="4">
        <v>45870</v>
      </c>
      <c r="C153" s="3">
        <v>744</v>
      </c>
      <c r="D153" s="3">
        <v>15624</v>
      </c>
      <c r="E153" s="3">
        <v>14783.45</v>
      </c>
      <c r="F153" s="3">
        <v>1114.8900000000001</v>
      </c>
      <c r="G153" s="3">
        <v>274.33999999999997</v>
      </c>
      <c r="H153" s="3">
        <v>67</v>
      </c>
      <c r="I153" s="3">
        <v>26.2</v>
      </c>
    </row>
    <row r="154" spans="1:9" ht="21" customHeight="1">
      <c r="A154" s="2" t="s">
        <v>43</v>
      </c>
      <c r="B154" s="4">
        <v>45901</v>
      </c>
      <c r="C154" s="3">
        <v>720</v>
      </c>
      <c r="D154" s="3">
        <v>15120</v>
      </c>
      <c r="E154" s="3">
        <v>14938.76</v>
      </c>
      <c r="F154" s="3">
        <v>208.32</v>
      </c>
      <c r="G154" s="3">
        <v>27.08</v>
      </c>
      <c r="H154" s="3">
        <v>64</v>
      </c>
      <c r="I154" s="3">
        <v>26.2</v>
      </c>
    </row>
    <row r="155" spans="1:9" ht="21" customHeight="1">
      <c r="A155" s="2" t="s">
        <v>43</v>
      </c>
      <c r="B155" s="4">
        <v>45931</v>
      </c>
      <c r="C155" s="3">
        <v>744</v>
      </c>
      <c r="D155" s="3">
        <v>15624</v>
      </c>
      <c r="E155" s="3">
        <v>15307.5</v>
      </c>
      <c r="F155" s="3">
        <v>418.32</v>
      </c>
      <c r="G155" s="3">
        <v>101.82</v>
      </c>
      <c r="H155" s="3">
        <v>63</v>
      </c>
      <c r="I155" s="3">
        <v>26.2</v>
      </c>
    </row>
    <row r="156" spans="1:9" ht="21" customHeight="1">
      <c r="A156" s="2" t="s">
        <v>43</v>
      </c>
      <c r="B156" s="4">
        <v>45962</v>
      </c>
      <c r="C156" s="3">
        <v>720</v>
      </c>
      <c r="D156" s="3">
        <v>15120</v>
      </c>
      <c r="E156" s="3">
        <v>14300.26</v>
      </c>
      <c r="F156" s="3">
        <v>921.06</v>
      </c>
      <c r="G156" s="3">
        <v>101.32</v>
      </c>
      <c r="H156" s="3">
        <v>65</v>
      </c>
      <c r="I156" s="3">
        <v>26.2</v>
      </c>
    </row>
    <row r="157" spans="1:9" ht="21" customHeight="1">
      <c r="A157" s="2" t="s">
        <v>43</v>
      </c>
      <c r="B157" s="4">
        <v>45992</v>
      </c>
      <c r="C157" s="3">
        <v>744</v>
      </c>
      <c r="D157" s="3">
        <v>15624</v>
      </c>
      <c r="E157" s="3">
        <v>15004.94</v>
      </c>
      <c r="F157" s="3">
        <v>754.95</v>
      </c>
      <c r="G157" s="3">
        <v>135.88999999999999</v>
      </c>
      <c r="H157" s="3">
        <v>66</v>
      </c>
      <c r="I157" s="3">
        <v>26.2</v>
      </c>
    </row>
    <row r="158" spans="1:9" ht="21" customHeight="1">
      <c r="A158" s="2" t="s">
        <v>46</v>
      </c>
      <c r="B158" s="4">
        <v>45658</v>
      </c>
      <c r="C158" s="3">
        <v>744</v>
      </c>
      <c r="D158" s="3">
        <v>13392</v>
      </c>
      <c r="E158" s="3">
        <v>13167.64</v>
      </c>
      <c r="F158" s="3">
        <v>289.08</v>
      </c>
      <c r="G158" s="3">
        <v>64.72</v>
      </c>
      <c r="H158" s="3">
        <v>73</v>
      </c>
      <c r="I158" s="3">
        <v>26.2</v>
      </c>
    </row>
    <row r="159" spans="1:9" ht="21" customHeight="1">
      <c r="A159" s="2" t="s">
        <v>46</v>
      </c>
      <c r="B159" s="4">
        <v>45689</v>
      </c>
      <c r="C159" s="3">
        <v>672</v>
      </c>
      <c r="D159" s="3">
        <v>12096</v>
      </c>
      <c r="E159" s="3">
        <v>11845.25</v>
      </c>
      <c r="F159" s="3">
        <v>329.94</v>
      </c>
      <c r="G159" s="3">
        <v>79.19</v>
      </c>
      <c r="H159" s="3">
        <v>71</v>
      </c>
      <c r="I159" s="3">
        <v>26.2</v>
      </c>
    </row>
    <row r="160" spans="1:9" ht="21" customHeight="1">
      <c r="A160" s="2" t="s">
        <v>46</v>
      </c>
      <c r="B160" s="4">
        <v>45717</v>
      </c>
      <c r="C160" s="3">
        <v>744</v>
      </c>
      <c r="D160" s="3">
        <v>13392</v>
      </c>
      <c r="E160" s="3">
        <v>12953.38</v>
      </c>
      <c r="F160" s="3">
        <v>561.05999999999995</v>
      </c>
      <c r="G160" s="3">
        <v>122.44</v>
      </c>
      <c r="H160" s="3">
        <v>69</v>
      </c>
      <c r="I160" s="3">
        <v>26.2</v>
      </c>
    </row>
    <row r="161" spans="1:9" ht="21" customHeight="1">
      <c r="A161" s="2" t="s">
        <v>46</v>
      </c>
      <c r="B161" s="4">
        <v>45748</v>
      </c>
      <c r="C161" s="3">
        <v>720</v>
      </c>
      <c r="D161" s="3">
        <v>12960</v>
      </c>
      <c r="E161" s="3">
        <v>12664.79</v>
      </c>
      <c r="F161" s="3">
        <v>347.22</v>
      </c>
      <c r="G161" s="3">
        <v>52.01</v>
      </c>
      <c r="H161" s="3">
        <v>67</v>
      </c>
      <c r="I161" s="3">
        <v>26.2</v>
      </c>
    </row>
    <row r="162" spans="1:9" ht="21" customHeight="1">
      <c r="A162" s="2" t="s">
        <v>46</v>
      </c>
      <c r="B162" s="4">
        <v>45778</v>
      </c>
      <c r="C162" s="3">
        <v>744</v>
      </c>
      <c r="D162" s="3">
        <v>13392</v>
      </c>
      <c r="E162" s="3">
        <v>13132.98</v>
      </c>
      <c r="F162" s="3">
        <v>297.72000000000003</v>
      </c>
      <c r="G162" s="3">
        <v>38.700000000000003</v>
      </c>
      <c r="H162" s="3">
        <v>65</v>
      </c>
      <c r="I162" s="3">
        <v>26.2</v>
      </c>
    </row>
    <row r="163" spans="1:9" ht="21" customHeight="1">
      <c r="A163" s="2" t="s">
        <v>46</v>
      </c>
      <c r="B163" s="4">
        <v>45809</v>
      </c>
      <c r="C163" s="3">
        <v>720</v>
      </c>
      <c r="D163" s="3">
        <v>12960</v>
      </c>
      <c r="E163" s="3">
        <v>12832.7</v>
      </c>
      <c r="F163" s="3">
        <v>159.12</v>
      </c>
      <c r="G163" s="3">
        <v>31.82</v>
      </c>
      <c r="H163" s="3">
        <v>66</v>
      </c>
      <c r="I163" s="3">
        <v>26.2</v>
      </c>
    </row>
    <row r="164" spans="1:9" ht="21" customHeight="1">
      <c r="A164" s="2" t="s">
        <v>46</v>
      </c>
      <c r="B164" s="4">
        <v>45839</v>
      </c>
      <c r="C164" s="3">
        <v>744</v>
      </c>
      <c r="D164" s="3">
        <v>13392</v>
      </c>
      <c r="E164" s="3">
        <v>13060.14</v>
      </c>
      <c r="F164" s="3">
        <v>382.5</v>
      </c>
      <c r="G164" s="3">
        <v>50.64</v>
      </c>
      <c r="H164" s="3">
        <v>68</v>
      </c>
      <c r="I164" s="3">
        <v>26.2</v>
      </c>
    </row>
    <row r="165" spans="1:9" ht="21" customHeight="1">
      <c r="A165" s="2" t="s">
        <v>46</v>
      </c>
      <c r="B165" s="4">
        <v>45870</v>
      </c>
      <c r="C165" s="3">
        <v>744</v>
      </c>
      <c r="D165" s="3">
        <v>13392</v>
      </c>
      <c r="E165" s="3">
        <v>13202.12</v>
      </c>
      <c r="F165" s="3">
        <v>246.6</v>
      </c>
      <c r="G165" s="3">
        <v>56.72</v>
      </c>
      <c r="H165" s="3">
        <v>67</v>
      </c>
      <c r="I165" s="3">
        <v>26.2</v>
      </c>
    </row>
    <row r="166" spans="1:9" ht="21" customHeight="1">
      <c r="A166" s="2" t="s">
        <v>46</v>
      </c>
      <c r="B166" s="4">
        <v>45901</v>
      </c>
      <c r="C166" s="3">
        <v>720</v>
      </c>
      <c r="D166" s="3">
        <v>12960</v>
      </c>
      <c r="E166" s="3">
        <v>12716.34</v>
      </c>
      <c r="F166" s="3">
        <v>283.32</v>
      </c>
      <c r="G166" s="3">
        <v>39.659999999999997</v>
      </c>
      <c r="H166" s="3">
        <v>64</v>
      </c>
      <c r="I166" s="3">
        <v>26.2</v>
      </c>
    </row>
    <row r="167" spans="1:9" ht="21" customHeight="1">
      <c r="A167" s="2" t="s">
        <v>46</v>
      </c>
      <c r="B167" s="4">
        <v>45931</v>
      </c>
      <c r="C167" s="3">
        <v>744</v>
      </c>
      <c r="D167" s="3">
        <v>13392</v>
      </c>
      <c r="E167" s="3">
        <v>13135.53</v>
      </c>
      <c r="F167" s="3">
        <v>315.89999999999998</v>
      </c>
      <c r="G167" s="3">
        <v>59.43</v>
      </c>
      <c r="H167" s="3">
        <v>63</v>
      </c>
      <c r="I167" s="3">
        <v>26.2</v>
      </c>
    </row>
    <row r="168" spans="1:9" ht="21" customHeight="1">
      <c r="A168" s="2" t="s">
        <v>46</v>
      </c>
      <c r="B168" s="4">
        <v>45962</v>
      </c>
      <c r="C168" s="3">
        <v>720</v>
      </c>
      <c r="D168" s="3">
        <v>12960</v>
      </c>
      <c r="E168" s="3">
        <v>12249.63</v>
      </c>
      <c r="F168" s="3">
        <v>966.96</v>
      </c>
      <c r="G168" s="3">
        <v>256.58999999999997</v>
      </c>
      <c r="H168" s="3">
        <v>65</v>
      </c>
      <c r="I168" s="3">
        <v>26.2</v>
      </c>
    </row>
    <row r="169" spans="1:9" ht="21" customHeight="1">
      <c r="A169" s="2" t="s">
        <v>46</v>
      </c>
      <c r="B169" s="4">
        <v>45992</v>
      </c>
      <c r="C169" s="3">
        <v>744</v>
      </c>
      <c r="D169" s="3">
        <v>13392</v>
      </c>
      <c r="E169" s="3">
        <v>12623.97</v>
      </c>
      <c r="F169" s="3">
        <v>889.56</v>
      </c>
      <c r="G169" s="3">
        <v>121.53</v>
      </c>
      <c r="H169" s="3">
        <v>66</v>
      </c>
      <c r="I169" s="3">
        <v>26.2</v>
      </c>
    </row>
    <row r="170" spans="1:9" ht="21" customHeight="1">
      <c r="A170" s="2" t="s">
        <v>47</v>
      </c>
      <c r="B170" s="4">
        <v>45658</v>
      </c>
      <c r="C170" s="3">
        <v>744</v>
      </c>
      <c r="D170" s="3">
        <v>18600</v>
      </c>
      <c r="E170" s="3">
        <v>17864.66</v>
      </c>
      <c r="F170" s="3">
        <v>908.75</v>
      </c>
      <c r="G170" s="3">
        <v>173.41</v>
      </c>
      <c r="H170" s="3">
        <v>73</v>
      </c>
      <c r="I170" s="3">
        <v>26.2</v>
      </c>
    </row>
    <row r="171" spans="1:9" ht="21" customHeight="1">
      <c r="A171" s="2" t="s">
        <v>47</v>
      </c>
      <c r="B171" s="4">
        <v>45689</v>
      </c>
      <c r="C171" s="3">
        <v>672</v>
      </c>
      <c r="D171" s="3">
        <v>16800</v>
      </c>
      <c r="E171" s="3">
        <v>16094.03</v>
      </c>
      <c r="F171" s="3">
        <v>830</v>
      </c>
      <c r="G171" s="3">
        <v>124.03</v>
      </c>
      <c r="H171" s="3">
        <v>71</v>
      </c>
      <c r="I171" s="3">
        <v>26.2</v>
      </c>
    </row>
    <row r="172" spans="1:9" ht="21" customHeight="1">
      <c r="A172" s="2" t="s">
        <v>47</v>
      </c>
      <c r="B172" s="4">
        <v>45717</v>
      </c>
      <c r="C172" s="3">
        <v>744</v>
      </c>
      <c r="D172" s="3">
        <v>18600</v>
      </c>
      <c r="E172" s="3">
        <v>18261.64</v>
      </c>
      <c r="F172" s="3">
        <v>384.5</v>
      </c>
      <c r="G172" s="3">
        <v>46.14</v>
      </c>
      <c r="H172" s="3">
        <v>69</v>
      </c>
      <c r="I172" s="3">
        <v>26.2</v>
      </c>
    </row>
    <row r="173" spans="1:9" ht="21" customHeight="1">
      <c r="A173" s="2" t="s">
        <v>47</v>
      </c>
      <c r="B173" s="4">
        <v>45748</v>
      </c>
      <c r="C173" s="3">
        <v>720</v>
      </c>
      <c r="D173" s="3">
        <v>18000</v>
      </c>
      <c r="E173" s="3">
        <v>17653.23</v>
      </c>
      <c r="F173" s="3">
        <v>457.75</v>
      </c>
      <c r="G173" s="3">
        <v>110.98</v>
      </c>
      <c r="H173" s="3">
        <v>67</v>
      </c>
      <c r="I173" s="3">
        <v>26.2</v>
      </c>
    </row>
    <row r="174" spans="1:9" ht="21" customHeight="1">
      <c r="A174" s="2" t="s">
        <v>47</v>
      </c>
      <c r="B174" s="4">
        <v>45778</v>
      </c>
      <c r="C174" s="3">
        <v>744</v>
      </c>
      <c r="D174" s="3">
        <v>18600</v>
      </c>
      <c r="E174" s="3">
        <v>17988.900000000001</v>
      </c>
      <c r="F174" s="3">
        <v>727.5</v>
      </c>
      <c r="G174" s="3">
        <v>116.4</v>
      </c>
      <c r="H174" s="3">
        <v>65</v>
      </c>
      <c r="I174" s="3">
        <v>26.2</v>
      </c>
    </row>
    <row r="175" spans="1:9" ht="21" customHeight="1">
      <c r="A175" s="2" t="s">
        <v>47</v>
      </c>
      <c r="B175" s="4">
        <v>45809</v>
      </c>
      <c r="C175" s="3">
        <v>720</v>
      </c>
      <c r="D175" s="3">
        <v>18000</v>
      </c>
      <c r="E175" s="3">
        <v>17635.02</v>
      </c>
      <c r="F175" s="3">
        <v>474</v>
      </c>
      <c r="G175" s="3">
        <v>109.02</v>
      </c>
      <c r="H175" s="3">
        <v>66</v>
      </c>
      <c r="I175" s="3">
        <v>26.2</v>
      </c>
    </row>
    <row r="176" spans="1:9" ht="21" customHeight="1">
      <c r="A176" s="2" t="s">
        <v>47</v>
      </c>
      <c r="B176" s="4">
        <v>45839</v>
      </c>
      <c r="C176" s="3">
        <v>744</v>
      </c>
      <c r="D176" s="3">
        <v>18600</v>
      </c>
      <c r="E176" s="3">
        <v>17993.22</v>
      </c>
      <c r="F176" s="3">
        <v>728.5</v>
      </c>
      <c r="G176" s="3">
        <v>121.72</v>
      </c>
      <c r="H176" s="3">
        <v>68</v>
      </c>
      <c r="I176" s="3">
        <v>26.2</v>
      </c>
    </row>
    <row r="177" spans="1:9" ht="21" customHeight="1">
      <c r="A177" s="2" t="s">
        <v>47</v>
      </c>
      <c r="B177" s="4">
        <v>45870</v>
      </c>
      <c r="C177" s="3">
        <v>744</v>
      </c>
      <c r="D177" s="3">
        <v>18600</v>
      </c>
      <c r="E177" s="3">
        <v>18309.37</v>
      </c>
      <c r="F177" s="3">
        <v>392.75</v>
      </c>
      <c r="G177" s="3">
        <v>102.12</v>
      </c>
      <c r="H177" s="3">
        <v>67</v>
      </c>
      <c r="I177" s="3">
        <v>26.2</v>
      </c>
    </row>
    <row r="178" spans="1:9" ht="21" customHeight="1">
      <c r="A178" s="2" t="s">
        <v>47</v>
      </c>
      <c r="B178" s="4">
        <v>45901</v>
      </c>
      <c r="C178" s="3">
        <v>720</v>
      </c>
      <c r="D178" s="3">
        <v>18000</v>
      </c>
      <c r="E178" s="3">
        <v>17341.45</v>
      </c>
      <c r="F178" s="3">
        <v>725.25</v>
      </c>
      <c r="G178" s="3">
        <v>66.7</v>
      </c>
      <c r="H178" s="3">
        <v>64</v>
      </c>
      <c r="I178" s="3">
        <v>26.2</v>
      </c>
    </row>
    <row r="179" spans="1:9" ht="21" customHeight="1">
      <c r="A179" s="2" t="s">
        <v>47</v>
      </c>
      <c r="B179" s="4">
        <v>45931</v>
      </c>
      <c r="C179" s="3">
        <v>744</v>
      </c>
      <c r="D179" s="3">
        <v>18600</v>
      </c>
      <c r="E179" s="3">
        <v>17870.61</v>
      </c>
      <c r="F179" s="3">
        <v>951.5</v>
      </c>
      <c r="G179" s="3">
        <v>222.11</v>
      </c>
      <c r="H179" s="3">
        <v>63</v>
      </c>
      <c r="I179" s="3">
        <v>26.2</v>
      </c>
    </row>
    <row r="180" spans="1:9" ht="21" customHeight="1">
      <c r="A180" s="2" t="s">
        <v>47</v>
      </c>
      <c r="B180" s="4">
        <v>45962</v>
      </c>
      <c r="C180" s="3">
        <v>720</v>
      </c>
      <c r="D180" s="3">
        <v>18000</v>
      </c>
      <c r="E180" s="3">
        <v>17823.29</v>
      </c>
      <c r="F180" s="3">
        <v>229.5</v>
      </c>
      <c r="G180" s="3">
        <v>52.79</v>
      </c>
      <c r="H180" s="3">
        <v>65</v>
      </c>
      <c r="I180" s="3">
        <v>26.2</v>
      </c>
    </row>
    <row r="181" spans="1:9" ht="21" customHeight="1">
      <c r="A181" s="2" t="s">
        <v>47</v>
      </c>
      <c r="B181" s="4">
        <v>45992</v>
      </c>
      <c r="C181" s="3">
        <v>744</v>
      </c>
      <c r="D181" s="3">
        <v>18600</v>
      </c>
      <c r="E181" s="3">
        <v>18129.310000000001</v>
      </c>
      <c r="F181" s="3">
        <v>553.75</v>
      </c>
      <c r="G181" s="3">
        <v>83.06</v>
      </c>
      <c r="H181" s="3">
        <v>66</v>
      </c>
      <c r="I181" s="3">
        <v>26.2</v>
      </c>
    </row>
    <row r="182" spans="1:9" ht="21" customHeight="1">
      <c r="A182" s="2" t="s">
        <v>48</v>
      </c>
      <c r="B182" s="4">
        <v>45658</v>
      </c>
      <c r="C182" s="3">
        <v>744</v>
      </c>
      <c r="D182" s="3">
        <v>20088</v>
      </c>
      <c r="E182" s="3">
        <v>19507.32</v>
      </c>
      <c r="F182" s="3">
        <v>770.85</v>
      </c>
      <c r="G182" s="3">
        <v>190.17</v>
      </c>
      <c r="H182" s="3">
        <v>73</v>
      </c>
      <c r="I182" s="3">
        <v>27</v>
      </c>
    </row>
    <row r="183" spans="1:9" ht="21" customHeight="1">
      <c r="A183" s="2" t="s">
        <v>48</v>
      </c>
      <c r="B183" s="4">
        <v>45689</v>
      </c>
      <c r="C183" s="3">
        <v>672</v>
      </c>
      <c r="D183" s="3">
        <v>18144</v>
      </c>
      <c r="E183" s="3">
        <v>17377.96</v>
      </c>
      <c r="F183" s="3">
        <v>934.2</v>
      </c>
      <c r="G183" s="3">
        <v>168.16</v>
      </c>
      <c r="H183" s="3">
        <v>71</v>
      </c>
      <c r="I183" s="3">
        <v>27</v>
      </c>
    </row>
    <row r="184" spans="1:9" ht="21" customHeight="1">
      <c r="A184" s="2" t="s">
        <v>48</v>
      </c>
      <c r="B184" s="4">
        <v>45717</v>
      </c>
      <c r="C184" s="3">
        <v>744</v>
      </c>
      <c r="D184" s="3">
        <v>20088</v>
      </c>
      <c r="E184" s="3">
        <v>19546.32</v>
      </c>
      <c r="F184" s="3">
        <v>622.62</v>
      </c>
      <c r="G184" s="3">
        <v>80.94</v>
      </c>
      <c r="H184" s="3">
        <v>69</v>
      </c>
      <c r="I184" s="3">
        <v>27</v>
      </c>
    </row>
    <row r="185" spans="1:9" ht="21" customHeight="1">
      <c r="A185" s="2" t="s">
        <v>48</v>
      </c>
      <c r="B185" s="4">
        <v>45748</v>
      </c>
      <c r="C185" s="3">
        <v>720</v>
      </c>
      <c r="D185" s="3">
        <v>19440</v>
      </c>
      <c r="E185" s="3">
        <v>18610.45</v>
      </c>
      <c r="F185" s="3">
        <v>1027.6199999999999</v>
      </c>
      <c r="G185" s="3">
        <v>198.07</v>
      </c>
      <c r="H185" s="3">
        <v>67</v>
      </c>
      <c r="I185" s="3">
        <v>27</v>
      </c>
    </row>
    <row r="186" spans="1:9" ht="21" customHeight="1">
      <c r="A186" s="2" t="s">
        <v>48</v>
      </c>
      <c r="B186" s="4">
        <v>45778</v>
      </c>
      <c r="C186" s="3">
        <v>744</v>
      </c>
      <c r="D186" s="3">
        <v>20088</v>
      </c>
      <c r="E186" s="3">
        <v>19342.75</v>
      </c>
      <c r="F186" s="3">
        <v>1007.1</v>
      </c>
      <c r="G186" s="3">
        <v>261.85000000000002</v>
      </c>
      <c r="H186" s="3">
        <v>65</v>
      </c>
      <c r="I186" s="3">
        <v>27</v>
      </c>
    </row>
    <row r="187" spans="1:9" ht="21" customHeight="1">
      <c r="A187" s="2" t="s">
        <v>48</v>
      </c>
      <c r="B187" s="4">
        <v>45809</v>
      </c>
      <c r="C187" s="3">
        <v>720</v>
      </c>
      <c r="D187" s="3">
        <v>19440</v>
      </c>
      <c r="E187" s="3">
        <v>18156.150000000001</v>
      </c>
      <c r="F187" s="3">
        <v>1607.04</v>
      </c>
      <c r="G187" s="3">
        <v>323.19</v>
      </c>
      <c r="H187" s="3">
        <v>66</v>
      </c>
      <c r="I187" s="3">
        <v>27</v>
      </c>
    </row>
    <row r="188" spans="1:9" ht="21" customHeight="1">
      <c r="A188" s="2" t="s">
        <v>48</v>
      </c>
      <c r="B188" s="4">
        <v>45839</v>
      </c>
      <c r="C188" s="3">
        <v>744</v>
      </c>
      <c r="D188" s="3">
        <v>20088</v>
      </c>
      <c r="E188" s="3">
        <v>19275.849999999999</v>
      </c>
      <c r="F188" s="3">
        <v>1043.55</v>
      </c>
      <c r="G188" s="3">
        <v>231.4</v>
      </c>
      <c r="H188" s="3">
        <v>68</v>
      </c>
      <c r="I188" s="3">
        <v>27</v>
      </c>
    </row>
    <row r="189" spans="1:9" ht="21" customHeight="1">
      <c r="A189" s="2" t="s">
        <v>48</v>
      </c>
      <c r="B189" s="4">
        <v>45870</v>
      </c>
      <c r="C189" s="3">
        <v>744</v>
      </c>
      <c r="D189" s="3">
        <v>20088</v>
      </c>
      <c r="E189" s="3">
        <v>19190.669999999998</v>
      </c>
      <c r="F189" s="3">
        <v>1072.98</v>
      </c>
      <c r="G189" s="3">
        <v>175.65</v>
      </c>
      <c r="H189" s="3">
        <v>67</v>
      </c>
      <c r="I189" s="3">
        <v>27</v>
      </c>
    </row>
    <row r="190" spans="1:9" ht="21" customHeight="1">
      <c r="A190" s="2" t="s">
        <v>48</v>
      </c>
      <c r="B190" s="4">
        <v>45901</v>
      </c>
      <c r="C190" s="3">
        <v>720</v>
      </c>
      <c r="D190" s="3">
        <v>19440</v>
      </c>
      <c r="E190" s="3">
        <v>19144.759999999998</v>
      </c>
      <c r="F190" s="3">
        <v>393.66</v>
      </c>
      <c r="G190" s="3">
        <v>98.42</v>
      </c>
      <c r="H190" s="3">
        <v>64</v>
      </c>
      <c r="I190" s="3">
        <v>27</v>
      </c>
    </row>
    <row r="191" spans="1:9" ht="21" customHeight="1">
      <c r="A191" s="2" t="s">
        <v>48</v>
      </c>
      <c r="B191" s="4">
        <v>45931</v>
      </c>
      <c r="C191" s="3">
        <v>744</v>
      </c>
      <c r="D191" s="3">
        <v>20088</v>
      </c>
      <c r="E191" s="3">
        <v>19443.939999999999</v>
      </c>
      <c r="F191" s="3">
        <v>766.8</v>
      </c>
      <c r="G191" s="3">
        <v>122.74</v>
      </c>
      <c r="H191" s="3">
        <v>63</v>
      </c>
      <c r="I191" s="3">
        <v>27</v>
      </c>
    </row>
    <row r="192" spans="1:9" ht="21" customHeight="1">
      <c r="A192" s="2" t="s">
        <v>48</v>
      </c>
      <c r="B192" s="4">
        <v>45962</v>
      </c>
      <c r="C192" s="3">
        <v>720</v>
      </c>
      <c r="D192" s="3">
        <v>19440</v>
      </c>
      <c r="E192" s="3">
        <v>18952.669999999998</v>
      </c>
      <c r="F192" s="3">
        <v>547.55999999999995</v>
      </c>
      <c r="G192" s="3">
        <v>60.23</v>
      </c>
      <c r="H192" s="3">
        <v>65</v>
      </c>
      <c r="I192" s="3">
        <v>27</v>
      </c>
    </row>
    <row r="193" spans="1:9" ht="21" customHeight="1">
      <c r="A193" s="2" t="s">
        <v>48</v>
      </c>
      <c r="B193" s="4">
        <v>45992</v>
      </c>
      <c r="C193" s="3">
        <v>744</v>
      </c>
      <c r="D193" s="3">
        <v>20088</v>
      </c>
      <c r="E193" s="3">
        <v>19835.25</v>
      </c>
      <c r="F193" s="3">
        <v>341.55</v>
      </c>
      <c r="G193" s="3">
        <v>88.8</v>
      </c>
      <c r="H193" s="3">
        <v>66</v>
      </c>
      <c r="I193" s="3">
        <v>27</v>
      </c>
    </row>
    <row r="194" spans="1:9" ht="21" customHeight="1">
      <c r="A194" s="2" t="s">
        <v>51</v>
      </c>
      <c r="B194" s="4">
        <v>45658</v>
      </c>
      <c r="C194" s="3">
        <v>744</v>
      </c>
      <c r="D194" s="3">
        <v>14880</v>
      </c>
      <c r="E194" s="3">
        <v>14502.57</v>
      </c>
      <c r="F194" s="3">
        <v>435.2</v>
      </c>
      <c r="G194" s="3">
        <v>57.77</v>
      </c>
      <c r="H194" s="3">
        <v>73</v>
      </c>
      <c r="I194" s="3">
        <v>27</v>
      </c>
    </row>
    <row r="195" spans="1:9" ht="21" customHeight="1">
      <c r="A195" s="2" t="s">
        <v>51</v>
      </c>
      <c r="B195" s="4">
        <v>45689</v>
      </c>
      <c r="C195" s="3">
        <v>672</v>
      </c>
      <c r="D195" s="3">
        <v>13440</v>
      </c>
      <c r="E195" s="3">
        <v>12682.38</v>
      </c>
      <c r="F195" s="3">
        <v>932.2</v>
      </c>
      <c r="G195" s="3">
        <v>174.58</v>
      </c>
      <c r="H195" s="3">
        <v>71</v>
      </c>
      <c r="I195" s="3">
        <v>27</v>
      </c>
    </row>
    <row r="196" spans="1:9" ht="21" customHeight="1">
      <c r="A196" s="2" t="s">
        <v>51</v>
      </c>
      <c r="B196" s="4">
        <v>45717</v>
      </c>
      <c r="C196" s="3">
        <v>744</v>
      </c>
      <c r="D196" s="3">
        <v>14880</v>
      </c>
      <c r="E196" s="3">
        <v>14712.72</v>
      </c>
      <c r="F196" s="3">
        <v>204</v>
      </c>
      <c r="G196" s="3">
        <v>36.72</v>
      </c>
      <c r="H196" s="3">
        <v>69</v>
      </c>
      <c r="I196" s="3">
        <v>27</v>
      </c>
    </row>
    <row r="197" spans="1:9" ht="21" customHeight="1">
      <c r="A197" s="2" t="s">
        <v>51</v>
      </c>
      <c r="B197" s="4">
        <v>45748</v>
      </c>
      <c r="C197" s="3">
        <v>720</v>
      </c>
      <c r="D197" s="3">
        <v>14400</v>
      </c>
      <c r="E197" s="3">
        <v>14049.39</v>
      </c>
      <c r="F197" s="3">
        <v>437.8</v>
      </c>
      <c r="G197" s="3">
        <v>87.19</v>
      </c>
      <c r="H197" s="3">
        <v>67</v>
      </c>
      <c r="I197" s="3">
        <v>27</v>
      </c>
    </row>
    <row r="198" spans="1:9" ht="21" customHeight="1">
      <c r="A198" s="2" t="s">
        <v>51</v>
      </c>
      <c r="B198" s="4">
        <v>45778</v>
      </c>
      <c r="C198" s="3">
        <v>744</v>
      </c>
      <c r="D198" s="3">
        <v>14880</v>
      </c>
      <c r="E198" s="3">
        <v>14595.99</v>
      </c>
      <c r="F198" s="3">
        <v>383.8</v>
      </c>
      <c r="G198" s="3">
        <v>99.79</v>
      </c>
      <c r="H198" s="3">
        <v>65</v>
      </c>
      <c r="I198" s="3">
        <v>27</v>
      </c>
    </row>
    <row r="199" spans="1:9" ht="21" customHeight="1">
      <c r="A199" s="2" t="s">
        <v>51</v>
      </c>
      <c r="B199" s="4">
        <v>45809</v>
      </c>
      <c r="C199" s="3">
        <v>720</v>
      </c>
      <c r="D199" s="3">
        <v>14400</v>
      </c>
      <c r="E199" s="3">
        <v>14057.68</v>
      </c>
      <c r="F199" s="3">
        <v>426.8</v>
      </c>
      <c r="G199" s="3">
        <v>84.48</v>
      </c>
      <c r="H199" s="3">
        <v>66</v>
      </c>
      <c r="I199" s="3">
        <v>27</v>
      </c>
    </row>
    <row r="200" spans="1:9" ht="21" customHeight="1">
      <c r="A200" s="2" t="s">
        <v>51</v>
      </c>
      <c r="B200" s="4">
        <v>45839</v>
      </c>
      <c r="C200" s="3">
        <v>744</v>
      </c>
      <c r="D200" s="3">
        <v>14880</v>
      </c>
      <c r="E200" s="3">
        <v>14150.78</v>
      </c>
      <c r="F200" s="3">
        <v>897.6</v>
      </c>
      <c r="G200" s="3">
        <v>168.38</v>
      </c>
      <c r="H200" s="3">
        <v>68</v>
      </c>
      <c r="I200" s="3">
        <v>27</v>
      </c>
    </row>
    <row r="201" spans="1:9" ht="21" customHeight="1">
      <c r="A201" s="2" t="s">
        <v>51</v>
      </c>
      <c r="B201" s="4">
        <v>45870</v>
      </c>
      <c r="C201" s="3">
        <v>744</v>
      </c>
      <c r="D201" s="3">
        <v>14880</v>
      </c>
      <c r="E201" s="3">
        <v>14662.03</v>
      </c>
      <c r="F201" s="3">
        <v>286.8</v>
      </c>
      <c r="G201" s="3">
        <v>68.83</v>
      </c>
      <c r="H201" s="3">
        <v>67</v>
      </c>
      <c r="I201" s="3">
        <v>27</v>
      </c>
    </row>
    <row r="202" spans="1:9" ht="21" customHeight="1">
      <c r="A202" s="2" t="s">
        <v>51</v>
      </c>
      <c r="B202" s="4">
        <v>45901</v>
      </c>
      <c r="C202" s="3">
        <v>720</v>
      </c>
      <c r="D202" s="3">
        <v>14400</v>
      </c>
      <c r="E202" s="3">
        <v>13879.27</v>
      </c>
      <c r="F202" s="3">
        <v>633.20000000000005</v>
      </c>
      <c r="G202" s="3">
        <v>112.47</v>
      </c>
      <c r="H202" s="3">
        <v>64</v>
      </c>
      <c r="I202" s="3">
        <v>27</v>
      </c>
    </row>
    <row r="203" spans="1:9" ht="21" customHeight="1">
      <c r="A203" s="2" t="s">
        <v>51</v>
      </c>
      <c r="B203" s="4">
        <v>45931</v>
      </c>
      <c r="C203" s="3">
        <v>744</v>
      </c>
      <c r="D203" s="3">
        <v>14880</v>
      </c>
      <c r="E203" s="3">
        <v>14614.72</v>
      </c>
      <c r="F203" s="3">
        <v>318.8</v>
      </c>
      <c r="G203" s="3">
        <v>53.52</v>
      </c>
      <c r="H203" s="3">
        <v>63</v>
      </c>
      <c r="I203" s="3">
        <v>27</v>
      </c>
    </row>
    <row r="204" spans="1:9" ht="21" customHeight="1">
      <c r="A204" s="2" t="s">
        <v>51</v>
      </c>
      <c r="B204" s="4">
        <v>45962</v>
      </c>
      <c r="C204" s="3">
        <v>720</v>
      </c>
      <c r="D204" s="3">
        <v>14400</v>
      </c>
      <c r="E204" s="3">
        <v>13872.03</v>
      </c>
      <c r="F204" s="3">
        <v>661.4</v>
      </c>
      <c r="G204" s="3">
        <v>133.43</v>
      </c>
      <c r="H204" s="3">
        <v>65</v>
      </c>
      <c r="I204" s="3">
        <v>27</v>
      </c>
    </row>
    <row r="205" spans="1:9" ht="21" customHeight="1">
      <c r="A205" s="2" t="s">
        <v>51</v>
      </c>
      <c r="B205" s="4">
        <v>45992</v>
      </c>
      <c r="C205" s="3">
        <v>744</v>
      </c>
      <c r="D205" s="3">
        <v>14880</v>
      </c>
      <c r="E205" s="3">
        <v>14589.75</v>
      </c>
      <c r="F205" s="3">
        <v>397.6</v>
      </c>
      <c r="G205" s="3">
        <v>107.35</v>
      </c>
      <c r="H205" s="3">
        <v>66</v>
      </c>
      <c r="I205" s="3">
        <v>27</v>
      </c>
    </row>
    <row r="206" spans="1:9" ht="21" customHeight="1">
      <c r="A206" s="2" t="s">
        <v>52</v>
      </c>
      <c r="B206" s="4">
        <v>45658</v>
      </c>
      <c r="C206" s="3">
        <v>744</v>
      </c>
      <c r="D206" s="3">
        <v>17856</v>
      </c>
      <c r="E206" s="3">
        <v>17173.77</v>
      </c>
      <c r="F206" s="3">
        <v>780.48</v>
      </c>
      <c r="G206" s="3">
        <v>98.25</v>
      </c>
      <c r="H206" s="3">
        <v>73</v>
      </c>
      <c r="I206" s="3">
        <v>27</v>
      </c>
    </row>
    <row r="207" spans="1:9" ht="21" customHeight="1">
      <c r="A207" s="2" t="s">
        <v>52</v>
      </c>
      <c r="B207" s="4">
        <v>45689</v>
      </c>
      <c r="C207" s="3">
        <v>672</v>
      </c>
      <c r="D207" s="3">
        <v>16128</v>
      </c>
      <c r="E207" s="3">
        <v>15488.38</v>
      </c>
      <c r="F207" s="3">
        <v>756</v>
      </c>
      <c r="G207" s="3">
        <v>116.38</v>
      </c>
      <c r="H207" s="3">
        <v>71</v>
      </c>
      <c r="I207" s="3">
        <v>27</v>
      </c>
    </row>
    <row r="208" spans="1:9" ht="21" customHeight="1">
      <c r="A208" s="2" t="s">
        <v>52</v>
      </c>
      <c r="B208" s="4">
        <v>45717</v>
      </c>
      <c r="C208" s="3">
        <v>744</v>
      </c>
      <c r="D208" s="3">
        <v>17856</v>
      </c>
      <c r="E208" s="3">
        <v>17084.28</v>
      </c>
      <c r="F208" s="3">
        <v>983.04</v>
      </c>
      <c r="G208" s="3">
        <v>211.32</v>
      </c>
      <c r="H208" s="3">
        <v>69</v>
      </c>
      <c r="I208" s="3">
        <v>27</v>
      </c>
    </row>
    <row r="209" spans="1:9" ht="21" customHeight="1">
      <c r="A209" s="2" t="s">
        <v>52</v>
      </c>
      <c r="B209" s="4">
        <v>45748</v>
      </c>
      <c r="C209" s="3">
        <v>720</v>
      </c>
      <c r="D209" s="3">
        <v>17280</v>
      </c>
      <c r="E209" s="3">
        <v>16470.72</v>
      </c>
      <c r="F209" s="3">
        <v>1066.8</v>
      </c>
      <c r="G209" s="3">
        <v>257.52</v>
      </c>
      <c r="H209" s="3">
        <v>67</v>
      </c>
      <c r="I209" s="3">
        <v>27</v>
      </c>
    </row>
    <row r="210" spans="1:9" ht="21" customHeight="1">
      <c r="A210" s="2" t="s">
        <v>52</v>
      </c>
      <c r="B210" s="4">
        <v>45778</v>
      </c>
      <c r="C210" s="3">
        <v>744</v>
      </c>
      <c r="D210" s="3">
        <v>17856</v>
      </c>
      <c r="E210" s="3">
        <v>17313.22</v>
      </c>
      <c r="F210" s="3">
        <v>695.52</v>
      </c>
      <c r="G210" s="3">
        <v>152.74</v>
      </c>
      <c r="H210" s="3">
        <v>65</v>
      </c>
      <c r="I210" s="3">
        <v>27</v>
      </c>
    </row>
    <row r="211" spans="1:9" ht="21" customHeight="1">
      <c r="A211" s="2" t="s">
        <v>52</v>
      </c>
      <c r="B211" s="4">
        <v>45809</v>
      </c>
      <c r="C211" s="3">
        <v>720</v>
      </c>
      <c r="D211" s="3">
        <v>17280</v>
      </c>
      <c r="E211" s="3">
        <v>16288.28</v>
      </c>
      <c r="F211" s="3">
        <v>1182.48</v>
      </c>
      <c r="G211" s="3">
        <v>190.76</v>
      </c>
      <c r="H211" s="3">
        <v>66</v>
      </c>
      <c r="I211" s="3">
        <v>27</v>
      </c>
    </row>
    <row r="212" spans="1:9" ht="21" customHeight="1">
      <c r="A212" s="2" t="s">
        <v>52</v>
      </c>
      <c r="B212" s="4">
        <v>45839</v>
      </c>
      <c r="C212" s="3">
        <v>744</v>
      </c>
      <c r="D212" s="3">
        <v>17856</v>
      </c>
      <c r="E212" s="3">
        <v>16726.86</v>
      </c>
      <c r="F212" s="3">
        <v>1419.6</v>
      </c>
      <c r="G212" s="3">
        <v>290.45999999999998</v>
      </c>
      <c r="H212" s="3">
        <v>68</v>
      </c>
      <c r="I212" s="3">
        <v>27</v>
      </c>
    </row>
    <row r="213" spans="1:9" ht="21" customHeight="1">
      <c r="A213" s="2" t="s">
        <v>52</v>
      </c>
      <c r="B213" s="4">
        <v>45870</v>
      </c>
      <c r="C213" s="3">
        <v>744</v>
      </c>
      <c r="D213" s="3">
        <v>17856</v>
      </c>
      <c r="E213" s="3">
        <v>17086.919999999998</v>
      </c>
      <c r="F213" s="3">
        <v>904.8</v>
      </c>
      <c r="G213" s="3">
        <v>135.72</v>
      </c>
      <c r="H213" s="3">
        <v>67</v>
      </c>
      <c r="I213" s="3">
        <v>27</v>
      </c>
    </row>
    <row r="214" spans="1:9" ht="21" customHeight="1">
      <c r="A214" s="2" t="s">
        <v>52</v>
      </c>
      <c r="B214" s="4">
        <v>45901</v>
      </c>
      <c r="C214" s="3">
        <v>720</v>
      </c>
      <c r="D214" s="3">
        <v>17280</v>
      </c>
      <c r="E214" s="3">
        <v>16364.86</v>
      </c>
      <c r="F214" s="3">
        <v>1093.2</v>
      </c>
      <c r="G214" s="3">
        <v>178.06</v>
      </c>
      <c r="H214" s="3">
        <v>64</v>
      </c>
      <c r="I214" s="3">
        <v>27</v>
      </c>
    </row>
    <row r="215" spans="1:9" ht="21" customHeight="1">
      <c r="A215" s="2" t="s">
        <v>52</v>
      </c>
      <c r="B215" s="4">
        <v>45931</v>
      </c>
      <c r="C215" s="3">
        <v>744</v>
      </c>
      <c r="D215" s="3">
        <v>17856</v>
      </c>
      <c r="E215" s="3">
        <v>17127.439999999999</v>
      </c>
      <c r="F215" s="3">
        <v>879.12</v>
      </c>
      <c r="G215" s="3">
        <v>150.56</v>
      </c>
      <c r="H215" s="3">
        <v>63</v>
      </c>
      <c r="I215" s="3">
        <v>27</v>
      </c>
    </row>
    <row r="216" spans="1:9" ht="21" customHeight="1">
      <c r="A216" s="2" t="s">
        <v>52</v>
      </c>
      <c r="B216" s="4">
        <v>45962</v>
      </c>
      <c r="C216" s="3">
        <v>720</v>
      </c>
      <c r="D216" s="3">
        <v>17280</v>
      </c>
      <c r="E216" s="3">
        <v>16344.17</v>
      </c>
      <c r="F216" s="3">
        <v>1120.08</v>
      </c>
      <c r="G216" s="3">
        <v>184.25</v>
      </c>
      <c r="H216" s="3">
        <v>65</v>
      </c>
      <c r="I216" s="3">
        <v>27</v>
      </c>
    </row>
    <row r="217" spans="1:9" ht="21" customHeight="1">
      <c r="A217" s="2" t="s">
        <v>52</v>
      </c>
      <c r="B217" s="4">
        <v>45992</v>
      </c>
      <c r="C217" s="3">
        <v>744</v>
      </c>
      <c r="D217" s="3">
        <v>17856</v>
      </c>
      <c r="E217" s="3">
        <v>17608.509999999998</v>
      </c>
      <c r="F217" s="3">
        <v>309.36</v>
      </c>
      <c r="G217" s="3">
        <v>61.87</v>
      </c>
      <c r="H217" s="3">
        <v>66</v>
      </c>
      <c r="I217" s="3">
        <v>27</v>
      </c>
    </row>
    <row r="218" spans="1:9" ht="21" customHeight="1"/>
    <row r="219" spans="1:9" ht="21" customHeight="1"/>
    <row r="220" spans="1:9" ht="15.75" customHeight="1"/>
    <row r="221" spans="1:9" ht="15.75" customHeight="1"/>
    <row r="222" spans="1:9" ht="15.75" customHeight="1"/>
    <row r="223" spans="1:9" ht="15.75" customHeight="1"/>
    <row r="224" spans="1:9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165"/>
  <sheetViews>
    <sheetView showGridLines="0" workbookViewId="0">
      <pane ySplit="1" topLeftCell="A2" activePane="bottomLeft" state="frozen"/>
      <selection pane="bottomLeft" activeCell="C2" sqref="C2"/>
    </sheetView>
  </sheetViews>
  <sheetFormatPr defaultColWidth="12.625" defaultRowHeight="15" customHeight="1"/>
  <cols>
    <col min="1" max="8" width="22" customWidth="1"/>
    <col min="9" max="9" width="52" customWidth="1"/>
    <col min="10" max="10" width="22" customWidth="1"/>
  </cols>
  <sheetData>
    <row r="1" spans="1:10" ht="42" customHeight="1">
      <c r="A1" s="1" t="s">
        <v>972</v>
      </c>
      <c r="B1" s="1" t="s">
        <v>973</v>
      </c>
      <c r="C1" s="1" t="s">
        <v>974</v>
      </c>
      <c r="D1" s="1" t="s">
        <v>975</v>
      </c>
      <c r="E1" s="1" t="s">
        <v>976</v>
      </c>
      <c r="F1" s="1" t="s">
        <v>977</v>
      </c>
      <c r="G1" s="1" t="s">
        <v>978</v>
      </c>
      <c r="H1" s="1" t="s">
        <v>979</v>
      </c>
      <c r="I1" s="1" t="s">
        <v>980</v>
      </c>
      <c r="J1" s="1" t="s">
        <v>0</v>
      </c>
    </row>
    <row r="2" spans="1:10" ht="21" customHeight="1">
      <c r="A2" s="2" t="s">
        <v>981</v>
      </c>
      <c r="B2" s="2" t="s">
        <v>982</v>
      </c>
      <c r="C2" s="4">
        <v>45658.25</v>
      </c>
      <c r="D2" s="4">
        <v>45658.250473946755</v>
      </c>
      <c r="E2" s="2">
        <v>2.33</v>
      </c>
      <c r="F2" s="2">
        <v>64.099999999999994</v>
      </c>
      <c r="G2" s="2" t="s">
        <v>983</v>
      </c>
      <c r="H2" s="2" t="s">
        <v>984</v>
      </c>
      <c r="I2" s="2" t="s">
        <v>985</v>
      </c>
      <c r="J2" s="2" t="s">
        <v>18</v>
      </c>
    </row>
    <row r="3" spans="1:10" ht="21" customHeight="1">
      <c r="A3" s="2" t="s">
        <v>986</v>
      </c>
      <c r="B3" s="8" t="s">
        <v>18</v>
      </c>
      <c r="C3" s="4">
        <v>45659.25</v>
      </c>
      <c r="D3" s="4">
        <v>45659.250621134255</v>
      </c>
      <c r="E3" s="2">
        <v>3.18</v>
      </c>
      <c r="F3" s="2">
        <v>59.3</v>
      </c>
      <c r="G3" s="2" t="s">
        <v>983</v>
      </c>
      <c r="H3" s="2" t="s">
        <v>984</v>
      </c>
      <c r="I3" s="2"/>
      <c r="J3" s="2" t="s">
        <v>18</v>
      </c>
    </row>
    <row r="4" spans="1:10" ht="21" customHeight="1">
      <c r="A4" s="2" t="s">
        <v>987</v>
      </c>
      <c r="B4" s="2" t="s">
        <v>18</v>
      </c>
      <c r="C4" s="4">
        <v>45660.25</v>
      </c>
      <c r="D4" s="4">
        <v>45660.250593379635</v>
      </c>
      <c r="E4" s="2">
        <v>2.91</v>
      </c>
      <c r="F4" s="2">
        <v>59.5</v>
      </c>
      <c r="G4" s="2" t="s">
        <v>983</v>
      </c>
      <c r="H4" s="2" t="s">
        <v>984</v>
      </c>
      <c r="I4" s="2"/>
      <c r="J4" s="2" t="s">
        <v>18</v>
      </c>
    </row>
    <row r="5" spans="1:10" ht="21" customHeight="1">
      <c r="A5" s="2" t="s">
        <v>988</v>
      </c>
      <c r="B5" s="2" t="s">
        <v>18</v>
      </c>
      <c r="C5" s="4">
        <v>45661.25</v>
      </c>
      <c r="D5" s="4">
        <v>45661.250123113423</v>
      </c>
      <c r="E5" s="2">
        <v>2.75</v>
      </c>
      <c r="F5" s="2">
        <v>61</v>
      </c>
      <c r="G5" s="2" t="s">
        <v>983</v>
      </c>
      <c r="H5" s="2" t="s">
        <v>984</v>
      </c>
      <c r="I5" s="2"/>
      <c r="J5" s="2" t="s">
        <v>18</v>
      </c>
    </row>
    <row r="6" spans="1:10" ht="21" customHeight="1">
      <c r="A6" s="2" t="s">
        <v>989</v>
      </c>
      <c r="B6" s="2" t="s">
        <v>18</v>
      </c>
      <c r="C6" s="4">
        <v>45662.25</v>
      </c>
      <c r="D6" s="4">
        <v>45662.25056512731</v>
      </c>
      <c r="E6" s="2">
        <v>2.25</v>
      </c>
      <c r="F6" s="2">
        <v>61.8</v>
      </c>
      <c r="G6" s="2" t="s">
        <v>983</v>
      </c>
      <c r="H6" s="2" t="s">
        <v>984</v>
      </c>
      <c r="I6" s="2"/>
      <c r="J6" s="2" t="s">
        <v>18</v>
      </c>
    </row>
    <row r="7" spans="1:10" ht="21" customHeight="1">
      <c r="A7" s="2" t="s">
        <v>990</v>
      </c>
      <c r="B7" s="2" t="s">
        <v>18</v>
      </c>
      <c r="C7" s="4">
        <v>45663.25</v>
      </c>
      <c r="D7" s="4">
        <v>45663.250567523151</v>
      </c>
      <c r="E7" s="2">
        <v>2.98</v>
      </c>
      <c r="F7" s="2">
        <v>58.7</v>
      </c>
      <c r="G7" s="2" t="s">
        <v>983</v>
      </c>
      <c r="H7" s="2" t="s">
        <v>984</v>
      </c>
      <c r="I7" s="2"/>
      <c r="J7" s="2" t="s">
        <v>18</v>
      </c>
    </row>
    <row r="8" spans="1:10" ht="21" customHeight="1">
      <c r="A8" s="2" t="s">
        <v>991</v>
      </c>
      <c r="B8" s="2" t="s">
        <v>18</v>
      </c>
      <c r="C8" s="4">
        <v>45664.25</v>
      </c>
      <c r="D8" s="4">
        <v>45664.250182303236</v>
      </c>
      <c r="E8" s="2">
        <v>2.79</v>
      </c>
      <c r="F8" s="2">
        <v>62</v>
      </c>
      <c r="G8" s="2" t="s">
        <v>983</v>
      </c>
      <c r="H8" s="2" t="s">
        <v>984</v>
      </c>
      <c r="I8" s="2"/>
      <c r="J8" s="2" t="s">
        <v>18</v>
      </c>
    </row>
    <row r="9" spans="1:10" ht="21" customHeight="1">
      <c r="A9" s="2" t="s">
        <v>992</v>
      </c>
      <c r="B9" s="2" t="s">
        <v>18</v>
      </c>
      <c r="C9" s="4">
        <v>45665.25</v>
      </c>
      <c r="D9" s="4">
        <v>45665.250255266204</v>
      </c>
      <c r="E9" s="2">
        <v>2.39</v>
      </c>
      <c r="F9" s="2">
        <v>58.4</v>
      </c>
      <c r="G9" s="2" t="s">
        <v>983</v>
      </c>
      <c r="H9" s="2" t="s">
        <v>984</v>
      </c>
      <c r="I9" s="2"/>
      <c r="J9" s="2" t="s">
        <v>18</v>
      </c>
    </row>
    <row r="10" spans="1:10" ht="21" customHeight="1">
      <c r="A10" s="2" t="s">
        <v>993</v>
      </c>
      <c r="B10" s="2" t="s">
        <v>18</v>
      </c>
      <c r="C10" s="4">
        <v>45666.25</v>
      </c>
      <c r="D10" s="4">
        <v>45666.250264351853</v>
      </c>
      <c r="E10" s="2">
        <v>2.4500000000000002</v>
      </c>
      <c r="F10" s="2">
        <v>60.8</v>
      </c>
      <c r="G10" s="2" t="s">
        <v>983</v>
      </c>
      <c r="H10" s="2" t="s">
        <v>984</v>
      </c>
      <c r="I10" s="2"/>
      <c r="J10" s="2" t="s">
        <v>18</v>
      </c>
    </row>
    <row r="11" spans="1:10" ht="21" customHeight="1">
      <c r="A11" s="2" t="s">
        <v>994</v>
      </c>
      <c r="B11" s="2" t="s">
        <v>18</v>
      </c>
      <c r="C11" s="4">
        <v>45667.25</v>
      </c>
      <c r="D11" s="4">
        <v>45667.250503622687</v>
      </c>
      <c r="E11" s="2">
        <v>3.28</v>
      </c>
      <c r="F11" s="2">
        <v>59.9</v>
      </c>
      <c r="G11" s="2" t="s">
        <v>983</v>
      </c>
      <c r="H11" s="2" t="s">
        <v>984</v>
      </c>
      <c r="I11" s="2"/>
      <c r="J11" s="2" t="s">
        <v>18</v>
      </c>
    </row>
    <row r="12" spans="1:10" ht="21" customHeight="1">
      <c r="A12" s="2" t="s">
        <v>995</v>
      </c>
      <c r="B12" s="2" t="s">
        <v>18</v>
      </c>
      <c r="C12" s="4">
        <v>45668.25</v>
      </c>
      <c r="D12" s="4">
        <v>45668.250495613422</v>
      </c>
      <c r="E12" s="2">
        <v>3.27</v>
      </c>
      <c r="F12" s="2">
        <v>61.4</v>
      </c>
      <c r="G12" s="2" t="s">
        <v>983</v>
      </c>
      <c r="H12" s="2" t="s">
        <v>984</v>
      </c>
      <c r="I12" s="2"/>
      <c r="J12" s="2" t="s">
        <v>18</v>
      </c>
    </row>
    <row r="13" spans="1:10" ht="21" customHeight="1">
      <c r="A13" s="2" t="s">
        <v>996</v>
      </c>
      <c r="B13" s="2" t="s">
        <v>18</v>
      </c>
      <c r="C13" s="4">
        <v>45669.25</v>
      </c>
      <c r="D13" s="4">
        <v>45669.250476851856</v>
      </c>
      <c r="E13" s="2">
        <v>2.27</v>
      </c>
      <c r="F13" s="2">
        <v>64.099999999999994</v>
      </c>
      <c r="G13" s="2" t="s">
        <v>983</v>
      </c>
      <c r="H13" s="2" t="s">
        <v>984</v>
      </c>
      <c r="I13" s="2"/>
      <c r="J13" s="2" t="s">
        <v>18</v>
      </c>
    </row>
    <row r="14" spans="1:10" ht="21" customHeight="1">
      <c r="A14" s="2" t="s">
        <v>997</v>
      </c>
      <c r="B14" s="2" t="s">
        <v>18</v>
      </c>
      <c r="C14" s="4">
        <v>45670.25</v>
      </c>
      <c r="D14" s="4">
        <v>45670.250497766203</v>
      </c>
      <c r="E14" s="2">
        <v>2.96</v>
      </c>
      <c r="F14" s="2">
        <v>61.3</v>
      </c>
      <c r="G14" s="2" t="s">
        <v>983</v>
      </c>
      <c r="H14" s="2" t="s">
        <v>984</v>
      </c>
      <c r="I14" s="2"/>
      <c r="J14" s="2" t="s">
        <v>18</v>
      </c>
    </row>
    <row r="15" spans="1:10" ht="21" customHeight="1">
      <c r="A15" s="2" t="s">
        <v>998</v>
      </c>
      <c r="B15" s="2" t="s">
        <v>18</v>
      </c>
      <c r="C15" s="4">
        <v>45671.25</v>
      </c>
      <c r="D15" s="4">
        <v>45671.250351273149</v>
      </c>
      <c r="E15" s="2">
        <v>2.78</v>
      </c>
      <c r="F15" s="2">
        <v>60.3</v>
      </c>
      <c r="G15" s="2" t="s">
        <v>983</v>
      </c>
      <c r="H15" s="2" t="s">
        <v>984</v>
      </c>
      <c r="I15" s="2"/>
      <c r="J15" s="2" t="s">
        <v>18</v>
      </c>
    </row>
    <row r="16" spans="1:10" ht="21" customHeight="1">
      <c r="A16" s="2" t="s">
        <v>999</v>
      </c>
      <c r="B16" s="2" t="s">
        <v>18</v>
      </c>
      <c r="C16" s="4">
        <v>45672.25</v>
      </c>
      <c r="D16" s="4">
        <v>45672.250491030092</v>
      </c>
      <c r="E16" s="2">
        <v>2.33</v>
      </c>
      <c r="F16" s="2">
        <v>64.8</v>
      </c>
      <c r="G16" s="2" t="s">
        <v>983</v>
      </c>
      <c r="H16" s="2" t="s">
        <v>984</v>
      </c>
      <c r="I16" s="2"/>
      <c r="J16" s="2" t="s">
        <v>18</v>
      </c>
    </row>
    <row r="17" spans="1:10" ht="21" customHeight="1">
      <c r="A17" s="2" t="s">
        <v>1000</v>
      </c>
      <c r="B17" s="2" t="s">
        <v>18</v>
      </c>
      <c r="C17" s="4">
        <v>45673.25</v>
      </c>
      <c r="D17" s="4">
        <v>45673.250353877316</v>
      </c>
      <c r="E17" s="2">
        <v>2.79</v>
      </c>
      <c r="F17" s="2">
        <v>63</v>
      </c>
      <c r="G17" s="2" t="s">
        <v>983</v>
      </c>
      <c r="H17" s="2" t="s">
        <v>984</v>
      </c>
      <c r="I17" s="2"/>
      <c r="J17" s="2" t="s">
        <v>18</v>
      </c>
    </row>
    <row r="18" spans="1:10" ht="21" customHeight="1">
      <c r="A18" s="2" t="s">
        <v>1001</v>
      </c>
      <c r="B18" s="2" t="s">
        <v>18</v>
      </c>
      <c r="C18" s="4">
        <v>45674.25</v>
      </c>
      <c r="D18" s="4">
        <v>45674.250522141199</v>
      </c>
      <c r="E18" s="2">
        <v>2.75</v>
      </c>
      <c r="F18" s="2">
        <v>59.2</v>
      </c>
      <c r="G18" s="2" t="s">
        <v>983</v>
      </c>
      <c r="H18" s="2" t="s">
        <v>984</v>
      </c>
      <c r="I18" s="2"/>
      <c r="J18" s="2" t="s">
        <v>18</v>
      </c>
    </row>
    <row r="19" spans="1:10" ht="21" customHeight="1">
      <c r="A19" s="2" t="s">
        <v>1002</v>
      </c>
      <c r="B19" s="2" t="s">
        <v>18</v>
      </c>
      <c r="C19" s="4">
        <v>45675.25</v>
      </c>
      <c r="D19" s="4">
        <v>45675.250147326384</v>
      </c>
      <c r="E19" s="2">
        <v>3.21</v>
      </c>
      <c r="F19" s="2">
        <v>58.6</v>
      </c>
      <c r="G19" s="2" t="s">
        <v>983</v>
      </c>
      <c r="H19" s="2" t="s">
        <v>984</v>
      </c>
      <c r="I19" s="2" t="s">
        <v>985</v>
      </c>
      <c r="J19" s="2" t="s">
        <v>18</v>
      </c>
    </row>
    <row r="20" spans="1:10" ht="21" customHeight="1">
      <c r="A20" s="2" t="s">
        <v>1003</v>
      </c>
      <c r="B20" s="2" t="s">
        <v>18</v>
      </c>
      <c r="C20" s="4">
        <v>45676.25</v>
      </c>
      <c r="D20" s="4">
        <v>45676.250496574074</v>
      </c>
      <c r="E20" s="2">
        <v>2.4300000000000002</v>
      </c>
      <c r="F20" s="2">
        <v>62.8</v>
      </c>
      <c r="G20" s="2" t="s">
        <v>983</v>
      </c>
      <c r="H20" s="2" t="s">
        <v>984</v>
      </c>
      <c r="I20" s="2"/>
      <c r="J20" s="2" t="s">
        <v>18</v>
      </c>
    </row>
    <row r="21" spans="1:10" ht="21" customHeight="1">
      <c r="A21" s="2" t="s">
        <v>1004</v>
      </c>
      <c r="B21" s="2" t="s">
        <v>18</v>
      </c>
      <c r="C21" s="4">
        <v>45677.25</v>
      </c>
      <c r="D21" s="4">
        <v>45677.250528009259</v>
      </c>
      <c r="E21" s="2">
        <v>3.01</v>
      </c>
      <c r="F21" s="2">
        <v>61.7</v>
      </c>
      <c r="G21" s="2" t="s">
        <v>983</v>
      </c>
      <c r="H21" s="2" t="s">
        <v>984</v>
      </c>
      <c r="I21" s="2"/>
      <c r="J21" s="2" t="s">
        <v>18</v>
      </c>
    </row>
    <row r="22" spans="1:10" ht="21" customHeight="1">
      <c r="A22" s="2" t="s">
        <v>1005</v>
      </c>
      <c r="B22" s="2" t="s">
        <v>18</v>
      </c>
      <c r="C22" s="4">
        <v>45678.25</v>
      </c>
      <c r="D22" s="4">
        <v>45678.250070312497</v>
      </c>
      <c r="E22" s="2">
        <v>2.88</v>
      </c>
      <c r="F22" s="2">
        <v>61.5</v>
      </c>
      <c r="G22" s="2" t="s">
        <v>983</v>
      </c>
      <c r="H22" s="2" t="s">
        <v>984</v>
      </c>
      <c r="I22" s="2"/>
      <c r="J22" s="2" t="s">
        <v>18</v>
      </c>
    </row>
    <row r="23" spans="1:10" ht="21" customHeight="1">
      <c r="A23" s="2" t="s">
        <v>1006</v>
      </c>
      <c r="B23" s="2" t="s">
        <v>18</v>
      </c>
      <c r="C23" s="4">
        <v>45679.25</v>
      </c>
      <c r="D23" s="4">
        <v>45679.250349710652</v>
      </c>
      <c r="E23" s="2">
        <v>2.21</v>
      </c>
      <c r="F23" s="2">
        <v>64.400000000000006</v>
      </c>
      <c r="G23" s="2" t="s">
        <v>983</v>
      </c>
      <c r="H23" s="2" t="s">
        <v>984</v>
      </c>
      <c r="I23" s="2"/>
      <c r="J23" s="2" t="s">
        <v>18</v>
      </c>
    </row>
    <row r="24" spans="1:10" ht="21" customHeight="1">
      <c r="A24" s="2" t="s">
        <v>1007</v>
      </c>
      <c r="B24" s="2" t="s">
        <v>18</v>
      </c>
      <c r="C24" s="4">
        <v>45680.25</v>
      </c>
      <c r="D24" s="4">
        <v>45680.250553148144</v>
      </c>
      <c r="E24" s="2">
        <v>2.93</v>
      </c>
      <c r="F24" s="2">
        <v>61</v>
      </c>
      <c r="G24" s="2" t="s">
        <v>983</v>
      </c>
      <c r="H24" s="2" t="s">
        <v>984</v>
      </c>
      <c r="I24" s="2"/>
      <c r="J24" s="2" t="s">
        <v>18</v>
      </c>
    </row>
    <row r="25" spans="1:10" ht="21" customHeight="1">
      <c r="A25" s="2" t="s">
        <v>1008</v>
      </c>
      <c r="B25" s="2" t="s">
        <v>18</v>
      </c>
      <c r="C25" s="4">
        <v>45681.25</v>
      </c>
      <c r="D25" s="4">
        <v>45681.250053993055</v>
      </c>
      <c r="E25" s="2">
        <v>3.11</v>
      </c>
      <c r="F25" s="2">
        <v>60.9</v>
      </c>
      <c r="G25" s="2" t="s">
        <v>983</v>
      </c>
      <c r="H25" s="2" t="s">
        <v>984</v>
      </c>
      <c r="I25" s="2"/>
      <c r="J25" s="2" t="s">
        <v>18</v>
      </c>
    </row>
    <row r="26" spans="1:10" ht="21" customHeight="1">
      <c r="A26" s="2" t="s">
        <v>1009</v>
      </c>
      <c r="B26" s="2" t="s">
        <v>18</v>
      </c>
      <c r="C26" s="4">
        <v>45682.25</v>
      </c>
      <c r="D26" s="4">
        <v>45682.250078564815</v>
      </c>
      <c r="E26" s="2">
        <v>2.5299999999999998</v>
      </c>
      <c r="F26" s="2">
        <v>63.6</v>
      </c>
      <c r="G26" s="2" t="s">
        <v>983</v>
      </c>
      <c r="H26" s="2" t="s">
        <v>984</v>
      </c>
      <c r="I26" s="2"/>
      <c r="J26" s="2" t="s">
        <v>18</v>
      </c>
    </row>
    <row r="27" spans="1:10" ht="21" customHeight="1">
      <c r="A27" s="2" t="s">
        <v>1010</v>
      </c>
      <c r="B27" s="2" t="s">
        <v>18</v>
      </c>
      <c r="C27" s="4">
        <v>45683.25</v>
      </c>
      <c r="D27" s="4">
        <v>45683.250125949075</v>
      </c>
      <c r="E27" s="2">
        <v>2.87</v>
      </c>
      <c r="F27" s="2">
        <v>61.9</v>
      </c>
      <c r="G27" s="2" t="s">
        <v>983</v>
      </c>
      <c r="H27" s="2" t="s">
        <v>984</v>
      </c>
      <c r="I27" s="2"/>
      <c r="J27" s="2" t="s">
        <v>18</v>
      </c>
    </row>
    <row r="28" spans="1:10" ht="21" customHeight="1">
      <c r="A28" s="2" t="s">
        <v>1011</v>
      </c>
      <c r="B28" s="2" t="s">
        <v>18</v>
      </c>
      <c r="C28" s="4">
        <v>45684.25</v>
      </c>
      <c r="D28" s="4">
        <v>45684.250013796292</v>
      </c>
      <c r="E28" s="2">
        <v>3.28</v>
      </c>
      <c r="F28" s="2">
        <v>60.5</v>
      </c>
      <c r="G28" s="2" t="s">
        <v>983</v>
      </c>
      <c r="H28" s="2" t="s">
        <v>984</v>
      </c>
      <c r="I28" s="2"/>
      <c r="J28" s="2" t="s">
        <v>18</v>
      </c>
    </row>
    <row r="29" spans="1:10" ht="21" customHeight="1">
      <c r="A29" s="2" t="s">
        <v>1012</v>
      </c>
      <c r="B29" s="2" t="s">
        <v>18</v>
      </c>
      <c r="C29" s="4">
        <v>45685.25</v>
      </c>
      <c r="D29" s="4">
        <v>45685.250188368052</v>
      </c>
      <c r="E29" s="2">
        <v>3.12</v>
      </c>
      <c r="F29" s="2">
        <v>60.9</v>
      </c>
      <c r="G29" s="2" t="s">
        <v>983</v>
      </c>
      <c r="H29" s="2" t="s">
        <v>984</v>
      </c>
      <c r="I29" s="2"/>
      <c r="J29" s="2" t="s">
        <v>18</v>
      </c>
    </row>
    <row r="30" spans="1:10" ht="21" customHeight="1">
      <c r="A30" s="2" t="s">
        <v>1013</v>
      </c>
      <c r="B30" s="2" t="s">
        <v>18</v>
      </c>
      <c r="C30" s="4">
        <v>45686.25</v>
      </c>
      <c r="D30" s="4">
        <v>45686.250617893515</v>
      </c>
      <c r="E30" s="2">
        <v>2.2999999999999998</v>
      </c>
      <c r="F30" s="2">
        <v>65.900000000000006</v>
      </c>
      <c r="G30" s="2" t="s">
        <v>983</v>
      </c>
      <c r="H30" s="2" t="s">
        <v>984</v>
      </c>
      <c r="I30" s="2"/>
      <c r="J30" s="2" t="s">
        <v>18</v>
      </c>
    </row>
    <row r="31" spans="1:10" ht="21" customHeight="1">
      <c r="A31" s="2" t="s">
        <v>1014</v>
      </c>
      <c r="B31" s="2" t="s">
        <v>18</v>
      </c>
      <c r="C31" s="4">
        <v>45687.25</v>
      </c>
      <c r="D31" s="4">
        <v>45687.25018880787</v>
      </c>
      <c r="E31" s="2">
        <v>2.2999999999999998</v>
      </c>
      <c r="F31" s="2">
        <v>58.5</v>
      </c>
      <c r="G31" s="2" t="s">
        <v>983</v>
      </c>
      <c r="H31" s="2" t="s">
        <v>984</v>
      </c>
      <c r="I31" s="2"/>
      <c r="J31" s="2" t="s">
        <v>18</v>
      </c>
    </row>
    <row r="32" spans="1:10" ht="21" customHeight="1">
      <c r="A32" s="2" t="s">
        <v>1015</v>
      </c>
      <c r="B32" s="2" t="s">
        <v>18</v>
      </c>
      <c r="C32" s="4">
        <v>45688.25</v>
      </c>
      <c r="D32" s="4">
        <v>45688.250580578708</v>
      </c>
      <c r="E32" s="2">
        <v>2.16</v>
      </c>
      <c r="F32" s="2">
        <v>63.4</v>
      </c>
      <c r="G32" s="2" t="s">
        <v>983</v>
      </c>
      <c r="H32" s="2" t="s">
        <v>984</v>
      </c>
      <c r="I32" s="2"/>
      <c r="J32" s="2" t="s">
        <v>18</v>
      </c>
    </row>
    <row r="33" spans="1:10" ht="21" customHeight="1">
      <c r="A33" s="2" t="s">
        <v>1016</v>
      </c>
      <c r="B33" s="2" t="s">
        <v>18</v>
      </c>
      <c r="C33" s="4">
        <v>45689.25</v>
      </c>
      <c r="D33" s="4">
        <v>45689.250100694444</v>
      </c>
      <c r="E33" s="2">
        <v>2.29</v>
      </c>
      <c r="F33" s="2">
        <v>59.1</v>
      </c>
      <c r="G33" s="2" t="s">
        <v>983</v>
      </c>
      <c r="H33" s="2" t="s">
        <v>984</v>
      </c>
      <c r="I33" s="2"/>
      <c r="J33" s="2" t="s">
        <v>18</v>
      </c>
    </row>
    <row r="34" spans="1:10" ht="21" customHeight="1">
      <c r="A34" s="2" t="s">
        <v>1017</v>
      </c>
      <c r="B34" s="2" t="s">
        <v>18</v>
      </c>
      <c r="C34" s="4">
        <v>45690.25</v>
      </c>
      <c r="D34" s="4">
        <v>45690.250380405094</v>
      </c>
      <c r="E34" s="2">
        <v>2.97</v>
      </c>
      <c r="F34" s="2">
        <v>59.5</v>
      </c>
      <c r="G34" s="2" t="s">
        <v>983</v>
      </c>
      <c r="H34" s="2" t="s">
        <v>984</v>
      </c>
      <c r="I34" s="2"/>
      <c r="J34" s="2" t="s">
        <v>18</v>
      </c>
    </row>
    <row r="35" spans="1:10" ht="21" customHeight="1">
      <c r="A35" s="2" t="s">
        <v>1018</v>
      </c>
      <c r="B35" s="2" t="s">
        <v>18</v>
      </c>
      <c r="C35" s="4">
        <v>45691.25</v>
      </c>
      <c r="D35" s="4">
        <v>45691.250250636571</v>
      </c>
      <c r="E35" s="2">
        <v>2.4</v>
      </c>
      <c r="F35" s="2">
        <v>62</v>
      </c>
      <c r="G35" s="2" t="s">
        <v>983</v>
      </c>
      <c r="H35" s="2" t="s">
        <v>984</v>
      </c>
      <c r="I35" s="2"/>
      <c r="J35" s="2" t="s">
        <v>18</v>
      </c>
    </row>
    <row r="36" spans="1:10" ht="21" customHeight="1">
      <c r="A36" s="2" t="s">
        <v>1019</v>
      </c>
      <c r="B36" s="2" t="s">
        <v>18</v>
      </c>
      <c r="C36" s="4">
        <v>45692.25</v>
      </c>
      <c r="D36" s="4">
        <v>45692.250550370372</v>
      </c>
      <c r="E36" s="2">
        <v>3.12</v>
      </c>
      <c r="F36" s="2">
        <v>61.5</v>
      </c>
      <c r="G36" s="2" t="s">
        <v>983</v>
      </c>
      <c r="H36" s="2" t="s">
        <v>984</v>
      </c>
      <c r="I36" s="2" t="s">
        <v>985</v>
      </c>
      <c r="J36" s="2" t="s">
        <v>18</v>
      </c>
    </row>
    <row r="37" spans="1:10" ht="21" customHeight="1">
      <c r="A37" s="2" t="s">
        <v>1020</v>
      </c>
      <c r="B37" s="2" t="s">
        <v>18</v>
      </c>
      <c r="C37" s="4">
        <v>45693.25</v>
      </c>
      <c r="D37" s="4">
        <v>45693.250012615739</v>
      </c>
      <c r="E37" s="2">
        <v>2.82</v>
      </c>
      <c r="F37" s="2">
        <v>58.9</v>
      </c>
      <c r="G37" s="2" t="s">
        <v>983</v>
      </c>
      <c r="H37" s="2" t="s">
        <v>984</v>
      </c>
      <c r="I37" s="2"/>
      <c r="J37" s="2" t="s">
        <v>18</v>
      </c>
    </row>
    <row r="38" spans="1:10" ht="21" customHeight="1">
      <c r="A38" s="2" t="s">
        <v>1021</v>
      </c>
      <c r="B38" s="2" t="s">
        <v>18</v>
      </c>
      <c r="C38" s="4">
        <v>45694.25</v>
      </c>
      <c r="D38" s="4">
        <v>45694.250380995371</v>
      </c>
      <c r="E38" s="2">
        <v>18.8</v>
      </c>
      <c r="F38" s="2">
        <v>63</v>
      </c>
      <c r="G38" s="2" t="s">
        <v>983</v>
      </c>
      <c r="H38" s="2" t="s">
        <v>1022</v>
      </c>
      <c r="I38" s="2"/>
      <c r="J38" s="2" t="s">
        <v>18</v>
      </c>
    </row>
    <row r="39" spans="1:10" ht="21" customHeight="1">
      <c r="A39" s="2" t="s">
        <v>1023</v>
      </c>
      <c r="B39" s="2" t="s">
        <v>18</v>
      </c>
      <c r="C39" s="4">
        <v>45695.25</v>
      </c>
      <c r="D39" s="4">
        <v>45695.250350023147</v>
      </c>
      <c r="E39" s="2">
        <v>2.16</v>
      </c>
      <c r="F39" s="2">
        <v>64.599999999999994</v>
      </c>
      <c r="G39" s="2" t="s">
        <v>983</v>
      </c>
      <c r="H39" s="2" t="s">
        <v>984</v>
      </c>
      <c r="I39" s="2"/>
      <c r="J39" s="2" t="s">
        <v>18</v>
      </c>
    </row>
    <row r="40" spans="1:10" ht="21" customHeight="1">
      <c r="A40" s="2" t="s">
        <v>1024</v>
      </c>
      <c r="B40" s="2" t="s">
        <v>18</v>
      </c>
      <c r="C40" s="4">
        <v>45696.25</v>
      </c>
      <c r="D40" s="4">
        <v>45696.250485069446</v>
      </c>
      <c r="E40" s="2">
        <v>3.09</v>
      </c>
      <c r="F40" s="2">
        <v>64</v>
      </c>
      <c r="G40" s="2" t="s">
        <v>983</v>
      </c>
      <c r="H40" s="2" t="s">
        <v>984</v>
      </c>
      <c r="I40" s="2"/>
      <c r="J40" s="2" t="s">
        <v>18</v>
      </c>
    </row>
    <row r="41" spans="1:10" ht="21" customHeight="1">
      <c r="A41" s="2" t="s">
        <v>1025</v>
      </c>
      <c r="B41" s="2" t="s">
        <v>18</v>
      </c>
      <c r="C41" s="4">
        <v>45697.25</v>
      </c>
      <c r="D41" s="4">
        <v>45697.250547754629</v>
      </c>
      <c r="E41" s="2">
        <v>2.2999999999999998</v>
      </c>
      <c r="F41" s="2">
        <v>58.3</v>
      </c>
      <c r="G41" s="2" t="s">
        <v>983</v>
      </c>
      <c r="H41" s="2" t="s">
        <v>984</v>
      </c>
      <c r="I41" s="2"/>
      <c r="J41" s="2" t="s">
        <v>18</v>
      </c>
    </row>
    <row r="42" spans="1:10" ht="21" customHeight="1">
      <c r="A42" s="2" t="s">
        <v>1026</v>
      </c>
      <c r="B42" s="2" t="s">
        <v>18</v>
      </c>
      <c r="C42" s="4">
        <v>45698.25</v>
      </c>
      <c r="D42" s="4">
        <v>45698.250236851847</v>
      </c>
      <c r="E42" s="2">
        <v>2.13</v>
      </c>
      <c r="F42" s="2">
        <v>59</v>
      </c>
      <c r="G42" s="2" t="s">
        <v>983</v>
      </c>
      <c r="H42" s="2" t="s">
        <v>984</v>
      </c>
      <c r="I42" s="2"/>
      <c r="J42" s="2" t="s">
        <v>18</v>
      </c>
    </row>
    <row r="43" spans="1:10" ht="21" customHeight="1">
      <c r="A43" s="2" t="s">
        <v>1027</v>
      </c>
      <c r="B43" s="2" t="s">
        <v>982</v>
      </c>
      <c r="C43" s="4">
        <v>45699.25</v>
      </c>
      <c r="D43" s="4">
        <v>45699.250007592593</v>
      </c>
      <c r="E43" s="2">
        <v>2.59</v>
      </c>
      <c r="F43" s="2">
        <v>60.1</v>
      </c>
      <c r="G43" s="2" t="s">
        <v>983</v>
      </c>
      <c r="H43" s="2" t="s">
        <v>984</v>
      </c>
      <c r="I43" s="2"/>
      <c r="J43" s="2" t="s">
        <v>18</v>
      </c>
    </row>
    <row r="44" spans="1:10" ht="21" customHeight="1">
      <c r="A44" s="2" t="s">
        <v>1028</v>
      </c>
      <c r="B44" s="2" t="s">
        <v>18</v>
      </c>
      <c r="C44" s="4">
        <v>45700.25</v>
      </c>
      <c r="D44" s="4">
        <v>45700.250303819441</v>
      </c>
      <c r="E44" s="2">
        <v>3.25</v>
      </c>
      <c r="F44" s="2">
        <v>59</v>
      </c>
      <c r="G44" s="2" t="s">
        <v>983</v>
      </c>
      <c r="H44" s="2" t="s">
        <v>984</v>
      </c>
      <c r="I44" s="2"/>
      <c r="J44" s="2" t="s">
        <v>18</v>
      </c>
    </row>
    <row r="45" spans="1:10" ht="21" customHeight="1">
      <c r="A45" s="2" t="s">
        <v>1029</v>
      </c>
      <c r="B45" s="2" t="s">
        <v>18</v>
      </c>
      <c r="C45" s="4">
        <v>45701.25</v>
      </c>
      <c r="D45" s="4">
        <v>45701.250094988427</v>
      </c>
      <c r="E45" s="2">
        <v>3.14</v>
      </c>
      <c r="F45" s="2">
        <v>64.5</v>
      </c>
      <c r="G45" s="2" t="s">
        <v>983</v>
      </c>
      <c r="H45" s="2" t="s">
        <v>984</v>
      </c>
      <c r="I45" s="2"/>
      <c r="J45" s="2" t="s">
        <v>18</v>
      </c>
    </row>
    <row r="46" spans="1:10" ht="21" customHeight="1">
      <c r="A46" s="2" t="s">
        <v>1030</v>
      </c>
      <c r="B46" s="2" t="s">
        <v>18</v>
      </c>
      <c r="C46" s="4">
        <v>45702.25</v>
      </c>
      <c r="D46" s="4">
        <v>45702.250392210648</v>
      </c>
      <c r="E46" s="2">
        <v>2.36</v>
      </c>
      <c r="F46" s="2">
        <v>62.7</v>
      </c>
      <c r="G46" s="2" t="s">
        <v>983</v>
      </c>
      <c r="H46" s="2" t="s">
        <v>984</v>
      </c>
      <c r="I46" s="2"/>
      <c r="J46" s="2" t="s">
        <v>18</v>
      </c>
    </row>
    <row r="47" spans="1:10" ht="21" customHeight="1">
      <c r="A47" s="2" t="s">
        <v>1031</v>
      </c>
      <c r="B47" s="2" t="s">
        <v>18</v>
      </c>
      <c r="C47" s="4">
        <v>45703.25</v>
      </c>
      <c r="D47" s="4">
        <v>45703.250633460644</v>
      </c>
      <c r="E47" s="2">
        <v>2.5499999999999998</v>
      </c>
      <c r="F47" s="2">
        <v>65.5</v>
      </c>
      <c r="G47" s="2" t="s">
        <v>983</v>
      </c>
      <c r="H47" s="2" t="s">
        <v>984</v>
      </c>
      <c r="I47" s="2"/>
      <c r="J47" s="2" t="s">
        <v>18</v>
      </c>
    </row>
    <row r="48" spans="1:10" ht="21" customHeight="1">
      <c r="A48" s="2" t="s">
        <v>1032</v>
      </c>
      <c r="B48" s="2" t="s">
        <v>18</v>
      </c>
      <c r="C48" s="4">
        <v>45704.25</v>
      </c>
      <c r="D48" s="4">
        <v>45704.250302847227</v>
      </c>
      <c r="E48" s="2">
        <v>2.35</v>
      </c>
      <c r="F48" s="2">
        <v>61.5</v>
      </c>
      <c r="G48" s="2" t="s">
        <v>983</v>
      </c>
      <c r="H48" s="2" t="s">
        <v>984</v>
      </c>
      <c r="I48" s="2"/>
      <c r="J48" s="2" t="s">
        <v>18</v>
      </c>
    </row>
    <row r="49" spans="1:10" ht="21" customHeight="1">
      <c r="A49" s="2" t="s">
        <v>1033</v>
      </c>
      <c r="B49" s="2" t="s">
        <v>18</v>
      </c>
      <c r="C49" s="4">
        <v>45705.25</v>
      </c>
      <c r="D49" s="4">
        <v>45705.250576851853</v>
      </c>
      <c r="E49" s="2">
        <v>2.19</v>
      </c>
      <c r="F49" s="2">
        <v>64.400000000000006</v>
      </c>
      <c r="G49" s="2" t="s">
        <v>983</v>
      </c>
      <c r="H49" s="2" t="s">
        <v>984</v>
      </c>
      <c r="I49" s="2"/>
      <c r="J49" s="2" t="s">
        <v>18</v>
      </c>
    </row>
    <row r="50" spans="1:10" ht="21" customHeight="1">
      <c r="A50" s="2" t="s">
        <v>1034</v>
      </c>
      <c r="B50" s="2" t="s">
        <v>18</v>
      </c>
      <c r="C50" s="4">
        <v>45706.25</v>
      </c>
      <c r="D50" s="4">
        <v>45706.250425740742</v>
      </c>
      <c r="E50" s="2">
        <v>2.41</v>
      </c>
      <c r="F50" s="2">
        <v>65.7</v>
      </c>
      <c r="G50" s="2" t="s">
        <v>983</v>
      </c>
      <c r="H50" s="2" t="s">
        <v>984</v>
      </c>
      <c r="I50" s="2"/>
      <c r="J50" s="2" t="s">
        <v>18</v>
      </c>
    </row>
    <row r="51" spans="1:10" ht="21" customHeight="1">
      <c r="A51" s="2" t="s">
        <v>1035</v>
      </c>
      <c r="B51" s="2" t="s">
        <v>18</v>
      </c>
      <c r="C51" s="4">
        <v>45707.25</v>
      </c>
      <c r="D51" s="4">
        <v>45707.250152187495</v>
      </c>
      <c r="E51" s="2">
        <v>2.57</v>
      </c>
      <c r="F51" s="2">
        <v>58.7</v>
      </c>
      <c r="G51" s="2" t="s">
        <v>983</v>
      </c>
      <c r="H51" s="2" t="s">
        <v>984</v>
      </c>
      <c r="I51" s="2"/>
      <c r="J51" s="2" t="s">
        <v>18</v>
      </c>
    </row>
    <row r="52" spans="1:10" ht="21" customHeight="1">
      <c r="A52" s="2" t="s">
        <v>1036</v>
      </c>
      <c r="B52" s="2" t="s">
        <v>18</v>
      </c>
      <c r="C52" s="4">
        <v>45708.25</v>
      </c>
      <c r="D52" s="4">
        <v>45708.250210115744</v>
      </c>
      <c r="E52" s="2">
        <v>2.2000000000000002</v>
      </c>
      <c r="F52" s="2">
        <v>62</v>
      </c>
      <c r="G52" s="2" t="s">
        <v>983</v>
      </c>
      <c r="H52" s="2" t="s">
        <v>984</v>
      </c>
      <c r="I52" s="2"/>
      <c r="J52" s="2" t="s">
        <v>18</v>
      </c>
    </row>
    <row r="53" spans="1:10" ht="21" customHeight="1">
      <c r="A53" s="2" t="s">
        <v>1037</v>
      </c>
      <c r="B53" s="2" t="s">
        <v>18</v>
      </c>
      <c r="C53" s="4">
        <v>45709.25</v>
      </c>
      <c r="D53" s="4">
        <v>45709.250494571759</v>
      </c>
      <c r="E53" s="2">
        <v>2.23</v>
      </c>
      <c r="F53" s="2">
        <v>61.3</v>
      </c>
      <c r="G53" s="2" t="s">
        <v>983</v>
      </c>
      <c r="H53" s="2" t="s">
        <v>984</v>
      </c>
      <c r="I53" s="2" t="s">
        <v>985</v>
      </c>
      <c r="J53" s="2" t="s">
        <v>18</v>
      </c>
    </row>
    <row r="54" spans="1:10" ht="21" customHeight="1">
      <c r="A54" s="2" t="s">
        <v>1038</v>
      </c>
      <c r="B54" s="2" t="s">
        <v>18</v>
      </c>
      <c r="C54" s="4">
        <v>45710.25</v>
      </c>
      <c r="D54" s="4">
        <v>45710.250487372687</v>
      </c>
      <c r="E54" s="2">
        <v>3.23</v>
      </c>
      <c r="F54" s="2">
        <v>64.3</v>
      </c>
      <c r="G54" s="2" t="s">
        <v>983</v>
      </c>
      <c r="H54" s="2" t="s">
        <v>984</v>
      </c>
      <c r="I54" s="2"/>
      <c r="J54" s="2" t="s">
        <v>18</v>
      </c>
    </row>
    <row r="55" spans="1:10" ht="21" customHeight="1">
      <c r="A55" s="2" t="s">
        <v>1039</v>
      </c>
      <c r="B55" s="2" t="s">
        <v>18</v>
      </c>
      <c r="C55" s="4">
        <v>45711.25</v>
      </c>
      <c r="D55" s="4">
        <v>45711.250358194447</v>
      </c>
      <c r="E55" s="2">
        <v>3.2</v>
      </c>
      <c r="F55" s="2">
        <v>63</v>
      </c>
      <c r="G55" s="2" t="s">
        <v>983</v>
      </c>
      <c r="H55" s="2" t="s">
        <v>984</v>
      </c>
      <c r="I55" s="2"/>
      <c r="J55" s="2" t="s">
        <v>18</v>
      </c>
    </row>
    <row r="56" spans="1:10" ht="21" customHeight="1">
      <c r="A56" s="2" t="s">
        <v>1040</v>
      </c>
      <c r="B56" s="2" t="s">
        <v>18</v>
      </c>
      <c r="C56" s="4">
        <v>45712.25</v>
      </c>
      <c r="D56" s="4">
        <v>45712.250302210647</v>
      </c>
      <c r="E56" s="2">
        <v>2.66</v>
      </c>
      <c r="F56" s="2">
        <v>62.1</v>
      </c>
      <c r="G56" s="2" t="s">
        <v>983</v>
      </c>
      <c r="H56" s="2" t="s">
        <v>984</v>
      </c>
      <c r="I56" s="2"/>
      <c r="J56" s="2" t="s">
        <v>18</v>
      </c>
    </row>
    <row r="57" spans="1:10" ht="21" customHeight="1">
      <c r="A57" s="2" t="s">
        <v>1041</v>
      </c>
      <c r="B57" s="2" t="s">
        <v>18</v>
      </c>
      <c r="C57" s="4">
        <v>45713.25</v>
      </c>
      <c r="D57" s="4">
        <v>45713.25015177083</v>
      </c>
      <c r="E57" s="2">
        <v>2.1</v>
      </c>
      <c r="F57" s="2">
        <v>59.3</v>
      </c>
      <c r="G57" s="2" t="s">
        <v>983</v>
      </c>
      <c r="H57" s="2" t="s">
        <v>984</v>
      </c>
      <c r="I57" s="2"/>
      <c r="J57" s="2" t="s">
        <v>18</v>
      </c>
    </row>
    <row r="58" spans="1:10" ht="21" customHeight="1">
      <c r="A58" s="2" t="s">
        <v>1042</v>
      </c>
      <c r="B58" s="2" t="s">
        <v>18</v>
      </c>
      <c r="C58" s="4">
        <v>45714.25</v>
      </c>
      <c r="D58" s="4">
        <v>45714.250538252316</v>
      </c>
      <c r="E58" s="2">
        <v>2.89</v>
      </c>
      <c r="F58" s="2">
        <v>65.099999999999994</v>
      </c>
      <c r="G58" s="2" t="s">
        <v>983</v>
      </c>
      <c r="H58" s="2" t="s">
        <v>984</v>
      </c>
      <c r="I58" s="2"/>
      <c r="J58" s="2" t="s">
        <v>18</v>
      </c>
    </row>
    <row r="59" spans="1:10" ht="21" customHeight="1">
      <c r="A59" s="2" t="s">
        <v>1043</v>
      </c>
      <c r="B59" s="2" t="s">
        <v>18</v>
      </c>
      <c r="C59" s="4">
        <v>45715.25</v>
      </c>
      <c r="D59" s="4">
        <v>45715.250557268519</v>
      </c>
      <c r="E59" s="2">
        <v>2.89</v>
      </c>
      <c r="F59" s="2">
        <v>61</v>
      </c>
      <c r="G59" s="2" t="s">
        <v>983</v>
      </c>
      <c r="H59" s="2" t="s">
        <v>984</v>
      </c>
      <c r="I59" s="2"/>
      <c r="J59" s="2" t="s">
        <v>18</v>
      </c>
    </row>
    <row r="60" spans="1:10" ht="21" customHeight="1">
      <c r="A60" s="2" t="s">
        <v>1044</v>
      </c>
      <c r="B60" s="2" t="s">
        <v>18</v>
      </c>
      <c r="C60" s="4">
        <v>45716.25</v>
      </c>
      <c r="D60" s="4">
        <v>45716.250431608802</v>
      </c>
      <c r="E60" s="2">
        <v>2.95</v>
      </c>
      <c r="F60" s="2">
        <v>65.8</v>
      </c>
      <c r="G60" s="2" t="s">
        <v>983</v>
      </c>
      <c r="H60" s="2" t="s">
        <v>984</v>
      </c>
      <c r="I60" s="2"/>
      <c r="J60" s="2" t="s">
        <v>18</v>
      </c>
    </row>
    <row r="61" spans="1:10" ht="21" customHeight="1">
      <c r="A61" s="2" t="s">
        <v>1045</v>
      </c>
      <c r="B61" s="2" t="s">
        <v>18</v>
      </c>
      <c r="C61" s="4">
        <v>45717.25</v>
      </c>
      <c r="D61" s="4">
        <v>45717.250523680559</v>
      </c>
      <c r="E61" s="2">
        <v>2.68</v>
      </c>
      <c r="F61" s="2">
        <v>62.7</v>
      </c>
      <c r="G61" s="2" t="s">
        <v>983</v>
      </c>
      <c r="H61" s="2" t="s">
        <v>984</v>
      </c>
      <c r="I61" s="2"/>
      <c r="J61" s="2" t="s">
        <v>18</v>
      </c>
    </row>
    <row r="62" spans="1:10" ht="21" customHeight="1">
      <c r="A62" s="2" t="s">
        <v>1046</v>
      </c>
      <c r="B62" s="2" t="s">
        <v>18</v>
      </c>
      <c r="C62" s="4">
        <v>45718.25</v>
      </c>
      <c r="D62" s="4">
        <v>45718.250133969908</v>
      </c>
      <c r="E62" s="2">
        <v>2.2999999999999998</v>
      </c>
      <c r="F62" s="2">
        <v>59.7</v>
      </c>
      <c r="G62" s="2" t="s">
        <v>983</v>
      </c>
      <c r="H62" s="2" t="s">
        <v>984</v>
      </c>
      <c r="I62" s="2"/>
      <c r="J62" s="2" t="s">
        <v>18</v>
      </c>
    </row>
    <row r="63" spans="1:10" ht="21" customHeight="1">
      <c r="A63" s="2" t="s">
        <v>1047</v>
      </c>
      <c r="B63" s="2" t="s">
        <v>18</v>
      </c>
      <c r="C63" s="4">
        <v>45719.25</v>
      </c>
      <c r="D63" s="4">
        <v>45719.250060289356</v>
      </c>
      <c r="E63" s="2">
        <v>3.29</v>
      </c>
      <c r="F63" s="2">
        <v>60.6</v>
      </c>
      <c r="G63" s="2" t="s">
        <v>983</v>
      </c>
      <c r="H63" s="2" t="s">
        <v>984</v>
      </c>
      <c r="I63" s="2"/>
      <c r="J63" s="2" t="s">
        <v>18</v>
      </c>
    </row>
    <row r="64" spans="1:10" ht="21" customHeight="1">
      <c r="A64" s="2" t="s">
        <v>1048</v>
      </c>
      <c r="B64" s="2" t="s">
        <v>18</v>
      </c>
      <c r="C64" s="4">
        <v>45720.25</v>
      </c>
      <c r="D64" s="4">
        <v>45720.250080196754</v>
      </c>
      <c r="E64" s="2">
        <v>3.17</v>
      </c>
      <c r="F64" s="2">
        <v>60.6</v>
      </c>
      <c r="G64" s="2" t="s">
        <v>983</v>
      </c>
      <c r="H64" s="2" t="s">
        <v>984</v>
      </c>
      <c r="I64" s="2"/>
      <c r="J64" s="2" t="s">
        <v>18</v>
      </c>
    </row>
    <row r="65" spans="1:10" ht="21" customHeight="1">
      <c r="A65" s="2" t="s">
        <v>1049</v>
      </c>
      <c r="B65" s="2" t="s">
        <v>18</v>
      </c>
      <c r="C65" s="4">
        <v>45721.25</v>
      </c>
      <c r="D65" s="4">
        <v>45721.250328495371</v>
      </c>
      <c r="E65" s="2">
        <v>2.93</v>
      </c>
      <c r="F65" s="2">
        <v>63.7</v>
      </c>
      <c r="G65" s="2" t="s">
        <v>983</v>
      </c>
      <c r="H65" s="2" t="s">
        <v>984</v>
      </c>
      <c r="I65" s="2"/>
      <c r="J65" s="2" t="s">
        <v>18</v>
      </c>
    </row>
    <row r="66" spans="1:10" ht="21" customHeight="1">
      <c r="A66" s="2" t="s">
        <v>1050</v>
      </c>
      <c r="B66" s="2" t="s">
        <v>18</v>
      </c>
      <c r="C66" s="4">
        <v>45722.25</v>
      </c>
      <c r="D66" s="4">
        <v>45722.250454560184</v>
      </c>
      <c r="E66" s="2">
        <v>3.04</v>
      </c>
      <c r="F66" s="2">
        <v>60.8</v>
      </c>
      <c r="G66" s="2" t="s">
        <v>983</v>
      </c>
      <c r="H66" s="2" t="s">
        <v>984</v>
      </c>
      <c r="I66" s="2"/>
      <c r="J66" s="2" t="s">
        <v>18</v>
      </c>
    </row>
    <row r="67" spans="1:10" ht="21" customHeight="1">
      <c r="A67" s="2" t="s">
        <v>1051</v>
      </c>
      <c r="B67" s="2" t="s">
        <v>18</v>
      </c>
      <c r="C67" s="4">
        <v>45723.25</v>
      </c>
      <c r="D67" s="4">
        <v>45723.250104039354</v>
      </c>
      <c r="E67" s="2">
        <v>5</v>
      </c>
      <c r="F67" s="2">
        <v>69.900000000000006</v>
      </c>
      <c r="G67" s="2" t="s">
        <v>983</v>
      </c>
      <c r="H67" s="2" t="s">
        <v>984</v>
      </c>
      <c r="I67" s="2"/>
      <c r="J67" s="2" t="s">
        <v>18</v>
      </c>
    </row>
    <row r="68" spans="1:10" ht="21" customHeight="1">
      <c r="A68" s="2" t="s">
        <v>1052</v>
      </c>
      <c r="B68" s="2" t="s">
        <v>18</v>
      </c>
      <c r="C68" s="4">
        <v>45724.25</v>
      </c>
      <c r="D68" s="4">
        <v>45724.250030092589</v>
      </c>
      <c r="E68" s="2">
        <v>5.23</v>
      </c>
      <c r="F68" s="2">
        <v>72.2</v>
      </c>
      <c r="G68" s="2" t="s">
        <v>983</v>
      </c>
      <c r="H68" s="2" t="s">
        <v>984</v>
      </c>
      <c r="I68" s="2" t="s">
        <v>1053</v>
      </c>
      <c r="J68" s="2" t="s">
        <v>18</v>
      </c>
    </row>
    <row r="69" spans="1:10" ht="21" customHeight="1">
      <c r="A69" s="2" t="s">
        <v>1054</v>
      </c>
      <c r="B69" s="2" t="s">
        <v>18</v>
      </c>
      <c r="C69" s="4">
        <v>45725.25</v>
      </c>
      <c r="D69" s="4">
        <v>45725.250615254627</v>
      </c>
      <c r="E69" s="2">
        <v>4.3099999999999996</v>
      </c>
      <c r="F69" s="2">
        <v>70.599999999999994</v>
      </c>
      <c r="G69" s="2" t="s">
        <v>983</v>
      </c>
      <c r="H69" s="2" t="s">
        <v>984</v>
      </c>
      <c r="I69" s="2"/>
      <c r="J69" s="2" t="s">
        <v>18</v>
      </c>
    </row>
    <row r="70" spans="1:10" ht="21" customHeight="1">
      <c r="A70" s="2" t="s">
        <v>1055</v>
      </c>
      <c r="B70" s="2" t="s">
        <v>18</v>
      </c>
      <c r="C70" s="4">
        <v>45726.25</v>
      </c>
      <c r="D70" s="4">
        <v>45726.250212546292</v>
      </c>
      <c r="E70" s="2">
        <v>3.15</v>
      </c>
      <c r="F70" s="2">
        <v>63.5</v>
      </c>
      <c r="G70" s="2" t="s">
        <v>983</v>
      </c>
      <c r="H70" s="2" t="s">
        <v>984</v>
      </c>
      <c r="I70" s="2" t="s">
        <v>985</v>
      </c>
      <c r="J70" s="2" t="s">
        <v>18</v>
      </c>
    </row>
    <row r="71" spans="1:10" ht="21" customHeight="1">
      <c r="A71" s="2" t="s">
        <v>1056</v>
      </c>
      <c r="B71" s="2" t="s">
        <v>18</v>
      </c>
      <c r="C71" s="4">
        <v>45727.25</v>
      </c>
      <c r="D71" s="4">
        <v>45727.250414212962</v>
      </c>
      <c r="E71" s="2">
        <v>2.33</v>
      </c>
      <c r="F71" s="2">
        <v>60.5</v>
      </c>
      <c r="G71" s="2" t="s">
        <v>983</v>
      </c>
      <c r="H71" s="2" t="s">
        <v>984</v>
      </c>
      <c r="I71" s="2"/>
      <c r="J71" s="2" t="s">
        <v>18</v>
      </c>
    </row>
    <row r="72" spans="1:10" ht="21" customHeight="1">
      <c r="A72" s="2" t="s">
        <v>1057</v>
      </c>
      <c r="B72" s="2" t="s">
        <v>18</v>
      </c>
      <c r="C72" s="4">
        <v>45728.25</v>
      </c>
      <c r="D72" s="4">
        <v>45728.250370092588</v>
      </c>
      <c r="E72" s="2">
        <v>2.7</v>
      </c>
      <c r="F72" s="2">
        <v>58.4</v>
      </c>
      <c r="G72" s="2" t="s">
        <v>983</v>
      </c>
      <c r="H72" s="2" t="s">
        <v>984</v>
      </c>
      <c r="I72" s="2"/>
      <c r="J72" s="2" t="s">
        <v>18</v>
      </c>
    </row>
    <row r="73" spans="1:10" ht="21" customHeight="1">
      <c r="A73" s="2" t="s">
        <v>1058</v>
      </c>
      <c r="B73" s="2" t="s">
        <v>18</v>
      </c>
      <c r="C73" s="4">
        <v>45729.25</v>
      </c>
      <c r="D73" s="4">
        <v>45729.250099988421</v>
      </c>
      <c r="E73" s="2">
        <v>3.29</v>
      </c>
      <c r="F73" s="2">
        <v>61.1</v>
      </c>
      <c r="G73" s="2" t="s">
        <v>983</v>
      </c>
      <c r="H73" s="2" t="s">
        <v>984</v>
      </c>
      <c r="I73" s="2"/>
      <c r="J73" s="2" t="s">
        <v>18</v>
      </c>
    </row>
    <row r="74" spans="1:10" ht="21" customHeight="1">
      <c r="A74" s="2" t="s">
        <v>1059</v>
      </c>
      <c r="B74" s="2" t="s">
        <v>18</v>
      </c>
      <c r="C74" s="4">
        <v>45730.25</v>
      </c>
      <c r="D74" s="4">
        <v>45730.250176296293</v>
      </c>
      <c r="E74" s="2">
        <v>2.62</v>
      </c>
      <c r="F74" s="2">
        <v>63.3</v>
      </c>
      <c r="G74" s="2" t="s">
        <v>983</v>
      </c>
      <c r="H74" s="2" t="s">
        <v>984</v>
      </c>
      <c r="I74" s="2"/>
      <c r="J74" s="2" t="s">
        <v>18</v>
      </c>
    </row>
    <row r="75" spans="1:10" ht="21" customHeight="1">
      <c r="A75" s="2" t="s">
        <v>1060</v>
      </c>
      <c r="B75" s="2" t="s">
        <v>18</v>
      </c>
      <c r="C75" s="4">
        <v>45731.25</v>
      </c>
      <c r="D75" s="4">
        <v>45731.250183206022</v>
      </c>
      <c r="E75" s="2">
        <v>3.3</v>
      </c>
      <c r="F75" s="2">
        <v>65</v>
      </c>
      <c r="G75" s="2" t="s">
        <v>983</v>
      </c>
      <c r="H75" s="2" t="s">
        <v>984</v>
      </c>
      <c r="I75" s="2"/>
      <c r="J75" s="2" t="s">
        <v>18</v>
      </c>
    </row>
    <row r="76" spans="1:10" ht="21" customHeight="1">
      <c r="A76" s="2" t="s">
        <v>1061</v>
      </c>
      <c r="B76" s="2" t="s">
        <v>18</v>
      </c>
      <c r="C76" s="4">
        <v>45732.25</v>
      </c>
      <c r="D76" s="4">
        <v>45732.250395243056</v>
      </c>
      <c r="E76" s="2">
        <v>3.13</v>
      </c>
      <c r="F76" s="2">
        <v>58.3</v>
      </c>
      <c r="G76" s="2" t="s">
        <v>983</v>
      </c>
      <c r="H76" s="2" t="s">
        <v>984</v>
      </c>
      <c r="I76" s="2"/>
      <c r="J76" s="2" t="s">
        <v>18</v>
      </c>
    </row>
    <row r="77" spans="1:10" ht="21" customHeight="1">
      <c r="A77" s="2" t="s">
        <v>1062</v>
      </c>
      <c r="B77" s="2" t="s">
        <v>18</v>
      </c>
      <c r="C77" s="4">
        <v>45733.25</v>
      </c>
      <c r="D77" s="4">
        <v>45733.250448449078</v>
      </c>
      <c r="E77" s="2">
        <v>2.88</v>
      </c>
      <c r="F77" s="2">
        <v>63.8</v>
      </c>
      <c r="G77" s="2" t="s">
        <v>983</v>
      </c>
      <c r="H77" s="2" t="s">
        <v>984</v>
      </c>
      <c r="I77" s="2"/>
      <c r="J77" s="2" t="s">
        <v>18</v>
      </c>
    </row>
    <row r="78" spans="1:10" ht="21" customHeight="1">
      <c r="A78" s="2" t="s">
        <v>1063</v>
      </c>
      <c r="B78" s="2" t="s">
        <v>18</v>
      </c>
      <c r="C78" s="4">
        <v>45734.25</v>
      </c>
      <c r="D78" s="4">
        <v>45734.250220636575</v>
      </c>
      <c r="E78" s="2">
        <v>2.98</v>
      </c>
      <c r="F78" s="2">
        <v>60.6</v>
      </c>
      <c r="G78" s="2" t="s">
        <v>983</v>
      </c>
      <c r="H78" s="2" t="s">
        <v>984</v>
      </c>
      <c r="I78" s="2"/>
      <c r="J78" s="2" t="s">
        <v>18</v>
      </c>
    </row>
    <row r="79" spans="1:10" ht="21" customHeight="1">
      <c r="A79" s="2" t="s">
        <v>1064</v>
      </c>
      <c r="B79" s="2" t="s">
        <v>18</v>
      </c>
      <c r="C79" s="4">
        <v>45735.25</v>
      </c>
      <c r="D79" s="4">
        <v>45735.250686296291</v>
      </c>
      <c r="E79" s="2">
        <v>2.2400000000000002</v>
      </c>
      <c r="F79" s="2">
        <v>60.9</v>
      </c>
      <c r="G79" s="2" t="s">
        <v>983</v>
      </c>
      <c r="H79" s="2" t="s">
        <v>984</v>
      </c>
      <c r="I79" s="2"/>
      <c r="J79" s="2" t="s">
        <v>18</v>
      </c>
    </row>
    <row r="80" spans="1:10" ht="21" customHeight="1">
      <c r="A80" s="2" t="s">
        <v>1065</v>
      </c>
      <c r="B80" s="2" t="s">
        <v>18</v>
      </c>
      <c r="C80" s="4">
        <v>45736.25</v>
      </c>
      <c r="D80" s="4">
        <v>45736.25052155093</v>
      </c>
      <c r="E80" s="2"/>
      <c r="F80" s="2"/>
      <c r="G80" s="2" t="s">
        <v>983</v>
      </c>
      <c r="H80" s="2" t="s">
        <v>1066</v>
      </c>
      <c r="I80" s="2"/>
      <c r="J80" s="2" t="s">
        <v>18</v>
      </c>
    </row>
    <row r="81" spans="1:10" ht="21" customHeight="1">
      <c r="A81" s="2" t="s">
        <v>1067</v>
      </c>
      <c r="B81" s="2" t="s">
        <v>18</v>
      </c>
      <c r="C81" s="4">
        <v>45737.25</v>
      </c>
      <c r="D81" s="4">
        <v>45737.250041134263</v>
      </c>
      <c r="E81" s="2">
        <v>2.16</v>
      </c>
      <c r="F81" s="2">
        <v>65.099999999999994</v>
      </c>
      <c r="G81" s="2" t="s">
        <v>983</v>
      </c>
      <c r="H81" s="2" t="s">
        <v>984</v>
      </c>
      <c r="I81" s="2"/>
      <c r="J81" s="2" t="s">
        <v>18</v>
      </c>
    </row>
    <row r="82" spans="1:10" ht="21" customHeight="1">
      <c r="A82" s="2" t="s">
        <v>1068</v>
      </c>
      <c r="B82" s="2" t="s">
        <v>18</v>
      </c>
      <c r="C82" s="4">
        <v>45738.25</v>
      </c>
      <c r="D82" s="4">
        <v>45738.250379467594</v>
      </c>
      <c r="E82" s="2">
        <v>2.2999999999999998</v>
      </c>
      <c r="F82" s="2">
        <v>59.9</v>
      </c>
      <c r="G82" s="2" t="s">
        <v>983</v>
      </c>
      <c r="H82" s="2" t="s">
        <v>984</v>
      </c>
      <c r="I82" s="2"/>
      <c r="J82" s="2" t="s">
        <v>18</v>
      </c>
    </row>
    <row r="83" spans="1:10" ht="21" customHeight="1">
      <c r="A83" s="2" t="s">
        <v>1069</v>
      </c>
      <c r="B83" s="2" t="s">
        <v>18</v>
      </c>
      <c r="C83" s="4">
        <v>45739.25</v>
      </c>
      <c r="D83" s="4">
        <v>45739.250495023152</v>
      </c>
      <c r="E83" s="2">
        <v>2.61</v>
      </c>
      <c r="F83" s="2">
        <v>63.9</v>
      </c>
      <c r="G83" s="2" t="s">
        <v>983</v>
      </c>
      <c r="H83" s="2" t="s">
        <v>984</v>
      </c>
      <c r="I83" s="2"/>
      <c r="J83" s="2" t="s">
        <v>18</v>
      </c>
    </row>
    <row r="84" spans="1:10" ht="21" customHeight="1">
      <c r="A84" s="2" t="s">
        <v>1070</v>
      </c>
      <c r="B84" s="2" t="s">
        <v>982</v>
      </c>
      <c r="C84" s="4">
        <v>45740.25</v>
      </c>
      <c r="D84" s="4">
        <v>45740.250628831018</v>
      </c>
      <c r="E84" s="2">
        <v>2.62</v>
      </c>
      <c r="F84" s="2">
        <v>62.6</v>
      </c>
      <c r="G84" s="2" t="s">
        <v>983</v>
      </c>
      <c r="H84" s="2" t="s">
        <v>984</v>
      </c>
      <c r="I84" s="2"/>
      <c r="J84" s="2" t="s">
        <v>18</v>
      </c>
    </row>
    <row r="85" spans="1:10" ht="21" customHeight="1">
      <c r="A85" s="2" t="s">
        <v>1071</v>
      </c>
      <c r="B85" s="2" t="s">
        <v>18</v>
      </c>
      <c r="C85" s="4">
        <v>45741.25</v>
      </c>
      <c r="D85" s="4">
        <v>45741.250325347224</v>
      </c>
      <c r="E85" s="2">
        <v>2.9</v>
      </c>
      <c r="F85" s="2">
        <v>64.8</v>
      </c>
      <c r="G85" s="2" t="s">
        <v>983</v>
      </c>
      <c r="H85" s="2" t="s">
        <v>984</v>
      </c>
      <c r="I85" s="2"/>
      <c r="J85" s="2" t="s">
        <v>18</v>
      </c>
    </row>
    <row r="86" spans="1:10" ht="21" customHeight="1">
      <c r="A86" s="2" t="s">
        <v>1072</v>
      </c>
      <c r="B86" s="2" t="s">
        <v>18</v>
      </c>
      <c r="C86" s="4">
        <v>45742.25</v>
      </c>
      <c r="D86" s="4">
        <v>45742.250341701394</v>
      </c>
      <c r="E86" s="2">
        <v>2.5099999999999998</v>
      </c>
      <c r="F86" s="2">
        <v>60.1</v>
      </c>
      <c r="G86" s="2" t="s">
        <v>983</v>
      </c>
      <c r="H86" s="2" t="s">
        <v>984</v>
      </c>
      <c r="I86" s="2"/>
      <c r="J86" s="2" t="s">
        <v>18</v>
      </c>
    </row>
    <row r="87" spans="1:10" ht="21" customHeight="1">
      <c r="A87" s="2" t="s">
        <v>1073</v>
      </c>
      <c r="B87" s="2" t="s">
        <v>18</v>
      </c>
      <c r="C87" s="4">
        <v>45743.25</v>
      </c>
      <c r="D87" s="4">
        <v>45743.250401145837</v>
      </c>
      <c r="E87" s="2">
        <v>3.12</v>
      </c>
      <c r="F87" s="2">
        <v>59.3</v>
      </c>
      <c r="G87" s="2" t="s">
        <v>983</v>
      </c>
      <c r="H87" s="2" t="s">
        <v>984</v>
      </c>
      <c r="I87" s="2" t="s">
        <v>985</v>
      </c>
      <c r="J87" s="2" t="s">
        <v>18</v>
      </c>
    </row>
    <row r="88" spans="1:10" ht="21" customHeight="1">
      <c r="A88" s="2" t="s">
        <v>1074</v>
      </c>
      <c r="B88" s="2" t="s">
        <v>18</v>
      </c>
      <c r="C88" s="4">
        <v>45744.25</v>
      </c>
      <c r="D88" s="4">
        <v>45744.25048923611</v>
      </c>
      <c r="E88" s="2">
        <v>2.84</v>
      </c>
      <c r="F88" s="2">
        <v>58.7</v>
      </c>
      <c r="G88" s="2" t="s">
        <v>983</v>
      </c>
      <c r="H88" s="2" t="s">
        <v>984</v>
      </c>
      <c r="I88" s="2"/>
      <c r="J88" s="2" t="s">
        <v>18</v>
      </c>
    </row>
    <row r="89" spans="1:10" ht="21" customHeight="1">
      <c r="A89" s="2" t="s">
        <v>1075</v>
      </c>
      <c r="B89" s="2" t="s">
        <v>18</v>
      </c>
      <c r="C89" s="4">
        <v>45745.25</v>
      </c>
      <c r="D89" s="4">
        <v>45745.250439861113</v>
      </c>
      <c r="E89" s="2">
        <v>2.5499999999999998</v>
      </c>
      <c r="F89" s="2">
        <v>59.8</v>
      </c>
      <c r="G89" s="2" t="s">
        <v>983</v>
      </c>
      <c r="H89" s="2" t="s">
        <v>984</v>
      </c>
      <c r="I89" s="2"/>
      <c r="J89" s="2" t="s">
        <v>18</v>
      </c>
    </row>
    <row r="90" spans="1:10" ht="21" customHeight="1">
      <c r="A90" s="2" t="s">
        <v>1076</v>
      </c>
      <c r="B90" s="2" t="s">
        <v>18</v>
      </c>
      <c r="C90" s="4">
        <v>45746.25</v>
      </c>
      <c r="D90" s="4">
        <v>45746.250031203701</v>
      </c>
      <c r="E90" s="2">
        <v>20.75</v>
      </c>
      <c r="F90" s="2">
        <v>62.2</v>
      </c>
      <c r="G90" s="2" t="s">
        <v>983</v>
      </c>
      <c r="H90" s="2" t="s">
        <v>1022</v>
      </c>
      <c r="I90" s="2"/>
      <c r="J90" s="2" t="s">
        <v>18</v>
      </c>
    </row>
    <row r="91" spans="1:10" ht="21" customHeight="1">
      <c r="A91" s="2" t="s">
        <v>1077</v>
      </c>
      <c r="B91" s="2" t="s">
        <v>18</v>
      </c>
      <c r="C91" s="4">
        <v>45747.25</v>
      </c>
      <c r="D91" s="4">
        <v>45747.250520833331</v>
      </c>
      <c r="E91" s="2">
        <v>2.17</v>
      </c>
      <c r="F91" s="2">
        <v>60.4</v>
      </c>
      <c r="G91" s="2" t="s">
        <v>983</v>
      </c>
      <c r="H91" s="2" t="s">
        <v>984</v>
      </c>
      <c r="I91" s="2"/>
      <c r="J91" s="2" t="s">
        <v>18</v>
      </c>
    </row>
    <row r="92" spans="1:10" ht="21" customHeight="1">
      <c r="A92" s="2" t="s">
        <v>1078</v>
      </c>
      <c r="B92" s="2" t="s">
        <v>18</v>
      </c>
      <c r="C92" s="4">
        <v>45748.25</v>
      </c>
      <c r="D92" s="4">
        <v>45748.250152199078</v>
      </c>
      <c r="E92" s="2">
        <v>2.29</v>
      </c>
      <c r="F92" s="2">
        <v>60.6</v>
      </c>
      <c r="G92" s="2" t="s">
        <v>983</v>
      </c>
      <c r="H92" s="2" t="s">
        <v>984</v>
      </c>
      <c r="I92" s="2"/>
      <c r="J92" s="2" t="s">
        <v>18</v>
      </c>
    </row>
    <row r="93" spans="1:10" ht="21" customHeight="1">
      <c r="A93" s="2" t="s">
        <v>1079</v>
      </c>
      <c r="B93" s="2" t="s">
        <v>18</v>
      </c>
      <c r="C93" s="4">
        <v>45749.25</v>
      </c>
      <c r="D93" s="4">
        <v>45749.250317337966</v>
      </c>
      <c r="E93" s="2">
        <v>2.5099999999999998</v>
      </c>
      <c r="F93" s="2">
        <v>61.2</v>
      </c>
      <c r="G93" s="2" t="s">
        <v>983</v>
      </c>
      <c r="H93" s="2" t="s">
        <v>984</v>
      </c>
      <c r="I93" s="2"/>
      <c r="J93" s="2" t="s">
        <v>18</v>
      </c>
    </row>
    <row r="94" spans="1:10" ht="21" customHeight="1">
      <c r="A94" s="2" t="s">
        <v>1080</v>
      </c>
      <c r="B94" s="2" t="s">
        <v>18</v>
      </c>
      <c r="C94" s="4">
        <v>45750.25</v>
      </c>
      <c r="D94" s="4">
        <v>45750.250330254625</v>
      </c>
      <c r="E94" s="2">
        <v>3.21</v>
      </c>
      <c r="F94" s="2">
        <v>60.6</v>
      </c>
      <c r="G94" s="2" t="s">
        <v>983</v>
      </c>
      <c r="H94" s="2" t="s">
        <v>984</v>
      </c>
      <c r="I94" s="2"/>
      <c r="J94" s="2" t="s">
        <v>18</v>
      </c>
    </row>
    <row r="95" spans="1:10" ht="21" customHeight="1">
      <c r="A95" s="2" t="s">
        <v>1081</v>
      </c>
      <c r="B95" s="2" t="s">
        <v>18</v>
      </c>
      <c r="C95" s="4">
        <v>45751.25</v>
      </c>
      <c r="D95" s="4">
        <v>45751.250233819446</v>
      </c>
      <c r="E95" s="2">
        <v>3.04</v>
      </c>
      <c r="F95" s="2">
        <v>61.4</v>
      </c>
      <c r="G95" s="2" t="s">
        <v>983</v>
      </c>
      <c r="H95" s="2" t="s">
        <v>984</v>
      </c>
      <c r="I95" s="2"/>
      <c r="J95" s="2" t="s">
        <v>18</v>
      </c>
    </row>
    <row r="96" spans="1:10" ht="21" customHeight="1">
      <c r="A96" s="2" t="s">
        <v>1082</v>
      </c>
      <c r="B96" s="2" t="s">
        <v>18</v>
      </c>
      <c r="C96" s="4">
        <v>45752.25</v>
      </c>
      <c r="D96" s="4">
        <v>45752.250378240744</v>
      </c>
      <c r="E96" s="2">
        <v>2.85</v>
      </c>
      <c r="F96" s="2">
        <v>60.3</v>
      </c>
      <c r="G96" s="2" t="s">
        <v>983</v>
      </c>
      <c r="H96" s="2" t="s">
        <v>984</v>
      </c>
      <c r="I96" s="2"/>
      <c r="J96" s="2" t="s">
        <v>18</v>
      </c>
    </row>
    <row r="97" spans="1:10" ht="21" customHeight="1">
      <c r="A97" s="2" t="s">
        <v>1083</v>
      </c>
      <c r="B97" s="2" t="s">
        <v>18</v>
      </c>
      <c r="C97" s="4">
        <v>45753.25</v>
      </c>
      <c r="D97" s="4">
        <v>45753.250194236112</v>
      </c>
      <c r="E97" s="2">
        <v>2.85</v>
      </c>
      <c r="F97" s="2">
        <v>58.9</v>
      </c>
      <c r="G97" s="2" t="s">
        <v>983</v>
      </c>
      <c r="H97" s="2" t="s">
        <v>984</v>
      </c>
      <c r="I97" s="2"/>
      <c r="J97" s="2" t="s">
        <v>18</v>
      </c>
    </row>
    <row r="98" spans="1:10" ht="21" customHeight="1">
      <c r="A98" s="2" t="s">
        <v>1084</v>
      </c>
      <c r="B98" s="2" t="s">
        <v>18</v>
      </c>
      <c r="C98" s="4">
        <v>45754.25</v>
      </c>
      <c r="D98" s="4">
        <v>45754.250262951391</v>
      </c>
      <c r="E98" s="2">
        <v>3.29</v>
      </c>
      <c r="F98" s="2">
        <v>61.9</v>
      </c>
      <c r="G98" s="2" t="s">
        <v>983</v>
      </c>
      <c r="H98" s="2" t="s">
        <v>984</v>
      </c>
      <c r="I98" s="2"/>
      <c r="J98" s="2" t="s">
        <v>18</v>
      </c>
    </row>
    <row r="99" spans="1:10" ht="21" customHeight="1">
      <c r="A99" s="2" t="s">
        <v>1085</v>
      </c>
      <c r="B99" s="2" t="s">
        <v>18</v>
      </c>
      <c r="C99" s="4">
        <v>45755.25</v>
      </c>
      <c r="D99" s="4">
        <v>45755.250046886576</v>
      </c>
      <c r="E99" s="2">
        <v>2.95</v>
      </c>
      <c r="F99" s="2">
        <v>65.400000000000006</v>
      </c>
      <c r="G99" s="2" t="s">
        <v>983</v>
      </c>
      <c r="H99" s="2" t="s">
        <v>984</v>
      </c>
      <c r="I99" s="2"/>
      <c r="J99" s="2" t="s">
        <v>18</v>
      </c>
    </row>
    <row r="100" spans="1:10" ht="21" customHeight="1">
      <c r="A100" s="2" t="s">
        <v>1086</v>
      </c>
      <c r="B100" s="2" t="s">
        <v>18</v>
      </c>
      <c r="C100" s="4">
        <v>45756.25</v>
      </c>
      <c r="D100" s="4">
        <v>45756.250252037033</v>
      </c>
      <c r="E100" s="2">
        <v>3.22</v>
      </c>
      <c r="F100" s="2">
        <v>58.7</v>
      </c>
      <c r="G100" s="2" t="s">
        <v>983</v>
      </c>
      <c r="H100" s="2" t="s">
        <v>984</v>
      </c>
      <c r="I100" s="2"/>
      <c r="J100" s="2" t="s">
        <v>18</v>
      </c>
    </row>
    <row r="101" spans="1:10" ht="21" customHeight="1">
      <c r="A101" s="2" t="s">
        <v>1087</v>
      </c>
      <c r="B101" s="2" t="s">
        <v>18</v>
      </c>
      <c r="C101" s="4">
        <v>45757.25</v>
      </c>
      <c r="D101" s="4">
        <v>45757.250218738423</v>
      </c>
      <c r="E101" s="2">
        <v>2.4</v>
      </c>
      <c r="F101" s="2">
        <v>63.3</v>
      </c>
      <c r="G101" s="2" t="s">
        <v>983</v>
      </c>
      <c r="H101" s="2" t="s">
        <v>984</v>
      </c>
      <c r="I101" s="2"/>
      <c r="J101" s="2" t="s">
        <v>18</v>
      </c>
    </row>
    <row r="102" spans="1:10" ht="21" customHeight="1">
      <c r="A102" s="2" t="s">
        <v>1088</v>
      </c>
      <c r="B102" s="2" t="s">
        <v>18</v>
      </c>
      <c r="C102" s="4">
        <v>45758.25</v>
      </c>
      <c r="D102" s="4">
        <v>45758.250386331019</v>
      </c>
      <c r="E102" s="2"/>
      <c r="F102" s="2"/>
      <c r="G102" s="2" t="s">
        <v>983</v>
      </c>
      <c r="H102" s="2" t="s">
        <v>1066</v>
      </c>
      <c r="I102" s="2"/>
      <c r="J102" s="2" t="s">
        <v>18</v>
      </c>
    </row>
    <row r="103" spans="1:10" ht="21" customHeight="1">
      <c r="A103" s="2" t="s">
        <v>1089</v>
      </c>
      <c r="B103" s="2" t="s">
        <v>18</v>
      </c>
      <c r="C103" s="4">
        <v>45759.25</v>
      </c>
      <c r="D103" s="4">
        <v>45759.250583518515</v>
      </c>
      <c r="E103" s="2">
        <v>2.9</v>
      </c>
      <c r="F103" s="2">
        <v>59.8</v>
      </c>
      <c r="G103" s="2" t="s">
        <v>983</v>
      </c>
      <c r="H103" s="2" t="s">
        <v>984</v>
      </c>
      <c r="I103" s="2"/>
      <c r="J103" s="2" t="s">
        <v>18</v>
      </c>
    </row>
    <row r="104" spans="1:10" ht="21" customHeight="1">
      <c r="A104" s="2" t="s">
        <v>1090</v>
      </c>
      <c r="B104" s="2" t="s">
        <v>18</v>
      </c>
      <c r="C104" s="4">
        <v>45760.25</v>
      </c>
      <c r="D104" s="4">
        <v>45760.250259641209</v>
      </c>
      <c r="E104" s="2">
        <v>3.19</v>
      </c>
      <c r="F104" s="2">
        <v>64.400000000000006</v>
      </c>
      <c r="G104" s="2" t="s">
        <v>983</v>
      </c>
      <c r="H104" s="2" t="s">
        <v>984</v>
      </c>
      <c r="I104" s="2" t="s">
        <v>985</v>
      </c>
      <c r="J104" s="2" t="s">
        <v>18</v>
      </c>
    </row>
    <row r="105" spans="1:10" ht="21" customHeight="1">
      <c r="A105" s="2" t="s">
        <v>1091</v>
      </c>
      <c r="B105" s="2" t="s">
        <v>18</v>
      </c>
      <c r="C105" s="4">
        <v>45761.25</v>
      </c>
      <c r="D105" s="4">
        <v>45761.250160995369</v>
      </c>
      <c r="E105" s="2">
        <v>2.5099999999999998</v>
      </c>
      <c r="F105" s="2">
        <v>61.3</v>
      </c>
      <c r="G105" s="2" t="s">
        <v>983</v>
      </c>
      <c r="H105" s="2" t="s">
        <v>984</v>
      </c>
      <c r="I105" s="2"/>
      <c r="J105" s="2" t="s">
        <v>18</v>
      </c>
    </row>
    <row r="106" spans="1:10" ht="21" customHeight="1">
      <c r="A106" s="2" t="s">
        <v>1092</v>
      </c>
      <c r="B106" s="2" t="s">
        <v>18</v>
      </c>
      <c r="C106" s="4">
        <v>45762.25</v>
      </c>
      <c r="D106" s="4">
        <v>45762.25034356481</v>
      </c>
      <c r="E106" s="2">
        <v>3.14</v>
      </c>
      <c r="F106" s="2">
        <v>63.5</v>
      </c>
      <c r="G106" s="2" t="s">
        <v>983</v>
      </c>
      <c r="H106" s="2" t="s">
        <v>984</v>
      </c>
      <c r="I106" s="2"/>
      <c r="J106" s="2" t="s">
        <v>18</v>
      </c>
    </row>
    <row r="107" spans="1:10" ht="21" customHeight="1">
      <c r="A107" s="2" t="s">
        <v>1093</v>
      </c>
      <c r="B107" s="2" t="s">
        <v>18</v>
      </c>
      <c r="C107" s="4">
        <v>45763.25</v>
      </c>
      <c r="D107" s="4">
        <v>45763.250431203705</v>
      </c>
      <c r="E107" s="2">
        <v>2.56</v>
      </c>
      <c r="F107" s="2">
        <v>60.4</v>
      </c>
      <c r="G107" s="2" t="s">
        <v>983</v>
      </c>
      <c r="H107" s="2" t="s">
        <v>984</v>
      </c>
      <c r="I107" s="2"/>
      <c r="J107" s="2" t="s">
        <v>18</v>
      </c>
    </row>
    <row r="108" spans="1:10" ht="21" customHeight="1">
      <c r="A108" s="2" t="s">
        <v>1094</v>
      </c>
      <c r="B108" s="2" t="s">
        <v>18</v>
      </c>
      <c r="C108" s="4">
        <v>45764.25</v>
      </c>
      <c r="D108" s="4">
        <v>45764.250019502317</v>
      </c>
      <c r="E108" s="2">
        <v>2.82</v>
      </c>
      <c r="F108" s="2">
        <v>60.2</v>
      </c>
      <c r="G108" s="2" t="s">
        <v>983</v>
      </c>
      <c r="H108" s="2" t="s">
        <v>984</v>
      </c>
      <c r="I108" s="2"/>
      <c r="J108" s="2" t="s">
        <v>18</v>
      </c>
    </row>
    <row r="109" spans="1:10" ht="21" customHeight="1">
      <c r="A109" s="2" t="s">
        <v>1095</v>
      </c>
      <c r="B109" s="2" t="s">
        <v>18</v>
      </c>
      <c r="C109" s="4">
        <v>45765.25</v>
      </c>
      <c r="D109" s="4">
        <v>45765.25000594907</v>
      </c>
      <c r="E109" s="2">
        <v>3.17</v>
      </c>
      <c r="F109" s="2">
        <v>60.3</v>
      </c>
      <c r="G109" s="2" t="s">
        <v>983</v>
      </c>
      <c r="H109" s="2" t="s">
        <v>984</v>
      </c>
      <c r="I109" s="2"/>
      <c r="J109" s="2" t="s">
        <v>18</v>
      </c>
    </row>
    <row r="110" spans="1:10" ht="21" customHeight="1">
      <c r="A110" s="2" t="s">
        <v>1096</v>
      </c>
      <c r="B110" s="2" t="s">
        <v>18</v>
      </c>
      <c r="C110" s="4">
        <v>45766.25</v>
      </c>
      <c r="D110" s="4">
        <v>45766.250463402779</v>
      </c>
      <c r="E110" s="2">
        <v>2.7</v>
      </c>
      <c r="F110" s="2">
        <v>60.8</v>
      </c>
      <c r="G110" s="2" t="s">
        <v>983</v>
      </c>
      <c r="H110" s="2" t="s">
        <v>984</v>
      </c>
      <c r="I110" s="2"/>
      <c r="J110" s="2" t="s">
        <v>18</v>
      </c>
    </row>
    <row r="111" spans="1:10" ht="21" customHeight="1">
      <c r="A111" s="2" t="s">
        <v>1097</v>
      </c>
      <c r="B111" s="2" t="s">
        <v>18</v>
      </c>
      <c r="C111" s="4">
        <v>45767.25</v>
      </c>
      <c r="D111" s="4">
        <v>45767.250174548608</v>
      </c>
      <c r="E111" s="2"/>
      <c r="F111" s="2"/>
      <c r="G111" s="2" t="s">
        <v>983</v>
      </c>
      <c r="H111" s="2" t="s">
        <v>1066</v>
      </c>
      <c r="I111" s="2"/>
      <c r="J111" s="2" t="s">
        <v>18</v>
      </c>
    </row>
    <row r="112" spans="1:10" ht="21" customHeight="1">
      <c r="A112" s="2" t="s">
        <v>1098</v>
      </c>
      <c r="B112" s="2" t="s">
        <v>18</v>
      </c>
      <c r="C112" s="4">
        <v>45768.25</v>
      </c>
      <c r="D112" s="4">
        <v>45768.250531689817</v>
      </c>
      <c r="E112" s="2">
        <v>2.33</v>
      </c>
      <c r="F112" s="2">
        <v>59.8</v>
      </c>
      <c r="G112" s="2" t="s">
        <v>983</v>
      </c>
      <c r="H112" s="2" t="s">
        <v>984</v>
      </c>
      <c r="I112" s="2"/>
      <c r="J112" s="2" t="s">
        <v>18</v>
      </c>
    </row>
    <row r="113" spans="1:10" ht="21" customHeight="1">
      <c r="A113" s="2" t="s">
        <v>1099</v>
      </c>
      <c r="B113" s="2" t="s">
        <v>18</v>
      </c>
      <c r="C113" s="4">
        <v>45769.25</v>
      </c>
      <c r="D113" s="4">
        <v>45769.250549756944</v>
      </c>
      <c r="E113" s="2">
        <v>3.14</v>
      </c>
      <c r="F113" s="2">
        <v>60.5</v>
      </c>
      <c r="G113" s="2" t="s">
        <v>983</v>
      </c>
      <c r="H113" s="2" t="s">
        <v>984</v>
      </c>
      <c r="I113" s="2"/>
      <c r="J113" s="2" t="s">
        <v>18</v>
      </c>
    </row>
    <row r="114" spans="1:10" ht="21" customHeight="1">
      <c r="A114" s="2" t="s">
        <v>1100</v>
      </c>
      <c r="B114" s="2" t="s">
        <v>18</v>
      </c>
      <c r="C114" s="4">
        <v>45770.25</v>
      </c>
      <c r="D114" s="4">
        <v>45770.250376145836</v>
      </c>
      <c r="E114" s="2">
        <v>2.82</v>
      </c>
      <c r="F114" s="2">
        <v>61.1</v>
      </c>
      <c r="G114" s="2" t="s">
        <v>983</v>
      </c>
      <c r="H114" s="2" t="s">
        <v>984</v>
      </c>
      <c r="I114" s="2"/>
      <c r="J114" s="2" t="s">
        <v>18</v>
      </c>
    </row>
    <row r="115" spans="1:10" ht="21" customHeight="1">
      <c r="A115" s="2" t="s">
        <v>1101</v>
      </c>
      <c r="B115" s="2" t="s">
        <v>18</v>
      </c>
      <c r="C115" s="4">
        <v>45771.25</v>
      </c>
      <c r="D115" s="4">
        <v>45771.250512650462</v>
      </c>
      <c r="E115" s="2">
        <v>2.2200000000000002</v>
      </c>
      <c r="F115" s="2">
        <v>60.3</v>
      </c>
      <c r="G115" s="2" t="s">
        <v>983</v>
      </c>
      <c r="H115" s="2" t="s">
        <v>984</v>
      </c>
      <c r="I115" s="2"/>
      <c r="J115" s="2" t="s">
        <v>18</v>
      </c>
    </row>
    <row r="116" spans="1:10" ht="21" customHeight="1">
      <c r="A116" s="2" t="s">
        <v>1102</v>
      </c>
      <c r="B116" s="2" t="s">
        <v>18</v>
      </c>
      <c r="C116" s="4">
        <v>45772.25</v>
      </c>
      <c r="D116" s="4">
        <v>45772.250020706022</v>
      </c>
      <c r="E116" s="2">
        <v>2.48</v>
      </c>
      <c r="F116" s="2">
        <v>61.3</v>
      </c>
      <c r="G116" s="2" t="s">
        <v>983</v>
      </c>
      <c r="H116" s="2" t="s">
        <v>984</v>
      </c>
      <c r="I116" s="2"/>
      <c r="J116" s="2" t="s">
        <v>18</v>
      </c>
    </row>
    <row r="117" spans="1:10" ht="21" customHeight="1">
      <c r="A117" s="2" t="s">
        <v>1103</v>
      </c>
      <c r="B117" s="2" t="s">
        <v>18</v>
      </c>
      <c r="C117" s="4">
        <v>45773.25</v>
      </c>
      <c r="D117" s="4">
        <v>45773.250538368055</v>
      </c>
      <c r="E117" s="2">
        <v>2.2799999999999998</v>
      </c>
      <c r="F117" s="2">
        <v>59.8</v>
      </c>
      <c r="G117" s="2" t="s">
        <v>983</v>
      </c>
      <c r="H117" s="2" t="s">
        <v>984</v>
      </c>
      <c r="I117" s="2"/>
      <c r="J117" s="2" t="s">
        <v>18</v>
      </c>
    </row>
    <row r="118" spans="1:10" ht="21" customHeight="1">
      <c r="A118" s="2" t="s">
        <v>1104</v>
      </c>
      <c r="B118" s="2" t="s">
        <v>18</v>
      </c>
      <c r="C118" s="4">
        <v>45774.25</v>
      </c>
      <c r="D118" s="4">
        <v>45774.250343148145</v>
      </c>
      <c r="E118" s="2">
        <v>2.54</v>
      </c>
      <c r="F118" s="2">
        <v>61.1</v>
      </c>
      <c r="G118" s="2" t="s">
        <v>983</v>
      </c>
      <c r="H118" s="2" t="s">
        <v>984</v>
      </c>
      <c r="I118" s="2"/>
      <c r="J118" s="2" t="s">
        <v>18</v>
      </c>
    </row>
    <row r="119" spans="1:10" ht="21" customHeight="1">
      <c r="A119" s="2" t="s">
        <v>1105</v>
      </c>
      <c r="B119" s="2" t="s">
        <v>18</v>
      </c>
      <c r="C119" s="4">
        <v>45775.25</v>
      </c>
      <c r="D119" s="4">
        <v>45775.250635023149</v>
      </c>
      <c r="E119" s="2">
        <v>2.2400000000000002</v>
      </c>
      <c r="F119" s="2">
        <v>61.7</v>
      </c>
      <c r="G119" s="2" t="s">
        <v>983</v>
      </c>
      <c r="H119" s="2" t="s">
        <v>984</v>
      </c>
      <c r="I119" s="2"/>
      <c r="J119" s="2" t="s">
        <v>18</v>
      </c>
    </row>
    <row r="120" spans="1:10" ht="21" customHeight="1">
      <c r="A120" s="2" t="s">
        <v>1106</v>
      </c>
      <c r="B120" s="2" t="s">
        <v>18</v>
      </c>
      <c r="C120" s="4">
        <v>45776.25</v>
      </c>
      <c r="D120" s="4">
        <v>45776.250613217591</v>
      </c>
      <c r="E120" s="2">
        <v>2.4</v>
      </c>
      <c r="F120" s="2">
        <v>64.5</v>
      </c>
      <c r="G120" s="2" t="s">
        <v>983</v>
      </c>
      <c r="H120" s="2" t="s">
        <v>984</v>
      </c>
      <c r="I120" s="2"/>
      <c r="J120" s="2" t="s">
        <v>18</v>
      </c>
    </row>
    <row r="121" spans="1:10" ht="21" customHeight="1">
      <c r="A121" s="2" t="s">
        <v>1107</v>
      </c>
      <c r="B121" s="2" t="s">
        <v>18</v>
      </c>
      <c r="C121" s="4">
        <v>45777.25</v>
      </c>
      <c r="D121" s="4">
        <v>45777.25008106482</v>
      </c>
      <c r="E121" s="2">
        <v>2.52</v>
      </c>
      <c r="F121" s="2">
        <v>60.3</v>
      </c>
      <c r="G121" s="2" t="s">
        <v>983</v>
      </c>
      <c r="H121" s="2" t="s">
        <v>984</v>
      </c>
      <c r="I121" s="2" t="s">
        <v>985</v>
      </c>
      <c r="J121" s="2" t="s">
        <v>18</v>
      </c>
    </row>
    <row r="122" spans="1:10" ht="21" customHeight="1">
      <c r="A122" s="2" t="s">
        <v>1108</v>
      </c>
      <c r="B122" s="2" t="s">
        <v>18</v>
      </c>
      <c r="C122" s="4">
        <v>45778.25</v>
      </c>
      <c r="D122" s="4">
        <v>45778.250058645834</v>
      </c>
      <c r="E122" s="2">
        <v>2.27</v>
      </c>
      <c r="F122" s="2">
        <v>62.9</v>
      </c>
      <c r="G122" s="2" t="s">
        <v>983</v>
      </c>
      <c r="H122" s="2" t="s">
        <v>984</v>
      </c>
      <c r="I122" s="2"/>
      <c r="J122" s="2" t="s">
        <v>18</v>
      </c>
    </row>
    <row r="123" spans="1:10" ht="21" customHeight="1">
      <c r="A123" s="2" t="s">
        <v>1109</v>
      </c>
      <c r="B123" s="2" t="s">
        <v>18</v>
      </c>
      <c r="C123" s="4">
        <v>45779.25</v>
      </c>
      <c r="D123" s="4">
        <v>45779.250425590275</v>
      </c>
      <c r="E123" s="2">
        <v>2.4</v>
      </c>
      <c r="F123" s="2">
        <v>59.6</v>
      </c>
      <c r="G123" s="2" t="s">
        <v>983</v>
      </c>
      <c r="H123" s="2" t="s">
        <v>984</v>
      </c>
      <c r="I123" s="2"/>
      <c r="J123" s="2" t="s">
        <v>18</v>
      </c>
    </row>
    <row r="124" spans="1:10" ht="21" customHeight="1">
      <c r="A124" s="2" t="s">
        <v>1110</v>
      </c>
      <c r="B124" s="2" t="s">
        <v>18</v>
      </c>
      <c r="C124" s="4">
        <v>45780.25</v>
      </c>
      <c r="D124" s="4">
        <v>45780.250210775463</v>
      </c>
      <c r="E124" s="2">
        <v>2.94</v>
      </c>
      <c r="F124" s="2">
        <v>64</v>
      </c>
      <c r="G124" s="2" t="s">
        <v>983</v>
      </c>
      <c r="H124" s="2" t="s">
        <v>984</v>
      </c>
      <c r="I124" s="2"/>
      <c r="J124" s="2" t="s">
        <v>18</v>
      </c>
    </row>
    <row r="125" spans="1:10" ht="21" customHeight="1">
      <c r="A125" s="2" t="s">
        <v>1111</v>
      </c>
      <c r="B125" s="2" t="s">
        <v>982</v>
      </c>
      <c r="C125" s="4">
        <v>45781.25</v>
      </c>
      <c r="D125" s="4">
        <v>45781.25010701389</v>
      </c>
      <c r="E125" s="2"/>
      <c r="F125" s="2"/>
      <c r="G125" s="2" t="s">
        <v>983</v>
      </c>
      <c r="H125" s="2" t="s">
        <v>1066</v>
      </c>
      <c r="I125" s="2"/>
      <c r="J125" s="2" t="s">
        <v>18</v>
      </c>
    </row>
    <row r="126" spans="1:10" ht="21" customHeight="1">
      <c r="A126" s="2" t="s">
        <v>1112</v>
      </c>
      <c r="B126" s="2" t="s">
        <v>18</v>
      </c>
      <c r="C126" s="4">
        <v>45782.25</v>
      </c>
      <c r="D126" s="4">
        <v>45782.250273541664</v>
      </c>
      <c r="E126" s="2">
        <v>2.19</v>
      </c>
      <c r="F126" s="2">
        <v>64.3</v>
      </c>
      <c r="G126" s="2" t="s">
        <v>983</v>
      </c>
      <c r="H126" s="2" t="s">
        <v>984</v>
      </c>
      <c r="I126" s="2"/>
      <c r="J126" s="2" t="s">
        <v>18</v>
      </c>
    </row>
    <row r="127" spans="1:10" ht="21" customHeight="1">
      <c r="A127" s="2" t="s">
        <v>1113</v>
      </c>
      <c r="B127" s="2" t="s">
        <v>18</v>
      </c>
      <c r="C127" s="4">
        <v>45783.25</v>
      </c>
      <c r="D127" s="4">
        <v>45783.250516377317</v>
      </c>
      <c r="E127" s="2">
        <v>2.2999999999999998</v>
      </c>
      <c r="F127" s="2">
        <v>64.3</v>
      </c>
      <c r="G127" s="2" t="s">
        <v>983</v>
      </c>
      <c r="H127" s="2" t="s">
        <v>984</v>
      </c>
      <c r="I127" s="2"/>
      <c r="J127" s="2" t="s">
        <v>18</v>
      </c>
    </row>
    <row r="128" spans="1:10" ht="21" customHeight="1">
      <c r="A128" s="2" t="s">
        <v>1114</v>
      </c>
      <c r="B128" s="2" t="s">
        <v>18</v>
      </c>
      <c r="C128" s="4">
        <v>45784.25</v>
      </c>
      <c r="D128" s="4">
        <v>45784.250340833329</v>
      </c>
      <c r="E128" s="2">
        <v>2.5</v>
      </c>
      <c r="F128" s="2">
        <v>65.7</v>
      </c>
      <c r="G128" s="2" t="s">
        <v>983</v>
      </c>
      <c r="H128" s="2" t="s">
        <v>984</v>
      </c>
      <c r="I128" s="2"/>
      <c r="J128" s="2" t="s">
        <v>18</v>
      </c>
    </row>
    <row r="129" spans="1:10" ht="21" customHeight="1">
      <c r="A129" s="2" t="s">
        <v>1115</v>
      </c>
      <c r="B129" s="2" t="s">
        <v>18</v>
      </c>
      <c r="C129" s="4">
        <v>45785.25</v>
      </c>
      <c r="D129" s="4">
        <v>45785.250305995374</v>
      </c>
      <c r="E129" s="2">
        <v>2.1800000000000002</v>
      </c>
      <c r="F129" s="2">
        <v>63.2</v>
      </c>
      <c r="G129" s="2" t="s">
        <v>983</v>
      </c>
      <c r="H129" s="2" t="s">
        <v>984</v>
      </c>
      <c r="I129" s="2"/>
      <c r="J129" s="2" t="s">
        <v>18</v>
      </c>
    </row>
    <row r="130" spans="1:10" ht="21" customHeight="1">
      <c r="A130" s="2" t="s">
        <v>1116</v>
      </c>
      <c r="B130" s="2" t="s">
        <v>18</v>
      </c>
      <c r="C130" s="4">
        <v>45786.25</v>
      </c>
      <c r="D130" s="4">
        <v>45786.250263969909</v>
      </c>
      <c r="E130" s="2">
        <v>3.24</v>
      </c>
      <c r="F130" s="2">
        <v>59.6</v>
      </c>
      <c r="G130" s="2" t="s">
        <v>983</v>
      </c>
      <c r="H130" s="2" t="s">
        <v>984</v>
      </c>
      <c r="I130" s="2"/>
      <c r="J130" s="2" t="s">
        <v>18</v>
      </c>
    </row>
    <row r="131" spans="1:10" ht="21" customHeight="1">
      <c r="A131" s="2" t="s">
        <v>1117</v>
      </c>
      <c r="B131" s="2" t="s">
        <v>18</v>
      </c>
      <c r="C131" s="4">
        <v>45787.25</v>
      </c>
      <c r="D131" s="4">
        <v>45787.250635520832</v>
      </c>
      <c r="E131" s="2">
        <v>2.19</v>
      </c>
      <c r="F131" s="2">
        <v>65</v>
      </c>
      <c r="G131" s="2" t="s">
        <v>983</v>
      </c>
      <c r="H131" s="2" t="s">
        <v>984</v>
      </c>
      <c r="I131" s="2"/>
      <c r="J131" s="2" t="s">
        <v>18</v>
      </c>
    </row>
    <row r="132" spans="1:10" ht="21" customHeight="1">
      <c r="A132" s="2" t="s">
        <v>1118</v>
      </c>
      <c r="B132" s="2" t="s">
        <v>18</v>
      </c>
      <c r="C132" s="4">
        <v>45788.25</v>
      </c>
      <c r="D132" s="4">
        <v>45788.250526516204</v>
      </c>
      <c r="E132" s="2">
        <v>2.2799999999999998</v>
      </c>
      <c r="F132" s="2">
        <v>61.2</v>
      </c>
      <c r="G132" s="2" t="s">
        <v>983</v>
      </c>
      <c r="H132" s="2" t="s">
        <v>984</v>
      </c>
      <c r="I132" s="2"/>
      <c r="J132" s="2" t="s">
        <v>18</v>
      </c>
    </row>
    <row r="133" spans="1:10" ht="21" customHeight="1">
      <c r="A133" s="2" t="s">
        <v>1119</v>
      </c>
      <c r="B133" s="2" t="s">
        <v>18</v>
      </c>
      <c r="C133" s="4">
        <v>45789.25</v>
      </c>
      <c r="D133" s="4">
        <v>45789.250251886573</v>
      </c>
      <c r="E133" s="2">
        <v>2.12</v>
      </c>
      <c r="F133" s="2">
        <v>64.7</v>
      </c>
      <c r="G133" s="2" t="s">
        <v>983</v>
      </c>
      <c r="H133" s="2" t="s">
        <v>984</v>
      </c>
      <c r="I133" s="2"/>
      <c r="J133" s="2" t="s">
        <v>18</v>
      </c>
    </row>
    <row r="134" spans="1:10" ht="21" customHeight="1">
      <c r="A134" s="2" t="s">
        <v>1120</v>
      </c>
      <c r="B134" s="2" t="s">
        <v>18</v>
      </c>
      <c r="C134" s="4">
        <v>45790.25</v>
      </c>
      <c r="D134" s="4">
        <v>45790.25031369213</v>
      </c>
      <c r="E134" s="2">
        <v>2.7</v>
      </c>
      <c r="F134" s="2">
        <v>59.2</v>
      </c>
      <c r="G134" s="2" t="s">
        <v>983</v>
      </c>
      <c r="H134" s="2" t="s">
        <v>984</v>
      </c>
      <c r="I134" s="2"/>
      <c r="J134" s="2" t="s">
        <v>18</v>
      </c>
    </row>
    <row r="135" spans="1:10" ht="21" customHeight="1">
      <c r="A135" s="2" t="s">
        <v>1121</v>
      </c>
      <c r="B135" s="2" t="s">
        <v>18</v>
      </c>
      <c r="C135" s="4">
        <v>45791.25</v>
      </c>
      <c r="D135" s="4">
        <v>45791.250340381943</v>
      </c>
      <c r="E135" s="2">
        <v>2.1</v>
      </c>
      <c r="F135" s="2">
        <v>64.8</v>
      </c>
      <c r="G135" s="2" t="s">
        <v>983</v>
      </c>
      <c r="H135" s="2" t="s">
        <v>984</v>
      </c>
      <c r="I135" s="2"/>
      <c r="J135" s="2" t="s">
        <v>18</v>
      </c>
    </row>
    <row r="136" spans="1:10" ht="21" customHeight="1">
      <c r="A136" s="2" t="s">
        <v>1122</v>
      </c>
      <c r="B136" s="2" t="s">
        <v>18</v>
      </c>
      <c r="C136" s="4">
        <v>45792.25</v>
      </c>
      <c r="D136" s="4">
        <v>45792.2505833912</v>
      </c>
      <c r="E136" s="2">
        <v>2.54</v>
      </c>
      <c r="F136" s="2">
        <v>58.9</v>
      </c>
      <c r="G136" s="2" t="s">
        <v>983</v>
      </c>
      <c r="H136" s="2" t="s">
        <v>984</v>
      </c>
      <c r="I136" s="2"/>
      <c r="J136" s="2" t="s">
        <v>18</v>
      </c>
    </row>
    <row r="137" spans="1:10" ht="21" customHeight="1">
      <c r="A137" s="2" t="s">
        <v>1123</v>
      </c>
      <c r="B137" s="2" t="s">
        <v>18</v>
      </c>
      <c r="C137" s="4">
        <v>45793.25</v>
      </c>
      <c r="D137" s="4">
        <v>45793.25024731482</v>
      </c>
      <c r="E137" s="2">
        <v>3.18</v>
      </c>
      <c r="F137" s="2">
        <v>60.4</v>
      </c>
      <c r="G137" s="2" t="s">
        <v>983</v>
      </c>
      <c r="H137" s="2" t="s">
        <v>984</v>
      </c>
      <c r="I137" s="2"/>
      <c r="J137" s="2" t="s">
        <v>18</v>
      </c>
    </row>
    <row r="138" spans="1:10" ht="21" customHeight="1">
      <c r="A138" s="2" t="s">
        <v>1124</v>
      </c>
      <c r="B138" s="2" t="s">
        <v>18</v>
      </c>
      <c r="C138" s="4">
        <v>45794.25</v>
      </c>
      <c r="D138" s="4">
        <v>45794.250496886569</v>
      </c>
      <c r="E138" s="2">
        <v>3.19</v>
      </c>
      <c r="F138" s="2">
        <v>58.6</v>
      </c>
      <c r="G138" s="2" t="s">
        <v>983</v>
      </c>
      <c r="H138" s="2" t="s">
        <v>984</v>
      </c>
      <c r="I138" s="2" t="s">
        <v>985</v>
      </c>
      <c r="J138" s="2" t="s">
        <v>18</v>
      </c>
    </row>
    <row r="139" spans="1:10" ht="21" customHeight="1">
      <c r="A139" s="2" t="s">
        <v>1125</v>
      </c>
      <c r="B139" s="2" t="s">
        <v>18</v>
      </c>
      <c r="C139" s="4">
        <v>45795.25</v>
      </c>
      <c r="D139" s="4">
        <v>45795.250150138891</v>
      </c>
      <c r="E139" s="2">
        <v>3.06</v>
      </c>
      <c r="F139" s="2">
        <v>65.900000000000006</v>
      </c>
      <c r="G139" s="2" t="s">
        <v>983</v>
      </c>
      <c r="H139" s="2" t="s">
        <v>984</v>
      </c>
      <c r="I139" s="2"/>
      <c r="J139" s="2" t="s">
        <v>18</v>
      </c>
    </row>
    <row r="140" spans="1:10" ht="21" customHeight="1">
      <c r="A140" s="2" t="s">
        <v>1126</v>
      </c>
      <c r="B140" s="2" t="s">
        <v>18</v>
      </c>
      <c r="C140" s="4">
        <v>45796.25</v>
      </c>
      <c r="D140" s="4">
        <v>45796.250480995368</v>
      </c>
      <c r="E140" s="2">
        <v>2.65</v>
      </c>
      <c r="F140" s="2">
        <v>61.7</v>
      </c>
      <c r="G140" s="2" t="s">
        <v>983</v>
      </c>
      <c r="H140" s="2" t="s">
        <v>984</v>
      </c>
      <c r="I140" s="2"/>
      <c r="J140" s="2" t="s">
        <v>18</v>
      </c>
    </row>
    <row r="141" spans="1:10" ht="21" customHeight="1">
      <c r="A141" s="2" t="s">
        <v>1127</v>
      </c>
      <c r="B141" s="2" t="s">
        <v>18</v>
      </c>
      <c r="C141" s="4">
        <v>45797.25</v>
      </c>
      <c r="D141" s="4">
        <v>45797.250685219908</v>
      </c>
      <c r="E141" s="2">
        <v>2.29</v>
      </c>
      <c r="F141" s="2">
        <v>63.7</v>
      </c>
      <c r="G141" s="2" t="s">
        <v>983</v>
      </c>
      <c r="H141" s="2" t="s">
        <v>984</v>
      </c>
      <c r="I141" s="2"/>
      <c r="J141" s="2" t="s">
        <v>18</v>
      </c>
    </row>
    <row r="142" spans="1:10" ht="21" customHeight="1">
      <c r="A142" s="2" t="s">
        <v>1128</v>
      </c>
      <c r="B142" s="2" t="s">
        <v>18</v>
      </c>
      <c r="C142" s="4">
        <v>45798.25</v>
      </c>
      <c r="D142" s="4">
        <v>45798.250416655093</v>
      </c>
      <c r="E142" s="2">
        <v>2.56</v>
      </c>
      <c r="F142" s="2">
        <v>65.900000000000006</v>
      </c>
      <c r="G142" s="2" t="s">
        <v>983</v>
      </c>
      <c r="H142" s="2" t="s">
        <v>984</v>
      </c>
      <c r="I142" s="2"/>
      <c r="J142" s="2" t="s">
        <v>18</v>
      </c>
    </row>
    <row r="143" spans="1:10" ht="21" customHeight="1">
      <c r="A143" s="2" t="s">
        <v>1129</v>
      </c>
      <c r="B143" s="2" t="s">
        <v>18</v>
      </c>
      <c r="C143" s="4">
        <v>45799.25</v>
      </c>
      <c r="D143" s="4">
        <v>45799.250571331024</v>
      </c>
      <c r="E143" s="2">
        <v>2.91</v>
      </c>
      <c r="F143" s="2">
        <v>58.9</v>
      </c>
      <c r="G143" s="2" t="s">
        <v>983</v>
      </c>
      <c r="H143" s="2" t="s">
        <v>984</v>
      </c>
      <c r="I143" s="2"/>
      <c r="J143" s="2" t="s">
        <v>18</v>
      </c>
    </row>
    <row r="144" spans="1:10" ht="21" customHeight="1">
      <c r="A144" s="2" t="s">
        <v>1130</v>
      </c>
      <c r="B144" s="2" t="s">
        <v>18</v>
      </c>
      <c r="C144" s="4">
        <v>45800.25</v>
      </c>
      <c r="D144" s="4">
        <v>45800.250080300924</v>
      </c>
      <c r="E144" s="2">
        <v>2.67</v>
      </c>
      <c r="F144" s="2">
        <v>63.3</v>
      </c>
      <c r="G144" s="2" t="s">
        <v>983</v>
      </c>
      <c r="H144" s="2" t="s">
        <v>984</v>
      </c>
      <c r="I144" s="2"/>
      <c r="J144" s="2" t="s">
        <v>18</v>
      </c>
    </row>
    <row r="145" spans="1:10" ht="21" customHeight="1">
      <c r="A145" s="2" t="s">
        <v>1131</v>
      </c>
      <c r="B145" s="2" t="s">
        <v>18</v>
      </c>
      <c r="C145" s="4">
        <v>45801.25</v>
      </c>
      <c r="D145" s="4">
        <v>45801.250285324073</v>
      </c>
      <c r="E145" s="2">
        <v>3.28</v>
      </c>
      <c r="F145" s="2">
        <v>61.4</v>
      </c>
      <c r="G145" s="2" t="s">
        <v>983</v>
      </c>
      <c r="H145" s="2" t="s">
        <v>984</v>
      </c>
      <c r="I145" s="2"/>
      <c r="J145" s="2" t="s">
        <v>18</v>
      </c>
    </row>
    <row r="146" spans="1:10" ht="21" customHeight="1">
      <c r="A146" s="2" t="s">
        <v>1132</v>
      </c>
      <c r="B146" s="2" t="s">
        <v>18</v>
      </c>
      <c r="C146" s="4">
        <v>45802.25</v>
      </c>
      <c r="D146" s="4">
        <v>45802.250560902779</v>
      </c>
      <c r="E146" s="2">
        <v>3.21</v>
      </c>
      <c r="F146" s="2">
        <v>65.7</v>
      </c>
      <c r="G146" s="2" t="s">
        <v>983</v>
      </c>
      <c r="H146" s="2" t="s">
        <v>984</v>
      </c>
      <c r="I146" s="2"/>
      <c r="J146" s="2" t="s">
        <v>18</v>
      </c>
    </row>
    <row r="147" spans="1:10" ht="21" customHeight="1">
      <c r="A147" s="2" t="s">
        <v>1133</v>
      </c>
      <c r="B147" s="2" t="s">
        <v>18</v>
      </c>
      <c r="C147" s="4">
        <v>45803.25</v>
      </c>
      <c r="D147" s="4">
        <v>45803.250155590278</v>
      </c>
      <c r="E147" s="2">
        <v>2.4900000000000002</v>
      </c>
      <c r="F147" s="2">
        <v>64.099999999999994</v>
      </c>
      <c r="G147" s="2" t="s">
        <v>983</v>
      </c>
      <c r="H147" s="2" t="s">
        <v>984</v>
      </c>
      <c r="I147" s="2"/>
      <c r="J147" s="2" t="s">
        <v>18</v>
      </c>
    </row>
    <row r="148" spans="1:10" ht="21" customHeight="1">
      <c r="A148" s="2" t="s">
        <v>1134</v>
      </c>
      <c r="B148" s="2" t="s">
        <v>18</v>
      </c>
      <c r="C148" s="4">
        <v>45804.25</v>
      </c>
      <c r="D148" s="4">
        <v>45804.250537372689</v>
      </c>
      <c r="E148" s="2"/>
      <c r="F148" s="2"/>
      <c r="G148" s="2" t="s">
        <v>983</v>
      </c>
      <c r="H148" s="2" t="s">
        <v>1066</v>
      </c>
      <c r="I148" s="2"/>
      <c r="J148" s="2" t="s">
        <v>18</v>
      </c>
    </row>
    <row r="149" spans="1:10" ht="21" customHeight="1">
      <c r="A149" s="2" t="s">
        <v>1135</v>
      </c>
      <c r="B149" s="2" t="s">
        <v>18</v>
      </c>
      <c r="C149" s="4">
        <v>45805.25</v>
      </c>
      <c r="D149" s="4">
        <v>45805.250681655089</v>
      </c>
      <c r="E149" s="2">
        <v>2.91</v>
      </c>
      <c r="F149" s="2">
        <v>59</v>
      </c>
      <c r="G149" s="2" t="s">
        <v>983</v>
      </c>
      <c r="H149" s="2" t="s">
        <v>984</v>
      </c>
      <c r="I149" s="2"/>
      <c r="J149" s="2" t="s">
        <v>18</v>
      </c>
    </row>
    <row r="150" spans="1:10" ht="21" customHeight="1">
      <c r="A150" s="2" t="s">
        <v>1136</v>
      </c>
      <c r="B150" s="2" t="s">
        <v>18</v>
      </c>
      <c r="C150" s="4">
        <v>45806.25</v>
      </c>
      <c r="D150" s="4">
        <v>45806.250555532402</v>
      </c>
      <c r="E150" s="2">
        <v>2.9</v>
      </c>
      <c r="F150" s="2">
        <v>65.3</v>
      </c>
      <c r="G150" s="2" t="s">
        <v>983</v>
      </c>
      <c r="H150" s="2" t="s">
        <v>984</v>
      </c>
      <c r="I150" s="2"/>
      <c r="J150" s="2" t="s">
        <v>18</v>
      </c>
    </row>
    <row r="151" spans="1:10" ht="21" customHeight="1">
      <c r="A151" s="2" t="s">
        <v>1137</v>
      </c>
      <c r="B151" s="2" t="s">
        <v>18</v>
      </c>
      <c r="C151" s="4">
        <v>45807.25</v>
      </c>
      <c r="D151" s="4">
        <v>45807.250152627312</v>
      </c>
      <c r="E151" s="2">
        <v>2.16</v>
      </c>
      <c r="F151" s="2">
        <v>59.8</v>
      </c>
      <c r="G151" s="2" t="s">
        <v>983</v>
      </c>
      <c r="H151" s="2" t="s">
        <v>984</v>
      </c>
      <c r="I151" s="2"/>
      <c r="J151" s="2" t="s">
        <v>18</v>
      </c>
    </row>
    <row r="152" spans="1:10" ht="21" customHeight="1">
      <c r="A152" s="2" t="s">
        <v>1138</v>
      </c>
      <c r="B152" s="2" t="s">
        <v>18</v>
      </c>
      <c r="C152" s="4">
        <v>45808.25</v>
      </c>
      <c r="D152" s="4">
        <v>45808.250309490744</v>
      </c>
      <c r="E152" s="2">
        <v>3.14</v>
      </c>
      <c r="F152" s="2">
        <v>65.599999999999994</v>
      </c>
      <c r="G152" s="2" t="s">
        <v>983</v>
      </c>
      <c r="H152" s="2" t="s">
        <v>984</v>
      </c>
      <c r="I152" s="2"/>
      <c r="J152" s="2" t="s">
        <v>18</v>
      </c>
    </row>
    <row r="153" spans="1:10" ht="21" customHeight="1">
      <c r="A153" s="2" t="s">
        <v>1139</v>
      </c>
      <c r="B153" s="2" t="s">
        <v>18</v>
      </c>
      <c r="C153" s="4">
        <v>45809.25</v>
      </c>
      <c r="D153" s="4">
        <v>45809.250010833333</v>
      </c>
      <c r="E153" s="2">
        <v>2.48</v>
      </c>
      <c r="F153" s="2">
        <v>65.599999999999994</v>
      </c>
      <c r="G153" s="2" t="s">
        <v>983</v>
      </c>
      <c r="H153" s="2" t="s">
        <v>984</v>
      </c>
      <c r="I153" s="2"/>
      <c r="J153" s="2" t="s">
        <v>18</v>
      </c>
    </row>
    <row r="154" spans="1:10" ht="21" customHeight="1">
      <c r="A154" s="2" t="s">
        <v>1140</v>
      </c>
      <c r="B154" s="2" t="s">
        <v>18</v>
      </c>
      <c r="C154" s="4">
        <v>45810.25</v>
      </c>
      <c r="D154" s="4">
        <v>45810.25018534722</v>
      </c>
      <c r="E154" s="2">
        <v>2.68</v>
      </c>
      <c r="F154" s="2">
        <v>63.7</v>
      </c>
      <c r="G154" s="2" t="s">
        <v>983</v>
      </c>
      <c r="H154" s="2" t="s">
        <v>984</v>
      </c>
      <c r="I154" s="2"/>
      <c r="J154" s="2" t="s">
        <v>18</v>
      </c>
    </row>
    <row r="155" spans="1:10" ht="21" customHeight="1">
      <c r="A155" s="2" t="s">
        <v>1141</v>
      </c>
      <c r="B155" s="2" t="s">
        <v>18</v>
      </c>
      <c r="C155" s="4">
        <v>45811.25</v>
      </c>
      <c r="D155" s="4">
        <v>45811.250578217594</v>
      </c>
      <c r="E155" s="2">
        <v>2.56</v>
      </c>
      <c r="F155" s="2">
        <v>64.8</v>
      </c>
      <c r="G155" s="2" t="s">
        <v>983</v>
      </c>
      <c r="H155" s="2" t="s">
        <v>984</v>
      </c>
      <c r="I155" s="2" t="s">
        <v>985</v>
      </c>
      <c r="J155" s="2" t="s">
        <v>18</v>
      </c>
    </row>
    <row r="156" spans="1:10" ht="21" customHeight="1">
      <c r="A156" s="2" t="s">
        <v>1142</v>
      </c>
      <c r="B156" s="2" t="s">
        <v>18</v>
      </c>
      <c r="C156" s="4">
        <v>45812.25</v>
      </c>
      <c r="D156" s="4">
        <v>45812.250401365745</v>
      </c>
      <c r="E156" s="2">
        <v>3.13</v>
      </c>
      <c r="F156" s="2">
        <v>61.6</v>
      </c>
      <c r="G156" s="2" t="s">
        <v>983</v>
      </c>
      <c r="H156" s="2" t="s">
        <v>984</v>
      </c>
      <c r="I156" s="2"/>
      <c r="J156" s="2" t="s">
        <v>18</v>
      </c>
    </row>
    <row r="157" spans="1:10" ht="21" customHeight="1">
      <c r="A157" s="2" t="s">
        <v>1143</v>
      </c>
      <c r="B157" s="2" t="s">
        <v>18</v>
      </c>
      <c r="C157" s="4">
        <v>45813.25</v>
      </c>
      <c r="D157" s="4">
        <v>45813.250685601852</v>
      </c>
      <c r="E157" s="2">
        <v>2.39</v>
      </c>
      <c r="F157" s="2">
        <v>63.5</v>
      </c>
      <c r="G157" s="2" t="s">
        <v>983</v>
      </c>
      <c r="H157" s="2" t="s">
        <v>984</v>
      </c>
      <c r="I157" s="2"/>
      <c r="J157" s="2" t="s">
        <v>18</v>
      </c>
    </row>
    <row r="158" spans="1:10" ht="21" customHeight="1">
      <c r="A158" s="2" t="s">
        <v>1144</v>
      </c>
      <c r="B158" s="2" t="s">
        <v>18</v>
      </c>
      <c r="C158" s="4">
        <v>45814.25</v>
      </c>
      <c r="D158" s="4">
        <v>45814.250198553244</v>
      </c>
      <c r="E158" s="2">
        <v>2.89</v>
      </c>
      <c r="F158" s="2">
        <v>62.6</v>
      </c>
      <c r="G158" s="2" t="s">
        <v>983</v>
      </c>
      <c r="H158" s="2" t="s">
        <v>984</v>
      </c>
      <c r="I158" s="2"/>
      <c r="J158" s="2" t="s">
        <v>18</v>
      </c>
    </row>
    <row r="159" spans="1:10" ht="21" customHeight="1">
      <c r="A159" s="2" t="s">
        <v>1145</v>
      </c>
      <c r="B159" s="2" t="s">
        <v>18</v>
      </c>
      <c r="C159" s="4">
        <v>45815.25</v>
      </c>
      <c r="D159" s="4">
        <v>45815.250468599537</v>
      </c>
      <c r="E159" s="2">
        <v>2.1800000000000002</v>
      </c>
      <c r="F159" s="2">
        <v>61.5</v>
      </c>
      <c r="G159" s="2" t="s">
        <v>983</v>
      </c>
      <c r="H159" s="2" t="s">
        <v>984</v>
      </c>
      <c r="I159" s="2"/>
      <c r="J159" s="2" t="s">
        <v>18</v>
      </c>
    </row>
    <row r="160" spans="1:10" ht="21" customHeight="1">
      <c r="A160" s="2" t="s">
        <v>1146</v>
      </c>
      <c r="B160" s="2" t="s">
        <v>18</v>
      </c>
      <c r="C160" s="4">
        <v>45816.25</v>
      </c>
      <c r="D160" s="4">
        <v>45816.250335810182</v>
      </c>
      <c r="E160" s="2">
        <v>5.66</v>
      </c>
      <c r="F160" s="2">
        <v>65.5</v>
      </c>
      <c r="G160" s="2" t="s">
        <v>983</v>
      </c>
      <c r="H160" s="2" t="s">
        <v>984</v>
      </c>
      <c r="I160" s="2" t="s">
        <v>1053</v>
      </c>
      <c r="J160" s="2" t="s">
        <v>18</v>
      </c>
    </row>
    <row r="161" spans="1:10" ht="21" customHeight="1">
      <c r="A161" s="2" t="s">
        <v>1147</v>
      </c>
      <c r="B161" s="2" t="s">
        <v>18</v>
      </c>
      <c r="C161" s="4">
        <v>45817.25</v>
      </c>
      <c r="D161" s="4">
        <v>45817.250462812503</v>
      </c>
      <c r="E161" s="2">
        <v>6.01</v>
      </c>
      <c r="F161" s="2">
        <v>71.599999999999994</v>
      </c>
      <c r="G161" s="2" t="s">
        <v>983</v>
      </c>
      <c r="H161" s="2" t="s">
        <v>984</v>
      </c>
      <c r="I161" s="2"/>
      <c r="J161" s="2" t="s">
        <v>18</v>
      </c>
    </row>
    <row r="162" spans="1:10" ht="21" customHeight="1">
      <c r="A162" s="2" t="s">
        <v>1148</v>
      </c>
      <c r="B162" s="2" t="s">
        <v>18</v>
      </c>
      <c r="C162" s="4">
        <v>45818.25</v>
      </c>
      <c r="D162" s="4">
        <v>45818.250245578703</v>
      </c>
      <c r="E162" s="2">
        <v>5.38</v>
      </c>
      <c r="F162" s="2">
        <v>70.5</v>
      </c>
      <c r="G162" s="2" t="s">
        <v>983</v>
      </c>
      <c r="H162" s="2" t="s">
        <v>984</v>
      </c>
      <c r="I162" s="2" t="s">
        <v>1053</v>
      </c>
      <c r="J162" s="2" t="s">
        <v>18</v>
      </c>
    </row>
    <row r="163" spans="1:10" ht="21" customHeight="1">
      <c r="A163" s="2" t="s">
        <v>1149</v>
      </c>
      <c r="B163" s="2" t="s">
        <v>18</v>
      </c>
      <c r="C163" s="4">
        <v>45819.25</v>
      </c>
      <c r="D163" s="4">
        <v>45819.250458356481</v>
      </c>
      <c r="E163" s="2">
        <v>2.94</v>
      </c>
      <c r="F163" s="2">
        <v>63.6</v>
      </c>
      <c r="G163" s="2" t="s">
        <v>983</v>
      </c>
      <c r="H163" s="2" t="s">
        <v>984</v>
      </c>
      <c r="I163" s="2"/>
      <c r="J163" s="2" t="s">
        <v>18</v>
      </c>
    </row>
    <row r="164" spans="1:10" ht="21" customHeight="1">
      <c r="A164" s="2" t="s">
        <v>1150</v>
      </c>
      <c r="B164" s="2" t="s">
        <v>18</v>
      </c>
      <c r="C164" s="4">
        <v>45820.25</v>
      </c>
      <c r="D164" s="4">
        <v>45820.250567673611</v>
      </c>
      <c r="E164" s="2">
        <v>2.81</v>
      </c>
      <c r="F164" s="2">
        <v>62.7</v>
      </c>
      <c r="G164" s="2" t="s">
        <v>983</v>
      </c>
      <c r="H164" s="2" t="s">
        <v>984</v>
      </c>
      <c r="I164" s="2"/>
      <c r="J164" s="2" t="s">
        <v>18</v>
      </c>
    </row>
    <row r="165" spans="1:10" ht="21" customHeight="1">
      <c r="A165" s="2" t="s">
        <v>1151</v>
      </c>
      <c r="B165" s="2" t="s">
        <v>18</v>
      </c>
      <c r="C165" s="4">
        <v>45821.25</v>
      </c>
      <c r="D165" s="4">
        <v>45821.250511944439</v>
      </c>
      <c r="E165" s="2">
        <v>2.14</v>
      </c>
      <c r="F165" s="2">
        <v>65.7</v>
      </c>
      <c r="G165" s="2" t="s">
        <v>983</v>
      </c>
      <c r="H165" s="2" t="s">
        <v>984</v>
      </c>
      <c r="I165" s="2"/>
      <c r="J165" s="2" t="s">
        <v>18</v>
      </c>
    </row>
    <row r="166" spans="1:10" ht="21" customHeight="1">
      <c r="A166" s="2" t="s">
        <v>1152</v>
      </c>
      <c r="B166" s="2" t="s">
        <v>982</v>
      </c>
      <c r="C166" s="4">
        <v>45822.25</v>
      </c>
      <c r="D166" s="4">
        <v>45822.250556226849</v>
      </c>
      <c r="E166" s="2">
        <v>2.41</v>
      </c>
      <c r="F166" s="2">
        <v>60.6</v>
      </c>
      <c r="G166" s="2" t="s">
        <v>983</v>
      </c>
      <c r="H166" s="2" t="s">
        <v>984</v>
      </c>
      <c r="I166" s="2"/>
      <c r="J166" s="2" t="s">
        <v>18</v>
      </c>
    </row>
    <row r="167" spans="1:10" ht="21" customHeight="1">
      <c r="A167" s="2" t="s">
        <v>1153</v>
      </c>
      <c r="B167" s="2" t="s">
        <v>18</v>
      </c>
      <c r="C167" s="4">
        <v>45823.25</v>
      </c>
      <c r="D167" s="4">
        <v>45823.250184537035</v>
      </c>
      <c r="E167" s="2">
        <v>2.4700000000000002</v>
      </c>
      <c r="F167" s="2">
        <v>59</v>
      </c>
      <c r="G167" s="2" t="s">
        <v>983</v>
      </c>
      <c r="H167" s="2" t="s">
        <v>984</v>
      </c>
      <c r="I167" s="2"/>
      <c r="J167" s="2" t="s">
        <v>18</v>
      </c>
    </row>
    <row r="168" spans="1:10" ht="21" customHeight="1">
      <c r="A168" s="2" t="s">
        <v>1154</v>
      </c>
      <c r="B168" s="2" t="s">
        <v>18</v>
      </c>
      <c r="C168" s="4">
        <v>45824.25</v>
      </c>
      <c r="D168" s="4">
        <v>45824.250208287034</v>
      </c>
      <c r="E168" s="2">
        <v>3.2</v>
      </c>
      <c r="F168" s="2">
        <v>65.5</v>
      </c>
      <c r="G168" s="2" t="s">
        <v>983</v>
      </c>
      <c r="H168" s="2" t="s">
        <v>984</v>
      </c>
      <c r="I168" s="2"/>
      <c r="J168" s="2" t="s">
        <v>18</v>
      </c>
    </row>
    <row r="169" spans="1:10" ht="21" customHeight="1">
      <c r="A169" s="2" t="s">
        <v>1155</v>
      </c>
      <c r="B169" s="2" t="s">
        <v>18</v>
      </c>
      <c r="C169" s="4">
        <v>45825.25</v>
      </c>
      <c r="D169" s="4">
        <v>45825.250603993059</v>
      </c>
      <c r="E169" s="2">
        <v>3.02</v>
      </c>
      <c r="F169" s="2">
        <v>63.8</v>
      </c>
      <c r="G169" s="2" t="s">
        <v>983</v>
      </c>
      <c r="H169" s="2" t="s">
        <v>984</v>
      </c>
      <c r="I169" s="2"/>
      <c r="J169" s="2" t="s">
        <v>18</v>
      </c>
    </row>
    <row r="170" spans="1:10" ht="21" customHeight="1">
      <c r="A170" s="2" t="s">
        <v>1156</v>
      </c>
      <c r="B170" s="2" t="s">
        <v>18</v>
      </c>
      <c r="C170" s="4">
        <v>45826.25</v>
      </c>
      <c r="D170" s="4">
        <v>45826.250370671296</v>
      </c>
      <c r="E170" s="2">
        <v>2.29</v>
      </c>
      <c r="F170" s="2">
        <v>58.3</v>
      </c>
      <c r="G170" s="2" t="s">
        <v>983</v>
      </c>
      <c r="H170" s="2" t="s">
        <v>984</v>
      </c>
      <c r="I170" s="2"/>
      <c r="J170" s="2" t="s">
        <v>18</v>
      </c>
    </row>
    <row r="171" spans="1:10" ht="21" customHeight="1">
      <c r="A171" s="2" t="s">
        <v>1157</v>
      </c>
      <c r="B171" s="2" t="s">
        <v>18</v>
      </c>
      <c r="C171" s="4">
        <v>45827.25</v>
      </c>
      <c r="D171" s="4">
        <v>45827.250540439811</v>
      </c>
      <c r="E171" s="2">
        <v>3.02</v>
      </c>
      <c r="F171" s="2">
        <v>60.4</v>
      </c>
      <c r="G171" s="2" t="s">
        <v>983</v>
      </c>
      <c r="H171" s="2" t="s">
        <v>984</v>
      </c>
      <c r="I171" s="2"/>
      <c r="J171" s="2" t="s">
        <v>18</v>
      </c>
    </row>
    <row r="172" spans="1:10" ht="21" customHeight="1">
      <c r="A172" s="2" t="s">
        <v>1158</v>
      </c>
      <c r="B172" s="2" t="s">
        <v>18</v>
      </c>
      <c r="C172" s="4">
        <v>45828.25</v>
      </c>
      <c r="D172" s="4">
        <v>45828.250086539352</v>
      </c>
      <c r="E172" s="2">
        <v>3.07</v>
      </c>
      <c r="F172" s="2">
        <v>62</v>
      </c>
      <c r="G172" s="2" t="s">
        <v>983</v>
      </c>
      <c r="H172" s="2" t="s">
        <v>984</v>
      </c>
      <c r="I172" s="2" t="s">
        <v>985</v>
      </c>
      <c r="J172" s="2" t="s">
        <v>18</v>
      </c>
    </row>
    <row r="173" spans="1:10" ht="21" customHeight="1">
      <c r="A173" s="2" t="s">
        <v>1159</v>
      </c>
      <c r="B173" s="2" t="s">
        <v>18</v>
      </c>
      <c r="C173" s="4">
        <v>45829.25</v>
      </c>
      <c r="D173" s="4">
        <v>45829.250042592597</v>
      </c>
      <c r="E173" s="2">
        <v>3.01</v>
      </c>
      <c r="F173" s="2">
        <v>59.4</v>
      </c>
      <c r="G173" s="2" t="s">
        <v>983</v>
      </c>
      <c r="H173" s="2" t="s">
        <v>984</v>
      </c>
      <c r="I173" s="2"/>
      <c r="J173" s="2" t="s">
        <v>18</v>
      </c>
    </row>
    <row r="174" spans="1:10" ht="21" customHeight="1">
      <c r="A174" s="2" t="s">
        <v>1160</v>
      </c>
      <c r="B174" s="2" t="s">
        <v>18</v>
      </c>
      <c r="C174" s="4">
        <v>45830.25</v>
      </c>
      <c r="D174" s="4">
        <v>45830.250461319447</v>
      </c>
      <c r="E174" s="2">
        <v>2.68</v>
      </c>
      <c r="F174" s="2">
        <v>62.1</v>
      </c>
      <c r="G174" s="2" t="s">
        <v>983</v>
      </c>
      <c r="H174" s="2" t="s">
        <v>984</v>
      </c>
      <c r="I174" s="2"/>
      <c r="J174" s="2" t="s">
        <v>18</v>
      </c>
    </row>
    <row r="175" spans="1:10" ht="21" customHeight="1">
      <c r="A175" s="2" t="s">
        <v>1161</v>
      </c>
      <c r="B175" s="2" t="s">
        <v>18</v>
      </c>
      <c r="C175" s="4">
        <v>45831.25</v>
      </c>
      <c r="D175" s="4">
        <v>45831.250347638888</v>
      </c>
      <c r="E175" s="2">
        <v>2.88</v>
      </c>
      <c r="F175" s="2">
        <v>64.8</v>
      </c>
      <c r="G175" s="2" t="s">
        <v>983</v>
      </c>
      <c r="H175" s="2" t="s">
        <v>984</v>
      </c>
      <c r="I175" s="2"/>
      <c r="J175" s="2" t="s">
        <v>18</v>
      </c>
    </row>
    <row r="176" spans="1:10" ht="21" customHeight="1">
      <c r="A176" s="2" t="s">
        <v>1162</v>
      </c>
      <c r="B176" s="2" t="s">
        <v>18</v>
      </c>
      <c r="C176" s="4">
        <v>45832.25</v>
      </c>
      <c r="D176" s="4">
        <v>45832.250291180557</v>
      </c>
      <c r="E176" s="2">
        <v>23.51</v>
      </c>
      <c r="F176" s="2">
        <v>61.3</v>
      </c>
      <c r="G176" s="2" t="s">
        <v>983</v>
      </c>
      <c r="H176" s="2" t="s">
        <v>1022</v>
      </c>
      <c r="I176" s="2"/>
      <c r="J176" s="2" t="s">
        <v>18</v>
      </c>
    </row>
    <row r="177" spans="1:10" ht="21" customHeight="1">
      <c r="A177" s="2" t="s">
        <v>1163</v>
      </c>
      <c r="B177" s="2" t="s">
        <v>18</v>
      </c>
      <c r="C177" s="4">
        <v>45833.25</v>
      </c>
      <c r="D177" s="4">
        <v>45833.250065428241</v>
      </c>
      <c r="E177" s="2">
        <v>2.61</v>
      </c>
      <c r="F177" s="2">
        <v>64.5</v>
      </c>
      <c r="G177" s="2" t="s">
        <v>983</v>
      </c>
      <c r="H177" s="2" t="s">
        <v>984</v>
      </c>
      <c r="I177" s="2"/>
      <c r="J177" s="2" t="s">
        <v>18</v>
      </c>
    </row>
    <row r="178" spans="1:10" ht="21" customHeight="1">
      <c r="A178" s="2" t="s">
        <v>1164</v>
      </c>
      <c r="B178" s="2" t="s">
        <v>18</v>
      </c>
      <c r="C178" s="4">
        <v>45834.25</v>
      </c>
      <c r="D178" s="4">
        <v>45834.250027766204</v>
      </c>
      <c r="E178" s="2">
        <v>3.15</v>
      </c>
      <c r="F178" s="2">
        <v>64.099999999999994</v>
      </c>
      <c r="G178" s="2" t="s">
        <v>983</v>
      </c>
      <c r="H178" s="2" t="s">
        <v>984</v>
      </c>
      <c r="I178" s="2"/>
      <c r="J178" s="2" t="s">
        <v>18</v>
      </c>
    </row>
    <row r="179" spans="1:10" ht="21" customHeight="1">
      <c r="A179" s="2" t="s">
        <v>1165</v>
      </c>
      <c r="B179" s="2" t="s">
        <v>18</v>
      </c>
      <c r="C179" s="4">
        <v>45835.25</v>
      </c>
      <c r="D179" s="4">
        <v>45835.250287372684</v>
      </c>
      <c r="E179" s="2">
        <v>2.75</v>
      </c>
      <c r="F179" s="2">
        <v>64.7</v>
      </c>
      <c r="G179" s="2" t="s">
        <v>983</v>
      </c>
      <c r="H179" s="2" t="s">
        <v>984</v>
      </c>
      <c r="I179" s="2"/>
      <c r="J179" s="2" t="s">
        <v>18</v>
      </c>
    </row>
    <row r="180" spans="1:10" ht="21" customHeight="1">
      <c r="A180" s="2" t="s">
        <v>1166</v>
      </c>
      <c r="B180" s="2" t="s">
        <v>18</v>
      </c>
      <c r="C180" s="4">
        <v>45836.25</v>
      </c>
      <c r="D180" s="4">
        <v>45836.25058511574</v>
      </c>
      <c r="E180" s="2">
        <v>2.21</v>
      </c>
      <c r="F180" s="2">
        <v>58.7</v>
      </c>
      <c r="G180" s="2" t="s">
        <v>983</v>
      </c>
      <c r="H180" s="2" t="s">
        <v>984</v>
      </c>
      <c r="I180" s="2"/>
      <c r="J180" s="2" t="s">
        <v>18</v>
      </c>
    </row>
    <row r="181" spans="1:10" ht="21" customHeight="1">
      <c r="A181" s="2" t="s">
        <v>1167</v>
      </c>
      <c r="B181" s="2" t="s">
        <v>18</v>
      </c>
      <c r="C181" s="4">
        <v>45837.25</v>
      </c>
      <c r="D181" s="4">
        <v>45837.250483032403</v>
      </c>
      <c r="E181" s="2">
        <v>2.4500000000000002</v>
      </c>
      <c r="F181" s="2">
        <v>64.2</v>
      </c>
      <c r="G181" s="2" t="s">
        <v>983</v>
      </c>
      <c r="H181" s="2" t="s">
        <v>984</v>
      </c>
      <c r="I181" s="2"/>
      <c r="J181" s="2" t="s">
        <v>18</v>
      </c>
    </row>
    <row r="182" spans="1:10" ht="21" customHeight="1">
      <c r="A182" s="2" t="s">
        <v>1168</v>
      </c>
      <c r="B182" s="2" t="s">
        <v>18</v>
      </c>
      <c r="C182" s="4">
        <v>45838.25</v>
      </c>
      <c r="D182" s="4">
        <v>45838.250368287037</v>
      </c>
      <c r="E182" s="2">
        <v>2.56</v>
      </c>
      <c r="F182" s="2">
        <v>62.8</v>
      </c>
      <c r="G182" s="2" t="s">
        <v>983</v>
      </c>
      <c r="H182" s="2" t="s">
        <v>984</v>
      </c>
      <c r="I182" s="2"/>
      <c r="J182" s="2" t="s">
        <v>18</v>
      </c>
    </row>
    <row r="183" spans="1:10" ht="21" customHeight="1">
      <c r="A183" s="2" t="s">
        <v>1169</v>
      </c>
      <c r="B183" s="2" t="s">
        <v>18</v>
      </c>
      <c r="C183" s="4">
        <v>45839.25</v>
      </c>
      <c r="D183" s="4">
        <v>45839.250288796291</v>
      </c>
      <c r="E183" s="2">
        <v>3.21</v>
      </c>
      <c r="F183" s="2">
        <v>63.5</v>
      </c>
      <c r="G183" s="2" t="s">
        <v>983</v>
      </c>
      <c r="H183" s="2" t="s">
        <v>984</v>
      </c>
      <c r="I183" s="2"/>
      <c r="J183" s="2" t="s">
        <v>18</v>
      </c>
    </row>
    <row r="184" spans="1:10" ht="21" customHeight="1">
      <c r="A184" s="2" t="s">
        <v>1170</v>
      </c>
      <c r="B184" s="2" t="s">
        <v>18</v>
      </c>
      <c r="C184" s="4">
        <v>45840.25</v>
      </c>
      <c r="D184" s="4">
        <v>45840.250325532412</v>
      </c>
      <c r="E184" s="2">
        <v>2.64</v>
      </c>
      <c r="F184" s="2">
        <v>61.7</v>
      </c>
      <c r="G184" s="2" t="s">
        <v>983</v>
      </c>
      <c r="H184" s="2" t="s">
        <v>984</v>
      </c>
      <c r="I184" s="2"/>
      <c r="J184" s="2" t="s">
        <v>18</v>
      </c>
    </row>
    <row r="185" spans="1:10" ht="21" customHeight="1">
      <c r="A185" s="2" t="s">
        <v>1171</v>
      </c>
      <c r="B185" s="2" t="s">
        <v>18</v>
      </c>
      <c r="C185" s="4">
        <v>45841.25</v>
      </c>
      <c r="D185" s="4">
        <v>45841.250492905092</v>
      </c>
      <c r="E185" s="2">
        <v>4.9000000000000004</v>
      </c>
      <c r="F185" s="2">
        <v>70.900000000000006</v>
      </c>
      <c r="G185" s="2" t="s">
        <v>983</v>
      </c>
      <c r="H185" s="2" t="s">
        <v>984</v>
      </c>
      <c r="I185" s="2"/>
      <c r="J185" s="2" t="s">
        <v>18</v>
      </c>
    </row>
    <row r="186" spans="1:10" ht="21" customHeight="1">
      <c r="A186" s="2" t="s">
        <v>1172</v>
      </c>
      <c r="B186" s="2" t="s">
        <v>18</v>
      </c>
      <c r="C186" s="4">
        <v>45842.25</v>
      </c>
      <c r="D186" s="4">
        <v>45842.250002916669</v>
      </c>
      <c r="E186" s="2">
        <v>5.62</v>
      </c>
      <c r="F186" s="2">
        <v>66.5</v>
      </c>
      <c r="G186" s="2" t="s">
        <v>983</v>
      </c>
      <c r="H186" s="2" t="s">
        <v>984</v>
      </c>
      <c r="I186" s="2" t="s">
        <v>1053</v>
      </c>
      <c r="J186" s="2" t="s">
        <v>18</v>
      </c>
    </row>
    <row r="187" spans="1:10" ht="21" customHeight="1">
      <c r="A187" s="2" t="s">
        <v>1173</v>
      </c>
      <c r="B187" s="2" t="s">
        <v>18</v>
      </c>
      <c r="C187" s="4">
        <v>45843.25</v>
      </c>
      <c r="D187" s="4">
        <v>45843.250435810187</v>
      </c>
      <c r="E187" s="2">
        <v>5.84</v>
      </c>
      <c r="F187" s="2">
        <v>70.599999999999994</v>
      </c>
      <c r="G187" s="2" t="s">
        <v>983</v>
      </c>
      <c r="H187" s="2" t="s">
        <v>984</v>
      </c>
      <c r="I187" s="2"/>
      <c r="J187" s="2" t="s">
        <v>18</v>
      </c>
    </row>
    <row r="188" spans="1:10" ht="21" customHeight="1">
      <c r="A188" s="2" t="s">
        <v>1174</v>
      </c>
      <c r="B188" s="2" t="s">
        <v>18</v>
      </c>
      <c r="C188" s="4">
        <v>45844.25</v>
      </c>
      <c r="D188" s="4">
        <v>45844.250617025464</v>
      </c>
      <c r="E188" s="2">
        <v>0</v>
      </c>
      <c r="F188" s="2">
        <v>64.099999999999994</v>
      </c>
      <c r="G188" s="2" t="s">
        <v>1175</v>
      </c>
      <c r="H188" s="2" t="s">
        <v>984</v>
      </c>
      <c r="I188" s="2"/>
      <c r="J188" s="2" t="s">
        <v>18</v>
      </c>
    </row>
    <row r="189" spans="1:10" ht="21" customHeight="1">
      <c r="A189" s="2" t="s">
        <v>1176</v>
      </c>
      <c r="B189" s="2" t="s">
        <v>18</v>
      </c>
      <c r="C189" s="4">
        <v>45845.25</v>
      </c>
      <c r="D189" s="4">
        <v>45845.250499548609</v>
      </c>
      <c r="E189" s="2">
        <v>2.94</v>
      </c>
      <c r="F189" s="2">
        <v>64.099999999999994</v>
      </c>
      <c r="G189" s="2" t="s">
        <v>983</v>
      </c>
      <c r="H189" s="2" t="s">
        <v>984</v>
      </c>
      <c r="I189" s="2" t="s">
        <v>985</v>
      </c>
      <c r="J189" s="2" t="s">
        <v>18</v>
      </c>
    </row>
    <row r="190" spans="1:10" ht="21" customHeight="1">
      <c r="A190" s="2" t="s">
        <v>1177</v>
      </c>
      <c r="B190" s="2" t="s">
        <v>18</v>
      </c>
      <c r="C190" s="4">
        <v>45846.25</v>
      </c>
      <c r="D190" s="4">
        <v>45846.25025931713</v>
      </c>
      <c r="E190" s="2">
        <v>3.05</v>
      </c>
      <c r="F190" s="2">
        <v>65.8</v>
      </c>
      <c r="G190" s="2" t="s">
        <v>983</v>
      </c>
      <c r="H190" s="2" t="s">
        <v>984</v>
      </c>
      <c r="I190" s="2"/>
      <c r="J190" s="2" t="s">
        <v>18</v>
      </c>
    </row>
    <row r="191" spans="1:10" ht="21" customHeight="1">
      <c r="A191" s="2" t="s">
        <v>1178</v>
      </c>
      <c r="B191" s="2" t="s">
        <v>18</v>
      </c>
      <c r="C191" s="4">
        <v>45847.25</v>
      </c>
      <c r="D191" s="4">
        <v>45847.250280266206</v>
      </c>
      <c r="E191" s="2">
        <v>2.27</v>
      </c>
      <c r="F191" s="2">
        <v>61.8</v>
      </c>
      <c r="G191" s="2" t="s">
        <v>983</v>
      </c>
      <c r="H191" s="2" t="s">
        <v>984</v>
      </c>
      <c r="I191" s="2"/>
      <c r="J191" s="2" t="s">
        <v>18</v>
      </c>
    </row>
    <row r="192" spans="1:10" ht="21" customHeight="1">
      <c r="A192" s="2" t="s">
        <v>1179</v>
      </c>
      <c r="B192" s="2" t="s">
        <v>18</v>
      </c>
      <c r="C192" s="4">
        <v>45848.25</v>
      </c>
      <c r="D192" s="4">
        <v>45848.250481597221</v>
      </c>
      <c r="E192" s="2">
        <v>2.57</v>
      </c>
      <c r="F192" s="2">
        <v>64.400000000000006</v>
      </c>
      <c r="G192" s="2" t="s">
        <v>983</v>
      </c>
      <c r="H192" s="2" t="s">
        <v>984</v>
      </c>
      <c r="I192" s="2"/>
      <c r="J192" s="2" t="s">
        <v>18</v>
      </c>
    </row>
    <row r="193" spans="1:10" ht="21" customHeight="1">
      <c r="A193" s="2" t="s">
        <v>1180</v>
      </c>
      <c r="B193" s="2" t="s">
        <v>18</v>
      </c>
      <c r="C193" s="4">
        <v>45849.25</v>
      </c>
      <c r="D193" s="4">
        <v>45849.250034641205</v>
      </c>
      <c r="E193" s="2">
        <v>3.25</v>
      </c>
      <c r="F193" s="2">
        <v>60.6</v>
      </c>
      <c r="G193" s="2" t="s">
        <v>983</v>
      </c>
      <c r="H193" s="2" t="s">
        <v>984</v>
      </c>
      <c r="I193" s="2"/>
      <c r="J193" s="2" t="s">
        <v>18</v>
      </c>
    </row>
    <row r="194" spans="1:10" ht="21" customHeight="1">
      <c r="A194" s="2" t="s">
        <v>1181</v>
      </c>
      <c r="B194" s="2" t="s">
        <v>18</v>
      </c>
      <c r="C194" s="4">
        <v>45850.25</v>
      </c>
      <c r="D194" s="4">
        <v>45850.250475671295</v>
      </c>
      <c r="E194" s="2">
        <v>2.76</v>
      </c>
      <c r="F194" s="2">
        <v>61.8</v>
      </c>
      <c r="G194" s="2" t="s">
        <v>983</v>
      </c>
      <c r="H194" s="2" t="s">
        <v>984</v>
      </c>
      <c r="I194" s="2"/>
      <c r="J194" s="2" t="s">
        <v>18</v>
      </c>
    </row>
    <row r="195" spans="1:10" ht="21" customHeight="1">
      <c r="A195" s="2" t="s">
        <v>1182</v>
      </c>
      <c r="B195" s="2" t="s">
        <v>18</v>
      </c>
      <c r="C195" s="4">
        <v>45851.25</v>
      </c>
      <c r="D195" s="4">
        <v>45851.250262106478</v>
      </c>
      <c r="E195" s="2">
        <v>2.97</v>
      </c>
      <c r="F195" s="2">
        <v>58.5</v>
      </c>
      <c r="G195" s="2" t="s">
        <v>983</v>
      </c>
      <c r="H195" s="2" t="s">
        <v>984</v>
      </c>
      <c r="I195" s="2"/>
      <c r="J195" s="2" t="s">
        <v>18</v>
      </c>
    </row>
    <row r="196" spans="1:10" ht="21" customHeight="1">
      <c r="A196" s="2" t="s">
        <v>1183</v>
      </c>
      <c r="B196" s="2" t="s">
        <v>18</v>
      </c>
      <c r="C196" s="4">
        <v>45852.25</v>
      </c>
      <c r="D196" s="4">
        <v>45852.250298923609</v>
      </c>
      <c r="E196" s="2">
        <v>2.34</v>
      </c>
      <c r="F196" s="2">
        <v>59.4</v>
      </c>
      <c r="G196" s="2" t="s">
        <v>983</v>
      </c>
      <c r="H196" s="2" t="s">
        <v>984</v>
      </c>
      <c r="I196" s="2"/>
      <c r="J196" s="2" t="s">
        <v>18</v>
      </c>
    </row>
    <row r="197" spans="1:10" ht="21" customHeight="1">
      <c r="A197" s="2" t="s">
        <v>1184</v>
      </c>
      <c r="B197" s="2" t="s">
        <v>18</v>
      </c>
      <c r="C197" s="4">
        <v>45853.25</v>
      </c>
      <c r="D197" s="4">
        <v>45853.250064409724</v>
      </c>
      <c r="E197" s="2">
        <v>2.2200000000000002</v>
      </c>
      <c r="F197" s="2">
        <v>58.7</v>
      </c>
      <c r="G197" s="2" t="s">
        <v>983</v>
      </c>
      <c r="H197" s="2" t="s">
        <v>984</v>
      </c>
      <c r="I197" s="2"/>
      <c r="J197" s="2" t="s">
        <v>18</v>
      </c>
    </row>
    <row r="198" spans="1:10" ht="21" customHeight="1">
      <c r="A198" s="2" t="s">
        <v>1185</v>
      </c>
      <c r="B198" s="2" t="s">
        <v>18</v>
      </c>
      <c r="C198" s="4">
        <v>45854.25</v>
      </c>
      <c r="D198" s="4">
        <v>45854.250171053238</v>
      </c>
      <c r="E198" s="2">
        <v>3.25</v>
      </c>
      <c r="F198" s="2">
        <v>60.4</v>
      </c>
      <c r="G198" s="2" t="s">
        <v>983</v>
      </c>
      <c r="H198" s="2" t="s">
        <v>984</v>
      </c>
      <c r="I198" s="2"/>
      <c r="J198" s="2" t="s">
        <v>18</v>
      </c>
    </row>
    <row r="199" spans="1:10" ht="21" customHeight="1">
      <c r="A199" s="2" t="s">
        <v>1186</v>
      </c>
      <c r="B199" s="2" t="s">
        <v>18</v>
      </c>
      <c r="C199" s="4">
        <v>45855.25</v>
      </c>
      <c r="D199" s="4">
        <v>45855.25007065972</v>
      </c>
      <c r="E199" s="2">
        <v>2.33</v>
      </c>
      <c r="F199" s="2">
        <v>63.2</v>
      </c>
      <c r="G199" s="2" t="s">
        <v>983</v>
      </c>
      <c r="H199" s="2" t="s">
        <v>984</v>
      </c>
      <c r="I199" s="2"/>
      <c r="J199" s="2" t="s">
        <v>18</v>
      </c>
    </row>
    <row r="200" spans="1:10" ht="21" customHeight="1">
      <c r="A200" s="2" t="s">
        <v>1187</v>
      </c>
      <c r="B200" s="2" t="s">
        <v>18</v>
      </c>
      <c r="C200" s="4">
        <v>45856.25</v>
      </c>
      <c r="D200" s="4">
        <v>45856.250057094905</v>
      </c>
      <c r="E200" s="2">
        <v>3.25</v>
      </c>
      <c r="F200" s="2">
        <v>63.3</v>
      </c>
      <c r="G200" s="2" t="s">
        <v>983</v>
      </c>
      <c r="H200" s="2" t="s">
        <v>984</v>
      </c>
      <c r="I200" s="2"/>
      <c r="J200" s="2" t="s">
        <v>18</v>
      </c>
    </row>
    <row r="201" spans="1:10" ht="21" customHeight="1">
      <c r="A201" s="2" t="s">
        <v>1188</v>
      </c>
      <c r="B201" s="2" t="s">
        <v>18</v>
      </c>
      <c r="C201" s="4">
        <v>45857.25</v>
      </c>
      <c r="D201" s="4">
        <v>45857.250675347226</v>
      </c>
      <c r="E201" s="2">
        <v>2.41</v>
      </c>
      <c r="F201" s="2">
        <v>65.900000000000006</v>
      </c>
      <c r="G201" s="2" t="s">
        <v>983</v>
      </c>
      <c r="H201" s="2" t="s">
        <v>984</v>
      </c>
      <c r="I201" s="2"/>
      <c r="J201" s="2" t="s">
        <v>18</v>
      </c>
    </row>
    <row r="202" spans="1:10" ht="21" customHeight="1">
      <c r="A202" s="2" t="s">
        <v>1189</v>
      </c>
      <c r="B202" s="2" t="s">
        <v>18</v>
      </c>
      <c r="C202" s="4">
        <v>45858.25</v>
      </c>
      <c r="D202" s="4">
        <v>45858.250370046298</v>
      </c>
      <c r="E202" s="2">
        <v>2.86</v>
      </c>
      <c r="F202" s="2">
        <v>60.2</v>
      </c>
      <c r="G202" s="2" t="s">
        <v>983</v>
      </c>
      <c r="H202" s="2" t="s">
        <v>984</v>
      </c>
      <c r="I202" s="2"/>
      <c r="J202" s="2" t="s">
        <v>18</v>
      </c>
    </row>
    <row r="203" spans="1:10" ht="21" customHeight="1">
      <c r="A203" s="2" t="s">
        <v>1190</v>
      </c>
      <c r="B203" s="2" t="s">
        <v>18</v>
      </c>
      <c r="C203" s="4">
        <v>45859.25</v>
      </c>
      <c r="D203" s="4">
        <v>45859.250335335644</v>
      </c>
      <c r="E203" s="2">
        <v>3.22</v>
      </c>
      <c r="F203" s="2">
        <v>63.4</v>
      </c>
      <c r="G203" s="2" t="s">
        <v>983</v>
      </c>
      <c r="H203" s="2" t="s">
        <v>984</v>
      </c>
      <c r="I203" s="2"/>
      <c r="J203" s="2" t="s">
        <v>18</v>
      </c>
    </row>
    <row r="204" spans="1:10" ht="21" customHeight="1">
      <c r="A204" s="2" t="s">
        <v>1191</v>
      </c>
      <c r="B204" s="2" t="s">
        <v>18</v>
      </c>
      <c r="C204" s="4">
        <v>45860.25</v>
      </c>
      <c r="D204" s="4">
        <v>45860.250197083333</v>
      </c>
      <c r="E204" s="2">
        <v>2.25</v>
      </c>
      <c r="F204" s="2">
        <v>61.6</v>
      </c>
      <c r="G204" s="2" t="s">
        <v>983</v>
      </c>
      <c r="H204" s="2" t="s">
        <v>984</v>
      </c>
      <c r="I204" s="2"/>
      <c r="J204" s="2" t="s">
        <v>18</v>
      </c>
    </row>
    <row r="205" spans="1:10" ht="21" customHeight="1">
      <c r="A205" s="2" t="s">
        <v>1192</v>
      </c>
      <c r="B205" s="2" t="s">
        <v>18</v>
      </c>
      <c r="C205" s="4">
        <v>45861.25</v>
      </c>
      <c r="D205" s="4">
        <v>45861.250652881943</v>
      </c>
      <c r="E205" s="2">
        <v>2.33</v>
      </c>
      <c r="F205" s="2">
        <v>65.099999999999994</v>
      </c>
      <c r="G205" s="2" t="s">
        <v>983</v>
      </c>
      <c r="H205" s="2" t="s">
        <v>984</v>
      </c>
      <c r="I205" s="2"/>
      <c r="J205" s="2" t="s">
        <v>18</v>
      </c>
    </row>
    <row r="206" spans="1:10" ht="21" customHeight="1">
      <c r="A206" s="2" t="s">
        <v>1193</v>
      </c>
      <c r="B206" s="2" t="s">
        <v>18</v>
      </c>
      <c r="C206" s="4">
        <v>45862.25</v>
      </c>
      <c r="D206" s="4">
        <v>45862.250068854162</v>
      </c>
      <c r="E206" s="2">
        <v>2.62</v>
      </c>
      <c r="F206" s="2">
        <v>58.1</v>
      </c>
      <c r="G206" s="2" t="s">
        <v>983</v>
      </c>
      <c r="H206" s="2" t="s">
        <v>984</v>
      </c>
      <c r="I206" s="2" t="s">
        <v>985</v>
      </c>
      <c r="J206" s="2" t="s">
        <v>18</v>
      </c>
    </row>
    <row r="207" spans="1:10" ht="21" customHeight="1">
      <c r="A207" s="2" t="s">
        <v>1194</v>
      </c>
      <c r="B207" s="2" t="s">
        <v>982</v>
      </c>
      <c r="C207" s="4">
        <v>45863.25</v>
      </c>
      <c r="D207" s="4">
        <v>45863.250394976851</v>
      </c>
      <c r="E207" s="2">
        <v>2.99</v>
      </c>
      <c r="F207" s="2">
        <v>58.1</v>
      </c>
      <c r="G207" s="2" t="s">
        <v>983</v>
      </c>
      <c r="H207" s="2" t="s">
        <v>984</v>
      </c>
      <c r="I207" s="2"/>
      <c r="J207" s="2" t="s">
        <v>18</v>
      </c>
    </row>
    <row r="208" spans="1:10" ht="21" customHeight="1">
      <c r="A208" s="2" t="s">
        <v>1195</v>
      </c>
      <c r="B208" s="2" t="s">
        <v>18</v>
      </c>
      <c r="C208" s="4">
        <v>45864.25</v>
      </c>
      <c r="D208" s="4">
        <v>45864.250154386573</v>
      </c>
      <c r="E208" s="2">
        <v>2.31</v>
      </c>
      <c r="F208" s="2">
        <v>62.9</v>
      </c>
      <c r="G208" s="2" t="s">
        <v>983</v>
      </c>
      <c r="H208" s="2" t="s">
        <v>984</v>
      </c>
      <c r="I208" s="2"/>
      <c r="J208" s="2" t="s">
        <v>18</v>
      </c>
    </row>
    <row r="209" spans="1:10" ht="21" customHeight="1">
      <c r="A209" s="2" t="s">
        <v>1196</v>
      </c>
      <c r="B209" s="2" t="s">
        <v>18</v>
      </c>
      <c r="C209" s="4">
        <v>45865.25</v>
      </c>
      <c r="D209" s="4">
        <v>45865.250135266208</v>
      </c>
      <c r="E209" s="2">
        <v>2.5099999999999998</v>
      </c>
      <c r="F209" s="2">
        <v>62.7</v>
      </c>
      <c r="G209" s="2" t="s">
        <v>983</v>
      </c>
      <c r="H209" s="2" t="s">
        <v>984</v>
      </c>
      <c r="I209" s="2"/>
      <c r="J209" s="2" t="s">
        <v>18</v>
      </c>
    </row>
    <row r="210" spans="1:10" ht="21" customHeight="1">
      <c r="A210" s="2" t="s">
        <v>1197</v>
      </c>
      <c r="B210" s="2" t="s">
        <v>18</v>
      </c>
      <c r="C210" s="4">
        <v>45866.25</v>
      </c>
      <c r="D210" s="4">
        <v>45866.250424942133</v>
      </c>
      <c r="E210" s="2">
        <v>2.69</v>
      </c>
      <c r="F210" s="2">
        <v>62.5</v>
      </c>
      <c r="G210" s="2" t="s">
        <v>983</v>
      </c>
      <c r="H210" s="2" t="s">
        <v>984</v>
      </c>
      <c r="I210" s="2"/>
      <c r="J210" s="2" t="s">
        <v>18</v>
      </c>
    </row>
    <row r="211" spans="1:10" ht="21" customHeight="1">
      <c r="A211" s="2" t="s">
        <v>1198</v>
      </c>
      <c r="B211" s="2" t="s">
        <v>18</v>
      </c>
      <c r="C211" s="4">
        <v>45867.25</v>
      </c>
      <c r="D211" s="4">
        <v>45867.250532997685</v>
      </c>
      <c r="E211" s="2">
        <v>3.1</v>
      </c>
      <c r="F211" s="2">
        <v>58.3</v>
      </c>
      <c r="G211" s="2" t="s">
        <v>983</v>
      </c>
      <c r="H211" s="2" t="s">
        <v>984</v>
      </c>
      <c r="I211" s="2"/>
      <c r="J211" s="2" t="s">
        <v>18</v>
      </c>
    </row>
    <row r="212" spans="1:10" ht="21" customHeight="1">
      <c r="A212" s="2" t="s">
        <v>1199</v>
      </c>
      <c r="B212" s="2" t="s">
        <v>18</v>
      </c>
      <c r="C212" s="4">
        <v>45868.25</v>
      </c>
      <c r="D212" s="4">
        <v>45868.250408831023</v>
      </c>
      <c r="E212" s="2">
        <v>2.4</v>
      </c>
      <c r="F212" s="2">
        <v>59.4</v>
      </c>
      <c r="G212" s="2" t="s">
        <v>983</v>
      </c>
      <c r="H212" s="2" t="s">
        <v>984</v>
      </c>
      <c r="I212" s="2"/>
      <c r="J212" s="2" t="s">
        <v>18</v>
      </c>
    </row>
    <row r="213" spans="1:10" ht="21" customHeight="1">
      <c r="A213" s="2" t="s">
        <v>1200</v>
      </c>
      <c r="B213" s="2" t="s">
        <v>18</v>
      </c>
      <c r="C213" s="4">
        <v>45869.25</v>
      </c>
      <c r="D213" s="4">
        <v>45869.250360104168</v>
      </c>
      <c r="E213" s="2">
        <v>2.78</v>
      </c>
      <c r="F213" s="2">
        <v>65.900000000000006</v>
      </c>
      <c r="G213" s="2" t="s">
        <v>983</v>
      </c>
      <c r="H213" s="2" t="s">
        <v>984</v>
      </c>
      <c r="I213" s="2"/>
      <c r="J213" s="2" t="s">
        <v>18</v>
      </c>
    </row>
    <row r="214" spans="1:10" ht="21" customHeight="1">
      <c r="A214" s="2" t="s">
        <v>1201</v>
      </c>
      <c r="B214" s="2" t="s">
        <v>18</v>
      </c>
      <c r="C214" s="4">
        <v>45870.25</v>
      </c>
      <c r="D214" s="4">
        <v>45870.250372870374</v>
      </c>
      <c r="E214" s="2">
        <v>2.99</v>
      </c>
      <c r="F214" s="2">
        <v>64.900000000000006</v>
      </c>
      <c r="G214" s="2" t="s">
        <v>983</v>
      </c>
      <c r="H214" s="2" t="s">
        <v>984</v>
      </c>
      <c r="I214" s="2"/>
      <c r="J214" s="2" t="s">
        <v>18</v>
      </c>
    </row>
    <row r="215" spans="1:10" ht="21" customHeight="1">
      <c r="A215" s="2" t="s">
        <v>1202</v>
      </c>
      <c r="B215" s="2" t="s">
        <v>18</v>
      </c>
      <c r="C215" s="4">
        <v>45871.25</v>
      </c>
      <c r="D215" s="4">
        <v>45871.250572731486</v>
      </c>
      <c r="E215" s="2">
        <v>2.48</v>
      </c>
      <c r="F215" s="2">
        <v>63.2</v>
      </c>
      <c r="G215" s="2" t="s">
        <v>983</v>
      </c>
      <c r="H215" s="2" t="s">
        <v>984</v>
      </c>
      <c r="I215" s="2"/>
      <c r="J215" s="2" t="s">
        <v>18</v>
      </c>
    </row>
    <row r="216" spans="1:10" ht="21" customHeight="1">
      <c r="A216" s="2" t="s">
        <v>1203</v>
      </c>
      <c r="B216" s="2" t="s">
        <v>18</v>
      </c>
      <c r="C216" s="4">
        <v>45872.25</v>
      </c>
      <c r="D216" s="4">
        <v>45872.250067291665</v>
      </c>
      <c r="E216" s="2"/>
      <c r="F216" s="2"/>
      <c r="G216" s="2" t="s">
        <v>983</v>
      </c>
      <c r="H216" s="2" t="s">
        <v>1066</v>
      </c>
      <c r="I216" s="2"/>
      <c r="J216" s="2" t="s">
        <v>18</v>
      </c>
    </row>
    <row r="217" spans="1:10" ht="21" customHeight="1">
      <c r="A217" s="2" t="s">
        <v>1204</v>
      </c>
      <c r="B217" s="2" t="s">
        <v>18</v>
      </c>
      <c r="C217" s="4">
        <v>45873.25</v>
      </c>
      <c r="D217" s="4">
        <v>45873.250471087958</v>
      </c>
      <c r="E217" s="2">
        <v>3.12</v>
      </c>
      <c r="F217" s="2">
        <v>61.3</v>
      </c>
      <c r="G217" s="2" t="s">
        <v>983</v>
      </c>
      <c r="H217" s="2" t="s">
        <v>984</v>
      </c>
      <c r="I217" s="2"/>
      <c r="J217" s="2" t="s">
        <v>18</v>
      </c>
    </row>
    <row r="218" spans="1:10" ht="21" customHeight="1">
      <c r="A218" s="2" t="s">
        <v>1205</v>
      </c>
      <c r="B218" s="2" t="s">
        <v>18</v>
      </c>
      <c r="C218" s="4">
        <v>45874.25</v>
      </c>
      <c r="D218" s="4">
        <v>45874.250082858794</v>
      </c>
      <c r="E218" s="2">
        <v>3.26</v>
      </c>
      <c r="F218" s="2">
        <v>65</v>
      </c>
      <c r="G218" s="2" t="s">
        <v>983</v>
      </c>
      <c r="H218" s="2" t="s">
        <v>984</v>
      </c>
      <c r="I218" s="2"/>
      <c r="J218" s="2" t="s">
        <v>18</v>
      </c>
    </row>
    <row r="219" spans="1:10" ht="21" customHeight="1">
      <c r="A219" s="2" t="s">
        <v>1206</v>
      </c>
      <c r="B219" s="2" t="s">
        <v>18</v>
      </c>
      <c r="C219" s="4">
        <v>45875.25</v>
      </c>
      <c r="D219" s="4">
        <v>45875.250095763884</v>
      </c>
      <c r="E219" s="2">
        <v>2.5299999999999998</v>
      </c>
      <c r="F219" s="2">
        <v>61.9</v>
      </c>
      <c r="G219" s="2" t="s">
        <v>983</v>
      </c>
      <c r="H219" s="2" t="s">
        <v>984</v>
      </c>
      <c r="I219" s="2"/>
      <c r="J219" s="2" t="s">
        <v>18</v>
      </c>
    </row>
    <row r="220" spans="1:10" ht="21" customHeight="1">
      <c r="A220" s="2" t="s">
        <v>1207</v>
      </c>
      <c r="B220" s="2" t="s">
        <v>18</v>
      </c>
      <c r="C220" s="4">
        <v>45876.25</v>
      </c>
      <c r="D220" s="4">
        <v>45876.250233171297</v>
      </c>
      <c r="E220" s="2">
        <v>2.44</v>
      </c>
      <c r="F220" s="2">
        <v>58</v>
      </c>
      <c r="G220" s="2" t="s">
        <v>983</v>
      </c>
      <c r="H220" s="2" t="s">
        <v>984</v>
      </c>
      <c r="I220" s="2"/>
      <c r="J220" s="2" t="s">
        <v>18</v>
      </c>
    </row>
    <row r="221" spans="1:10" ht="21" customHeight="1">
      <c r="A221" s="2" t="s">
        <v>1208</v>
      </c>
      <c r="B221" s="2" t="s">
        <v>18</v>
      </c>
      <c r="C221" s="4">
        <v>45877.25</v>
      </c>
      <c r="D221" s="4">
        <v>45877.250553715276</v>
      </c>
      <c r="E221" s="2">
        <v>2.36</v>
      </c>
      <c r="F221" s="2">
        <v>65.3</v>
      </c>
      <c r="G221" s="2" t="s">
        <v>983</v>
      </c>
      <c r="H221" s="2" t="s">
        <v>984</v>
      </c>
      <c r="I221" s="2"/>
      <c r="J221" s="2" t="s">
        <v>18</v>
      </c>
    </row>
    <row r="222" spans="1:10" ht="21" customHeight="1">
      <c r="A222" s="2" t="s">
        <v>1209</v>
      </c>
      <c r="B222" s="2" t="s">
        <v>18</v>
      </c>
      <c r="C222" s="4">
        <v>45878.25</v>
      </c>
      <c r="D222" s="4">
        <v>45878.25038109954</v>
      </c>
      <c r="E222" s="2">
        <v>3.02</v>
      </c>
      <c r="F222" s="2">
        <v>63.3</v>
      </c>
      <c r="G222" s="2" t="s">
        <v>983</v>
      </c>
      <c r="H222" s="2" t="s">
        <v>984</v>
      </c>
      <c r="I222" s="2"/>
      <c r="J222" s="2" t="s">
        <v>18</v>
      </c>
    </row>
    <row r="223" spans="1:10" ht="21" customHeight="1">
      <c r="A223" s="2" t="s">
        <v>1210</v>
      </c>
      <c r="B223" s="2" t="s">
        <v>18</v>
      </c>
      <c r="C223" s="4">
        <v>45879.25</v>
      </c>
      <c r="D223" s="4">
        <v>45879.250163553239</v>
      </c>
      <c r="E223" s="2">
        <v>2.71</v>
      </c>
      <c r="F223" s="2">
        <v>59.5</v>
      </c>
      <c r="G223" s="2" t="s">
        <v>983</v>
      </c>
      <c r="H223" s="2" t="s">
        <v>984</v>
      </c>
      <c r="I223" s="2" t="s">
        <v>985</v>
      </c>
      <c r="J223" s="2" t="s">
        <v>18</v>
      </c>
    </row>
    <row r="224" spans="1:10" ht="21" customHeight="1">
      <c r="A224" s="2" t="s">
        <v>1211</v>
      </c>
      <c r="B224" s="2" t="s">
        <v>18</v>
      </c>
      <c r="C224" s="4">
        <v>45880.25</v>
      </c>
      <c r="D224" s="4">
        <v>45880.250673668983</v>
      </c>
      <c r="E224" s="2">
        <v>2.25</v>
      </c>
      <c r="F224" s="2">
        <v>65.2</v>
      </c>
      <c r="G224" s="2" t="s">
        <v>983</v>
      </c>
      <c r="H224" s="2" t="s">
        <v>984</v>
      </c>
      <c r="I224" s="2"/>
      <c r="J224" s="2" t="s">
        <v>18</v>
      </c>
    </row>
    <row r="225" spans="1:10" ht="21" customHeight="1">
      <c r="A225" s="2" t="s">
        <v>1212</v>
      </c>
      <c r="B225" s="2" t="s">
        <v>18</v>
      </c>
      <c r="C225" s="4">
        <v>45881.25</v>
      </c>
      <c r="D225" s="4">
        <v>45881.250103495375</v>
      </c>
      <c r="E225" s="2">
        <v>2.84</v>
      </c>
      <c r="F225" s="2">
        <v>59.3</v>
      </c>
      <c r="G225" s="2" t="s">
        <v>983</v>
      </c>
      <c r="H225" s="2" t="s">
        <v>984</v>
      </c>
      <c r="I225" s="2"/>
      <c r="J225" s="2" t="s">
        <v>18</v>
      </c>
    </row>
    <row r="226" spans="1:10" ht="21" customHeight="1">
      <c r="A226" s="2" t="s">
        <v>1213</v>
      </c>
      <c r="B226" s="2" t="s">
        <v>18</v>
      </c>
      <c r="C226" s="4">
        <v>45882.25</v>
      </c>
      <c r="D226" s="4">
        <v>45882.250312384262</v>
      </c>
      <c r="E226" s="2">
        <v>3.27</v>
      </c>
      <c r="F226" s="2">
        <v>58.5</v>
      </c>
      <c r="G226" s="2" t="s">
        <v>983</v>
      </c>
      <c r="H226" s="2" t="s">
        <v>984</v>
      </c>
      <c r="I226" s="2"/>
      <c r="J226" s="2" t="s">
        <v>18</v>
      </c>
    </row>
    <row r="227" spans="1:10" ht="21" customHeight="1">
      <c r="A227" s="2" t="s">
        <v>1214</v>
      </c>
      <c r="B227" s="2" t="s">
        <v>18</v>
      </c>
      <c r="C227" s="4">
        <v>45883.25</v>
      </c>
      <c r="D227" s="4">
        <v>45883.250347037036</v>
      </c>
      <c r="E227" s="2">
        <v>2.12</v>
      </c>
      <c r="F227" s="2">
        <v>62.9</v>
      </c>
      <c r="G227" s="2" t="s">
        <v>983</v>
      </c>
      <c r="H227" s="2" t="s">
        <v>984</v>
      </c>
      <c r="I227" s="2"/>
      <c r="J227" s="2" t="s">
        <v>18</v>
      </c>
    </row>
    <row r="228" spans="1:10" ht="21" customHeight="1">
      <c r="A228" s="2" t="s">
        <v>1215</v>
      </c>
      <c r="B228" s="2" t="s">
        <v>18</v>
      </c>
      <c r="C228" s="4">
        <v>45884.25</v>
      </c>
      <c r="D228" s="4">
        <v>45884.250385671301</v>
      </c>
      <c r="E228" s="2">
        <v>2.36</v>
      </c>
      <c r="F228" s="2">
        <v>58.6</v>
      </c>
      <c r="G228" s="2" t="s">
        <v>983</v>
      </c>
      <c r="H228" s="2" t="s">
        <v>984</v>
      </c>
      <c r="I228" s="2"/>
      <c r="J228" s="2" t="s">
        <v>18</v>
      </c>
    </row>
    <row r="229" spans="1:10" ht="21" customHeight="1">
      <c r="A229" s="2" t="s">
        <v>1216</v>
      </c>
      <c r="B229" s="2" t="s">
        <v>18</v>
      </c>
      <c r="C229" s="4">
        <v>45885.25</v>
      </c>
      <c r="D229" s="4">
        <v>45885.250053900461</v>
      </c>
      <c r="E229" s="2">
        <v>2.78</v>
      </c>
      <c r="F229" s="2">
        <v>59.6</v>
      </c>
      <c r="G229" s="2" t="s">
        <v>983</v>
      </c>
      <c r="H229" s="2" t="s">
        <v>984</v>
      </c>
      <c r="I229" s="2"/>
      <c r="J229" s="2" t="s">
        <v>18</v>
      </c>
    </row>
    <row r="230" spans="1:10" ht="21" customHeight="1">
      <c r="A230" s="2" t="s">
        <v>1217</v>
      </c>
      <c r="B230" s="2" t="s">
        <v>18</v>
      </c>
      <c r="C230" s="4">
        <v>45886.25</v>
      </c>
      <c r="D230" s="4">
        <v>45886.250061087965</v>
      </c>
      <c r="E230" s="2">
        <v>2.5299999999999998</v>
      </c>
      <c r="F230" s="2">
        <v>62.4</v>
      </c>
      <c r="G230" s="2" t="s">
        <v>983</v>
      </c>
      <c r="H230" s="2" t="s">
        <v>984</v>
      </c>
      <c r="I230" s="2"/>
      <c r="J230" s="2" t="s">
        <v>18</v>
      </c>
    </row>
    <row r="231" spans="1:10" ht="21" customHeight="1">
      <c r="A231" s="2" t="s">
        <v>1218</v>
      </c>
      <c r="B231" s="2" t="s">
        <v>18</v>
      </c>
      <c r="C231" s="4">
        <v>45887.25</v>
      </c>
      <c r="D231" s="4">
        <v>45887.250319456019</v>
      </c>
      <c r="E231" s="2">
        <v>2.19</v>
      </c>
      <c r="F231" s="2">
        <v>59.5</v>
      </c>
      <c r="G231" s="2" t="s">
        <v>983</v>
      </c>
      <c r="H231" s="2" t="s">
        <v>984</v>
      </c>
      <c r="I231" s="2"/>
      <c r="J231" s="2" t="s">
        <v>18</v>
      </c>
    </row>
    <row r="232" spans="1:10" ht="21" customHeight="1">
      <c r="A232" s="2" t="s">
        <v>1219</v>
      </c>
      <c r="B232" s="2" t="s">
        <v>18</v>
      </c>
      <c r="C232" s="4">
        <v>45888.25</v>
      </c>
      <c r="D232" s="4">
        <v>45888.250335289355</v>
      </c>
      <c r="E232" s="2">
        <v>2.58</v>
      </c>
      <c r="F232" s="2">
        <v>62.5</v>
      </c>
      <c r="G232" s="2" t="s">
        <v>983</v>
      </c>
      <c r="H232" s="2" t="s">
        <v>984</v>
      </c>
      <c r="I232" s="2"/>
      <c r="J232" s="2" t="s">
        <v>18</v>
      </c>
    </row>
    <row r="233" spans="1:10" ht="21" customHeight="1">
      <c r="A233" s="2" t="s">
        <v>1220</v>
      </c>
      <c r="B233" s="2" t="s">
        <v>18</v>
      </c>
      <c r="C233" s="4">
        <v>45889.25</v>
      </c>
      <c r="D233" s="4">
        <v>45889.250692523143</v>
      </c>
      <c r="E233" s="2">
        <v>3.09</v>
      </c>
      <c r="F233" s="2">
        <v>59.6</v>
      </c>
      <c r="G233" s="2" t="s">
        <v>983</v>
      </c>
      <c r="H233" s="2" t="s">
        <v>984</v>
      </c>
      <c r="I233" s="2"/>
      <c r="J233" s="2" t="s">
        <v>18</v>
      </c>
    </row>
    <row r="234" spans="1:10" ht="21" customHeight="1">
      <c r="A234" s="2" t="s">
        <v>1221</v>
      </c>
      <c r="B234" s="2" t="s">
        <v>18</v>
      </c>
      <c r="C234" s="4">
        <v>45890.25</v>
      </c>
      <c r="D234" s="4">
        <v>45890.250647326393</v>
      </c>
      <c r="E234" s="2">
        <v>2.92</v>
      </c>
      <c r="F234" s="2">
        <v>61.3</v>
      </c>
      <c r="G234" s="2" t="s">
        <v>983</v>
      </c>
      <c r="H234" s="2" t="s">
        <v>984</v>
      </c>
      <c r="I234" s="2"/>
      <c r="J234" s="2" t="s">
        <v>18</v>
      </c>
    </row>
    <row r="235" spans="1:10" ht="21" customHeight="1">
      <c r="A235" s="2" t="s">
        <v>1222</v>
      </c>
      <c r="B235" s="2" t="s">
        <v>18</v>
      </c>
      <c r="C235" s="4">
        <v>45891.25</v>
      </c>
      <c r="D235" s="4">
        <v>45891.25016413194</v>
      </c>
      <c r="E235" s="2">
        <v>2.52</v>
      </c>
      <c r="F235" s="2">
        <v>65.3</v>
      </c>
      <c r="G235" s="2" t="s">
        <v>983</v>
      </c>
      <c r="H235" s="2" t="s">
        <v>984</v>
      </c>
      <c r="I235" s="2"/>
      <c r="J235" s="2" t="s">
        <v>18</v>
      </c>
    </row>
    <row r="236" spans="1:10" ht="21" customHeight="1">
      <c r="A236" s="2" t="s">
        <v>1223</v>
      </c>
      <c r="B236" s="2" t="s">
        <v>18</v>
      </c>
      <c r="C236" s="4">
        <v>45892.25</v>
      </c>
      <c r="D236" s="4">
        <v>45892.250569247684</v>
      </c>
      <c r="E236" s="2">
        <v>2.33</v>
      </c>
      <c r="F236" s="2">
        <v>60.9</v>
      </c>
      <c r="G236" s="2" t="s">
        <v>983</v>
      </c>
      <c r="H236" s="2" t="s">
        <v>984</v>
      </c>
      <c r="I236" s="2"/>
      <c r="J236" s="2" t="s">
        <v>18</v>
      </c>
    </row>
    <row r="237" spans="1:10" ht="21" customHeight="1">
      <c r="A237" s="2" t="s">
        <v>1224</v>
      </c>
      <c r="B237" s="2" t="s">
        <v>18</v>
      </c>
      <c r="C237" s="4">
        <v>45893.25</v>
      </c>
      <c r="D237" s="4">
        <v>45893.250467766207</v>
      </c>
      <c r="E237" s="2">
        <v>2.4500000000000002</v>
      </c>
      <c r="F237" s="2">
        <v>58.8</v>
      </c>
      <c r="G237" s="2" t="s">
        <v>983</v>
      </c>
      <c r="H237" s="2" t="s">
        <v>984</v>
      </c>
      <c r="I237" s="2"/>
      <c r="J237" s="2" t="s">
        <v>18</v>
      </c>
    </row>
    <row r="238" spans="1:10" ht="21" customHeight="1">
      <c r="A238" s="2" t="s">
        <v>1225</v>
      </c>
      <c r="B238" s="2" t="s">
        <v>18</v>
      </c>
      <c r="C238" s="4">
        <v>45894.25</v>
      </c>
      <c r="D238" s="4">
        <v>45894.25032259259</v>
      </c>
      <c r="E238" s="2">
        <v>2.73</v>
      </c>
      <c r="F238" s="2">
        <v>62.2</v>
      </c>
      <c r="G238" s="2" t="s">
        <v>983</v>
      </c>
      <c r="H238" s="2" t="s">
        <v>984</v>
      </c>
      <c r="I238" s="2"/>
      <c r="J238" s="2" t="s">
        <v>18</v>
      </c>
    </row>
    <row r="239" spans="1:10" ht="21" customHeight="1">
      <c r="A239" s="2" t="s">
        <v>1226</v>
      </c>
      <c r="B239" s="2" t="s">
        <v>18</v>
      </c>
      <c r="C239" s="4">
        <v>45895.25</v>
      </c>
      <c r="D239" s="4">
        <v>45895.25066662037</v>
      </c>
      <c r="E239" s="2">
        <v>2.39</v>
      </c>
      <c r="F239" s="2">
        <v>63.1</v>
      </c>
      <c r="G239" s="2" t="s">
        <v>983</v>
      </c>
      <c r="H239" s="2" t="s">
        <v>984</v>
      </c>
      <c r="I239" s="2"/>
      <c r="J239" s="2" t="s">
        <v>18</v>
      </c>
    </row>
    <row r="240" spans="1:10" ht="21" customHeight="1">
      <c r="A240" s="2" t="s">
        <v>1227</v>
      </c>
      <c r="B240" s="2" t="s">
        <v>18</v>
      </c>
      <c r="C240" s="4">
        <v>45896.25</v>
      </c>
      <c r="D240" s="4">
        <v>45896.250042326385</v>
      </c>
      <c r="E240" s="2">
        <v>2.87</v>
      </c>
      <c r="F240" s="2">
        <v>59.1</v>
      </c>
      <c r="G240" s="2" t="s">
        <v>983</v>
      </c>
      <c r="H240" s="2" t="s">
        <v>984</v>
      </c>
      <c r="I240" s="2" t="s">
        <v>985</v>
      </c>
      <c r="J240" s="2" t="s">
        <v>18</v>
      </c>
    </row>
    <row r="241" spans="1:10" ht="21" customHeight="1">
      <c r="A241" s="2" t="s">
        <v>1228</v>
      </c>
      <c r="B241" s="2" t="s">
        <v>18</v>
      </c>
      <c r="C241" s="4">
        <v>45897.25</v>
      </c>
      <c r="D241" s="4">
        <v>45897.250167256949</v>
      </c>
      <c r="E241" s="2">
        <v>2.11</v>
      </c>
      <c r="F241" s="2">
        <v>61.2</v>
      </c>
      <c r="G241" s="2" t="s">
        <v>983</v>
      </c>
      <c r="H241" s="2" t="s">
        <v>984</v>
      </c>
      <c r="I241" s="2"/>
      <c r="J241" s="2" t="s">
        <v>18</v>
      </c>
    </row>
    <row r="242" spans="1:10" ht="21" customHeight="1">
      <c r="A242" s="2" t="s">
        <v>1229</v>
      </c>
      <c r="B242" s="2" t="s">
        <v>18</v>
      </c>
      <c r="C242" s="4">
        <v>45898.25</v>
      </c>
      <c r="D242" s="4">
        <v>45898.250262280097</v>
      </c>
      <c r="E242" s="2">
        <v>2.41</v>
      </c>
      <c r="F242" s="2">
        <v>58.8</v>
      </c>
      <c r="G242" s="2" t="s">
        <v>983</v>
      </c>
      <c r="H242" s="2" t="s">
        <v>984</v>
      </c>
      <c r="I242" s="2"/>
      <c r="J242" s="2" t="s">
        <v>18</v>
      </c>
    </row>
    <row r="243" spans="1:10" ht="21" customHeight="1">
      <c r="A243" s="2" t="s">
        <v>1230</v>
      </c>
      <c r="B243" s="2" t="s">
        <v>18</v>
      </c>
      <c r="C243" s="4">
        <v>45899.25</v>
      </c>
      <c r="D243" s="4">
        <v>45899.250173344903</v>
      </c>
      <c r="E243" s="2">
        <v>2.88</v>
      </c>
      <c r="F243" s="2">
        <v>62.9</v>
      </c>
      <c r="G243" s="2" t="s">
        <v>983</v>
      </c>
      <c r="H243" s="2" t="s">
        <v>984</v>
      </c>
      <c r="I243" s="2"/>
      <c r="J243" s="2" t="s">
        <v>18</v>
      </c>
    </row>
    <row r="244" spans="1:10" ht="21" customHeight="1">
      <c r="A244" s="2" t="s">
        <v>1231</v>
      </c>
      <c r="B244" s="2" t="s">
        <v>18</v>
      </c>
      <c r="C244" s="4">
        <v>45900.25</v>
      </c>
      <c r="D244" s="4">
        <v>45900.250039791666</v>
      </c>
      <c r="E244" s="2">
        <v>2.63</v>
      </c>
      <c r="F244" s="2">
        <v>64.099999999999994</v>
      </c>
      <c r="G244" s="2" t="s">
        <v>983</v>
      </c>
      <c r="H244" s="2" t="s">
        <v>984</v>
      </c>
      <c r="I244" s="2"/>
      <c r="J244" s="2" t="s">
        <v>18</v>
      </c>
    </row>
    <row r="245" spans="1:10" ht="21" customHeight="1">
      <c r="A245" s="2" t="s">
        <v>1232</v>
      </c>
      <c r="B245" s="2" t="s">
        <v>18</v>
      </c>
      <c r="C245" s="4">
        <v>45901.25</v>
      </c>
      <c r="D245" s="4">
        <v>45901.250456226851</v>
      </c>
      <c r="E245" s="2">
        <v>3.24</v>
      </c>
      <c r="F245" s="2">
        <v>58</v>
      </c>
      <c r="G245" s="2" t="s">
        <v>983</v>
      </c>
      <c r="H245" s="2" t="s">
        <v>984</v>
      </c>
      <c r="I245" s="2"/>
      <c r="J245" s="2" t="s">
        <v>18</v>
      </c>
    </row>
    <row r="246" spans="1:10" ht="21" customHeight="1">
      <c r="A246" s="2" t="s">
        <v>1233</v>
      </c>
      <c r="B246" s="2" t="s">
        <v>18</v>
      </c>
      <c r="C246" s="4">
        <v>45902.25</v>
      </c>
      <c r="D246" s="4">
        <v>45902.250382164348</v>
      </c>
      <c r="E246" s="2">
        <v>2.39</v>
      </c>
      <c r="F246" s="2">
        <v>60.9</v>
      </c>
      <c r="G246" s="2" t="s">
        <v>983</v>
      </c>
      <c r="H246" s="2" t="s">
        <v>984</v>
      </c>
      <c r="I246" s="2"/>
      <c r="J246" s="2" t="s">
        <v>18</v>
      </c>
    </row>
    <row r="247" spans="1:10" ht="21" customHeight="1">
      <c r="A247" s="2" t="s">
        <v>1234</v>
      </c>
      <c r="B247" s="2" t="s">
        <v>18</v>
      </c>
      <c r="C247" s="4">
        <v>45903.25</v>
      </c>
      <c r="D247" s="4">
        <v>45903.250050000002</v>
      </c>
      <c r="E247" s="2">
        <v>2.52</v>
      </c>
      <c r="F247" s="2">
        <v>62.2</v>
      </c>
      <c r="G247" s="2" t="s">
        <v>983</v>
      </c>
      <c r="H247" s="2" t="s">
        <v>984</v>
      </c>
      <c r="I247" s="2"/>
      <c r="J247" s="2" t="s">
        <v>18</v>
      </c>
    </row>
    <row r="248" spans="1:10" ht="21" customHeight="1">
      <c r="A248" s="2" t="s">
        <v>1235</v>
      </c>
      <c r="B248" s="2" t="s">
        <v>982</v>
      </c>
      <c r="C248" s="4">
        <v>45904.25</v>
      </c>
      <c r="D248" s="4">
        <v>45904.250441724536</v>
      </c>
      <c r="E248" s="2">
        <v>2.15</v>
      </c>
      <c r="F248" s="2">
        <v>62</v>
      </c>
      <c r="G248" s="2" t="s">
        <v>983</v>
      </c>
      <c r="H248" s="2" t="s">
        <v>984</v>
      </c>
      <c r="I248" s="2"/>
      <c r="J248" s="2" t="s">
        <v>18</v>
      </c>
    </row>
    <row r="249" spans="1:10" ht="21" customHeight="1">
      <c r="A249" s="2" t="s">
        <v>1236</v>
      </c>
      <c r="B249" s="2" t="s">
        <v>18</v>
      </c>
      <c r="C249" s="4">
        <v>45905.25</v>
      </c>
      <c r="D249" s="4">
        <v>45905.250382442129</v>
      </c>
      <c r="E249" s="2">
        <v>3.12</v>
      </c>
      <c r="F249" s="2">
        <v>62</v>
      </c>
      <c r="G249" s="2" t="s">
        <v>983</v>
      </c>
      <c r="H249" s="2" t="s">
        <v>984</v>
      </c>
      <c r="I249" s="2"/>
      <c r="J249" s="2" t="s">
        <v>18</v>
      </c>
    </row>
    <row r="250" spans="1:10" ht="21" customHeight="1">
      <c r="A250" s="2" t="s">
        <v>1237</v>
      </c>
      <c r="B250" s="2" t="s">
        <v>18</v>
      </c>
      <c r="C250" s="4">
        <v>45906.25</v>
      </c>
      <c r="D250" s="4">
        <v>45906.250030844909</v>
      </c>
      <c r="E250" s="2">
        <v>6.14</v>
      </c>
      <c r="F250" s="2">
        <v>72</v>
      </c>
      <c r="G250" s="2" t="s">
        <v>983</v>
      </c>
      <c r="H250" s="2" t="s">
        <v>984</v>
      </c>
      <c r="I250" s="2" t="s">
        <v>1053</v>
      </c>
      <c r="J250" s="2" t="s">
        <v>18</v>
      </c>
    </row>
    <row r="251" spans="1:10" ht="21" customHeight="1">
      <c r="A251" s="2" t="s">
        <v>1238</v>
      </c>
      <c r="B251" s="2" t="s">
        <v>18</v>
      </c>
      <c r="C251" s="4">
        <v>45907.25</v>
      </c>
      <c r="D251" s="4">
        <v>45907.250376701384</v>
      </c>
      <c r="E251" s="2">
        <v>5.0999999999999996</v>
      </c>
      <c r="F251" s="2">
        <v>71.3</v>
      </c>
      <c r="G251" s="2" t="s">
        <v>983</v>
      </c>
      <c r="H251" s="2" t="s">
        <v>984</v>
      </c>
      <c r="I251" s="2"/>
      <c r="J251" s="2" t="s">
        <v>18</v>
      </c>
    </row>
    <row r="252" spans="1:10" ht="21" customHeight="1">
      <c r="A252" s="2" t="s">
        <v>1239</v>
      </c>
      <c r="B252" s="2" t="s">
        <v>18</v>
      </c>
      <c r="C252" s="4">
        <v>45908.25</v>
      </c>
      <c r="D252" s="4">
        <v>45908.250470254628</v>
      </c>
      <c r="E252" s="2">
        <v>5.46</v>
      </c>
      <c r="F252" s="2">
        <v>68.8</v>
      </c>
      <c r="G252" s="2" t="s">
        <v>983</v>
      </c>
      <c r="H252" s="2" t="s">
        <v>984</v>
      </c>
      <c r="I252" s="2" t="s">
        <v>1053</v>
      </c>
      <c r="J252" s="2" t="s">
        <v>18</v>
      </c>
    </row>
    <row r="253" spans="1:10" ht="21" customHeight="1">
      <c r="A253" s="2" t="s">
        <v>1240</v>
      </c>
      <c r="B253" s="2" t="s">
        <v>18</v>
      </c>
      <c r="C253" s="4">
        <v>45909.25</v>
      </c>
      <c r="D253" s="4">
        <v>45909.250598310187</v>
      </c>
      <c r="E253" s="2">
        <v>3.01</v>
      </c>
      <c r="F253" s="2">
        <v>59.9</v>
      </c>
      <c r="G253" s="2" t="s">
        <v>983</v>
      </c>
      <c r="H253" s="2" t="s">
        <v>984</v>
      </c>
      <c r="I253" s="2"/>
      <c r="J253" s="2" t="s">
        <v>18</v>
      </c>
    </row>
    <row r="254" spans="1:10" ht="21" customHeight="1">
      <c r="A254" s="2" t="s">
        <v>1241</v>
      </c>
      <c r="B254" s="2" t="s">
        <v>18</v>
      </c>
      <c r="C254" s="4">
        <v>45910.25</v>
      </c>
      <c r="D254" s="4">
        <v>45910.250689722219</v>
      </c>
      <c r="E254" s="2">
        <v>2.67</v>
      </c>
      <c r="F254" s="2">
        <v>59.1</v>
      </c>
      <c r="G254" s="2" t="s">
        <v>983</v>
      </c>
      <c r="H254" s="2" t="s">
        <v>984</v>
      </c>
      <c r="I254" s="2"/>
      <c r="J254" s="2" t="s">
        <v>18</v>
      </c>
    </row>
    <row r="255" spans="1:10" ht="21" customHeight="1">
      <c r="A255" s="2" t="s">
        <v>1242</v>
      </c>
      <c r="B255" s="2" t="s">
        <v>18</v>
      </c>
      <c r="C255" s="4">
        <v>45911.25</v>
      </c>
      <c r="D255" s="4">
        <v>45911.250659062498</v>
      </c>
      <c r="E255" s="2">
        <v>2.93</v>
      </c>
      <c r="F255" s="2">
        <v>61.9</v>
      </c>
      <c r="G255" s="2" t="s">
        <v>983</v>
      </c>
      <c r="H255" s="2" t="s">
        <v>984</v>
      </c>
      <c r="I255" s="2"/>
      <c r="J255" s="2" t="s">
        <v>18</v>
      </c>
    </row>
    <row r="256" spans="1:10" ht="21" customHeight="1">
      <c r="A256" s="2" t="s">
        <v>1243</v>
      </c>
      <c r="B256" s="2" t="s">
        <v>18</v>
      </c>
      <c r="C256" s="4">
        <v>45912.25</v>
      </c>
      <c r="D256" s="4">
        <v>45912.250286412032</v>
      </c>
      <c r="E256" s="2">
        <v>2.15</v>
      </c>
      <c r="F256" s="2">
        <v>62</v>
      </c>
      <c r="G256" s="2" t="s">
        <v>983</v>
      </c>
      <c r="H256" s="2" t="s">
        <v>984</v>
      </c>
      <c r="I256" s="2"/>
      <c r="J256" s="2" t="s">
        <v>18</v>
      </c>
    </row>
    <row r="257" spans="1:10" ht="21" customHeight="1">
      <c r="A257" s="2" t="s">
        <v>1244</v>
      </c>
      <c r="B257" s="2" t="s">
        <v>18</v>
      </c>
      <c r="C257" s="4">
        <v>45913.25</v>
      </c>
      <c r="D257" s="4">
        <v>45913.250071643517</v>
      </c>
      <c r="E257" s="2">
        <v>2.97</v>
      </c>
      <c r="F257" s="2">
        <v>65.400000000000006</v>
      </c>
      <c r="G257" s="2" t="s">
        <v>983</v>
      </c>
      <c r="H257" s="2" t="s">
        <v>984</v>
      </c>
      <c r="I257" s="2" t="s">
        <v>985</v>
      </c>
      <c r="J257" s="2" t="s">
        <v>18</v>
      </c>
    </row>
    <row r="258" spans="1:10" ht="21" customHeight="1">
      <c r="A258" s="2" t="s">
        <v>1245</v>
      </c>
      <c r="B258" s="2" t="s">
        <v>18</v>
      </c>
      <c r="C258" s="4">
        <v>45914.25</v>
      </c>
      <c r="D258" s="4">
        <v>45914.250195960645</v>
      </c>
      <c r="E258" s="2">
        <v>2.94</v>
      </c>
      <c r="F258" s="2">
        <v>61.5</v>
      </c>
      <c r="G258" s="2" t="s">
        <v>983</v>
      </c>
      <c r="H258" s="2" t="s">
        <v>984</v>
      </c>
      <c r="I258" s="2"/>
      <c r="J258" s="2" t="s">
        <v>18</v>
      </c>
    </row>
    <row r="259" spans="1:10" ht="21" customHeight="1">
      <c r="A259" s="2" t="s">
        <v>1246</v>
      </c>
      <c r="B259" s="2" t="s">
        <v>18</v>
      </c>
      <c r="C259" s="4">
        <v>45915.25</v>
      </c>
      <c r="D259" s="4">
        <v>45915.250434918984</v>
      </c>
      <c r="E259" s="2">
        <v>2.74</v>
      </c>
      <c r="F259" s="2">
        <v>63</v>
      </c>
      <c r="G259" s="2" t="s">
        <v>983</v>
      </c>
      <c r="H259" s="2" t="s">
        <v>984</v>
      </c>
      <c r="I259" s="2"/>
      <c r="J259" s="2" t="s">
        <v>18</v>
      </c>
    </row>
    <row r="260" spans="1:10" ht="21" customHeight="1">
      <c r="A260" s="2" t="s">
        <v>1247</v>
      </c>
      <c r="B260" s="2" t="s">
        <v>18</v>
      </c>
      <c r="C260" s="4">
        <v>45916.25</v>
      </c>
      <c r="D260" s="4">
        <v>45916.250294432873</v>
      </c>
      <c r="E260" s="2">
        <v>2.13</v>
      </c>
      <c r="F260" s="2">
        <v>63.4</v>
      </c>
      <c r="G260" s="2" t="s">
        <v>983</v>
      </c>
      <c r="H260" s="2" t="s">
        <v>984</v>
      </c>
      <c r="I260" s="2"/>
      <c r="J260" s="2" t="s">
        <v>18</v>
      </c>
    </row>
    <row r="261" spans="1:10" ht="21" customHeight="1">
      <c r="A261" s="2" t="s">
        <v>1248</v>
      </c>
      <c r="B261" s="2" t="s">
        <v>18</v>
      </c>
      <c r="C261" s="4">
        <v>45917.25</v>
      </c>
      <c r="D261" s="4">
        <v>45917.250023726854</v>
      </c>
      <c r="E261" s="2">
        <v>3.16</v>
      </c>
      <c r="F261" s="2">
        <v>63.7</v>
      </c>
      <c r="G261" s="2" t="s">
        <v>983</v>
      </c>
      <c r="H261" s="2" t="s">
        <v>984</v>
      </c>
      <c r="I261" s="2"/>
      <c r="J261" s="2" t="s">
        <v>18</v>
      </c>
    </row>
    <row r="262" spans="1:10" ht="21" customHeight="1">
      <c r="A262" s="2" t="s">
        <v>1249</v>
      </c>
      <c r="B262" s="2" t="s">
        <v>18</v>
      </c>
      <c r="C262" s="4">
        <v>45918.25</v>
      </c>
      <c r="D262" s="4">
        <v>45918.250624826389</v>
      </c>
      <c r="E262" s="2">
        <v>2.5299999999999998</v>
      </c>
      <c r="F262" s="2">
        <v>58.2</v>
      </c>
      <c r="G262" s="2" t="s">
        <v>983</v>
      </c>
      <c r="H262" s="2" t="s">
        <v>984</v>
      </c>
      <c r="I262" s="2"/>
      <c r="J262" s="2" t="s">
        <v>18</v>
      </c>
    </row>
    <row r="263" spans="1:10" ht="21" customHeight="1">
      <c r="A263" s="2" t="s">
        <v>1250</v>
      </c>
      <c r="B263" s="2" t="s">
        <v>18</v>
      </c>
      <c r="C263" s="4">
        <v>45919.25</v>
      </c>
      <c r="D263" s="4">
        <v>45919.250654618052</v>
      </c>
      <c r="E263" s="2">
        <v>5.19</v>
      </c>
      <c r="F263" s="2">
        <v>68.400000000000006</v>
      </c>
      <c r="G263" s="2" t="s">
        <v>983</v>
      </c>
      <c r="H263" s="2" t="s">
        <v>984</v>
      </c>
      <c r="I263" s="2"/>
      <c r="J263" s="2" t="s">
        <v>18</v>
      </c>
    </row>
    <row r="264" spans="1:10" ht="21" customHeight="1">
      <c r="A264" s="2" t="s">
        <v>1251</v>
      </c>
      <c r="B264" s="2" t="s">
        <v>18</v>
      </c>
      <c r="C264" s="4">
        <v>45920.25</v>
      </c>
      <c r="D264" s="4">
        <v>45920.250085960652</v>
      </c>
      <c r="E264" s="2">
        <v>5.24</v>
      </c>
      <c r="F264" s="2">
        <v>67.900000000000006</v>
      </c>
      <c r="G264" s="2" t="s">
        <v>983</v>
      </c>
      <c r="H264" s="2" t="s">
        <v>984</v>
      </c>
      <c r="I264" s="2" t="s">
        <v>1053</v>
      </c>
      <c r="J264" s="2" t="s">
        <v>18</v>
      </c>
    </row>
    <row r="265" spans="1:10" ht="21" customHeight="1">
      <c r="A265" s="2" t="s">
        <v>1252</v>
      </c>
      <c r="B265" s="2" t="s">
        <v>18</v>
      </c>
      <c r="C265" s="4">
        <v>45921.25</v>
      </c>
      <c r="D265" s="4">
        <v>45921.250426365739</v>
      </c>
      <c r="E265" s="2">
        <v>6.24</v>
      </c>
      <c r="F265" s="2">
        <v>72.2</v>
      </c>
      <c r="G265" s="2" t="s">
        <v>983</v>
      </c>
      <c r="H265" s="2" t="s">
        <v>984</v>
      </c>
      <c r="I265" s="2"/>
      <c r="J265" s="2" t="s">
        <v>18</v>
      </c>
    </row>
    <row r="266" spans="1:10" ht="21" customHeight="1">
      <c r="A266" s="2" t="s">
        <v>1253</v>
      </c>
      <c r="B266" s="2" t="s">
        <v>18</v>
      </c>
      <c r="C266" s="4">
        <v>45922.25</v>
      </c>
      <c r="D266" s="4">
        <v>45922.250627777779</v>
      </c>
      <c r="E266" s="2">
        <v>2.98</v>
      </c>
      <c r="F266" s="2">
        <v>58.7</v>
      </c>
      <c r="G266" s="2" t="s">
        <v>983</v>
      </c>
      <c r="H266" s="2" t="s">
        <v>984</v>
      </c>
      <c r="I266" s="2"/>
      <c r="J266" s="2" t="s">
        <v>18</v>
      </c>
    </row>
    <row r="267" spans="1:10" ht="21" customHeight="1">
      <c r="A267" s="2" t="s">
        <v>1254</v>
      </c>
      <c r="B267" s="2" t="s">
        <v>18</v>
      </c>
      <c r="C267" s="4">
        <v>45923.25</v>
      </c>
      <c r="D267" s="4">
        <v>45923.250020636573</v>
      </c>
      <c r="E267" s="2">
        <v>2.1</v>
      </c>
      <c r="F267" s="2">
        <v>61.1</v>
      </c>
      <c r="G267" s="2" t="s">
        <v>983</v>
      </c>
      <c r="H267" s="2" t="s">
        <v>984</v>
      </c>
      <c r="I267" s="2"/>
      <c r="J267" s="2" t="s">
        <v>18</v>
      </c>
    </row>
    <row r="268" spans="1:10" ht="21" customHeight="1">
      <c r="A268" s="2" t="s">
        <v>1255</v>
      </c>
      <c r="B268" s="2" t="s">
        <v>18</v>
      </c>
      <c r="C268" s="4">
        <v>45924.25</v>
      </c>
      <c r="D268" s="4">
        <v>45924.250392013884</v>
      </c>
      <c r="E268" s="2">
        <v>2.11</v>
      </c>
      <c r="F268" s="2">
        <v>60.1</v>
      </c>
      <c r="G268" s="2" t="s">
        <v>983</v>
      </c>
      <c r="H268" s="2" t="s">
        <v>984</v>
      </c>
      <c r="I268" s="2"/>
      <c r="J268" s="2" t="s">
        <v>18</v>
      </c>
    </row>
    <row r="269" spans="1:10" ht="21" customHeight="1">
      <c r="A269" s="2" t="s">
        <v>1256</v>
      </c>
      <c r="B269" s="2" t="s">
        <v>18</v>
      </c>
      <c r="C269" s="4">
        <v>45925.25</v>
      </c>
      <c r="D269" s="4">
        <v>45925.250069409725</v>
      </c>
      <c r="E269" s="2">
        <v>2.96</v>
      </c>
      <c r="F269" s="2">
        <v>64.7</v>
      </c>
      <c r="G269" s="2" t="s">
        <v>983</v>
      </c>
      <c r="H269" s="2" t="s">
        <v>984</v>
      </c>
      <c r="I269" s="2"/>
      <c r="J269" s="2" t="s">
        <v>18</v>
      </c>
    </row>
    <row r="270" spans="1:10" ht="21" customHeight="1">
      <c r="A270" s="2" t="s">
        <v>1257</v>
      </c>
      <c r="B270" s="2" t="s">
        <v>18</v>
      </c>
      <c r="C270" s="4">
        <v>45926.25</v>
      </c>
      <c r="D270" s="4">
        <v>45926.250623043983</v>
      </c>
      <c r="E270" s="2">
        <v>2.3199999999999998</v>
      </c>
      <c r="F270" s="2">
        <v>59</v>
      </c>
      <c r="G270" s="2" t="s">
        <v>983</v>
      </c>
      <c r="H270" s="2" t="s">
        <v>984</v>
      </c>
      <c r="I270" s="2"/>
      <c r="J270" s="2" t="s">
        <v>18</v>
      </c>
    </row>
    <row r="271" spans="1:10" ht="21" customHeight="1">
      <c r="A271" s="2" t="s">
        <v>1258</v>
      </c>
      <c r="B271" s="2" t="s">
        <v>18</v>
      </c>
      <c r="C271" s="4">
        <v>45927.25</v>
      </c>
      <c r="D271" s="4">
        <v>45927.250651030088</v>
      </c>
      <c r="E271" s="2">
        <v>2.36</v>
      </c>
      <c r="F271" s="2">
        <v>63.3</v>
      </c>
      <c r="G271" s="2" t="s">
        <v>983</v>
      </c>
      <c r="H271" s="2" t="s">
        <v>984</v>
      </c>
      <c r="I271" s="2"/>
      <c r="J271" s="2" t="s">
        <v>18</v>
      </c>
    </row>
    <row r="272" spans="1:10" ht="21" customHeight="1">
      <c r="A272" s="2" t="s">
        <v>1259</v>
      </c>
      <c r="B272" s="2" t="s">
        <v>18</v>
      </c>
      <c r="C272" s="4">
        <v>45928.25</v>
      </c>
      <c r="D272" s="4">
        <v>45928.250480821764</v>
      </c>
      <c r="E272" s="2">
        <v>2.2400000000000002</v>
      </c>
      <c r="F272" s="2">
        <v>65.2</v>
      </c>
      <c r="G272" s="2" t="s">
        <v>983</v>
      </c>
      <c r="H272" s="2" t="s">
        <v>984</v>
      </c>
      <c r="I272" s="2"/>
      <c r="J272" s="2" t="s">
        <v>18</v>
      </c>
    </row>
    <row r="273" spans="1:10" ht="21" customHeight="1">
      <c r="A273" s="2" t="s">
        <v>1260</v>
      </c>
      <c r="B273" s="2" t="s">
        <v>18</v>
      </c>
      <c r="C273" s="4">
        <v>45929.25</v>
      </c>
      <c r="D273" s="4">
        <v>45929.250672361115</v>
      </c>
      <c r="E273" s="2">
        <v>2.98</v>
      </c>
      <c r="F273" s="2">
        <v>64.400000000000006</v>
      </c>
      <c r="G273" s="2" t="s">
        <v>983</v>
      </c>
      <c r="H273" s="2" t="s">
        <v>984</v>
      </c>
      <c r="I273" s="2"/>
      <c r="J273" s="2" t="s">
        <v>18</v>
      </c>
    </row>
    <row r="274" spans="1:10" ht="21" customHeight="1">
      <c r="A274" s="2" t="s">
        <v>1261</v>
      </c>
      <c r="B274" s="2" t="s">
        <v>18</v>
      </c>
      <c r="C274" s="4">
        <v>45930.25</v>
      </c>
      <c r="D274" s="4">
        <v>45930.25062392361</v>
      </c>
      <c r="E274" s="2">
        <v>2.85</v>
      </c>
      <c r="F274" s="2">
        <v>63.1</v>
      </c>
      <c r="G274" s="2" t="s">
        <v>983</v>
      </c>
      <c r="H274" s="2" t="s">
        <v>984</v>
      </c>
      <c r="I274" s="2" t="s">
        <v>985</v>
      </c>
      <c r="J274" s="2" t="s">
        <v>18</v>
      </c>
    </row>
    <row r="275" spans="1:10" ht="21" customHeight="1">
      <c r="A275" s="2" t="s">
        <v>1262</v>
      </c>
      <c r="B275" s="2" t="s">
        <v>18</v>
      </c>
      <c r="C275" s="4">
        <v>45931.25</v>
      </c>
      <c r="D275" s="4">
        <v>45931.25024238426</v>
      </c>
      <c r="E275" s="2">
        <v>2.91</v>
      </c>
      <c r="F275" s="2">
        <v>60.6</v>
      </c>
      <c r="G275" s="2" t="s">
        <v>983</v>
      </c>
      <c r="H275" s="2" t="s">
        <v>984</v>
      </c>
      <c r="I275" s="2"/>
      <c r="J275" s="2" t="s">
        <v>18</v>
      </c>
    </row>
    <row r="276" spans="1:10" ht="21" customHeight="1">
      <c r="A276" s="2" t="s">
        <v>1263</v>
      </c>
      <c r="B276" s="2" t="s">
        <v>18</v>
      </c>
      <c r="C276" s="4">
        <v>45932.25</v>
      </c>
      <c r="D276" s="4">
        <v>45932.250218749999</v>
      </c>
      <c r="E276" s="2">
        <v>2.81</v>
      </c>
      <c r="F276" s="2">
        <v>64.599999999999994</v>
      </c>
      <c r="G276" s="2" t="s">
        <v>983</v>
      </c>
      <c r="H276" s="2" t="s">
        <v>984</v>
      </c>
      <c r="I276" s="2"/>
      <c r="J276" s="2" t="s">
        <v>18</v>
      </c>
    </row>
    <row r="277" spans="1:10" ht="21" customHeight="1">
      <c r="A277" s="2" t="s">
        <v>1264</v>
      </c>
      <c r="B277" s="2" t="s">
        <v>18</v>
      </c>
      <c r="C277" s="4">
        <v>45933.25</v>
      </c>
      <c r="D277" s="4">
        <v>45933.250260914356</v>
      </c>
      <c r="E277" s="2">
        <v>2.86</v>
      </c>
      <c r="F277" s="2">
        <v>60.4</v>
      </c>
      <c r="G277" s="2" t="s">
        <v>983</v>
      </c>
      <c r="H277" s="2" t="s">
        <v>984</v>
      </c>
      <c r="I277" s="2"/>
      <c r="J277" s="2" t="s">
        <v>18</v>
      </c>
    </row>
    <row r="278" spans="1:10" ht="21" customHeight="1">
      <c r="A278" s="2" t="s">
        <v>1265</v>
      </c>
      <c r="B278" s="2" t="s">
        <v>18</v>
      </c>
      <c r="C278" s="4">
        <v>45934.25</v>
      </c>
      <c r="D278" s="4">
        <v>45934.250419467593</v>
      </c>
      <c r="E278" s="2">
        <v>2.54</v>
      </c>
      <c r="F278" s="2">
        <v>64.8</v>
      </c>
      <c r="G278" s="2" t="s">
        <v>983</v>
      </c>
      <c r="H278" s="2" t="s">
        <v>984</v>
      </c>
      <c r="I278" s="2"/>
      <c r="J278" s="2" t="s">
        <v>18</v>
      </c>
    </row>
    <row r="279" spans="1:10" ht="21" customHeight="1">
      <c r="A279" s="2" t="s">
        <v>1266</v>
      </c>
      <c r="B279" s="2" t="s">
        <v>18</v>
      </c>
      <c r="C279" s="4">
        <v>45935.25</v>
      </c>
      <c r="D279" s="4">
        <v>45935.250411851855</v>
      </c>
      <c r="E279" s="2">
        <v>2.95</v>
      </c>
      <c r="F279" s="2">
        <v>61.1</v>
      </c>
      <c r="G279" s="2" t="s">
        <v>983</v>
      </c>
      <c r="H279" s="2" t="s">
        <v>984</v>
      </c>
      <c r="I279" s="2"/>
      <c r="J279" s="2" t="s">
        <v>18</v>
      </c>
    </row>
    <row r="280" spans="1:10" ht="21" customHeight="1">
      <c r="A280" s="2" t="s">
        <v>1267</v>
      </c>
      <c r="B280" s="2" t="s">
        <v>18</v>
      </c>
      <c r="C280" s="4">
        <v>45936.25</v>
      </c>
      <c r="D280" s="4">
        <v>45936.250124178245</v>
      </c>
      <c r="E280" s="2">
        <v>2.92</v>
      </c>
      <c r="F280" s="2">
        <v>58.2</v>
      </c>
      <c r="G280" s="2" t="s">
        <v>983</v>
      </c>
      <c r="H280" s="2" t="s">
        <v>984</v>
      </c>
      <c r="I280" s="2"/>
      <c r="J280" s="2" t="s">
        <v>18</v>
      </c>
    </row>
    <row r="281" spans="1:10" ht="21" customHeight="1">
      <c r="A281" s="2" t="s">
        <v>1268</v>
      </c>
      <c r="B281" s="2" t="s">
        <v>18</v>
      </c>
      <c r="C281" s="4">
        <v>45937.25</v>
      </c>
      <c r="D281" s="4">
        <v>45937.250663009254</v>
      </c>
      <c r="E281" s="2">
        <v>2.17</v>
      </c>
      <c r="F281" s="2">
        <v>63</v>
      </c>
      <c r="G281" s="2" t="s">
        <v>983</v>
      </c>
      <c r="H281" s="2" t="s">
        <v>984</v>
      </c>
      <c r="I281" s="2"/>
      <c r="J281" s="2" t="s">
        <v>18</v>
      </c>
    </row>
    <row r="282" spans="1:10" ht="21" customHeight="1">
      <c r="A282" s="2" t="s">
        <v>1269</v>
      </c>
      <c r="B282" s="2" t="s">
        <v>18</v>
      </c>
      <c r="C282" s="4">
        <v>45938.25</v>
      </c>
      <c r="D282" s="4">
        <v>45938.250328715279</v>
      </c>
      <c r="E282" s="2">
        <v>3.03</v>
      </c>
      <c r="F282" s="2">
        <v>62.2</v>
      </c>
      <c r="G282" s="2" t="s">
        <v>983</v>
      </c>
      <c r="H282" s="2" t="s">
        <v>984</v>
      </c>
      <c r="I282" s="2"/>
      <c r="J282" s="2" t="s">
        <v>18</v>
      </c>
    </row>
    <row r="283" spans="1:10" ht="21" customHeight="1">
      <c r="A283" s="2" t="s">
        <v>1270</v>
      </c>
      <c r="B283" s="2" t="s">
        <v>18</v>
      </c>
      <c r="C283" s="4">
        <v>45939.25</v>
      </c>
      <c r="D283" s="4">
        <v>45939.250014513891</v>
      </c>
      <c r="E283" s="2">
        <v>2.15</v>
      </c>
      <c r="F283" s="2">
        <v>64.400000000000006</v>
      </c>
      <c r="G283" s="2" t="s">
        <v>983</v>
      </c>
      <c r="H283" s="2" t="s">
        <v>984</v>
      </c>
      <c r="I283" s="2"/>
      <c r="J283" s="2" t="s">
        <v>18</v>
      </c>
    </row>
    <row r="284" spans="1:10" ht="21" customHeight="1">
      <c r="A284" s="2" t="s">
        <v>1271</v>
      </c>
      <c r="B284" s="2" t="s">
        <v>18</v>
      </c>
      <c r="C284" s="4">
        <v>45940.25</v>
      </c>
      <c r="D284" s="4">
        <v>45940.2505303125</v>
      </c>
      <c r="E284" s="2">
        <v>2.6</v>
      </c>
      <c r="F284" s="2">
        <v>65.400000000000006</v>
      </c>
      <c r="G284" s="2" t="s">
        <v>983</v>
      </c>
      <c r="H284" s="2" t="s">
        <v>984</v>
      </c>
      <c r="I284" s="2"/>
      <c r="J284" s="2" t="s">
        <v>18</v>
      </c>
    </row>
    <row r="285" spans="1:10" ht="21" customHeight="1">
      <c r="A285" s="2" t="s">
        <v>1272</v>
      </c>
      <c r="B285" s="2" t="s">
        <v>18</v>
      </c>
      <c r="C285" s="4">
        <v>45941.25</v>
      </c>
      <c r="D285" s="4">
        <v>45941.250273634258</v>
      </c>
      <c r="E285" s="2">
        <v>2.5099999999999998</v>
      </c>
      <c r="F285" s="2">
        <v>58.7</v>
      </c>
      <c r="G285" s="2" t="s">
        <v>983</v>
      </c>
      <c r="H285" s="2" t="s">
        <v>984</v>
      </c>
      <c r="I285" s="2"/>
      <c r="J285" s="2" t="s">
        <v>18</v>
      </c>
    </row>
    <row r="286" spans="1:10" ht="21" customHeight="1">
      <c r="A286" s="2" t="s">
        <v>1273</v>
      </c>
      <c r="B286" s="2" t="s">
        <v>18</v>
      </c>
      <c r="C286" s="4">
        <v>45942.25</v>
      </c>
      <c r="D286" s="4">
        <v>45942.250292083336</v>
      </c>
      <c r="E286" s="2">
        <v>2.96</v>
      </c>
      <c r="F286" s="2">
        <v>65.2</v>
      </c>
      <c r="G286" s="2" t="s">
        <v>983</v>
      </c>
      <c r="H286" s="2" t="s">
        <v>984</v>
      </c>
      <c r="I286" s="2"/>
      <c r="J286" s="2" t="s">
        <v>18</v>
      </c>
    </row>
    <row r="287" spans="1:10" ht="21" customHeight="1">
      <c r="A287" s="2" t="s">
        <v>1274</v>
      </c>
      <c r="B287" s="2" t="s">
        <v>18</v>
      </c>
      <c r="C287" s="4">
        <v>45943.25</v>
      </c>
      <c r="D287" s="4">
        <v>45943.250304120374</v>
      </c>
      <c r="E287" s="2">
        <v>2.17</v>
      </c>
      <c r="F287" s="2">
        <v>62.8</v>
      </c>
      <c r="G287" s="2" t="s">
        <v>983</v>
      </c>
      <c r="H287" s="2" t="s">
        <v>984</v>
      </c>
      <c r="I287" s="2"/>
      <c r="J287" s="2" t="s">
        <v>18</v>
      </c>
    </row>
    <row r="288" spans="1:10" ht="21" customHeight="1">
      <c r="A288" s="2" t="s">
        <v>1275</v>
      </c>
      <c r="B288" s="2" t="s">
        <v>18</v>
      </c>
      <c r="C288" s="4">
        <v>45944.25</v>
      </c>
      <c r="D288" s="4">
        <v>45944.25002313657</v>
      </c>
      <c r="E288" s="2">
        <v>2.33</v>
      </c>
      <c r="F288" s="2">
        <v>59.8</v>
      </c>
      <c r="G288" s="2" t="s">
        <v>983</v>
      </c>
      <c r="H288" s="2" t="s">
        <v>984</v>
      </c>
      <c r="I288" s="2"/>
      <c r="J288" s="2" t="s">
        <v>18</v>
      </c>
    </row>
    <row r="289" spans="1:10" ht="21" customHeight="1">
      <c r="A289" s="2" t="s">
        <v>1276</v>
      </c>
      <c r="B289" s="2" t="s">
        <v>982</v>
      </c>
      <c r="C289" s="4">
        <v>45945.25</v>
      </c>
      <c r="D289" s="4">
        <v>45945.250253495367</v>
      </c>
      <c r="E289" s="2">
        <v>2.4300000000000002</v>
      </c>
      <c r="F289" s="2">
        <v>59.6</v>
      </c>
      <c r="G289" s="2" t="s">
        <v>983</v>
      </c>
      <c r="H289" s="2" t="s">
        <v>984</v>
      </c>
      <c r="I289" s="2"/>
      <c r="J289" s="2" t="s">
        <v>18</v>
      </c>
    </row>
    <row r="290" spans="1:10" ht="21" customHeight="1">
      <c r="A290" s="2" t="s">
        <v>1277</v>
      </c>
      <c r="B290" s="2" t="s">
        <v>18</v>
      </c>
      <c r="C290" s="4">
        <v>45946.25</v>
      </c>
      <c r="D290" s="4">
        <v>45946.250392893518</v>
      </c>
      <c r="E290" s="2">
        <v>2.38</v>
      </c>
      <c r="F290" s="2">
        <v>61.4</v>
      </c>
      <c r="G290" s="2" t="s">
        <v>983</v>
      </c>
      <c r="H290" s="2" t="s">
        <v>984</v>
      </c>
      <c r="I290" s="2"/>
      <c r="J290" s="2" t="s">
        <v>18</v>
      </c>
    </row>
    <row r="291" spans="1:10" ht="21" customHeight="1">
      <c r="A291" s="2" t="s">
        <v>1278</v>
      </c>
      <c r="B291" s="2" t="s">
        <v>18</v>
      </c>
      <c r="C291" s="4">
        <v>45947.25</v>
      </c>
      <c r="D291" s="4">
        <v>45947.250052118055</v>
      </c>
      <c r="E291" s="2">
        <v>2.31</v>
      </c>
      <c r="F291" s="2">
        <v>62.3</v>
      </c>
      <c r="G291" s="2" t="s">
        <v>983</v>
      </c>
      <c r="H291" s="2" t="s">
        <v>984</v>
      </c>
      <c r="I291" s="2" t="s">
        <v>985</v>
      </c>
      <c r="J291" s="2" t="s">
        <v>18</v>
      </c>
    </row>
    <row r="292" spans="1:10" ht="21" customHeight="1">
      <c r="A292" s="2" t="s">
        <v>1279</v>
      </c>
      <c r="B292" s="2" t="s">
        <v>18</v>
      </c>
      <c r="C292" s="4">
        <v>45948.25</v>
      </c>
      <c r="D292" s="4">
        <v>45948.250459918985</v>
      </c>
      <c r="E292" s="2">
        <v>6.02</v>
      </c>
      <c r="F292" s="2">
        <v>64.900000000000006</v>
      </c>
      <c r="G292" s="2" t="s">
        <v>983</v>
      </c>
      <c r="H292" s="2" t="s">
        <v>984</v>
      </c>
      <c r="I292" s="2" t="s">
        <v>1053</v>
      </c>
      <c r="J292" s="2" t="s">
        <v>18</v>
      </c>
    </row>
    <row r="293" spans="1:10" ht="21" customHeight="1">
      <c r="A293" s="2" t="s">
        <v>1280</v>
      </c>
      <c r="B293" s="2" t="s">
        <v>18</v>
      </c>
      <c r="C293" s="4">
        <v>45949.25</v>
      </c>
      <c r="D293" s="4">
        <v>45949.250264780094</v>
      </c>
      <c r="E293" s="2">
        <v>5.54</v>
      </c>
      <c r="F293" s="2">
        <v>67.400000000000006</v>
      </c>
      <c r="G293" s="2" t="s">
        <v>983</v>
      </c>
      <c r="H293" s="2" t="s">
        <v>984</v>
      </c>
      <c r="I293" s="2"/>
      <c r="J293" s="2" t="s">
        <v>18</v>
      </c>
    </row>
    <row r="294" spans="1:10" ht="21" customHeight="1">
      <c r="A294" s="2" t="s">
        <v>1281</v>
      </c>
      <c r="B294" s="2" t="s">
        <v>18</v>
      </c>
      <c r="C294" s="4">
        <v>45950.25</v>
      </c>
      <c r="D294" s="4">
        <v>45950.250291030097</v>
      </c>
      <c r="E294" s="2">
        <v>4.5</v>
      </c>
      <c r="F294" s="2">
        <v>71.2</v>
      </c>
      <c r="G294" s="2" t="s">
        <v>983</v>
      </c>
      <c r="H294" s="2" t="s">
        <v>984</v>
      </c>
      <c r="I294" s="2" t="s">
        <v>1053</v>
      </c>
      <c r="J294" s="2" t="s">
        <v>18</v>
      </c>
    </row>
    <row r="295" spans="1:10" ht="21" customHeight="1">
      <c r="A295" s="2" t="s">
        <v>1282</v>
      </c>
      <c r="B295" s="2" t="s">
        <v>18</v>
      </c>
      <c r="C295" s="4">
        <v>45951.25</v>
      </c>
      <c r="D295" s="4">
        <v>45951.250268032411</v>
      </c>
      <c r="E295" s="2">
        <v>2.4700000000000002</v>
      </c>
      <c r="F295" s="2">
        <v>64.400000000000006</v>
      </c>
      <c r="G295" s="2" t="s">
        <v>983</v>
      </c>
      <c r="H295" s="2" t="s">
        <v>984</v>
      </c>
      <c r="I295" s="2"/>
      <c r="J295" s="2" t="s">
        <v>18</v>
      </c>
    </row>
    <row r="296" spans="1:10" ht="21" customHeight="1">
      <c r="A296" s="2" t="s">
        <v>1283</v>
      </c>
      <c r="B296" s="2" t="s">
        <v>18</v>
      </c>
      <c r="C296" s="4">
        <v>45952.25</v>
      </c>
      <c r="D296" s="4">
        <v>45952.250052013886</v>
      </c>
      <c r="E296" s="2">
        <v>2.65</v>
      </c>
      <c r="F296" s="2">
        <v>59.4</v>
      </c>
      <c r="G296" s="2" t="s">
        <v>983</v>
      </c>
      <c r="H296" s="2" t="s">
        <v>984</v>
      </c>
      <c r="I296" s="2"/>
      <c r="J296" s="2" t="s">
        <v>18</v>
      </c>
    </row>
    <row r="297" spans="1:10" ht="21" customHeight="1">
      <c r="A297" s="2" t="s">
        <v>1284</v>
      </c>
      <c r="B297" s="2" t="s">
        <v>18</v>
      </c>
      <c r="C297" s="4">
        <v>45953.25</v>
      </c>
      <c r="D297" s="4">
        <v>45953.250199305556</v>
      </c>
      <c r="E297" s="2">
        <v>3.07</v>
      </c>
      <c r="F297" s="2">
        <v>59.9</v>
      </c>
      <c r="G297" s="2" t="s">
        <v>983</v>
      </c>
      <c r="H297" s="2" t="s">
        <v>984</v>
      </c>
      <c r="I297" s="2"/>
      <c r="J297" s="2" t="s">
        <v>18</v>
      </c>
    </row>
    <row r="298" spans="1:10" ht="21" customHeight="1">
      <c r="A298" s="2" t="s">
        <v>1285</v>
      </c>
      <c r="B298" s="2" t="s">
        <v>18</v>
      </c>
      <c r="C298" s="4">
        <v>45954.25</v>
      </c>
      <c r="D298" s="4">
        <v>45954.2501328125</v>
      </c>
      <c r="E298" s="2">
        <v>2.1</v>
      </c>
      <c r="F298" s="2">
        <v>65.400000000000006</v>
      </c>
      <c r="G298" s="2" t="s">
        <v>983</v>
      </c>
      <c r="H298" s="2" t="s">
        <v>984</v>
      </c>
      <c r="I298" s="2"/>
      <c r="J298" s="2" t="s">
        <v>18</v>
      </c>
    </row>
    <row r="299" spans="1:10" ht="21" customHeight="1">
      <c r="A299" s="2" t="s">
        <v>1286</v>
      </c>
      <c r="B299" s="2" t="s">
        <v>18</v>
      </c>
      <c r="C299" s="4">
        <v>45955.25</v>
      </c>
      <c r="D299" s="4">
        <v>45955.250683414357</v>
      </c>
      <c r="E299" s="2">
        <v>2.97</v>
      </c>
      <c r="F299" s="2">
        <v>60.1</v>
      </c>
      <c r="G299" s="2" t="s">
        <v>983</v>
      </c>
      <c r="H299" s="2" t="s">
        <v>984</v>
      </c>
      <c r="I299" s="2"/>
      <c r="J299" s="2" t="s">
        <v>18</v>
      </c>
    </row>
    <row r="300" spans="1:10" ht="21" customHeight="1">
      <c r="A300" s="2" t="s">
        <v>1287</v>
      </c>
      <c r="B300" s="2" t="s">
        <v>18</v>
      </c>
      <c r="C300" s="4">
        <v>45956.25</v>
      </c>
      <c r="D300" s="4">
        <v>45956.250420659722</v>
      </c>
      <c r="E300" s="2">
        <v>2.3199999999999998</v>
      </c>
      <c r="F300" s="2">
        <v>63.9</v>
      </c>
      <c r="G300" s="2" t="s">
        <v>983</v>
      </c>
      <c r="H300" s="2" t="s">
        <v>984</v>
      </c>
      <c r="I300" s="2"/>
      <c r="J300" s="2" t="s">
        <v>18</v>
      </c>
    </row>
    <row r="301" spans="1:10" ht="21" customHeight="1">
      <c r="A301" s="2" t="s">
        <v>1288</v>
      </c>
      <c r="B301" s="2" t="s">
        <v>18</v>
      </c>
      <c r="C301" s="4">
        <v>45957.25</v>
      </c>
      <c r="D301" s="4">
        <v>45957.250567025461</v>
      </c>
      <c r="E301" s="2">
        <v>2.98</v>
      </c>
      <c r="F301" s="2">
        <v>64.599999999999994</v>
      </c>
      <c r="G301" s="2" t="s">
        <v>983</v>
      </c>
      <c r="H301" s="2" t="s">
        <v>984</v>
      </c>
      <c r="I301" s="2"/>
      <c r="J301" s="2" t="s">
        <v>18</v>
      </c>
    </row>
    <row r="302" spans="1:10" ht="21" customHeight="1">
      <c r="A302" s="2" t="s">
        <v>1289</v>
      </c>
      <c r="B302" s="2" t="s">
        <v>18</v>
      </c>
      <c r="C302" s="4">
        <v>45958.25</v>
      </c>
      <c r="D302" s="4">
        <v>45958.250392465277</v>
      </c>
      <c r="E302" s="2">
        <v>2.71</v>
      </c>
      <c r="F302" s="2">
        <v>59.9</v>
      </c>
      <c r="G302" s="2" t="s">
        <v>983</v>
      </c>
      <c r="H302" s="2" t="s">
        <v>984</v>
      </c>
      <c r="I302" s="2"/>
      <c r="J302" s="2" t="s">
        <v>18</v>
      </c>
    </row>
    <row r="303" spans="1:10" ht="21" customHeight="1">
      <c r="A303" s="2" t="s">
        <v>1290</v>
      </c>
      <c r="B303" s="2" t="s">
        <v>18</v>
      </c>
      <c r="C303" s="4">
        <v>45959.25</v>
      </c>
      <c r="D303" s="4">
        <v>45959.25023902778</v>
      </c>
      <c r="E303" s="2">
        <v>2.35</v>
      </c>
      <c r="F303" s="2">
        <v>62.6</v>
      </c>
      <c r="G303" s="2" t="s">
        <v>983</v>
      </c>
      <c r="H303" s="2" t="s">
        <v>984</v>
      </c>
      <c r="I303" s="2"/>
      <c r="J303" s="2" t="s">
        <v>18</v>
      </c>
    </row>
    <row r="304" spans="1:10" ht="21" customHeight="1">
      <c r="A304" s="2" t="s">
        <v>1291</v>
      </c>
      <c r="B304" s="2" t="s">
        <v>18</v>
      </c>
      <c r="C304" s="4">
        <v>45960.25</v>
      </c>
      <c r="D304" s="4">
        <v>45960.250489224534</v>
      </c>
      <c r="E304" s="2">
        <v>2.61</v>
      </c>
      <c r="F304" s="2">
        <v>65.400000000000006</v>
      </c>
      <c r="G304" s="2" t="s">
        <v>983</v>
      </c>
      <c r="H304" s="2" t="s">
        <v>984</v>
      </c>
      <c r="I304" s="2"/>
      <c r="J304" s="2" t="s">
        <v>18</v>
      </c>
    </row>
    <row r="305" spans="1:10" ht="21" customHeight="1">
      <c r="A305" s="2" t="s">
        <v>1292</v>
      </c>
      <c r="B305" s="2" t="s">
        <v>18</v>
      </c>
      <c r="C305" s="4">
        <v>45961.25</v>
      </c>
      <c r="D305" s="4">
        <v>45961.250079664351</v>
      </c>
      <c r="E305" s="2">
        <v>2.4300000000000002</v>
      </c>
      <c r="F305" s="2">
        <v>65.599999999999994</v>
      </c>
      <c r="G305" s="2" t="s">
        <v>983</v>
      </c>
      <c r="H305" s="2" t="s">
        <v>984</v>
      </c>
      <c r="I305" s="2"/>
      <c r="J305" s="2" t="s">
        <v>18</v>
      </c>
    </row>
    <row r="306" spans="1:10" ht="21" customHeight="1">
      <c r="A306" s="2" t="s">
        <v>1293</v>
      </c>
      <c r="B306" s="2" t="s">
        <v>18</v>
      </c>
      <c r="C306" s="4">
        <v>45962.25</v>
      </c>
      <c r="D306" s="4">
        <v>45962.250068009263</v>
      </c>
      <c r="E306" s="2">
        <v>2.84</v>
      </c>
      <c r="F306" s="2">
        <v>66</v>
      </c>
      <c r="G306" s="2" t="s">
        <v>983</v>
      </c>
      <c r="H306" s="2" t="s">
        <v>984</v>
      </c>
      <c r="I306" s="2"/>
      <c r="J306" s="2" t="s">
        <v>18</v>
      </c>
    </row>
    <row r="307" spans="1:10" ht="21" customHeight="1">
      <c r="A307" s="2" t="s">
        <v>1294</v>
      </c>
      <c r="B307" s="2" t="s">
        <v>18</v>
      </c>
      <c r="C307" s="4">
        <v>45963.25</v>
      </c>
      <c r="D307" s="4">
        <v>45963.250352071758</v>
      </c>
      <c r="E307" s="2"/>
      <c r="F307" s="2"/>
      <c r="G307" s="2" t="s">
        <v>983</v>
      </c>
      <c r="H307" s="2" t="s">
        <v>1066</v>
      </c>
      <c r="I307" s="2"/>
      <c r="J307" s="2" t="s">
        <v>18</v>
      </c>
    </row>
    <row r="308" spans="1:10" ht="21" customHeight="1">
      <c r="A308" s="2" t="s">
        <v>1295</v>
      </c>
      <c r="B308" s="2" t="s">
        <v>18</v>
      </c>
      <c r="C308" s="4">
        <v>45964.25</v>
      </c>
      <c r="D308" s="4">
        <v>45964.250193414351</v>
      </c>
      <c r="E308" s="2">
        <v>2.91</v>
      </c>
      <c r="F308" s="2">
        <v>64.2</v>
      </c>
      <c r="G308" s="2" t="s">
        <v>983</v>
      </c>
      <c r="H308" s="2" t="s">
        <v>984</v>
      </c>
      <c r="I308" s="2" t="s">
        <v>985</v>
      </c>
      <c r="J308" s="2" t="s">
        <v>18</v>
      </c>
    </row>
    <row r="309" spans="1:10" ht="21" customHeight="1">
      <c r="A309" s="2" t="s">
        <v>1296</v>
      </c>
      <c r="B309" s="2" t="s">
        <v>18</v>
      </c>
      <c r="C309" s="4">
        <v>45965.25</v>
      </c>
      <c r="D309" s="4">
        <v>45965.250230821759</v>
      </c>
      <c r="E309" s="2">
        <v>3.1</v>
      </c>
      <c r="F309" s="2">
        <v>62.1</v>
      </c>
      <c r="G309" s="2" t="s">
        <v>983</v>
      </c>
      <c r="H309" s="2" t="s">
        <v>984</v>
      </c>
      <c r="I309" s="2"/>
      <c r="J309" s="2" t="s">
        <v>18</v>
      </c>
    </row>
    <row r="310" spans="1:10" ht="21" customHeight="1">
      <c r="A310" s="2" t="s">
        <v>1297</v>
      </c>
      <c r="B310" s="2" t="s">
        <v>18</v>
      </c>
      <c r="C310" s="4">
        <v>45966.25</v>
      </c>
      <c r="D310" s="4">
        <v>45966.25048534722</v>
      </c>
      <c r="E310" s="2">
        <v>2.97</v>
      </c>
      <c r="F310" s="2">
        <v>65.2</v>
      </c>
      <c r="G310" s="2" t="s">
        <v>983</v>
      </c>
      <c r="H310" s="2" t="s">
        <v>984</v>
      </c>
      <c r="I310" s="2"/>
      <c r="J310" s="2" t="s">
        <v>18</v>
      </c>
    </row>
    <row r="311" spans="1:10" ht="21" customHeight="1">
      <c r="A311" s="2" t="s">
        <v>1298</v>
      </c>
      <c r="B311" s="2" t="s">
        <v>18</v>
      </c>
      <c r="C311" s="4">
        <v>45967.25</v>
      </c>
      <c r="D311" s="4">
        <v>45967.250254027778</v>
      </c>
      <c r="E311" s="2">
        <v>3.11</v>
      </c>
      <c r="F311" s="2">
        <v>63.1</v>
      </c>
      <c r="G311" s="2" t="s">
        <v>983</v>
      </c>
      <c r="H311" s="2" t="s">
        <v>984</v>
      </c>
      <c r="I311" s="2"/>
      <c r="J311" s="2" t="s">
        <v>18</v>
      </c>
    </row>
    <row r="312" spans="1:10" ht="21" customHeight="1">
      <c r="A312" s="2" t="s">
        <v>1299</v>
      </c>
      <c r="B312" s="2" t="s">
        <v>18</v>
      </c>
      <c r="C312" s="4">
        <v>45968.25</v>
      </c>
      <c r="D312" s="4">
        <v>45968.250673518516</v>
      </c>
      <c r="E312" s="2">
        <v>2.4900000000000002</v>
      </c>
      <c r="F312" s="2">
        <v>59.5</v>
      </c>
      <c r="G312" s="2" t="s">
        <v>983</v>
      </c>
      <c r="H312" s="2" t="s">
        <v>984</v>
      </c>
      <c r="I312" s="2"/>
      <c r="J312" s="2" t="s">
        <v>18</v>
      </c>
    </row>
    <row r="313" spans="1:10" ht="21" customHeight="1">
      <c r="A313" s="2" t="s">
        <v>1300</v>
      </c>
      <c r="B313" s="2" t="s">
        <v>18</v>
      </c>
      <c r="C313" s="4">
        <v>45969.25</v>
      </c>
      <c r="D313" s="4">
        <v>45969.250247048607</v>
      </c>
      <c r="E313" s="2">
        <v>2.3199999999999998</v>
      </c>
      <c r="F313" s="2">
        <v>64.8</v>
      </c>
      <c r="G313" s="2" t="s">
        <v>983</v>
      </c>
      <c r="H313" s="2" t="s">
        <v>984</v>
      </c>
      <c r="I313" s="2"/>
      <c r="J313" s="2" t="s">
        <v>18</v>
      </c>
    </row>
    <row r="314" spans="1:10" ht="21" customHeight="1">
      <c r="A314" s="2" t="s">
        <v>1301</v>
      </c>
      <c r="B314" s="2" t="s">
        <v>18</v>
      </c>
      <c r="C314" s="4">
        <v>45970.25</v>
      </c>
      <c r="D314" s="4">
        <v>45970.250482314819</v>
      </c>
      <c r="E314" s="2">
        <v>18.149999999999999</v>
      </c>
      <c r="F314" s="2">
        <v>59.1</v>
      </c>
      <c r="G314" s="2" t="s">
        <v>983</v>
      </c>
      <c r="H314" s="2" t="s">
        <v>1022</v>
      </c>
      <c r="I314" s="2"/>
      <c r="J314" s="2" t="s">
        <v>18</v>
      </c>
    </row>
    <row r="315" spans="1:10" ht="21" customHeight="1">
      <c r="A315" s="2" t="s">
        <v>1302</v>
      </c>
      <c r="B315" s="2" t="s">
        <v>18</v>
      </c>
      <c r="C315" s="4">
        <v>45971.25</v>
      </c>
      <c r="D315" s="4">
        <v>45971.250049872688</v>
      </c>
      <c r="E315" s="2">
        <v>2.4300000000000002</v>
      </c>
      <c r="F315" s="2">
        <v>59.6</v>
      </c>
      <c r="G315" s="2" t="s">
        <v>983</v>
      </c>
      <c r="H315" s="2" t="s">
        <v>984</v>
      </c>
      <c r="I315" s="2"/>
      <c r="J315" s="2" t="s">
        <v>18</v>
      </c>
    </row>
    <row r="316" spans="1:10" ht="21" customHeight="1">
      <c r="A316" s="2" t="s">
        <v>1303</v>
      </c>
      <c r="B316" s="2" t="s">
        <v>18</v>
      </c>
      <c r="C316" s="4">
        <v>45972.25</v>
      </c>
      <c r="D316" s="4">
        <v>45972.250515509259</v>
      </c>
      <c r="E316" s="2">
        <v>2.16</v>
      </c>
      <c r="F316" s="2">
        <v>62</v>
      </c>
      <c r="G316" s="2" t="s">
        <v>983</v>
      </c>
      <c r="H316" s="2" t="s">
        <v>984</v>
      </c>
      <c r="I316" s="2"/>
      <c r="J316" s="2" t="s">
        <v>18</v>
      </c>
    </row>
    <row r="317" spans="1:10" ht="21" customHeight="1">
      <c r="A317" s="2" t="s">
        <v>1304</v>
      </c>
      <c r="B317" s="2" t="s">
        <v>18</v>
      </c>
      <c r="C317" s="4">
        <v>45973.25</v>
      </c>
      <c r="D317" s="4">
        <v>45973.250650648144</v>
      </c>
      <c r="E317" s="2">
        <v>3.05</v>
      </c>
      <c r="F317" s="2">
        <v>62</v>
      </c>
      <c r="G317" s="2" t="s">
        <v>983</v>
      </c>
      <c r="H317" s="2" t="s">
        <v>984</v>
      </c>
      <c r="I317" s="2"/>
      <c r="J317" s="2" t="s">
        <v>18</v>
      </c>
    </row>
    <row r="318" spans="1:10" ht="21" customHeight="1">
      <c r="A318" s="2" t="s">
        <v>1305</v>
      </c>
      <c r="B318" s="2" t="s">
        <v>18</v>
      </c>
      <c r="C318" s="4">
        <v>45974.25</v>
      </c>
      <c r="D318" s="4">
        <v>45974.25008460648</v>
      </c>
      <c r="E318" s="2">
        <v>2.5</v>
      </c>
      <c r="F318" s="2">
        <v>58.8</v>
      </c>
      <c r="G318" s="2" t="s">
        <v>983</v>
      </c>
      <c r="H318" s="2" t="s">
        <v>984</v>
      </c>
      <c r="I318" s="2"/>
      <c r="J318" s="2" t="s">
        <v>18</v>
      </c>
    </row>
    <row r="319" spans="1:10" ht="21" customHeight="1">
      <c r="A319" s="2" t="s">
        <v>1306</v>
      </c>
      <c r="B319" s="2" t="s">
        <v>18</v>
      </c>
      <c r="C319" s="4">
        <v>45975.25</v>
      </c>
      <c r="D319" s="4">
        <v>45975.250001145832</v>
      </c>
      <c r="E319" s="2">
        <v>2.85</v>
      </c>
      <c r="F319" s="2">
        <v>65.599999999999994</v>
      </c>
      <c r="G319" s="2" t="s">
        <v>983</v>
      </c>
      <c r="H319" s="2" t="s">
        <v>984</v>
      </c>
      <c r="I319" s="2"/>
      <c r="J319" s="2" t="s">
        <v>18</v>
      </c>
    </row>
    <row r="320" spans="1:10" ht="21" customHeight="1">
      <c r="A320" s="2" t="s">
        <v>1307</v>
      </c>
      <c r="B320" s="2" t="s">
        <v>18</v>
      </c>
      <c r="C320" s="4">
        <v>45976.25</v>
      </c>
      <c r="D320" s="4">
        <v>45976.250511712962</v>
      </c>
      <c r="E320" s="2">
        <v>2.63</v>
      </c>
      <c r="F320" s="2">
        <v>58</v>
      </c>
      <c r="G320" s="2" t="s">
        <v>983</v>
      </c>
      <c r="H320" s="2" t="s">
        <v>984</v>
      </c>
      <c r="I320" s="2"/>
      <c r="J320" s="2" t="s">
        <v>18</v>
      </c>
    </row>
    <row r="321" spans="1:10" ht="21" customHeight="1">
      <c r="A321" s="2" t="s">
        <v>1308</v>
      </c>
      <c r="B321" s="2" t="s">
        <v>18</v>
      </c>
      <c r="C321" s="4">
        <v>45977.25</v>
      </c>
      <c r="D321" s="4">
        <v>45977.250380833335</v>
      </c>
      <c r="E321" s="2">
        <v>2.44</v>
      </c>
      <c r="F321" s="2">
        <v>62.6</v>
      </c>
      <c r="G321" s="2" t="s">
        <v>983</v>
      </c>
      <c r="H321" s="2" t="s">
        <v>984</v>
      </c>
      <c r="I321" s="2"/>
      <c r="J321" s="2" t="s">
        <v>18</v>
      </c>
    </row>
    <row r="322" spans="1:10" ht="21" customHeight="1">
      <c r="A322" s="2" t="s">
        <v>1309</v>
      </c>
      <c r="B322" s="2" t="s">
        <v>18</v>
      </c>
      <c r="C322" s="4">
        <v>45978.25</v>
      </c>
      <c r="D322" s="4">
        <v>45978.250494363427</v>
      </c>
      <c r="E322" s="2">
        <v>5.42</v>
      </c>
      <c r="F322" s="2">
        <v>69</v>
      </c>
      <c r="G322" s="2" t="s">
        <v>983</v>
      </c>
      <c r="H322" s="2" t="s">
        <v>984</v>
      </c>
      <c r="I322" s="2" t="s">
        <v>1053</v>
      </c>
      <c r="J322" s="2" t="s">
        <v>18</v>
      </c>
    </row>
    <row r="323" spans="1:10" ht="21" customHeight="1">
      <c r="A323" s="2" t="s">
        <v>1310</v>
      </c>
      <c r="B323" s="2" t="s">
        <v>18</v>
      </c>
      <c r="C323" s="4">
        <v>45979.25</v>
      </c>
      <c r="D323" s="4">
        <v>45979.250659016208</v>
      </c>
      <c r="E323" s="2">
        <v>4.63</v>
      </c>
      <c r="F323" s="2">
        <v>67.2</v>
      </c>
      <c r="G323" s="2" t="s">
        <v>983</v>
      </c>
      <c r="H323" s="2" t="s">
        <v>984</v>
      </c>
      <c r="I323" s="2"/>
      <c r="J323" s="2" t="s">
        <v>18</v>
      </c>
    </row>
    <row r="324" spans="1:10" ht="21" customHeight="1">
      <c r="A324" s="2" t="s">
        <v>1311</v>
      </c>
      <c r="B324" s="2" t="s">
        <v>18</v>
      </c>
      <c r="C324" s="4">
        <v>45980.25</v>
      </c>
      <c r="D324" s="4">
        <v>45980.25023336806</v>
      </c>
      <c r="E324" s="2">
        <v>6.59</v>
      </c>
      <c r="F324" s="2">
        <v>70.5</v>
      </c>
      <c r="G324" s="2" t="s">
        <v>983</v>
      </c>
      <c r="H324" s="2" t="s">
        <v>984</v>
      </c>
      <c r="I324" s="2" t="s">
        <v>1053</v>
      </c>
      <c r="J324" s="2" t="s">
        <v>18</v>
      </c>
    </row>
    <row r="325" spans="1:10" ht="21" customHeight="1">
      <c r="A325" s="2" t="s">
        <v>1312</v>
      </c>
      <c r="B325" s="2" t="s">
        <v>18</v>
      </c>
      <c r="C325" s="4">
        <v>45981.25</v>
      </c>
      <c r="D325" s="4">
        <v>45981.250522025468</v>
      </c>
      <c r="E325" s="2">
        <v>3.29</v>
      </c>
      <c r="F325" s="2">
        <v>58.6</v>
      </c>
      <c r="G325" s="2" t="s">
        <v>983</v>
      </c>
      <c r="H325" s="2" t="s">
        <v>984</v>
      </c>
      <c r="I325" s="2" t="s">
        <v>985</v>
      </c>
      <c r="J325" s="2" t="s">
        <v>18</v>
      </c>
    </row>
    <row r="326" spans="1:10" ht="21" customHeight="1">
      <c r="A326" s="2" t="s">
        <v>1313</v>
      </c>
      <c r="B326" s="2" t="s">
        <v>18</v>
      </c>
      <c r="C326" s="4">
        <v>45982.25</v>
      </c>
      <c r="D326" s="4">
        <v>45982.250282129629</v>
      </c>
      <c r="E326" s="2">
        <v>2.54</v>
      </c>
      <c r="F326" s="2">
        <v>63.7</v>
      </c>
      <c r="G326" s="2" t="s">
        <v>983</v>
      </c>
      <c r="H326" s="2" t="s">
        <v>984</v>
      </c>
      <c r="I326" s="2"/>
      <c r="J326" s="2" t="s">
        <v>18</v>
      </c>
    </row>
    <row r="327" spans="1:10" ht="21" customHeight="1">
      <c r="A327" s="2" t="s">
        <v>1314</v>
      </c>
      <c r="B327" s="2" t="s">
        <v>18</v>
      </c>
      <c r="C327" s="4">
        <v>45983.25</v>
      </c>
      <c r="D327" s="4">
        <v>45983.250258773143</v>
      </c>
      <c r="E327" s="2">
        <v>2.4</v>
      </c>
      <c r="F327" s="2">
        <v>61.9</v>
      </c>
      <c r="G327" s="2" t="s">
        <v>983</v>
      </c>
      <c r="H327" s="2" t="s">
        <v>984</v>
      </c>
      <c r="I327" s="2"/>
      <c r="J327" s="2" t="s">
        <v>18</v>
      </c>
    </row>
    <row r="328" spans="1:10" ht="21" customHeight="1">
      <c r="A328" s="2" t="s">
        <v>1315</v>
      </c>
      <c r="B328" s="2" t="s">
        <v>18</v>
      </c>
      <c r="C328" s="4">
        <v>45984.25</v>
      </c>
      <c r="D328" s="4">
        <v>45984.250579872685</v>
      </c>
      <c r="E328" s="2">
        <v>2.57</v>
      </c>
      <c r="F328" s="2">
        <v>58.8</v>
      </c>
      <c r="G328" s="2" t="s">
        <v>983</v>
      </c>
      <c r="H328" s="2" t="s">
        <v>984</v>
      </c>
      <c r="I328" s="2"/>
      <c r="J328" s="2" t="s">
        <v>18</v>
      </c>
    </row>
    <row r="329" spans="1:10" ht="21" customHeight="1">
      <c r="A329" s="2" t="s">
        <v>1316</v>
      </c>
      <c r="B329" s="2" t="s">
        <v>18</v>
      </c>
      <c r="C329" s="4">
        <v>45985.25</v>
      </c>
      <c r="D329" s="4">
        <v>45985.250274062499</v>
      </c>
      <c r="E329" s="2">
        <v>2.93</v>
      </c>
      <c r="F329" s="2">
        <v>59.2</v>
      </c>
      <c r="G329" s="2" t="s">
        <v>983</v>
      </c>
      <c r="H329" s="2" t="s">
        <v>984</v>
      </c>
      <c r="I329" s="2"/>
      <c r="J329" s="2" t="s">
        <v>18</v>
      </c>
    </row>
    <row r="330" spans="1:10" ht="21" customHeight="1">
      <c r="A330" s="2" t="s">
        <v>1317</v>
      </c>
      <c r="B330" s="2" t="s">
        <v>982</v>
      </c>
      <c r="C330" s="4">
        <v>45986.25</v>
      </c>
      <c r="D330" s="4">
        <v>45986.250326168985</v>
      </c>
      <c r="E330" s="2">
        <v>2.41</v>
      </c>
      <c r="F330" s="2">
        <v>62.9</v>
      </c>
      <c r="G330" s="2" t="s">
        <v>983</v>
      </c>
      <c r="H330" s="2" t="s">
        <v>984</v>
      </c>
      <c r="I330" s="2"/>
      <c r="J330" s="2" t="s">
        <v>18</v>
      </c>
    </row>
    <row r="331" spans="1:10" ht="21" customHeight="1">
      <c r="A331" s="2" t="s">
        <v>1318</v>
      </c>
      <c r="B331" s="2" t="s">
        <v>18</v>
      </c>
      <c r="C331" s="4">
        <v>45987.25</v>
      </c>
      <c r="D331" s="4">
        <v>45987.250100821759</v>
      </c>
      <c r="E331" s="2">
        <v>2.42</v>
      </c>
      <c r="F331" s="2">
        <v>58.7</v>
      </c>
      <c r="G331" s="2" t="s">
        <v>983</v>
      </c>
      <c r="H331" s="2" t="s">
        <v>984</v>
      </c>
      <c r="I331" s="2"/>
      <c r="J331" s="2" t="s">
        <v>18</v>
      </c>
    </row>
    <row r="332" spans="1:10" ht="21" customHeight="1">
      <c r="A332" s="2" t="s">
        <v>1319</v>
      </c>
      <c r="B332" s="2" t="s">
        <v>18</v>
      </c>
      <c r="C332" s="4">
        <v>45988.25</v>
      </c>
      <c r="D332" s="4">
        <v>45988.25033299769</v>
      </c>
      <c r="E332" s="2">
        <v>2.44</v>
      </c>
      <c r="F332" s="2">
        <v>60.7</v>
      </c>
      <c r="G332" s="2" t="s">
        <v>983</v>
      </c>
      <c r="H332" s="2" t="s">
        <v>984</v>
      </c>
      <c r="I332" s="2"/>
      <c r="J332" s="2" t="s">
        <v>18</v>
      </c>
    </row>
    <row r="333" spans="1:10" ht="21" customHeight="1">
      <c r="A333" s="2" t="s">
        <v>1320</v>
      </c>
      <c r="B333" s="2" t="s">
        <v>18</v>
      </c>
      <c r="C333" s="4">
        <v>45989.25</v>
      </c>
      <c r="D333" s="4">
        <v>45989.250630671297</v>
      </c>
      <c r="E333" s="2">
        <v>2.73</v>
      </c>
      <c r="F333" s="2">
        <v>61</v>
      </c>
      <c r="G333" s="2" t="s">
        <v>983</v>
      </c>
      <c r="H333" s="2" t="s">
        <v>984</v>
      </c>
      <c r="I333" s="2"/>
      <c r="J333" s="2" t="s">
        <v>18</v>
      </c>
    </row>
    <row r="334" spans="1:10" ht="21" customHeight="1">
      <c r="A334" s="2" t="s">
        <v>1321</v>
      </c>
      <c r="B334" s="2" t="s">
        <v>18</v>
      </c>
      <c r="C334" s="4">
        <v>45990.25</v>
      </c>
      <c r="D334" s="4">
        <v>45990.250590983793</v>
      </c>
      <c r="E334" s="2">
        <v>2.74</v>
      </c>
      <c r="F334" s="2">
        <v>58.3</v>
      </c>
      <c r="G334" s="2" t="s">
        <v>983</v>
      </c>
      <c r="H334" s="2" t="s">
        <v>984</v>
      </c>
      <c r="I334" s="2"/>
      <c r="J334" s="2" t="s">
        <v>18</v>
      </c>
    </row>
    <row r="335" spans="1:10" ht="21" customHeight="1">
      <c r="A335" s="2" t="s">
        <v>1322</v>
      </c>
      <c r="B335" s="2" t="s">
        <v>18</v>
      </c>
      <c r="C335" s="4">
        <v>45991.25</v>
      </c>
      <c r="D335" s="4">
        <v>45991.250082546292</v>
      </c>
      <c r="E335" s="2">
        <v>2.6</v>
      </c>
      <c r="F335" s="2">
        <v>58.7</v>
      </c>
      <c r="G335" s="2" t="s">
        <v>983</v>
      </c>
      <c r="H335" s="2" t="s">
        <v>984</v>
      </c>
      <c r="I335" s="2"/>
      <c r="J335" s="2" t="s">
        <v>18</v>
      </c>
    </row>
    <row r="336" spans="1:10" ht="21" customHeight="1">
      <c r="A336" s="2" t="s">
        <v>1323</v>
      </c>
      <c r="B336" s="2" t="s">
        <v>18</v>
      </c>
      <c r="C336" s="4">
        <v>45992.25</v>
      </c>
      <c r="D336" s="4">
        <v>45992.250345231485</v>
      </c>
      <c r="E336" s="2">
        <v>3.07</v>
      </c>
      <c r="F336" s="2">
        <v>62.4</v>
      </c>
      <c r="G336" s="2" t="s">
        <v>983</v>
      </c>
      <c r="H336" s="2" t="s">
        <v>984</v>
      </c>
      <c r="I336" s="2"/>
      <c r="J336" s="2" t="s">
        <v>18</v>
      </c>
    </row>
    <row r="337" spans="1:10" ht="21" customHeight="1">
      <c r="A337" s="2" t="s">
        <v>1324</v>
      </c>
      <c r="B337" s="2" t="s">
        <v>18</v>
      </c>
      <c r="C337" s="4">
        <v>45993.25</v>
      </c>
      <c r="D337" s="4">
        <v>45993.25030097222</v>
      </c>
      <c r="E337" s="2">
        <v>2.78</v>
      </c>
      <c r="F337" s="2">
        <v>61</v>
      </c>
      <c r="G337" s="2" t="s">
        <v>983</v>
      </c>
      <c r="H337" s="2" t="s">
        <v>984</v>
      </c>
      <c r="I337" s="2"/>
      <c r="J337" s="2" t="s">
        <v>18</v>
      </c>
    </row>
    <row r="338" spans="1:10" ht="21" customHeight="1">
      <c r="A338" s="2" t="s">
        <v>1325</v>
      </c>
      <c r="B338" s="2" t="s">
        <v>18</v>
      </c>
      <c r="C338" s="4">
        <v>45994.25</v>
      </c>
      <c r="D338" s="4">
        <v>45994.250249652774</v>
      </c>
      <c r="E338" s="2">
        <v>3.07</v>
      </c>
      <c r="F338" s="2">
        <v>62.6</v>
      </c>
      <c r="G338" s="2" t="s">
        <v>983</v>
      </c>
      <c r="H338" s="2" t="s">
        <v>984</v>
      </c>
      <c r="I338" s="2"/>
      <c r="J338" s="2" t="s">
        <v>18</v>
      </c>
    </row>
    <row r="339" spans="1:10" ht="21" customHeight="1">
      <c r="A339" s="2" t="s">
        <v>1326</v>
      </c>
      <c r="B339" s="2" t="s">
        <v>18</v>
      </c>
      <c r="C339" s="4">
        <v>45995.25</v>
      </c>
      <c r="D339" s="4">
        <v>45995.250119629629</v>
      </c>
      <c r="E339" s="2">
        <v>3.25</v>
      </c>
      <c r="F339" s="2">
        <v>61.1</v>
      </c>
      <c r="G339" s="2" t="s">
        <v>983</v>
      </c>
      <c r="H339" s="2" t="s">
        <v>984</v>
      </c>
      <c r="I339" s="2"/>
      <c r="J339" s="2" t="s">
        <v>18</v>
      </c>
    </row>
    <row r="340" spans="1:10" ht="21" customHeight="1">
      <c r="A340" s="2" t="s">
        <v>1327</v>
      </c>
      <c r="B340" s="2" t="s">
        <v>18</v>
      </c>
      <c r="C340" s="4">
        <v>45996.25</v>
      </c>
      <c r="D340" s="4">
        <v>45996.250152349538</v>
      </c>
      <c r="E340" s="2">
        <v>2.27</v>
      </c>
      <c r="F340" s="2">
        <v>59.1</v>
      </c>
      <c r="G340" s="2" t="s">
        <v>983</v>
      </c>
      <c r="H340" s="2" t="s">
        <v>984</v>
      </c>
      <c r="I340" s="2"/>
      <c r="J340" s="2" t="s">
        <v>18</v>
      </c>
    </row>
    <row r="341" spans="1:10" ht="21" customHeight="1">
      <c r="A341" s="2" t="s">
        <v>1328</v>
      </c>
      <c r="B341" s="2" t="s">
        <v>18</v>
      </c>
      <c r="C341" s="4">
        <v>45997.25</v>
      </c>
      <c r="D341" s="4">
        <v>45997.250226666671</v>
      </c>
      <c r="E341" s="2">
        <v>6.05</v>
      </c>
      <c r="F341" s="2">
        <v>69.900000000000006</v>
      </c>
      <c r="G341" s="2" t="s">
        <v>983</v>
      </c>
      <c r="H341" s="2" t="s">
        <v>984</v>
      </c>
      <c r="I341" s="2"/>
      <c r="J341" s="2" t="s">
        <v>18</v>
      </c>
    </row>
    <row r="342" spans="1:10" ht="21" customHeight="1">
      <c r="A342" s="2" t="s">
        <v>1329</v>
      </c>
      <c r="B342" s="2" t="s">
        <v>18</v>
      </c>
      <c r="C342" s="4">
        <v>45998.25</v>
      </c>
      <c r="D342" s="4">
        <v>45998.250573530095</v>
      </c>
      <c r="E342" s="2">
        <v>6.87</v>
      </c>
      <c r="F342" s="2">
        <v>69.400000000000006</v>
      </c>
      <c r="G342" s="2" t="s">
        <v>983</v>
      </c>
      <c r="H342" s="2" t="s">
        <v>984</v>
      </c>
      <c r="I342" s="2" t="s">
        <v>1053</v>
      </c>
      <c r="J342" s="2" t="s">
        <v>18</v>
      </c>
    </row>
    <row r="343" spans="1:10" ht="21" customHeight="1">
      <c r="A343" s="2" t="s">
        <v>1330</v>
      </c>
      <c r="B343" s="2" t="s">
        <v>18</v>
      </c>
      <c r="C343" s="4">
        <v>45999.25</v>
      </c>
      <c r="D343" s="4">
        <v>45999.250074201387</v>
      </c>
      <c r="E343" s="2">
        <v>4.96</v>
      </c>
      <c r="F343" s="2">
        <v>65.400000000000006</v>
      </c>
      <c r="G343" s="2" t="s">
        <v>983</v>
      </c>
      <c r="H343" s="2" t="s">
        <v>984</v>
      </c>
      <c r="I343" s="2"/>
      <c r="J343" s="2" t="s">
        <v>18</v>
      </c>
    </row>
    <row r="344" spans="1:10" ht="21" customHeight="1">
      <c r="A344" s="2" t="s">
        <v>1331</v>
      </c>
      <c r="B344" s="2" t="s">
        <v>18</v>
      </c>
      <c r="C344" s="4">
        <v>46000.25</v>
      </c>
      <c r="D344" s="4">
        <v>46000.250451354164</v>
      </c>
      <c r="E344" s="2">
        <v>0</v>
      </c>
      <c r="F344" s="2">
        <v>61.5</v>
      </c>
      <c r="G344" s="2" t="s">
        <v>1175</v>
      </c>
      <c r="H344" s="2" t="s">
        <v>984</v>
      </c>
      <c r="I344" s="2"/>
      <c r="J344" s="2" t="s">
        <v>18</v>
      </c>
    </row>
    <row r="345" spans="1:10" ht="21" customHeight="1">
      <c r="A345" s="2" t="s">
        <v>1332</v>
      </c>
      <c r="B345" s="2" t="s">
        <v>18</v>
      </c>
      <c r="C345" s="4">
        <v>46001.25</v>
      </c>
      <c r="D345" s="4">
        <v>46001.250429664353</v>
      </c>
      <c r="E345" s="2">
        <v>2.46</v>
      </c>
      <c r="F345" s="2">
        <v>65.7</v>
      </c>
      <c r="G345" s="2" t="s">
        <v>983</v>
      </c>
      <c r="H345" s="2" t="s">
        <v>984</v>
      </c>
      <c r="I345" s="2"/>
      <c r="J345" s="2" t="s">
        <v>18</v>
      </c>
    </row>
    <row r="346" spans="1:10" ht="21" customHeight="1">
      <c r="A346" s="2" t="s">
        <v>1333</v>
      </c>
      <c r="B346" s="2" t="s">
        <v>18</v>
      </c>
      <c r="C346" s="4">
        <v>46002.25</v>
      </c>
      <c r="D346" s="4">
        <v>46002.250437060182</v>
      </c>
      <c r="E346" s="2">
        <v>2.48</v>
      </c>
      <c r="F346" s="2">
        <v>59.7</v>
      </c>
      <c r="G346" s="2" t="s">
        <v>983</v>
      </c>
      <c r="H346" s="2" t="s">
        <v>984</v>
      </c>
      <c r="I346" s="2"/>
      <c r="J346" s="2" t="s">
        <v>18</v>
      </c>
    </row>
    <row r="347" spans="1:10" ht="21" customHeight="1">
      <c r="A347" s="2" t="s">
        <v>1334</v>
      </c>
      <c r="B347" s="2" t="s">
        <v>18</v>
      </c>
      <c r="C347" s="4">
        <v>46003.25</v>
      </c>
      <c r="D347" s="4">
        <v>46003.250682731479</v>
      </c>
      <c r="E347" s="2">
        <v>2.17</v>
      </c>
      <c r="F347" s="2">
        <v>62.6</v>
      </c>
      <c r="G347" s="2" t="s">
        <v>983</v>
      </c>
      <c r="H347" s="2" t="s">
        <v>984</v>
      </c>
      <c r="I347" s="2"/>
      <c r="J347" s="2" t="s">
        <v>18</v>
      </c>
    </row>
    <row r="348" spans="1:10" ht="21" customHeight="1">
      <c r="A348" s="2" t="s">
        <v>1335</v>
      </c>
      <c r="B348" s="2" t="s">
        <v>18</v>
      </c>
      <c r="C348" s="4">
        <v>46004.25</v>
      </c>
      <c r="D348" s="4">
        <v>46004.25067465278</v>
      </c>
      <c r="E348" s="2">
        <v>3.08</v>
      </c>
      <c r="F348" s="2">
        <v>64.7</v>
      </c>
      <c r="G348" s="2" t="s">
        <v>983</v>
      </c>
      <c r="H348" s="2" t="s">
        <v>984</v>
      </c>
      <c r="I348" s="2"/>
      <c r="J348" s="2" t="s">
        <v>18</v>
      </c>
    </row>
    <row r="349" spans="1:10" ht="21" customHeight="1">
      <c r="A349" s="2" t="s">
        <v>1336</v>
      </c>
      <c r="B349" s="2" t="s">
        <v>18</v>
      </c>
      <c r="C349" s="4">
        <v>46005.25</v>
      </c>
      <c r="D349" s="4">
        <v>46005.250383414357</v>
      </c>
      <c r="E349" s="2">
        <v>2.9</v>
      </c>
      <c r="F349" s="2">
        <v>58.8</v>
      </c>
      <c r="G349" s="2" t="s">
        <v>983</v>
      </c>
      <c r="H349" s="2" t="s">
        <v>984</v>
      </c>
      <c r="I349" s="2"/>
      <c r="J349" s="2" t="s">
        <v>18</v>
      </c>
    </row>
    <row r="350" spans="1:10" ht="21" customHeight="1">
      <c r="A350" s="2" t="s">
        <v>1337</v>
      </c>
      <c r="B350" s="2" t="s">
        <v>18</v>
      </c>
      <c r="C350" s="4">
        <v>46006.25</v>
      </c>
      <c r="D350" s="4">
        <v>46006.250041412037</v>
      </c>
      <c r="E350" s="2">
        <v>2.69</v>
      </c>
      <c r="F350" s="2">
        <v>63.7</v>
      </c>
      <c r="G350" s="2" t="s">
        <v>983</v>
      </c>
      <c r="H350" s="2" t="s">
        <v>984</v>
      </c>
      <c r="I350" s="2"/>
      <c r="J350" s="2" t="s">
        <v>18</v>
      </c>
    </row>
    <row r="351" spans="1:10" ht="21" customHeight="1">
      <c r="A351" s="2" t="s">
        <v>1338</v>
      </c>
      <c r="B351" s="2" t="s">
        <v>18</v>
      </c>
      <c r="C351" s="4">
        <v>46007.25</v>
      </c>
      <c r="D351" s="4">
        <v>46007.250677361109</v>
      </c>
      <c r="E351" s="2">
        <v>2.96</v>
      </c>
      <c r="F351" s="2">
        <v>59.1</v>
      </c>
      <c r="G351" s="2" t="s">
        <v>983</v>
      </c>
      <c r="H351" s="2" t="s">
        <v>984</v>
      </c>
      <c r="I351" s="2"/>
      <c r="J351" s="2" t="s">
        <v>18</v>
      </c>
    </row>
    <row r="352" spans="1:10" ht="21" customHeight="1">
      <c r="A352" s="2" t="s">
        <v>1339</v>
      </c>
      <c r="B352" s="2" t="s">
        <v>18</v>
      </c>
      <c r="C352" s="4">
        <v>46008.25</v>
      </c>
      <c r="D352" s="4">
        <v>46008.250535185187</v>
      </c>
      <c r="E352" s="2">
        <v>2.73</v>
      </c>
      <c r="F352" s="2">
        <v>61</v>
      </c>
      <c r="G352" s="2" t="s">
        <v>983</v>
      </c>
      <c r="H352" s="2" t="s">
        <v>984</v>
      </c>
      <c r="I352" s="2"/>
      <c r="J352" s="2" t="s">
        <v>18</v>
      </c>
    </row>
    <row r="353" spans="1:10" ht="21" customHeight="1">
      <c r="A353" s="2" t="s">
        <v>1340</v>
      </c>
      <c r="B353" s="2" t="s">
        <v>18</v>
      </c>
      <c r="C353" s="4">
        <v>46009.25</v>
      </c>
      <c r="D353" s="4">
        <v>46009.250099444442</v>
      </c>
      <c r="E353" s="2">
        <v>2.27</v>
      </c>
      <c r="F353" s="2">
        <v>62.8</v>
      </c>
      <c r="G353" s="2" t="s">
        <v>983</v>
      </c>
      <c r="H353" s="2" t="s">
        <v>984</v>
      </c>
      <c r="I353" s="2"/>
      <c r="J353" s="2" t="s">
        <v>18</v>
      </c>
    </row>
    <row r="354" spans="1:10" ht="21" customHeight="1">
      <c r="A354" s="2" t="s">
        <v>1341</v>
      </c>
      <c r="B354" s="2" t="s">
        <v>18</v>
      </c>
      <c r="C354" s="4">
        <v>46010.25</v>
      </c>
      <c r="D354" s="4">
        <v>46010.250437453702</v>
      </c>
      <c r="E354" s="2">
        <v>3.2</v>
      </c>
      <c r="F354" s="2">
        <v>64.599999999999994</v>
      </c>
      <c r="G354" s="2" t="s">
        <v>983</v>
      </c>
      <c r="H354" s="2" t="s">
        <v>984</v>
      </c>
      <c r="I354" s="2"/>
      <c r="J354" s="2" t="s">
        <v>18</v>
      </c>
    </row>
    <row r="355" spans="1:10" ht="21" customHeight="1">
      <c r="A355" s="2" t="s">
        <v>1342</v>
      </c>
      <c r="B355" s="2" t="s">
        <v>18</v>
      </c>
      <c r="C355" s="4">
        <v>46011.25</v>
      </c>
      <c r="D355" s="4">
        <v>46011.250001006949</v>
      </c>
      <c r="E355" s="2">
        <v>2.71</v>
      </c>
      <c r="F355" s="2">
        <v>61.3</v>
      </c>
      <c r="G355" s="2" t="s">
        <v>983</v>
      </c>
      <c r="H355" s="2" t="s">
        <v>984</v>
      </c>
      <c r="I355" s="2"/>
      <c r="J355" s="2" t="s">
        <v>18</v>
      </c>
    </row>
    <row r="356" spans="1:10" ht="21" customHeight="1">
      <c r="A356" s="2" t="s">
        <v>1343</v>
      </c>
      <c r="B356" s="2" t="s">
        <v>18</v>
      </c>
      <c r="C356" s="4">
        <v>46012.25</v>
      </c>
      <c r="D356" s="4">
        <v>46012.250539942128</v>
      </c>
      <c r="E356" s="2">
        <v>3.23</v>
      </c>
      <c r="F356" s="2">
        <v>63.7</v>
      </c>
      <c r="G356" s="2" t="s">
        <v>983</v>
      </c>
      <c r="H356" s="2" t="s">
        <v>984</v>
      </c>
      <c r="I356" s="2"/>
      <c r="J356" s="2" t="s">
        <v>18</v>
      </c>
    </row>
    <row r="357" spans="1:10" ht="21" customHeight="1">
      <c r="A357" s="2" t="s">
        <v>1344</v>
      </c>
      <c r="B357" s="2" t="s">
        <v>18</v>
      </c>
      <c r="C357" s="4">
        <v>46013.25</v>
      </c>
      <c r="D357" s="4">
        <v>46013.250589398143</v>
      </c>
      <c r="E357" s="2">
        <v>3.18</v>
      </c>
      <c r="F357" s="2">
        <v>58.2</v>
      </c>
      <c r="G357" s="2" t="s">
        <v>983</v>
      </c>
      <c r="H357" s="2" t="s">
        <v>984</v>
      </c>
      <c r="I357" s="2"/>
      <c r="J357" s="2" t="s">
        <v>18</v>
      </c>
    </row>
    <row r="358" spans="1:10" ht="21" customHeight="1">
      <c r="A358" s="2" t="s">
        <v>1345</v>
      </c>
      <c r="B358" s="2" t="s">
        <v>18</v>
      </c>
      <c r="C358" s="4">
        <v>46014.25</v>
      </c>
      <c r="D358" s="4">
        <v>46014.250439872689</v>
      </c>
      <c r="E358" s="2">
        <v>2.86</v>
      </c>
      <c r="F358" s="2">
        <v>60.9</v>
      </c>
      <c r="G358" s="2" t="s">
        <v>983</v>
      </c>
      <c r="H358" s="2" t="s">
        <v>984</v>
      </c>
      <c r="I358" s="2"/>
      <c r="J358" s="2" t="s">
        <v>18</v>
      </c>
    </row>
    <row r="359" spans="1:10" ht="21" customHeight="1">
      <c r="A359" s="2" t="s">
        <v>1346</v>
      </c>
      <c r="B359" s="2" t="s">
        <v>18</v>
      </c>
      <c r="C359" s="4">
        <v>46015.25</v>
      </c>
      <c r="D359" s="4">
        <v>46015.250647152774</v>
      </c>
      <c r="E359" s="2">
        <v>2.78</v>
      </c>
      <c r="F359" s="2">
        <v>64.900000000000006</v>
      </c>
      <c r="G359" s="2" t="s">
        <v>983</v>
      </c>
      <c r="H359" s="2" t="s">
        <v>984</v>
      </c>
      <c r="I359" s="2" t="s">
        <v>985</v>
      </c>
      <c r="J359" s="2" t="s">
        <v>18</v>
      </c>
    </row>
    <row r="360" spans="1:10" ht="21" customHeight="1">
      <c r="A360" s="2" t="s">
        <v>1347</v>
      </c>
      <c r="B360" s="2" t="s">
        <v>18</v>
      </c>
      <c r="C360" s="4">
        <v>46016.25</v>
      </c>
      <c r="D360" s="4">
        <v>46016.250343472224</v>
      </c>
      <c r="E360" s="2">
        <v>2.98</v>
      </c>
      <c r="F360" s="2">
        <v>64.8</v>
      </c>
      <c r="G360" s="2" t="s">
        <v>983</v>
      </c>
      <c r="H360" s="2" t="s">
        <v>984</v>
      </c>
      <c r="I360" s="2"/>
      <c r="J360" s="2" t="s">
        <v>18</v>
      </c>
    </row>
    <row r="361" spans="1:10" ht="21" customHeight="1">
      <c r="A361" s="2" t="s">
        <v>1348</v>
      </c>
      <c r="B361" s="2" t="s">
        <v>18</v>
      </c>
      <c r="C361" s="4">
        <v>46017.25</v>
      </c>
      <c r="D361" s="4">
        <v>46017.250150613429</v>
      </c>
      <c r="E361" s="2">
        <v>2.4500000000000002</v>
      </c>
      <c r="F361" s="2">
        <v>62.9</v>
      </c>
      <c r="G361" s="2" t="s">
        <v>983</v>
      </c>
      <c r="H361" s="2" t="s">
        <v>984</v>
      </c>
      <c r="I361" s="2"/>
      <c r="J361" s="2" t="s">
        <v>18</v>
      </c>
    </row>
    <row r="362" spans="1:10" ht="21" customHeight="1">
      <c r="A362" s="2" t="s">
        <v>1349</v>
      </c>
      <c r="B362" s="2" t="s">
        <v>18</v>
      </c>
      <c r="C362" s="4">
        <v>46018.25</v>
      </c>
      <c r="D362" s="4">
        <v>46018.250580624997</v>
      </c>
      <c r="E362" s="2">
        <v>3.07</v>
      </c>
      <c r="F362" s="2">
        <v>64.8</v>
      </c>
      <c r="G362" s="2" t="s">
        <v>983</v>
      </c>
      <c r="H362" s="2" t="s">
        <v>984</v>
      </c>
      <c r="I362" s="2"/>
      <c r="J362" s="2" t="s">
        <v>18</v>
      </c>
    </row>
    <row r="363" spans="1:10" ht="21" customHeight="1">
      <c r="A363" s="2" t="s">
        <v>1350</v>
      </c>
      <c r="B363" s="2" t="s">
        <v>18</v>
      </c>
      <c r="C363" s="4">
        <v>46019.25</v>
      </c>
      <c r="D363" s="4">
        <v>46019.250302048611</v>
      </c>
      <c r="E363" s="2">
        <v>2.16</v>
      </c>
      <c r="F363" s="2">
        <v>59.8</v>
      </c>
      <c r="G363" s="2" t="s">
        <v>983</v>
      </c>
      <c r="H363" s="2" t="s">
        <v>984</v>
      </c>
      <c r="I363" s="2"/>
      <c r="J363" s="2" t="s">
        <v>18</v>
      </c>
    </row>
    <row r="364" spans="1:10" ht="21" customHeight="1">
      <c r="A364" s="2" t="s">
        <v>1351</v>
      </c>
      <c r="B364" s="2" t="s">
        <v>18</v>
      </c>
      <c r="C364" s="4">
        <v>46020.25</v>
      </c>
      <c r="D364" s="4">
        <v>46020.25061599537</v>
      </c>
      <c r="E364" s="2">
        <v>2.8</v>
      </c>
      <c r="F364" s="2">
        <v>63.2</v>
      </c>
      <c r="G364" s="2" t="s">
        <v>983</v>
      </c>
      <c r="H364" s="2" t="s">
        <v>984</v>
      </c>
      <c r="I364" s="2"/>
      <c r="J364" s="2" t="s">
        <v>18</v>
      </c>
    </row>
    <row r="365" spans="1:10" ht="21" customHeight="1">
      <c r="A365" s="2" t="s">
        <v>1352</v>
      </c>
      <c r="B365" s="2" t="s">
        <v>18</v>
      </c>
      <c r="C365" s="4">
        <v>46021.25</v>
      </c>
      <c r="D365" s="4">
        <v>46021.250489606478</v>
      </c>
      <c r="E365" s="2">
        <v>2.33</v>
      </c>
      <c r="F365" s="2">
        <v>59.3</v>
      </c>
      <c r="G365" s="2" t="s">
        <v>983</v>
      </c>
      <c r="H365" s="2" t="s">
        <v>984</v>
      </c>
      <c r="I365" s="2"/>
      <c r="J365" s="2" t="s">
        <v>18</v>
      </c>
    </row>
    <row r="366" spans="1:10" ht="21" customHeight="1">
      <c r="A366" s="2" t="s">
        <v>1353</v>
      </c>
      <c r="B366" s="2" t="s">
        <v>18</v>
      </c>
      <c r="C366" s="4">
        <v>46022.25</v>
      </c>
      <c r="D366" s="4">
        <v>46022.250464976853</v>
      </c>
      <c r="E366" s="2">
        <v>3.15</v>
      </c>
      <c r="F366" s="2">
        <v>60.7</v>
      </c>
      <c r="G366" s="2" t="s">
        <v>983</v>
      </c>
      <c r="H366" s="2" t="s">
        <v>984</v>
      </c>
      <c r="I366" s="2"/>
      <c r="J366" s="2" t="s">
        <v>18</v>
      </c>
    </row>
    <row r="367" spans="1:10" ht="21" customHeight="1">
      <c r="A367" s="2" t="s">
        <v>1354</v>
      </c>
      <c r="B367" s="2" t="s">
        <v>23</v>
      </c>
      <c r="C367" s="4">
        <v>45658.25</v>
      </c>
      <c r="D367" s="4">
        <v>45658.250362025465</v>
      </c>
      <c r="E367" s="2">
        <v>3.18</v>
      </c>
      <c r="F367" s="2">
        <v>61.9</v>
      </c>
      <c r="G367" s="2" t="s">
        <v>983</v>
      </c>
      <c r="H367" s="2" t="s">
        <v>984</v>
      </c>
      <c r="I367" s="2" t="s">
        <v>985</v>
      </c>
      <c r="J367" s="2" t="s">
        <v>23</v>
      </c>
    </row>
    <row r="368" spans="1:10" ht="21" customHeight="1">
      <c r="A368" s="2" t="s">
        <v>1355</v>
      </c>
      <c r="B368" s="2" t="s">
        <v>23</v>
      </c>
      <c r="C368" s="4">
        <v>45659.25</v>
      </c>
      <c r="D368" s="4">
        <v>45659.250132673609</v>
      </c>
      <c r="E368" s="2">
        <v>3.04</v>
      </c>
      <c r="F368" s="2">
        <v>59.4</v>
      </c>
      <c r="G368" s="2" t="s">
        <v>983</v>
      </c>
      <c r="H368" s="2" t="s">
        <v>984</v>
      </c>
      <c r="I368" s="2"/>
      <c r="J368" s="2" t="s">
        <v>23</v>
      </c>
    </row>
    <row r="369" spans="1:10" ht="21" customHeight="1">
      <c r="A369" s="2" t="s">
        <v>1356</v>
      </c>
      <c r="B369" s="2" t="s">
        <v>23</v>
      </c>
      <c r="C369" s="4">
        <v>45660.25</v>
      </c>
      <c r="D369" s="4">
        <v>45660.250338275466</v>
      </c>
      <c r="E369" s="2">
        <v>2.5</v>
      </c>
      <c r="F369" s="2">
        <v>58.6</v>
      </c>
      <c r="G369" s="2" t="s">
        <v>983</v>
      </c>
      <c r="H369" s="2" t="s">
        <v>984</v>
      </c>
      <c r="I369" s="2"/>
      <c r="J369" s="2" t="s">
        <v>23</v>
      </c>
    </row>
    <row r="370" spans="1:10" ht="21" customHeight="1">
      <c r="A370" s="2" t="s">
        <v>1357</v>
      </c>
      <c r="B370" s="2" t="s">
        <v>23</v>
      </c>
      <c r="C370" s="4">
        <v>45661.25</v>
      </c>
      <c r="D370" s="4">
        <v>45661.250294884259</v>
      </c>
      <c r="E370" s="2">
        <v>3.2</v>
      </c>
      <c r="F370" s="2">
        <v>58.7</v>
      </c>
      <c r="G370" s="2" t="s">
        <v>983</v>
      </c>
      <c r="H370" s="2" t="s">
        <v>984</v>
      </c>
      <c r="I370" s="2"/>
      <c r="J370" s="2" t="s">
        <v>23</v>
      </c>
    </row>
    <row r="371" spans="1:10" ht="21" customHeight="1">
      <c r="A371" s="2" t="s">
        <v>1358</v>
      </c>
      <c r="B371" s="2" t="s">
        <v>1359</v>
      </c>
      <c r="C371" s="4">
        <v>45662.25</v>
      </c>
      <c r="D371" s="4">
        <v>45662.250125046296</v>
      </c>
      <c r="E371" s="2">
        <v>3.04</v>
      </c>
      <c r="F371" s="2">
        <v>62.2</v>
      </c>
      <c r="G371" s="2" t="s">
        <v>983</v>
      </c>
      <c r="H371" s="2" t="s">
        <v>984</v>
      </c>
      <c r="I371" s="2"/>
      <c r="J371" s="2" t="s">
        <v>23</v>
      </c>
    </row>
    <row r="372" spans="1:10" ht="21" customHeight="1">
      <c r="A372" s="2" t="s">
        <v>1360</v>
      </c>
      <c r="B372" s="2" t="s">
        <v>23</v>
      </c>
      <c r="C372" s="4">
        <v>45663.25</v>
      </c>
      <c r="D372" s="4">
        <v>45663.250117118056</v>
      </c>
      <c r="E372" s="2">
        <v>2.23</v>
      </c>
      <c r="F372" s="2">
        <v>58.9</v>
      </c>
      <c r="G372" s="2" t="s">
        <v>983</v>
      </c>
      <c r="H372" s="2" t="s">
        <v>984</v>
      </c>
      <c r="I372" s="2"/>
      <c r="J372" s="2" t="s">
        <v>23</v>
      </c>
    </row>
    <row r="373" spans="1:10" ht="21" customHeight="1">
      <c r="A373" s="2" t="s">
        <v>1361</v>
      </c>
      <c r="B373" s="2" t="s">
        <v>23</v>
      </c>
      <c r="C373" s="4">
        <v>45664.25</v>
      </c>
      <c r="D373" s="4">
        <v>45664.250531655096</v>
      </c>
      <c r="E373" s="2">
        <v>3.29</v>
      </c>
      <c r="F373" s="2">
        <v>59.9</v>
      </c>
      <c r="G373" s="2" t="s">
        <v>983</v>
      </c>
      <c r="H373" s="2" t="s">
        <v>984</v>
      </c>
      <c r="I373" s="2"/>
      <c r="J373" s="2" t="s">
        <v>23</v>
      </c>
    </row>
    <row r="374" spans="1:10" ht="21" customHeight="1">
      <c r="A374" s="2" t="s">
        <v>1362</v>
      </c>
      <c r="B374" s="2" t="s">
        <v>23</v>
      </c>
      <c r="C374" s="4">
        <v>45665.25</v>
      </c>
      <c r="D374" s="4">
        <v>45665.250277141204</v>
      </c>
      <c r="E374" s="2">
        <v>2.4500000000000002</v>
      </c>
      <c r="F374" s="2">
        <v>65.5</v>
      </c>
      <c r="G374" s="2" t="s">
        <v>983</v>
      </c>
      <c r="H374" s="2" t="s">
        <v>984</v>
      </c>
      <c r="I374" s="2"/>
      <c r="J374" s="2" t="s">
        <v>23</v>
      </c>
    </row>
    <row r="375" spans="1:10" ht="21" customHeight="1">
      <c r="A375" s="2" t="s">
        <v>1363</v>
      </c>
      <c r="B375" s="2" t="s">
        <v>23</v>
      </c>
      <c r="C375" s="4">
        <v>45666.25</v>
      </c>
      <c r="D375" s="4">
        <v>45666.250517986111</v>
      </c>
      <c r="E375" s="2">
        <v>2.35</v>
      </c>
      <c r="F375" s="2">
        <v>61.2</v>
      </c>
      <c r="G375" s="2" t="s">
        <v>983</v>
      </c>
      <c r="H375" s="2" t="s">
        <v>984</v>
      </c>
      <c r="I375" s="2"/>
      <c r="J375" s="2" t="s">
        <v>23</v>
      </c>
    </row>
    <row r="376" spans="1:10" ht="21" customHeight="1">
      <c r="A376" s="2" t="s">
        <v>1364</v>
      </c>
      <c r="B376" s="2" t="s">
        <v>23</v>
      </c>
      <c r="C376" s="4">
        <v>45667.25</v>
      </c>
      <c r="D376" s="4">
        <v>45667.250268506948</v>
      </c>
      <c r="E376" s="2">
        <v>2.4500000000000002</v>
      </c>
      <c r="F376" s="2">
        <v>62.9</v>
      </c>
      <c r="G376" s="2" t="s">
        <v>983</v>
      </c>
      <c r="H376" s="2" t="s">
        <v>984</v>
      </c>
      <c r="I376" s="2"/>
      <c r="J376" s="2" t="s">
        <v>23</v>
      </c>
    </row>
    <row r="377" spans="1:10" ht="21" customHeight="1">
      <c r="A377" s="2" t="s">
        <v>1365</v>
      </c>
      <c r="B377" s="2" t="s">
        <v>23</v>
      </c>
      <c r="C377" s="4">
        <v>45668.25</v>
      </c>
      <c r="D377" s="4">
        <v>45668.250245856485</v>
      </c>
      <c r="E377" s="2">
        <v>3.16</v>
      </c>
      <c r="F377" s="2">
        <v>59.7</v>
      </c>
      <c r="G377" s="2" t="s">
        <v>983</v>
      </c>
      <c r="H377" s="2" t="s">
        <v>984</v>
      </c>
      <c r="I377" s="2"/>
      <c r="J377" s="2" t="s">
        <v>23</v>
      </c>
    </row>
    <row r="378" spans="1:10" ht="21" customHeight="1">
      <c r="A378" s="2" t="s">
        <v>1366</v>
      </c>
      <c r="B378" s="2" t="s">
        <v>23</v>
      </c>
      <c r="C378" s="4">
        <v>45669.25</v>
      </c>
      <c r="D378" s="4">
        <v>45669.250140775461</v>
      </c>
      <c r="E378" s="2">
        <v>2.2000000000000002</v>
      </c>
      <c r="F378" s="2">
        <v>62.4</v>
      </c>
      <c r="G378" s="2" t="s">
        <v>983</v>
      </c>
      <c r="H378" s="2" t="s">
        <v>984</v>
      </c>
      <c r="I378" s="2"/>
      <c r="J378" s="2" t="s">
        <v>23</v>
      </c>
    </row>
    <row r="379" spans="1:10" ht="21" customHeight="1">
      <c r="A379" s="2" t="s">
        <v>1367</v>
      </c>
      <c r="B379" s="2" t="s">
        <v>23</v>
      </c>
      <c r="C379" s="4">
        <v>45670.25</v>
      </c>
      <c r="D379" s="4">
        <v>45670.25061693287</v>
      </c>
      <c r="E379" s="2">
        <v>2.44</v>
      </c>
      <c r="F379" s="2">
        <v>62.9</v>
      </c>
      <c r="G379" s="2" t="s">
        <v>983</v>
      </c>
      <c r="H379" s="2" t="s">
        <v>984</v>
      </c>
      <c r="I379" s="2"/>
      <c r="J379" s="2" t="s">
        <v>23</v>
      </c>
    </row>
    <row r="380" spans="1:10" ht="21" customHeight="1">
      <c r="A380" s="2" t="s">
        <v>1368</v>
      </c>
      <c r="B380" s="2" t="s">
        <v>23</v>
      </c>
      <c r="C380" s="4">
        <v>45671.25</v>
      </c>
      <c r="D380" s="4">
        <v>45671.25024199074</v>
      </c>
      <c r="E380" s="2">
        <v>2.95</v>
      </c>
      <c r="F380" s="2">
        <v>61</v>
      </c>
      <c r="G380" s="2" t="s">
        <v>983</v>
      </c>
      <c r="H380" s="2" t="s">
        <v>984</v>
      </c>
      <c r="I380" s="2"/>
      <c r="J380" s="2" t="s">
        <v>23</v>
      </c>
    </row>
    <row r="381" spans="1:10" ht="21" customHeight="1">
      <c r="A381" s="2" t="s">
        <v>1369</v>
      </c>
      <c r="B381" s="2" t="s">
        <v>23</v>
      </c>
      <c r="C381" s="4">
        <v>45672.25</v>
      </c>
      <c r="D381" s="4">
        <v>45672.25037908565</v>
      </c>
      <c r="E381" s="2">
        <v>2.2000000000000002</v>
      </c>
      <c r="F381" s="2">
        <v>65</v>
      </c>
      <c r="G381" s="2" t="s">
        <v>983</v>
      </c>
      <c r="H381" s="2" t="s">
        <v>984</v>
      </c>
      <c r="I381" s="2"/>
      <c r="J381" s="2" t="s">
        <v>23</v>
      </c>
    </row>
    <row r="382" spans="1:10" ht="21" customHeight="1">
      <c r="A382" s="2" t="s">
        <v>1370</v>
      </c>
      <c r="B382" s="2" t="s">
        <v>23</v>
      </c>
      <c r="C382" s="4">
        <v>45673.25</v>
      </c>
      <c r="D382" s="4">
        <v>45673.25046711805</v>
      </c>
      <c r="E382" s="2">
        <v>3.06</v>
      </c>
      <c r="F382" s="2">
        <v>64</v>
      </c>
      <c r="G382" s="2" t="s">
        <v>983</v>
      </c>
      <c r="H382" s="2" t="s">
        <v>984</v>
      </c>
      <c r="I382" s="2"/>
      <c r="J382" s="2" t="s">
        <v>23</v>
      </c>
    </row>
    <row r="383" spans="1:10" ht="21" customHeight="1">
      <c r="A383" s="2" t="s">
        <v>1371</v>
      </c>
      <c r="B383" s="2" t="s">
        <v>23</v>
      </c>
      <c r="C383" s="4">
        <v>45674.25</v>
      </c>
      <c r="D383" s="4">
        <v>45674.250252812504</v>
      </c>
      <c r="E383" s="2">
        <v>2.84</v>
      </c>
      <c r="F383" s="2">
        <v>63.9</v>
      </c>
      <c r="G383" s="2" t="s">
        <v>983</v>
      </c>
      <c r="H383" s="2" t="s">
        <v>984</v>
      </c>
      <c r="I383" s="2"/>
      <c r="J383" s="2" t="s">
        <v>23</v>
      </c>
    </row>
    <row r="384" spans="1:10" ht="21" customHeight="1">
      <c r="A384" s="2" t="s">
        <v>1372</v>
      </c>
      <c r="B384" s="2" t="s">
        <v>23</v>
      </c>
      <c r="C384" s="4">
        <v>45675.25</v>
      </c>
      <c r="D384" s="4">
        <v>45675.250386319443</v>
      </c>
      <c r="E384" s="2">
        <v>3.13</v>
      </c>
      <c r="F384" s="2">
        <v>64.8</v>
      </c>
      <c r="G384" s="2" t="s">
        <v>983</v>
      </c>
      <c r="H384" s="2" t="s">
        <v>984</v>
      </c>
      <c r="I384" s="2" t="s">
        <v>985</v>
      </c>
      <c r="J384" s="2" t="s">
        <v>23</v>
      </c>
    </row>
    <row r="385" spans="1:10" ht="21" customHeight="1">
      <c r="A385" s="2" t="s">
        <v>1373</v>
      </c>
      <c r="B385" s="2" t="s">
        <v>23</v>
      </c>
      <c r="C385" s="4">
        <v>45676.25</v>
      </c>
      <c r="D385" s="4">
        <v>45676.250371458329</v>
      </c>
      <c r="E385" s="2">
        <v>2.4</v>
      </c>
      <c r="F385" s="2">
        <v>59.4</v>
      </c>
      <c r="G385" s="2" t="s">
        <v>983</v>
      </c>
      <c r="H385" s="2" t="s">
        <v>984</v>
      </c>
      <c r="I385" s="2"/>
      <c r="J385" s="2" t="s">
        <v>23</v>
      </c>
    </row>
    <row r="386" spans="1:10" ht="21" customHeight="1">
      <c r="A386" s="2" t="s">
        <v>1374</v>
      </c>
      <c r="B386" s="2" t="s">
        <v>23</v>
      </c>
      <c r="C386" s="4">
        <v>45677.25</v>
      </c>
      <c r="D386" s="4">
        <v>45677.250070925926</v>
      </c>
      <c r="E386" s="2">
        <v>2.61</v>
      </c>
      <c r="F386" s="2">
        <v>62.4</v>
      </c>
      <c r="G386" s="2" t="s">
        <v>983</v>
      </c>
      <c r="H386" s="2" t="s">
        <v>984</v>
      </c>
      <c r="I386" s="2"/>
      <c r="J386" s="2" t="s">
        <v>23</v>
      </c>
    </row>
    <row r="387" spans="1:10" ht="21" customHeight="1">
      <c r="A387" s="2" t="s">
        <v>1375</v>
      </c>
      <c r="B387" s="2" t="s">
        <v>23</v>
      </c>
      <c r="C387" s="4">
        <v>45678.25</v>
      </c>
      <c r="D387" s="4">
        <v>45678.250640081023</v>
      </c>
      <c r="E387" s="2">
        <v>2.2599999999999998</v>
      </c>
      <c r="F387" s="2">
        <v>60.5</v>
      </c>
      <c r="G387" s="2" t="s">
        <v>983</v>
      </c>
      <c r="H387" s="2" t="s">
        <v>984</v>
      </c>
      <c r="I387" s="2"/>
      <c r="J387" s="2" t="s">
        <v>23</v>
      </c>
    </row>
    <row r="388" spans="1:10" ht="21" customHeight="1">
      <c r="A388" s="2" t="s">
        <v>1376</v>
      </c>
      <c r="B388" s="2" t="s">
        <v>23</v>
      </c>
      <c r="C388" s="4">
        <v>45679.25</v>
      </c>
      <c r="D388" s="4">
        <v>45679.25057802083</v>
      </c>
      <c r="E388" s="2">
        <v>3.08</v>
      </c>
      <c r="F388" s="2">
        <v>64.400000000000006</v>
      </c>
      <c r="G388" s="2" t="s">
        <v>983</v>
      </c>
      <c r="H388" s="2" t="s">
        <v>984</v>
      </c>
      <c r="I388" s="2"/>
      <c r="J388" s="2" t="s">
        <v>23</v>
      </c>
    </row>
    <row r="389" spans="1:10" ht="21" customHeight="1">
      <c r="A389" s="2" t="s">
        <v>1377</v>
      </c>
      <c r="B389" s="2" t="s">
        <v>23</v>
      </c>
      <c r="C389" s="4">
        <v>45680.25</v>
      </c>
      <c r="D389" s="4">
        <v>45680.250627106478</v>
      </c>
      <c r="E389" s="2">
        <v>2.8</v>
      </c>
      <c r="F389" s="2">
        <v>58.9</v>
      </c>
      <c r="G389" s="2" t="s">
        <v>983</v>
      </c>
      <c r="H389" s="2" t="s">
        <v>984</v>
      </c>
      <c r="I389" s="2"/>
      <c r="J389" s="2" t="s">
        <v>23</v>
      </c>
    </row>
    <row r="390" spans="1:10" ht="21" customHeight="1">
      <c r="A390" s="2" t="s">
        <v>1378</v>
      </c>
      <c r="B390" s="2" t="s">
        <v>23</v>
      </c>
      <c r="C390" s="4">
        <v>45681.25</v>
      </c>
      <c r="D390" s="4">
        <v>45681.250511122686</v>
      </c>
      <c r="E390" s="2">
        <v>3.01</v>
      </c>
      <c r="F390" s="2">
        <v>64.3</v>
      </c>
      <c r="G390" s="2" t="s">
        <v>983</v>
      </c>
      <c r="H390" s="2" t="s">
        <v>984</v>
      </c>
      <c r="I390" s="2"/>
      <c r="J390" s="2" t="s">
        <v>23</v>
      </c>
    </row>
    <row r="391" spans="1:10" ht="21" customHeight="1">
      <c r="A391" s="2" t="s">
        <v>1379</v>
      </c>
      <c r="B391" s="2" t="s">
        <v>23</v>
      </c>
      <c r="C391" s="4">
        <v>45682.25</v>
      </c>
      <c r="D391" s="4">
        <v>45682.250001192129</v>
      </c>
      <c r="E391" s="2">
        <v>2.1</v>
      </c>
      <c r="F391" s="2">
        <v>65.3</v>
      </c>
      <c r="G391" s="2" t="s">
        <v>983</v>
      </c>
      <c r="H391" s="2" t="s">
        <v>984</v>
      </c>
      <c r="I391" s="2"/>
      <c r="J391" s="2" t="s">
        <v>23</v>
      </c>
    </row>
    <row r="392" spans="1:10" ht="21" customHeight="1">
      <c r="A392" s="2" t="s">
        <v>1380</v>
      </c>
      <c r="B392" s="2" t="s">
        <v>23</v>
      </c>
      <c r="C392" s="4">
        <v>45683.25</v>
      </c>
      <c r="D392" s="4">
        <v>45683.250331064817</v>
      </c>
      <c r="E392" s="2">
        <v>3.13</v>
      </c>
      <c r="F392" s="2">
        <v>63</v>
      </c>
      <c r="G392" s="2" t="s">
        <v>983</v>
      </c>
      <c r="H392" s="2" t="s">
        <v>984</v>
      </c>
      <c r="I392" s="2"/>
      <c r="J392" s="2" t="s">
        <v>23</v>
      </c>
    </row>
    <row r="393" spans="1:10" ht="21" customHeight="1">
      <c r="A393" s="2" t="s">
        <v>1381</v>
      </c>
      <c r="B393" s="2" t="s">
        <v>23</v>
      </c>
      <c r="C393" s="4">
        <v>45684.25</v>
      </c>
      <c r="D393" s="4">
        <v>45684.25065361111</v>
      </c>
      <c r="E393" s="2">
        <v>2.34</v>
      </c>
      <c r="F393" s="2">
        <v>63.9</v>
      </c>
      <c r="G393" s="2" t="s">
        <v>983</v>
      </c>
      <c r="H393" s="2" t="s">
        <v>984</v>
      </c>
      <c r="I393" s="2"/>
      <c r="J393" s="2" t="s">
        <v>23</v>
      </c>
    </row>
    <row r="394" spans="1:10" ht="21" customHeight="1">
      <c r="A394" s="2" t="s">
        <v>1382</v>
      </c>
      <c r="B394" s="2" t="s">
        <v>23</v>
      </c>
      <c r="C394" s="4">
        <v>45685.25</v>
      </c>
      <c r="D394" s="4">
        <v>45685.250511018516</v>
      </c>
      <c r="E394" s="2">
        <v>2.81</v>
      </c>
      <c r="F394" s="2">
        <v>60.5</v>
      </c>
      <c r="G394" s="2" t="s">
        <v>983</v>
      </c>
      <c r="H394" s="2" t="s">
        <v>984</v>
      </c>
      <c r="I394" s="2"/>
      <c r="J394" s="2" t="s">
        <v>23</v>
      </c>
    </row>
    <row r="395" spans="1:10" ht="21" customHeight="1">
      <c r="A395" s="2" t="s">
        <v>1383</v>
      </c>
      <c r="B395" s="2" t="s">
        <v>23</v>
      </c>
      <c r="C395" s="4">
        <v>45686.25</v>
      </c>
      <c r="D395" s="4">
        <v>45686.250083182866</v>
      </c>
      <c r="E395" s="2">
        <v>3.24</v>
      </c>
      <c r="F395" s="2">
        <v>64.5</v>
      </c>
      <c r="G395" s="2" t="s">
        <v>983</v>
      </c>
      <c r="H395" s="2" t="s">
        <v>984</v>
      </c>
      <c r="I395" s="2"/>
      <c r="J395" s="2" t="s">
        <v>23</v>
      </c>
    </row>
    <row r="396" spans="1:10" ht="21" customHeight="1">
      <c r="A396" s="2" t="s">
        <v>1384</v>
      </c>
      <c r="B396" s="2" t="s">
        <v>23</v>
      </c>
      <c r="C396" s="4">
        <v>45687.25</v>
      </c>
      <c r="D396" s="4">
        <v>45687.250062939813</v>
      </c>
      <c r="E396" s="2">
        <v>3.03</v>
      </c>
      <c r="F396" s="2">
        <v>59.9</v>
      </c>
      <c r="G396" s="2" t="s">
        <v>983</v>
      </c>
      <c r="H396" s="2" t="s">
        <v>984</v>
      </c>
      <c r="I396" s="2"/>
      <c r="J396" s="2" t="s">
        <v>23</v>
      </c>
    </row>
    <row r="397" spans="1:10" ht="21" customHeight="1">
      <c r="A397" s="2" t="s">
        <v>1385</v>
      </c>
      <c r="B397" s="2" t="s">
        <v>23</v>
      </c>
      <c r="C397" s="4">
        <v>45688.25</v>
      </c>
      <c r="D397" s="4">
        <v>45688.250568703705</v>
      </c>
      <c r="E397" s="2">
        <v>3.23</v>
      </c>
      <c r="F397" s="2">
        <v>64.599999999999994</v>
      </c>
      <c r="G397" s="2" t="s">
        <v>983</v>
      </c>
      <c r="H397" s="2" t="s">
        <v>984</v>
      </c>
      <c r="I397" s="2"/>
      <c r="J397" s="2" t="s">
        <v>23</v>
      </c>
    </row>
    <row r="398" spans="1:10" ht="21" customHeight="1">
      <c r="A398" s="2" t="s">
        <v>1386</v>
      </c>
      <c r="B398" s="2" t="s">
        <v>23</v>
      </c>
      <c r="C398" s="4">
        <v>45689.25</v>
      </c>
      <c r="D398" s="4">
        <v>45689.250047199079</v>
      </c>
      <c r="E398" s="2">
        <v>2.4500000000000002</v>
      </c>
      <c r="F398" s="2">
        <v>59.5</v>
      </c>
      <c r="G398" s="2" t="s">
        <v>983</v>
      </c>
      <c r="H398" s="2" t="s">
        <v>984</v>
      </c>
      <c r="I398" s="2"/>
      <c r="J398" s="2" t="s">
        <v>23</v>
      </c>
    </row>
    <row r="399" spans="1:10" ht="21" customHeight="1">
      <c r="A399" s="2" t="s">
        <v>1387</v>
      </c>
      <c r="B399" s="2" t="s">
        <v>23</v>
      </c>
      <c r="C399" s="4">
        <v>45690.25</v>
      </c>
      <c r="D399" s="4">
        <v>45690.250052858799</v>
      </c>
      <c r="E399" s="2">
        <v>2.71</v>
      </c>
      <c r="F399" s="2">
        <v>61.7</v>
      </c>
      <c r="G399" s="2" t="s">
        <v>983</v>
      </c>
      <c r="H399" s="2" t="s">
        <v>984</v>
      </c>
      <c r="I399" s="2"/>
      <c r="J399" s="2" t="s">
        <v>23</v>
      </c>
    </row>
    <row r="400" spans="1:10" ht="21" customHeight="1">
      <c r="A400" s="2" t="s">
        <v>1388</v>
      </c>
      <c r="B400" s="2" t="s">
        <v>23</v>
      </c>
      <c r="C400" s="4">
        <v>45691.25</v>
      </c>
      <c r="D400" s="4">
        <v>45691.250098946759</v>
      </c>
      <c r="E400" s="2">
        <v>2.83</v>
      </c>
      <c r="F400" s="2">
        <v>60.8</v>
      </c>
      <c r="G400" s="2" t="s">
        <v>983</v>
      </c>
      <c r="H400" s="2" t="s">
        <v>984</v>
      </c>
      <c r="I400" s="2"/>
      <c r="J400" s="2" t="s">
        <v>23</v>
      </c>
    </row>
    <row r="401" spans="1:10" ht="21" customHeight="1">
      <c r="A401" s="2" t="s">
        <v>1389</v>
      </c>
      <c r="B401" s="2" t="s">
        <v>23</v>
      </c>
      <c r="C401" s="4">
        <v>45692.25</v>
      </c>
      <c r="D401" s="4">
        <v>45692.250602766202</v>
      </c>
      <c r="E401" s="2">
        <v>2.98</v>
      </c>
      <c r="F401" s="2">
        <v>64.3</v>
      </c>
      <c r="G401" s="2" t="s">
        <v>983</v>
      </c>
      <c r="H401" s="2" t="s">
        <v>984</v>
      </c>
      <c r="I401" s="2" t="s">
        <v>985</v>
      </c>
      <c r="J401" s="2" t="s">
        <v>23</v>
      </c>
    </row>
    <row r="402" spans="1:10" ht="21" customHeight="1">
      <c r="A402" s="2" t="s">
        <v>1390</v>
      </c>
      <c r="B402" s="2" t="s">
        <v>23</v>
      </c>
      <c r="C402" s="4">
        <v>45693.25</v>
      </c>
      <c r="D402" s="4">
        <v>45693.250011990742</v>
      </c>
      <c r="E402" s="2">
        <v>2.95</v>
      </c>
      <c r="F402" s="2">
        <v>60.5</v>
      </c>
      <c r="G402" s="2" t="s">
        <v>983</v>
      </c>
      <c r="H402" s="2" t="s">
        <v>984</v>
      </c>
      <c r="I402" s="2"/>
      <c r="J402" s="2" t="s">
        <v>23</v>
      </c>
    </row>
    <row r="403" spans="1:10" ht="21" customHeight="1">
      <c r="A403" s="2" t="s">
        <v>1391</v>
      </c>
      <c r="B403" s="2" t="s">
        <v>23</v>
      </c>
      <c r="C403" s="4">
        <v>45694.25</v>
      </c>
      <c r="D403" s="4">
        <v>45694.250264016198</v>
      </c>
      <c r="E403" s="2">
        <v>2.1800000000000002</v>
      </c>
      <c r="F403" s="2">
        <v>65.7</v>
      </c>
      <c r="G403" s="2" t="s">
        <v>983</v>
      </c>
      <c r="H403" s="2" t="s">
        <v>984</v>
      </c>
      <c r="I403" s="2"/>
      <c r="J403" s="2" t="s">
        <v>23</v>
      </c>
    </row>
    <row r="404" spans="1:10" ht="21" customHeight="1">
      <c r="A404" s="2" t="s">
        <v>1392</v>
      </c>
      <c r="B404" s="2" t="s">
        <v>23</v>
      </c>
      <c r="C404" s="4">
        <v>45695.25</v>
      </c>
      <c r="D404" s="4">
        <v>45695.250420474535</v>
      </c>
      <c r="E404" s="2">
        <v>3.21</v>
      </c>
      <c r="F404" s="2">
        <v>61.6</v>
      </c>
      <c r="G404" s="2" t="s">
        <v>983</v>
      </c>
      <c r="H404" s="2" t="s">
        <v>984</v>
      </c>
      <c r="I404" s="2"/>
      <c r="J404" s="2" t="s">
        <v>23</v>
      </c>
    </row>
    <row r="405" spans="1:10" ht="21" customHeight="1">
      <c r="A405" s="2" t="s">
        <v>1393</v>
      </c>
      <c r="B405" s="2" t="s">
        <v>23</v>
      </c>
      <c r="C405" s="4">
        <v>45696.25</v>
      </c>
      <c r="D405" s="4">
        <v>45696.250335254634</v>
      </c>
      <c r="E405" s="2">
        <v>5.45</v>
      </c>
      <c r="F405" s="2">
        <v>66</v>
      </c>
      <c r="G405" s="2" t="s">
        <v>983</v>
      </c>
      <c r="H405" s="2" t="s">
        <v>984</v>
      </c>
      <c r="I405" s="2" t="s">
        <v>1053</v>
      </c>
      <c r="J405" s="2" t="s">
        <v>23</v>
      </c>
    </row>
    <row r="406" spans="1:10" ht="21" customHeight="1">
      <c r="A406" s="2" t="s">
        <v>1394</v>
      </c>
      <c r="B406" s="2" t="s">
        <v>23</v>
      </c>
      <c r="C406" s="4">
        <v>45697.25</v>
      </c>
      <c r="D406" s="4">
        <v>45697.250177685186</v>
      </c>
      <c r="E406" s="2">
        <v>5.17</v>
      </c>
      <c r="F406" s="2">
        <v>70.400000000000006</v>
      </c>
      <c r="G406" s="2" t="s">
        <v>983</v>
      </c>
      <c r="H406" s="2" t="s">
        <v>984</v>
      </c>
      <c r="I406" s="2"/>
      <c r="J406" s="2" t="s">
        <v>23</v>
      </c>
    </row>
    <row r="407" spans="1:10" ht="21" customHeight="1">
      <c r="A407" s="2" t="s">
        <v>1395</v>
      </c>
      <c r="B407" s="2" t="s">
        <v>23</v>
      </c>
      <c r="C407" s="4">
        <v>45698.25</v>
      </c>
      <c r="D407" s="4">
        <v>45698.250364988431</v>
      </c>
      <c r="E407" s="2">
        <v>5.51</v>
      </c>
      <c r="F407" s="2">
        <v>75.3</v>
      </c>
      <c r="G407" s="2" t="s">
        <v>983</v>
      </c>
      <c r="H407" s="2" t="s">
        <v>984</v>
      </c>
      <c r="I407" s="2" t="s">
        <v>1053</v>
      </c>
      <c r="J407" s="2" t="s">
        <v>23</v>
      </c>
    </row>
    <row r="408" spans="1:10" ht="21" customHeight="1">
      <c r="A408" s="2" t="s">
        <v>1396</v>
      </c>
      <c r="B408" s="2" t="s">
        <v>23</v>
      </c>
      <c r="C408" s="4">
        <v>45699.25</v>
      </c>
      <c r="D408" s="4">
        <v>45699.250692071757</v>
      </c>
      <c r="E408" s="2">
        <v>0</v>
      </c>
      <c r="F408" s="2">
        <v>61.8</v>
      </c>
      <c r="G408" s="2" t="s">
        <v>1175</v>
      </c>
      <c r="H408" s="2" t="s">
        <v>984</v>
      </c>
      <c r="I408" s="2"/>
      <c r="J408" s="2" t="s">
        <v>23</v>
      </c>
    </row>
    <row r="409" spans="1:10" ht="21" customHeight="1">
      <c r="A409" s="2" t="s">
        <v>1397</v>
      </c>
      <c r="B409" s="2" t="s">
        <v>23</v>
      </c>
      <c r="C409" s="4">
        <v>45700.25</v>
      </c>
      <c r="D409" s="4">
        <v>45700.250424166668</v>
      </c>
      <c r="E409" s="2">
        <v>3.25</v>
      </c>
      <c r="F409" s="2">
        <v>65.8</v>
      </c>
      <c r="G409" s="2" t="s">
        <v>983</v>
      </c>
      <c r="H409" s="2" t="s">
        <v>984</v>
      </c>
      <c r="I409" s="2"/>
      <c r="J409" s="2" t="s">
        <v>23</v>
      </c>
    </row>
    <row r="410" spans="1:10" ht="21" customHeight="1">
      <c r="A410" s="2" t="s">
        <v>1398</v>
      </c>
      <c r="B410" s="2" t="s">
        <v>23</v>
      </c>
      <c r="C410" s="4">
        <v>45701.25</v>
      </c>
      <c r="D410" s="4">
        <v>45701.250058020829</v>
      </c>
      <c r="E410" s="2">
        <v>3.15</v>
      </c>
      <c r="F410" s="2">
        <v>61.2</v>
      </c>
      <c r="G410" s="2" t="s">
        <v>983</v>
      </c>
      <c r="H410" s="2" t="s">
        <v>984</v>
      </c>
      <c r="I410" s="2"/>
      <c r="J410" s="2" t="s">
        <v>23</v>
      </c>
    </row>
    <row r="411" spans="1:10" ht="21" customHeight="1">
      <c r="A411" s="2" t="s">
        <v>1399</v>
      </c>
      <c r="B411" s="2" t="s">
        <v>23</v>
      </c>
      <c r="C411" s="4">
        <v>45702.25</v>
      </c>
      <c r="D411" s="4">
        <v>45702.250177453709</v>
      </c>
      <c r="E411" s="2">
        <v>2.86</v>
      </c>
      <c r="F411" s="2">
        <v>63.5</v>
      </c>
      <c r="G411" s="2" t="s">
        <v>983</v>
      </c>
      <c r="H411" s="2" t="s">
        <v>984</v>
      </c>
      <c r="I411" s="2"/>
      <c r="J411" s="2" t="s">
        <v>23</v>
      </c>
    </row>
    <row r="412" spans="1:10" ht="21" customHeight="1">
      <c r="A412" s="2" t="s">
        <v>1400</v>
      </c>
      <c r="B412" s="2" t="s">
        <v>1359</v>
      </c>
      <c r="C412" s="4">
        <v>45703.25</v>
      </c>
      <c r="D412" s="4">
        <v>45703.250274293983</v>
      </c>
      <c r="E412" s="2">
        <v>2.64</v>
      </c>
      <c r="F412" s="2">
        <v>59</v>
      </c>
      <c r="G412" s="2" t="s">
        <v>983</v>
      </c>
      <c r="H412" s="2" t="s">
        <v>984</v>
      </c>
      <c r="I412" s="2"/>
      <c r="J412" s="2" t="s">
        <v>23</v>
      </c>
    </row>
    <row r="413" spans="1:10" ht="21" customHeight="1">
      <c r="A413" s="2" t="s">
        <v>1401</v>
      </c>
      <c r="B413" s="2" t="s">
        <v>23</v>
      </c>
      <c r="C413" s="4">
        <v>45704.25</v>
      </c>
      <c r="D413" s="4">
        <v>45704.250247407406</v>
      </c>
      <c r="E413" s="2">
        <v>2.66</v>
      </c>
      <c r="F413" s="2">
        <v>60.7</v>
      </c>
      <c r="G413" s="2" t="s">
        <v>983</v>
      </c>
      <c r="H413" s="2" t="s">
        <v>984</v>
      </c>
      <c r="I413" s="2"/>
      <c r="J413" s="2" t="s">
        <v>23</v>
      </c>
    </row>
    <row r="414" spans="1:10" ht="21" customHeight="1">
      <c r="A414" s="2" t="s">
        <v>1402</v>
      </c>
      <c r="B414" s="2" t="s">
        <v>23</v>
      </c>
      <c r="C414" s="4">
        <v>45705.25</v>
      </c>
      <c r="D414" s="4">
        <v>45705.250117013886</v>
      </c>
      <c r="E414" s="2">
        <v>5.57</v>
      </c>
      <c r="F414" s="2">
        <v>71</v>
      </c>
      <c r="G414" s="2" t="s">
        <v>983</v>
      </c>
      <c r="H414" s="2" t="s">
        <v>984</v>
      </c>
      <c r="I414" s="2"/>
      <c r="J414" s="2" t="s">
        <v>23</v>
      </c>
    </row>
    <row r="415" spans="1:10" ht="21" customHeight="1">
      <c r="A415" s="2" t="s">
        <v>1403</v>
      </c>
      <c r="B415" s="2" t="s">
        <v>23</v>
      </c>
      <c r="C415" s="4">
        <v>45706.25</v>
      </c>
      <c r="D415" s="4">
        <v>45706.250489918981</v>
      </c>
      <c r="E415" s="2">
        <v>6.03</v>
      </c>
      <c r="F415" s="2">
        <v>64.099999999999994</v>
      </c>
      <c r="G415" s="2" t="s">
        <v>983</v>
      </c>
      <c r="H415" s="2" t="s">
        <v>984</v>
      </c>
      <c r="I415" s="2" t="s">
        <v>1053</v>
      </c>
      <c r="J415" s="2" t="s">
        <v>23</v>
      </c>
    </row>
    <row r="416" spans="1:10" ht="21" customHeight="1">
      <c r="A416" s="2" t="s">
        <v>1404</v>
      </c>
      <c r="B416" s="2" t="s">
        <v>23</v>
      </c>
      <c r="C416" s="4">
        <v>45707.25</v>
      </c>
      <c r="D416" s="4">
        <v>45707.250527824071</v>
      </c>
      <c r="E416" s="2">
        <v>4.7300000000000004</v>
      </c>
      <c r="F416" s="2">
        <v>74.2</v>
      </c>
      <c r="G416" s="2" t="s">
        <v>983</v>
      </c>
      <c r="H416" s="2" t="s">
        <v>984</v>
      </c>
      <c r="I416" s="2"/>
      <c r="J416" s="2" t="s">
        <v>23</v>
      </c>
    </row>
    <row r="417" spans="1:10" ht="21" customHeight="1">
      <c r="A417" s="2" t="s">
        <v>1405</v>
      </c>
      <c r="B417" s="2" t="s">
        <v>23</v>
      </c>
      <c r="C417" s="4">
        <v>45708.25</v>
      </c>
      <c r="D417" s="4">
        <v>45708.250286157403</v>
      </c>
      <c r="E417" s="2">
        <v>3.04</v>
      </c>
      <c r="F417" s="2">
        <v>59.1</v>
      </c>
      <c r="G417" s="2" t="s">
        <v>983</v>
      </c>
      <c r="H417" s="2" t="s">
        <v>984</v>
      </c>
      <c r="I417" s="2"/>
      <c r="J417" s="2" t="s">
        <v>23</v>
      </c>
    </row>
    <row r="418" spans="1:10" ht="21" customHeight="1">
      <c r="A418" s="2" t="s">
        <v>1406</v>
      </c>
      <c r="B418" s="2" t="s">
        <v>23</v>
      </c>
      <c r="C418" s="4">
        <v>45709.25</v>
      </c>
      <c r="D418" s="4">
        <v>45709.250035694444</v>
      </c>
      <c r="E418" s="2">
        <v>2.83</v>
      </c>
      <c r="F418" s="2">
        <v>58.1</v>
      </c>
      <c r="G418" s="2" t="s">
        <v>983</v>
      </c>
      <c r="H418" s="2" t="s">
        <v>984</v>
      </c>
      <c r="I418" s="2" t="s">
        <v>985</v>
      </c>
      <c r="J418" s="2" t="s">
        <v>23</v>
      </c>
    </row>
    <row r="419" spans="1:10" ht="21" customHeight="1">
      <c r="A419" s="2" t="s">
        <v>1407</v>
      </c>
      <c r="B419" s="2" t="s">
        <v>23</v>
      </c>
      <c r="C419" s="4">
        <v>45710.25</v>
      </c>
      <c r="D419" s="4">
        <v>45710.250484733799</v>
      </c>
      <c r="E419" s="2">
        <v>2.17</v>
      </c>
      <c r="F419" s="2">
        <v>64.5</v>
      </c>
      <c r="G419" s="2" t="s">
        <v>983</v>
      </c>
      <c r="H419" s="2" t="s">
        <v>984</v>
      </c>
      <c r="I419" s="2"/>
      <c r="J419" s="2" t="s">
        <v>23</v>
      </c>
    </row>
    <row r="420" spans="1:10" ht="21" customHeight="1">
      <c r="A420" s="2" t="s">
        <v>1408</v>
      </c>
      <c r="B420" s="2" t="s">
        <v>23</v>
      </c>
      <c r="C420" s="4">
        <v>45711.25</v>
      </c>
      <c r="D420" s="4">
        <v>45711.250351574075</v>
      </c>
      <c r="E420" s="2">
        <v>3.09</v>
      </c>
      <c r="F420" s="2">
        <v>60.4</v>
      </c>
      <c r="G420" s="2" t="s">
        <v>983</v>
      </c>
      <c r="H420" s="2" t="s">
        <v>984</v>
      </c>
      <c r="I420" s="2"/>
      <c r="J420" s="2" t="s">
        <v>23</v>
      </c>
    </row>
    <row r="421" spans="1:10" ht="21" customHeight="1">
      <c r="A421" s="2" t="s">
        <v>1409</v>
      </c>
      <c r="B421" s="2" t="s">
        <v>23</v>
      </c>
      <c r="C421" s="4">
        <v>45712.25</v>
      </c>
      <c r="D421" s="4">
        <v>45712.250447511571</v>
      </c>
      <c r="E421" s="2">
        <v>2.89</v>
      </c>
      <c r="F421" s="2">
        <v>58.9</v>
      </c>
      <c r="G421" s="2" t="s">
        <v>983</v>
      </c>
      <c r="H421" s="2" t="s">
        <v>984</v>
      </c>
      <c r="I421" s="2"/>
      <c r="J421" s="2" t="s">
        <v>23</v>
      </c>
    </row>
    <row r="422" spans="1:10" ht="21" customHeight="1">
      <c r="A422" s="2" t="s">
        <v>1410</v>
      </c>
      <c r="B422" s="2" t="s">
        <v>23</v>
      </c>
      <c r="C422" s="4">
        <v>45713.25</v>
      </c>
      <c r="D422" s="4">
        <v>45713.250287222225</v>
      </c>
      <c r="E422" s="2">
        <v>2.21</v>
      </c>
      <c r="F422" s="2">
        <v>64.5</v>
      </c>
      <c r="G422" s="2" t="s">
        <v>983</v>
      </c>
      <c r="H422" s="2" t="s">
        <v>984</v>
      </c>
      <c r="I422" s="2"/>
      <c r="J422" s="2" t="s">
        <v>23</v>
      </c>
    </row>
    <row r="423" spans="1:10" ht="21" customHeight="1">
      <c r="A423" s="2" t="s">
        <v>1411</v>
      </c>
      <c r="B423" s="2" t="s">
        <v>23</v>
      </c>
      <c r="C423" s="4">
        <v>45714.25</v>
      </c>
      <c r="D423" s="4">
        <v>45714.250074178242</v>
      </c>
      <c r="E423" s="2">
        <v>2.77</v>
      </c>
      <c r="F423" s="2">
        <v>59.6</v>
      </c>
      <c r="G423" s="2" t="s">
        <v>983</v>
      </c>
      <c r="H423" s="2" t="s">
        <v>984</v>
      </c>
      <c r="I423" s="2"/>
      <c r="J423" s="2" t="s">
        <v>23</v>
      </c>
    </row>
    <row r="424" spans="1:10" ht="21" customHeight="1">
      <c r="A424" s="2" t="s">
        <v>1412</v>
      </c>
      <c r="B424" s="2" t="s">
        <v>23</v>
      </c>
      <c r="C424" s="4">
        <v>45715.25</v>
      </c>
      <c r="D424" s="4">
        <v>45715.250044490742</v>
      </c>
      <c r="E424" s="2">
        <v>2.23</v>
      </c>
      <c r="F424" s="2">
        <v>59.1</v>
      </c>
      <c r="G424" s="2" t="s">
        <v>983</v>
      </c>
      <c r="H424" s="2" t="s">
        <v>984</v>
      </c>
      <c r="I424" s="2"/>
      <c r="J424" s="2" t="s">
        <v>23</v>
      </c>
    </row>
    <row r="425" spans="1:10" ht="21" customHeight="1">
      <c r="A425" s="2" t="s">
        <v>1413</v>
      </c>
      <c r="B425" s="2" t="s">
        <v>23</v>
      </c>
      <c r="C425" s="4">
        <v>45716.25</v>
      </c>
      <c r="D425" s="4">
        <v>45716.250678472221</v>
      </c>
      <c r="E425" s="2">
        <v>2.85</v>
      </c>
      <c r="F425" s="2">
        <v>60.5</v>
      </c>
      <c r="G425" s="2" t="s">
        <v>983</v>
      </c>
      <c r="H425" s="2" t="s">
        <v>984</v>
      </c>
      <c r="I425" s="2"/>
      <c r="J425" s="2" t="s">
        <v>23</v>
      </c>
    </row>
    <row r="426" spans="1:10" ht="21" customHeight="1">
      <c r="A426" s="2" t="s">
        <v>1414</v>
      </c>
      <c r="B426" s="2" t="s">
        <v>23</v>
      </c>
      <c r="C426" s="4">
        <v>45717.25</v>
      </c>
      <c r="D426" s="4">
        <v>45717.25037303241</v>
      </c>
      <c r="E426" s="2">
        <v>2.2400000000000002</v>
      </c>
      <c r="F426" s="2">
        <v>60.6</v>
      </c>
      <c r="G426" s="2" t="s">
        <v>983</v>
      </c>
      <c r="H426" s="2" t="s">
        <v>984</v>
      </c>
      <c r="I426" s="2"/>
      <c r="J426" s="2" t="s">
        <v>23</v>
      </c>
    </row>
    <row r="427" spans="1:10" ht="21" customHeight="1">
      <c r="A427" s="2" t="s">
        <v>1415</v>
      </c>
      <c r="B427" s="2" t="s">
        <v>23</v>
      </c>
      <c r="C427" s="4">
        <v>45718.25</v>
      </c>
      <c r="D427" s="4">
        <v>45718.250422500001</v>
      </c>
      <c r="E427" s="2">
        <v>2.11</v>
      </c>
      <c r="F427" s="2">
        <v>59.5</v>
      </c>
      <c r="G427" s="2" t="s">
        <v>983</v>
      </c>
      <c r="H427" s="2" t="s">
        <v>984</v>
      </c>
      <c r="I427" s="2"/>
      <c r="J427" s="2" t="s">
        <v>23</v>
      </c>
    </row>
    <row r="428" spans="1:10" ht="21" customHeight="1">
      <c r="A428" s="2" t="s">
        <v>1416</v>
      </c>
      <c r="B428" s="2" t="s">
        <v>23</v>
      </c>
      <c r="C428" s="4">
        <v>45719.25</v>
      </c>
      <c r="D428" s="4">
        <v>45719.250675543983</v>
      </c>
      <c r="E428" s="2">
        <v>2.58</v>
      </c>
      <c r="F428" s="2">
        <v>65.900000000000006</v>
      </c>
      <c r="G428" s="2" t="s">
        <v>983</v>
      </c>
      <c r="H428" s="2" t="s">
        <v>984</v>
      </c>
      <c r="I428" s="2"/>
      <c r="J428" s="2" t="s">
        <v>23</v>
      </c>
    </row>
    <row r="429" spans="1:10" ht="21" customHeight="1">
      <c r="A429" s="2" t="s">
        <v>1417</v>
      </c>
      <c r="B429" s="2" t="s">
        <v>23</v>
      </c>
      <c r="C429" s="4">
        <v>45720.25</v>
      </c>
      <c r="D429" s="4">
        <v>45720.250570185184</v>
      </c>
      <c r="E429" s="2">
        <v>3.07</v>
      </c>
      <c r="F429" s="2">
        <v>64.099999999999994</v>
      </c>
      <c r="G429" s="2" t="s">
        <v>983</v>
      </c>
      <c r="H429" s="2" t="s">
        <v>984</v>
      </c>
      <c r="I429" s="2"/>
      <c r="J429" s="2" t="s">
        <v>23</v>
      </c>
    </row>
    <row r="430" spans="1:10" ht="21" customHeight="1">
      <c r="A430" s="2" t="s">
        <v>1418</v>
      </c>
      <c r="B430" s="2" t="s">
        <v>23</v>
      </c>
      <c r="C430" s="4">
        <v>45721.25</v>
      </c>
      <c r="D430" s="4">
        <v>45721.250101782411</v>
      </c>
      <c r="E430" s="2">
        <v>2.2599999999999998</v>
      </c>
      <c r="F430" s="2">
        <v>60.6</v>
      </c>
      <c r="G430" s="2" t="s">
        <v>983</v>
      </c>
      <c r="H430" s="2" t="s">
        <v>984</v>
      </c>
      <c r="I430" s="2"/>
      <c r="J430" s="2" t="s">
        <v>23</v>
      </c>
    </row>
    <row r="431" spans="1:10" ht="21" customHeight="1">
      <c r="A431" s="2" t="s">
        <v>1419</v>
      </c>
      <c r="B431" s="2" t="s">
        <v>23</v>
      </c>
      <c r="C431" s="4">
        <v>45722.25</v>
      </c>
      <c r="D431" s="4">
        <v>45722.250656782402</v>
      </c>
      <c r="E431" s="2">
        <v>2.48</v>
      </c>
      <c r="F431" s="2">
        <v>65.7</v>
      </c>
      <c r="G431" s="2" t="s">
        <v>983</v>
      </c>
      <c r="H431" s="2" t="s">
        <v>984</v>
      </c>
      <c r="I431" s="2"/>
      <c r="J431" s="2" t="s">
        <v>23</v>
      </c>
    </row>
    <row r="432" spans="1:10" ht="21" customHeight="1">
      <c r="A432" s="2" t="s">
        <v>1420</v>
      </c>
      <c r="B432" s="2" t="s">
        <v>23</v>
      </c>
      <c r="C432" s="4">
        <v>45723.25</v>
      </c>
      <c r="D432" s="4">
        <v>45723.250237060187</v>
      </c>
      <c r="E432" s="2">
        <v>2.92</v>
      </c>
      <c r="F432" s="2">
        <v>60.6</v>
      </c>
      <c r="G432" s="2" t="s">
        <v>983</v>
      </c>
      <c r="H432" s="2" t="s">
        <v>984</v>
      </c>
      <c r="I432" s="2"/>
      <c r="J432" s="2" t="s">
        <v>23</v>
      </c>
    </row>
    <row r="433" spans="1:10" ht="21" customHeight="1">
      <c r="A433" s="2" t="s">
        <v>1421</v>
      </c>
      <c r="B433" s="2" t="s">
        <v>23</v>
      </c>
      <c r="C433" s="4">
        <v>45724.25</v>
      </c>
      <c r="D433" s="4">
        <v>45724.250306944443</v>
      </c>
      <c r="E433" s="2">
        <v>2.58</v>
      </c>
      <c r="F433" s="2">
        <v>64.099999999999994</v>
      </c>
      <c r="G433" s="2" t="s">
        <v>983</v>
      </c>
      <c r="H433" s="2" t="s">
        <v>984</v>
      </c>
      <c r="I433" s="2"/>
      <c r="J433" s="2" t="s">
        <v>23</v>
      </c>
    </row>
    <row r="434" spans="1:10" ht="21" customHeight="1">
      <c r="A434" s="2" t="s">
        <v>1422</v>
      </c>
      <c r="B434" s="2" t="s">
        <v>23</v>
      </c>
      <c r="C434" s="4">
        <v>45725.25</v>
      </c>
      <c r="D434" s="4">
        <v>45725.250347569439</v>
      </c>
      <c r="E434" s="2">
        <v>2.12</v>
      </c>
      <c r="F434" s="2">
        <v>62.7</v>
      </c>
      <c r="G434" s="2" t="s">
        <v>983</v>
      </c>
      <c r="H434" s="2" t="s">
        <v>984</v>
      </c>
      <c r="I434" s="2"/>
      <c r="J434" s="2" t="s">
        <v>23</v>
      </c>
    </row>
    <row r="435" spans="1:10" ht="21" customHeight="1">
      <c r="A435" s="2" t="s">
        <v>1423</v>
      </c>
      <c r="B435" s="2" t="s">
        <v>23</v>
      </c>
      <c r="C435" s="4">
        <v>45726.25</v>
      </c>
      <c r="D435" s="4">
        <v>45726.250686863423</v>
      </c>
      <c r="E435" s="2">
        <v>2.69</v>
      </c>
      <c r="F435" s="2">
        <v>59.5</v>
      </c>
      <c r="G435" s="2" t="s">
        <v>983</v>
      </c>
      <c r="H435" s="2" t="s">
        <v>984</v>
      </c>
      <c r="I435" s="2" t="s">
        <v>985</v>
      </c>
      <c r="J435" s="2" t="s">
        <v>23</v>
      </c>
    </row>
    <row r="436" spans="1:10" ht="21" customHeight="1">
      <c r="A436" s="2" t="s">
        <v>1424</v>
      </c>
      <c r="B436" s="2" t="s">
        <v>23</v>
      </c>
      <c r="C436" s="4">
        <v>45727.25</v>
      </c>
      <c r="D436" s="4">
        <v>45727.250363831015</v>
      </c>
      <c r="E436" s="2">
        <v>2.89</v>
      </c>
      <c r="F436" s="2">
        <v>62.2</v>
      </c>
      <c r="G436" s="2" t="s">
        <v>983</v>
      </c>
      <c r="H436" s="2" t="s">
        <v>984</v>
      </c>
      <c r="I436" s="2"/>
      <c r="J436" s="2" t="s">
        <v>23</v>
      </c>
    </row>
    <row r="437" spans="1:10" ht="21" customHeight="1">
      <c r="A437" s="2" t="s">
        <v>1425</v>
      </c>
      <c r="B437" s="2" t="s">
        <v>23</v>
      </c>
      <c r="C437" s="4">
        <v>45728.25</v>
      </c>
      <c r="D437" s="4">
        <v>45728.250288136573</v>
      </c>
      <c r="E437" s="2">
        <v>2.8</v>
      </c>
      <c r="F437" s="2">
        <v>58.2</v>
      </c>
      <c r="G437" s="2" t="s">
        <v>983</v>
      </c>
      <c r="H437" s="2" t="s">
        <v>984</v>
      </c>
      <c r="I437" s="2"/>
      <c r="J437" s="2" t="s">
        <v>23</v>
      </c>
    </row>
    <row r="438" spans="1:10" ht="21" customHeight="1">
      <c r="A438" s="2" t="s">
        <v>1426</v>
      </c>
      <c r="B438" s="2" t="s">
        <v>23</v>
      </c>
      <c r="C438" s="4">
        <v>45729.25</v>
      </c>
      <c r="D438" s="4">
        <v>45729.250618240738</v>
      </c>
      <c r="E438" s="2">
        <v>2.17</v>
      </c>
      <c r="F438" s="2">
        <v>60</v>
      </c>
      <c r="G438" s="2" t="s">
        <v>983</v>
      </c>
      <c r="H438" s="2" t="s">
        <v>984</v>
      </c>
      <c r="I438" s="2"/>
      <c r="J438" s="2" t="s">
        <v>23</v>
      </c>
    </row>
    <row r="439" spans="1:10" ht="21" customHeight="1">
      <c r="A439" s="2" t="s">
        <v>1427</v>
      </c>
      <c r="B439" s="2" t="s">
        <v>23</v>
      </c>
      <c r="C439" s="4">
        <v>45730.25</v>
      </c>
      <c r="D439" s="4">
        <v>45730.250491331019</v>
      </c>
      <c r="E439" s="2">
        <v>2.17</v>
      </c>
      <c r="F439" s="2">
        <v>65.900000000000006</v>
      </c>
      <c r="G439" s="2" t="s">
        <v>983</v>
      </c>
      <c r="H439" s="2" t="s">
        <v>984</v>
      </c>
      <c r="I439" s="2"/>
      <c r="J439" s="2" t="s">
        <v>23</v>
      </c>
    </row>
    <row r="440" spans="1:10" ht="21" customHeight="1">
      <c r="A440" s="2" t="s">
        <v>1428</v>
      </c>
      <c r="B440" s="2" t="s">
        <v>23</v>
      </c>
      <c r="C440" s="4">
        <v>45731.25</v>
      </c>
      <c r="D440" s="4">
        <v>45731.250428206018</v>
      </c>
      <c r="E440" s="2">
        <v>2.5499999999999998</v>
      </c>
      <c r="F440" s="2">
        <v>60.1</v>
      </c>
      <c r="G440" s="2" t="s">
        <v>983</v>
      </c>
      <c r="H440" s="2" t="s">
        <v>984</v>
      </c>
      <c r="I440" s="2"/>
      <c r="J440" s="2" t="s">
        <v>23</v>
      </c>
    </row>
    <row r="441" spans="1:10" ht="21" customHeight="1">
      <c r="A441" s="2" t="s">
        <v>1429</v>
      </c>
      <c r="B441" s="2" t="s">
        <v>23</v>
      </c>
      <c r="C441" s="4">
        <v>45732.25</v>
      </c>
      <c r="D441" s="4">
        <v>45732.250319583334</v>
      </c>
      <c r="E441" s="2">
        <v>2.29</v>
      </c>
      <c r="F441" s="2">
        <v>64.400000000000006</v>
      </c>
      <c r="G441" s="2" t="s">
        <v>983</v>
      </c>
      <c r="H441" s="2" t="s">
        <v>984</v>
      </c>
      <c r="I441" s="2"/>
      <c r="J441" s="2" t="s">
        <v>23</v>
      </c>
    </row>
    <row r="442" spans="1:10" ht="21" customHeight="1">
      <c r="A442" s="2" t="s">
        <v>1430</v>
      </c>
      <c r="B442" s="2" t="s">
        <v>23</v>
      </c>
      <c r="C442" s="4">
        <v>45733.25</v>
      </c>
      <c r="D442" s="4">
        <v>45733.250028692128</v>
      </c>
      <c r="E442" s="2">
        <v>4.34</v>
      </c>
      <c r="F442" s="2">
        <v>71.2</v>
      </c>
      <c r="G442" s="2" t="s">
        <v>983</v>
      </c>
      <c r="H442" s="2" t="s">
        <v>984</v>
      </c>
      <c r="I442" s="2"/>
      <c r="J442" s="2" t="s">
        <v>23</v>
      </c>
    </row>
    <row r="443" spans="1:10" ht="21" customHeight="1">
      <c r="A443" s="2" t="s">
        <v>1431</v>
      </c>
      <c r="B443" s="2" t="s">
        <v>23</v>
      </c>
      <c r="C443" s="4">
        <v>45734.25</v>
      </c>
      <c r="D443" s="4">
        <v>45734.250115474541</v>
      </c>
      <c r="E443" s="2">
        <v>6.35</v>
      </c>
      <c r="F443" s="2">
        <v>68.900000000000006</v>
      </c>
      <c r="G443" s="2" t="s">
        <v>983</v>
      </c>
      <c r="H443" s="2" t="s">
        <v>984</v>
      </c>
      <c r="I443" s="2" t="s">
        <v>1053</v>
      </c>
      <c r="J443" s="2" t="s">
        <v>23</v>
      </c>
    </row>
    <row r="444" spans="1:10" ht="21" customHeight="1">
      <c r="A444" s="2" t="s">
        <v>1432</v>
      </c>
      <c r="B444" s="2" t="s">
        <v>23</v>
      </c>
      <c r="C444" s="4">
        <v>45735.25</v>
      </c>
      <c r="D444" s="4">
        <v>45735.250054756943</v>
      </c>
      <c r="E444" s="2">
        <v>5.87</v>
      </c>
      <c r="F444" s="2">
        <v>75.3</v>
      </c>
      <c r="G444" s="2" t="s">
        <v>983</v>
      </c>
      <c r="H444" s="2" t="s">
        <v>984</v>
      </c>
      <c r="I444" s="2"/>
      <c r="J444" s="2" t="s">
        <v>23</v>
      </c>
    </row>
    <row r="445" spans="1:10" ht="21" customHeight="1">
      <c r="A445" s="2" t="s">
        <v>1433</v>
      </c>
      <c r="B445" s="2" t="s">
        <v>23</v>
      </c>
      <c r="C445" s="4">
        <v>45736.25</v>
      </c>
      <c r="D445" s="4">
        <v>45736.250558321757</v>
      </c>
      <c r="E445" s="2">
        <v>2.87</v>
      </c>
      <c r="F445" s="2">
        <v>65.599999999999994</v>
      </c>
      <c r="G445" s="2" t="s">
        <v>983</v>
      </c>
      <c r="H445" s="2" t="s">
        <v>984</v>
      </c>
      <c r="I445" s="2"/>
      <c r="J445" s="2" t="s">
        <v>23</v>
      </c>
    </row>
    <row r="446" spans="1:10" ht="21" customHeight="1">
      <c r="A446" s="2" t="s">
        <v>1434</v>
      </c>
      <c r="B446" s="2" t="s">
        <v>23</v>
      </c>
      <c r="C446" s="4">
        <v>45737.25</v>
      </c>
      <c r="D446" s="4">
        <v>45737.250120231482</v>
      </c>
      <c r="E446" s="2">
        <v>2.5</v>
      </c>
      <c r="F446" s="2">
        <v>59.3</v>
      </c>
      <c r="G446" s="2" t="s">
        <v>983</v>
      </c>
      <c r="H446" s="2" t="s">
        <v>984</v>
      </c>
      <c r="I446" s="2"/>
      <c r="J446" s="2" t="s">
        <v>23</v>
      </c>
    </row>
    <row r="447" spans="1:10" ht="21" customHeight="1">
      <c r="A447" s="2" t="s">
        <v>1435</v>
      </c>
      <c r="B447" s="2" t="s">
        <v>23</v>
      </c>
      <c r="C447" s="4">
        <v>45738.25</v>
      </c>
      <c r="D447" s="4">
        <v>45738.250038680555</v>
      </c>
      <c r="E447" s="2">
        <v>2.34</v>
      </c>
      <c r="F447" s="2">
        <v>63.5</v>
      </c>
      <c r="G447" s="2" t="s">
        <v>983</v>
      </c>
      <c r="H447" s="2" t="s">
        <v>984</v>
      </c>
      <c r="I447" s="2"/>
      <c r="J447" s="2" t="s">
        <v>23</v>
      </c>
    </row>
    <row r="448" spans="1:10" ht="21" customHeight="1">
      <c r="A448" s="2" t="s">
        <v>1436</v>
      </c>
      <c r="B448" s="2" t="s">
        <v>23</v>
      </c>
      <c r="C448" s="4">
        <v>45739.25</v>
      </c>
      <c r="D448" s="4">
        <v>45739.250416932875</v>
      </c>
      <c r="E448" s="2">
        <v>2.5499999999999998</v>
      </c>
      <c r="F448" s="2">
        <v>64.8</v>
      </c>
      <c r="G448" s="2" t="s">
        <v>983</v>
      </c>
      <c r="H448" s="2" t="s">
        <v>984</v>
      </c>
      <c r="I448" s="2"/>
      <c r="J448" s="2" t="s">
        <v>23</v>
      </c>
    </row>
    <row r="449" spans="1:10" ht="21" customHeight="1">
      <c r="A449" s="2" t="s">
        <v>1437</v>
      </c>
      <c r="B449" s="2" t="s">
        <v>23</v>
      </c>
      <c r="C449" s="4">
        <v>45740.25</v>
      </c>
      <c r="D449" s="4">
        <v>45740.25023902778</v>
      </c>
      <c r="E449" s="2">
        <v>2.2799999999999998</v>
      </c>
      <c r="F449" s="2">
        <v>61.9</v>
      </c>
      <c r="G449" s="2" t="s">
        <v>983</v>
      </c>
      <c r="H449" s="2" t="s">
        <v>984</v>
      </c>
      <c r="I449" s="2"/>
      <c r="J449" s="2" t="s">
        <v>23</v>
      </c>
    </row>
    <row r="450" spans="1:10" ht="21" customHeight="1">
      <c r="A450" s="2" t="s">
        <v>1438</v>
      </c>
      <c r="B450" s="2" t="s">
        <v>23</v>
      </c>
      <c r="C450" s="4">
        <v>45741.25</v>
      </c>
      <c r="D450" s="4">
        <v>45741.250528275465</v>
      </c>
      <c r="E450" s="2">
        <v>2.29</v>
      </c>
      <c r="F450" s="2">
        <v>65.3</v>
      </c>
      <c r="G450" s="2" t="s">
        <v>983</v>
      </c>
      <c r="H450" s="2" t="s">
        <v>984</v>
      </c>
      <c r="I450" s="2"/>
      <c r="J450" s="2" t="s">
        <v>23</v>
      </c>
    </row>
    <row r="451" spans="1:10" ht="21" customHeight="1">
      <c r="A451" s="2" t="s">
        <v>1439</v>
      </c>
      <c r="B451" s="2" t="s">
        <v>23</v>
      </c>
      <c r="C451" s="4">
        <v>45742.25</v>
      </c>
      <c r="D451" s="4">
        <v>45742.250213645835</v>
      </c>
      <c r="E451" s="2">
        <v>3.19</v>
      </c>
      <c r="F451" s="2">
        <v>63.7</v>
      </c>
      <c r="G451" s="2" t="s">
        <v>983</v>
      </c>
      <c r="H451" s="2" t="s">
        <v>984</v>
      </c>
      <c r="I451" s="2"/>
      <c r="J451" s="2" t="s">
        <v>23</v>
      </c>
    </row>
    <row r="452" spans="1:10" ht="21" customHeight="1">
      <c r="A452" s="2" t="s">
        <v>1440</v>
      </c>
      <c r="B452" s="2" t="s">
        <v>23</v>
      </c>
      <c r="C452" s="4">
        <v>45743.25</v>
      </c>
      <c r="D452" s="4">
        <v>45743.250443333338</v>
      </c>
      <c r="E452" s="2">
        <v>2.83</v>
      </c>
      <c r="F452" s="2">
        <v>62.6</v>
      </c>
      <c r="G452" s="2" t="s">
        <v>983</v>
      </c>
      <c r="H452" s="2" t="s">
        <v>984</v>
      </c>
      <c r="I452" s="2" t="s">
        <v>985</v>
      </c>
      <c r="J452" s="2" t="s">
        <v>23</v>
      </c>
    </row>
    <row r="453" spans="1:10" ht="21" customHeight="1">
      <c r="A453" s="2" t="s">
        <v>1441</v>
      </c>
      <c r="B453" s="2" t="s">
        <v>1359</v>
      </c>
      <c r="C453" s="4">
        <v>45744.25</v>
      </c>
      <c r="D453" s="4">
        <v>45744.250273101847</v>
      </c>
      <c r="E453" s="2">
        <v>3.19</v>
      </c>
      <c r="F453" s="2">
        <v>58.5</v>
      </c>
      <c r="G453" s="2" t="s">
        <v>983</v>
      </c>
      <c r="H453" s="2" t="s">
        <v>984</v>
      </c>
      <c r="I453" s="2"/>
      <c r="J453" s="2" t="s">
        <v>23</v>
      </c>
    </row>
    <row r="454" spans="1:10" ht="21" customHeight="1">
      <c r="A454" s="2" t="s">
        <v>1442</v>
      </c>
      <c r="B454" s="2" t="s">
        <v>23</v>
      </c>
      <c r="C454" s="4">
        <v>45745.25</v>
      </c>
      <c r="D454" s="4">
        <v>45745.250638206024</v>
      </c>
      <c r="E454" s="2">
        <v>2.76</v>
      </c>
      <c r="F454" s="2">
        <v>60.9</v>
      </c>
      <c r="G454" s="2" t="s">
        <v>983</v>
      </c>
      <c r="H454" s="2" t="s">
        <v>984</v>
      </c>
      <c r="I454" s="2"/>
      <c r="J454" s="2" t="s">
        <v>23</v>
      </c>
    </row>
    <row r="455" spans="1:10" ht="21" customHeight="1">
      <c r="A455" s="2" t="s">
        <v>1443</v>
      </c>
      <c r="B455" s="2" t="s">
        <v>23</v>
      </c>
      <c r="C455" s="4">
        <v>45746.25</v>
      </c>
      <c r="D455" s="4">
        <v>45746.250446805556</v>
      </c>
      <c r="E455" s="2">
        <v>2.95</v>
      </c>
      <c r="F455" s="2">
        <v>61</v>
      </c>
      <c r="G455" s="2" t="s">
        <v>983</v>
      </c>
      <c r="H455" s="2" t="s">
        <v>984</v>
      </c>
      <c r="I455" s="2"/>
      <c r="J455" s="2" t="s">
        <v>23</v>
      </c>
    </row>
    <row r="456" spans="1:10" ht="21" customHeight="1">
      <c r="A456" s="2" t="s">
        <v>1444</v>
      </c>
      <c r="B456" s="2" t="s">
        <v>23</v>
      </c>
      <c r="C456" s="4">
        <v>45747.25</v>
      </c>
      <c r="D456" s="4">
        <v>45747.250575775462</v>
      </c>
      <c r="E456" s="2">
        <v>2.41</v>
      </c>
      <c r="F456" s="2">
        <v>58.5</v>
      </c>
      <c r="G456" s="2" t="s">
        <v>983</v>
      </c>
      <c r="H456" s="2" t="s">
        <v>984</v>
      </c>
      <c r="I456" s="2"/>
      <c r="J456" s="2" t="s">
        <v>23</v>
      </c>
    </row>
    <row r="457" spans="1:10" ht="21" customHeight="1">
      <c r="A457" s="2" t="s">
        <v>1445</v>
      </c>
      <c r="B457" s="2" t="s">
        <v>23</v>
      </c>
      <c r="C457" s="4">
        <v>45748.25</v>
      </c>
      <c r="D457" s="4">
        <v>45748.25030363426</v>
      </c>
      <c r="E457" s="2">
        <v>3</v>
      </c>
      <c r="F457" s="2">
        <v>59.8</v>
      </c>
      <c r="G457" s="2" t="s">
        <v>983</v>
      </c>
      <c r="H457" s="2" t="s">
        <v>984</v>
      </c>
      <c r="I457" s="2"/>
      <c r="J457" s="2" t="s">
        <v>23</v>
      </c>
    </row>
    <row r="458" spans="1:10" ht="21" customHeight="1">
      <c r="A458" s="2" t="s">
        <v>1446</v>
      </c>
      <c r="B458" s="2" t="s">
        <v>23</v>
      </c>
      <c r="C458" s="4">
        <v>45749.25</v>
      </c>
      <c r="D458" s="4">
        <v>45749.250351979164</v>
      </c>
      <c r="E458" s="2">
        <v>3.09</v>
      </c>
      <c r="F458" s="2">
        <v>62.8</v>
      </c>
      <c r="G458" s="2" t="s">
        <v>983</v>
      </c>
      <c r="H458" s="2" t="s">
        <v>984</v>
      </c>
      <c r="I458" s="2"/>
      <c r="J458" s="2" t="s">
        <v>23</v>
      </c>
    </row>
    <row r="459" spans="1:10" ht="21" customHeight="1">
      <c r="A459" s="2" t="s">
        <v>1447</v>
      </c>
      <c r="B459" s="2" t="s">
        <v>23</v>
      </c>
      <c r="C459" s="4">
        <v>45750.25</v>
      </c>
      <c r="D459" s="4">
        <v>45750.250450451393</v>
      </c>
      <c r="E459" s="2">
        <v>2.8</v>
      </c>
      <c r="F459" s="2">
        <v>65.900000000000006</v>
      </c>
      <c r="G459" s="2" t="s">
        <v>983</v>
      </c>
      <c r="H459" s="2" t="s">
        <v>984</v>
      </c>
      <c r="I459" s="2"/>
      <c r="J459" s="2" t="s">
        <v>23</v>
      </c>
    </row>
    <row r="460" spans="1:10" ht="21" customHeight="1">
      <c r="A460" s="2" t="s">
        <v>1448</v>
      </c>
      <c r="B460" s="2" t="s">
        <v>23</v>
      </c>
      <c r="C460" s="4">
        <v>45751.25</v>
      </c>
      <c r="D460" s="4">
        <v>45751.250685162042</v>
      </c>
      <c r="E460" s="2">
        <v>2.72</v>
      </c>
      <c r="F460" s="2">
        <v>60.8</v>
      </c>
      <c r="G460" s="2" t="s">
        <v>983</v>
      </c>
      <c r="H460" s="2" t="s">
        <v>984</v>
      </c>
      <c r="I460" s="2"/>
      <c r="J460" s="2" t="s">
        <v>23</v>
      </c>
    </row>
    <row r="461" spans="1:10" ht="21" customHeight="1">
      <c r="A461" s="2" t="s">
        <v>1449</v>
      </c>
      <c r="B461" s="2" t="s">
        <v>23</v>
      </c>
      <c r="C461" s="4">
        <v>45752.25</v>
      </c>
      <c r="D461" s="4">
        <v>45752.250217881941</v>
      </c>
      <c r="E461" s="2">
        <v>5.66</v>
      </c>
      <c r="F461" s="2">
        <v>65.900000000000006</v>
      </c>
      <c r="G461" s="2" t="s">
        <v>983</v>
      </c>
      <c r="H461" s="2" t="s">
        <v>984</v>
      </c>
      <c r="I461" s="2" t="s">
        <v>1053</v>
      </c>
      <c r="J461" s="2" t="s">
        <v>23</v>
      </c>
    </row>
    <row r="462" spans="1:10" ht="21" customHeight="1">
      <c r="A462" s="2" t="s">
        <v>1450</v>
      </c>
      <c r="B462" s="2" t="s">
        <v>23</v>
      </c>
      <c r="C462" s="4">
        <v>45753.25</v>
      </c>
      <c r="D462" s="4">
        <v>45753.250311504627</v>
      </c>
      <c r="E462" s="2">
        <v>4.6100000000000003</v>
      </c>
      <c r="F462" s="2">
        <v>69.099999999999994</v>
      </c>
      <c r="G462" s="2" t="s">
        <v>983</v>
      </c>
      <c r="H462" s="2" t="s">
        <v>984</v>
      </c>
      <c r="I462" s="2"/>
      <c r="J462" s="2" t="s">
        <v>23</v>
      </c>
    </row>
    <row r="463" spans="1:10" ht="21" customHeight="1">
      <c r="A463" s="2" t="s">
        <v>1451</v>
      </c>
      <c r="B463" s="2" t="s">
        <v>23</v>
      </c>
      <c r="C463" s="4">
        <v>45754.25</v>
      </c>
      <c r="D463" s="4">
        <v>45754.250406307867</v>
      </c>
      <c r="E463" s="2">
        <v>5.44</v>
      </c>
      <c r="F463" s="2">
        <v>67.400000000000006</v>
      </c>
      <c r="G463" s="2" t="s">
        <v>983</v>
      </c>
      <c r="H463" s="2" t="s">
        <v>984</v>
      </c>
      <c r="I463" s="2" t="s">
        <v>1053</v>
      </c>
      <c r="J463" s="2" t="s">
        <v>23</v>
      </c>
    </row>
    <row r="464" spans="1:10" ht="21" customHeight="1">
      <c r="A464" s="2" t="s">
        <v>1452</v>
      </c>
      <c r="B464" s="2" t="s">
        <v>23</v>
      </c>
      <c r="C464" s="4">
        <v>45755.25</v>
      </c>
      <c r="D464" s="4">
        <v>45755.250332569442</v>
      </c>
      <c r="E464" s="2">
        <v>2.48</v>
      </c>
      <c r="F464" s="2">
        <v>65</v>
      </c>
      <c r="G464" s="2" t="s">
        <v>983</v>
      </c>
      <c r="H464" s="2" t="s">
        <v>984</v>
      </c>
      <c r="I464" s="2"/>
      <c r="J464" s="2" t="s">
        <v>23</v>
      </c>
    </row>
    <row r="465" spans="1:10" ht="21" customHeight="1">
      <c r="A465" s="2" t="s">
        <v>1453</v>
      </c>
      <c r="B465" s="2" t="s">
        <v>23</v>
      </c>
      <c r="C465" s="4">
        <v>45756.25</v>
      </c>
      <c r="D465" s="4">
        <v>45756.250403020837</v>
      </c>
      <c r="E465" s="2">
        <v>2.9</v>
      </c>
      <c r="F465" s="2">
        <v>60</v>
      </c>
      <c r="G465" s="2" t="s">
        <v>983</v>
      </c>
      <c r="H465" s="2" t="s">
        <v>984</v>
      </c>
      <c r="I465" s="2"/>
      <c r="J465" s="2" t="s">
        <v>23</v>
      </c>
    </row>
    <row r="466" spans="1:10" ht="21" customHeight="1">
      <c r="A466" s="2" t="s">
        <v>1454</v>
      </c>
      <c r="B466" s="2" t="s">
        <v>23</v>
      </c>
      <c r="C466" s="4">
        <v>45757.25</v>
      </c>
      <c r="D466" s="4">
        <v>45757.250178321759</v>
      </c>
      <c r="E466" s="2">
        <v>2.39</v>
      </c>
      <c r="F466" s="2">
        <v>65.3</v>
      </c>
      <c r="G466" s="2" t="s">
        <v>983</v>
      </c>
      <c r="H466" s="2" t="s">
        <v>984</v>
      </c>
      <c r="I466" s="2"/>
      <c r="J466" s="2" t="s">
        <v>23</v>
      </c>
    </row>
    <row r="467" spans="1:10" ht="21" customHeight="1">
      <c r="A467" s="2" t="s">
        <v>1455</v>
      </c>
      <c r="B467" s="2" t="s">
        <v>23</v>
      </c>
      <c r="C467" s="4">
        <v>45758.25</v>
      </c>
      <c r="D467" s="4">
        <v>45758.250580312495</v>
      </c>
      <c r="E467" s="2">
        <v>2.31</v>
      </c>
      <c r="F467" s="2">
        <v>61.2</v>
      </c>
      <c r="G467" s="2" t="s">
        <v>983</v>
      </c>
      <c r="H467" s="2" t="s">
        <v>984</v>
      </c>
      <c r="I467" s="2"/>
      <c r="J467" s="2" t="s">
        <v>23</v>
      </c>
    </row>
    <row r="468" spans="1:10" ht="21" customHeight="1">
      <c r="A468" s="2" t="s">
        <v>1456</v>
      </c>
      <c r="B468" s="2" t="s">
        <v>23</v>
      </c>
      <c r="C468" s="4">
        <v>45759.25</v>
      </c>
      <c r="D468" s="4">
        <v>45759.25018101852</v>
      </c>
      <c r="E468" s="2">
        <v>2.31</v>
      </c>
      <c r="F468" s="2">
        <v>63.9</v>
      </c>
      <c r="G468" s="2" t="s">
        <v>983</v>
      </c>
      <c r="H468" s="2" t="s">
        <v>984</v>
      </c>
      <c r="I468" s="2"/>
      <c r="J468" s="2" t="s">
        <v>23</v>
      </c>
    </row>
    <row r="469" spans="1:10" ht="21" customHeight="1">
      <c r="A469" s="2" t="s">
        <v>1457</v>
      </c>
      <c r="B469" s="2" t="s">
        <v>23</v>
      </c>
      <c r="C469" s="4">
        <v>45760.25</v>
      </c>
      <c r="D469" s="4">
        <v>45760.250563032409</v>
      </c>
      <c r="E469" s="2">
        <v>2.81</v>
      </c>
      <c r="F469" s="2">
        <v>58.4</v>
      </c>
      <c r="G469" s="2" t="s">
        <v>983</v>
      </c>
      <c r="H469" s="2" t="s">
        <v>984</v>
      </c>
      <c r="I469" s="2" t="s">
        <v>985</v>
      </c>
      <c r="J469" s="2" t="s">
        <v>23</v>
      </c>
    </row>
    <row r="470" spans="1:10" ht="21" customHeight="1">
      <c r="A470" s="2" t="s">
        <v>1458</v>
      </c>
      <c r="B470" s="2" t="s">
        <v>23</v>
      </c>
      <c r="C470" s="4">
        <v>45761.25</v>
      </c>
      <c r="D470" s="4">
        <v>45761.250222835646</v>
      </c>
      <c r="E470" s="2">
        <v>2.29</v>
      </c>
      <c r="F470" s="2">
        <v>60.3</v>
      </c>
      <c r="G470" s="2" t="s">
        <v>983</v>
      </c>
      <c r="H470" s="2" t="s">
        <v>984</v>
      </c>
      <c r="I470" s="2"/>
      <c r="J470" s="2" t="s">
        <v>23</v>
      </c>
    </row>
    <row r="471" spans="1:10" ht="21" customHeight="1">
      <c r="A471" s="2" t="s">
        <v>1459</v>
      </c>
      <c r="B471" s="2" t="s">
        <v>23</v>
      </c>
      <c r="C471" s="4">
        <v>45762.25</v>
      </c>
      <c r="D471" s="4">
        <v>45762.250418229167</v>
      </c>
      <c r="E471" s="2">
        <v>3.28</v>
      </c>
      <c r="F471" s="2">
        <v>64.3</v>
      </c>
      <c r="G471" s="2" t="s">
        <v>983</v>
      </c>
      <c r="H471" s="2" t="s">
        <v>984</v>
      </c>
      <c r="I471" s="2"/>
      <c r="J471" s="2" t="s">
        <v>23</v>
      </c>
    </row>
    <row r="472" spans="1:10" ht="21" customHeight="1">
      <c r="A472" s="2" t="s">
        <v>1460</v>
      </c>
      <c r="B472" s="2" t="s">
        <v>23</v>
      </c>
      <c r="C472" s="4">
        <v>45763.25</v>
      </c>
      <c r="D472" s="4">
        <v>45763.250606956019</v>
      </c>
      <c r="E472" s="2">
        <v>3.02</v>
      </c>
      <c r="F472" s="2">
        <v>63.9</v>
      </c>
      <c r="G472" s="2" t="s">
        <v>983</v>
      </c>
      <c r="H472" s="2" t="s">
        <v>984</v>
      </c>
      <c r="I472" s="2"/>
      <c r="J472" s="2" t="s">
        <v>23</v>
      </c>
    </row>
    <row r="473" spans="1:10" ht="21" customHeight="1">
      <c r="A473" s="2" t="s">
        <v>1461</v>
      </c>
      <c r="B473" s="2" t="s">
        <v>23</v>
      </c>
      <c r="C473" s="4">
        <v>45764.25</v>
      </c>
      <c r="D473" s="4">
        <v>45764.250168587962</v>
      </c>
      <c r="E473" s="2"/>
      <c r="F473" s="2"/>
      <c r="G473" s="2" t="s">
        <v>983</v>
      </c>
      <c r="H473" s="2" t="s">
        <v>1066</v>
      </c>
      <c r="I473" s="2"/>
      <c r="J473" s="2" t="s">
        <v>23</v>
      </c>
    </row>
    <row r="474" spans="1:10" ht="21" customHeight="1">
      <c r="A474" s="2" t="s">
        <v>1462</v>
      </c>
      <c r="B474" s="2" t="s">
        <v>23</v>
      </c>
      <c r="C474" s="4">
        <v>45765.25</v>
      </c>
      <c r="D474" s="4">
        <v>45765.250035613426</v>
      </c>
      <c r="E474" s="2">
        <v>2.96</v>
      </c>
      <c r="F474" s="2">
        <v>61.3</v>
      </c>
      <c r="G474" s="2" t="s">
        <v>983</v>
      </c>
      <c r="H474" s="2" t="s">
        <v>984</v>
      </c>
      <c r="I474" s="2"/>
      <c r="J474" s="2" t="s">
        <v>23</v>
      </c>
    </row>
    <row r="475" spans="1:10" ht="21" customHeight="1">
      <c r="A475" s="2" t="s">
        <v>1463</v>
      </c>
      <c r="B475" s="2" t="s">
        <v>23</v>
      </c>
      <c r="C475" s="4">
        <v>45766.25</v>
      </c>
      <c r="D475" s="4">
        <v>45766.250055092591</v>
      </c>
      <c r="E475" s="2">
        <v>2.54</v>
      </c>
      <c r="F475" s="2">
        <v>62.2</v>
      </c>
      <c r="G475" s="2" t="s">
        <v>983</v>
      </c>
      <c r="H475" s="2" t="s">
        <v>984</v>
      </c>
      <c r="I475" s="2"/>
      <c r="J475" s="2" t="s">
        <v>23</v>
      </c>
    </row>
    <row r="476" spans="1:10" ht="21" customHeight="1">
      <c r="A476" s="2" t="s">
        <v>1464</v>
      </c>
      <c r="B476" s="2" t="s">
        <v>23</v>
      </c>
      <c r="C476" s="4">
        <v>45767.25</v>
      </c>
      <c r="D476" s="4">
        <v>45767.250514756946</v>
      </c>
      <c r="E476" s="2">
        <v>2.12</v>
      </c>
      <c r="F476" s="2">
        <v>64.7</v>
      </c>
      <c r="G476" s="2" t="s">
        <v>983</v>
      </c>
      <c r="H476" s="2" t="s">
        <v>984</v>
      </c>
      <c r="I476" s="2"/>
      <c r="J476" s="2" t="s">
        <v>23</v>
      </c>
    </row>
    <row r="477" spans="1:10" ht="21" customHeight="1">
      <c r="A477" s="2" t="s">
        <v>1465</v>
      </c>
      <c r="B477" s="2" t="s">
        <v>23</v>
      </c>
      <c r="C477" s="4">
        <v>45768.25</v>
      </c>
      <c r="D477" s="4">
        <v>45768.250555578707</v>
      </c>
      <c r="E477" s="2">
        <v>2.79</v>
      </c>
      <c r="F477" s="2">
        <v>62.8</v>
      </c>
      <c r="G477" s="2" t="s">
        <v>983</v>
      </c>
      <c r="H477" s="2" t="s">
        <v>984</v>
      </c>
      <c r="I477" s="2"/>
      <c r="J477" s="2" t="s">
        <v>23</v>
      </c>
    </row>
    <row r="478" spans="1:10" ht="21" customHeight="1">
      <c r="A478" s="2" t="s">
        <v>1466</v>
      </c>
      <c r="B478" s="2" t="s">
        <v>23</v>
      </c>
      <c r="C478" s="4">
        <v>45769.25</v>
      </c>
      <c r="D478" s="4">
        <v>45769.250612465279</v>
      </c>
      <c r="E478" s="2">
        <v>2.58</v>
      </c>
      <c r="F478" s="2">
        <v>65.3</v>
      </c>
      <c r="G478" s="2" t="s">
        <v>983</v>
      </c>
      <c r="H478" s="2" t="s">
        <v>984</v>
      </c>
      <c r="I478" s="2"/>
      <c r="J478" s="2" t="s">
        <v>23</v>
      </c>
    </row>
    <row r="479" spans="1:10" ht="21" customHeight="1">
      <c r="A479" s="2" t="s">
        <v>1467</v>
      </c>
      <c r="B479" s="2" t="s">
        <v>23</v>
      </c>
      <c r="C479" s="4">
        <v>45770.25</v>
      </c>
      <c r="D479" s="4">
        <v>45770.250052071759</v>
      </c>
      <c r="E479" s="2">
        <v>2.36</v>
      </c>
      <c r="F479" s="2">
        <v>61.9</v>
      </c>
      <c r="G479" s="2" t="s">
        <v>983</v>
      </c>
      <c r="H479" s="2" t="s">
        <v>984</v>
      </c>
      <c r="I479" s="2"/>
      <c r="J479" s="2" t="s">
        <v>23</v>
      </c>
    </row>
    <row r="480" spans="1:10" ht="21" customHeight="1">
      <c r="A480" s="2" t="s">
        <v>1468</v>
      </c>
      <c r="B480" s="2" t="s">
        <v>23</v>
      </c>
      <c r="C480" s="4">
        <v>45771.25</v>
      </c>
      <c r="D480" s="4">
        <v>45771.250013680554</v>
      </c>
      <c r="E480" s="2">
        <v>2.88</v>
      </c>
      <c r="F480" s="2">
        <v>63.5</v>
      </c>
      <c r="G480" s="2" t="s">
        <v>983</v>
      </c>
      <c r="H480" s="2" t="s">
        <v>984</v>
      </c>
      <c r="I480" s="2"/>
      <c r="J480" s="2" t="s">
        <v>23</v>
      </c>
    </row>
    <row r="481" spans="1:10" ht="21" customHeight="1">
      <c r="A481" s="2" t="s">
        <v>1469</v>
      </c>
      <c r="B481" s="2" t="s">
        <v>23</v>
      </c>
      <c r="C481" s="4">
        <v>45772.25</v>
      </c>
      <c r="D481" s="4">
        <v>45772.250363703701</v>
      </c>
      <c r="E481" s="2"/>
      <c r="F481" s="2"/>
      <c r="G481" s="2" t="s">
        <v>983</v>
      </c>
      <c r="H481" s="2" t="s">
        <v>1066</v>
      </c>
      <c r="I481" s="2"/>
      <c r="J481" s="2" t="s">
        <v>23</v>
      </c>
    </row>
    <row r="482" spans="1:10" ht="21" customHeight="1">
      <c r="A482" s="2" t="s">
        <v>1470</v>
      </c>
      <c r="B482" s="2" t="s">
        <v>23</v>
      </c>
      <c r="C482" s="4">
        <v>45773.25</v>
      </c>
      <c r="D482" s="4">
        <v>45773.250450787033</v>
      </c>
      <c r="E482" s="2">
        <v>2.66</v>
      </c>
      <c r="F482" s="2">
        <v>65.5</v>
      </c>
      <c r="G482" s="2" t="s">
        <v>983</v>
      </c>
      <c r="H482" s="2" t="s">
        <v>984</v>
      </c>
      <c r="I482" s="2"/>
      <c r="J482" s="2" t="s">
        <v>23</v>
      </c>
    </row>
    <row r="483" spans="1:10" ht="21" customHeight="1">
      <c r="A483" s="2" t="s">
        <v>1471</v>
      </c>
      <c r="B483" s="2" t="s">
        <v>23</v>
      </c>
      <c r="C483" s="4">
        <v>45774.25</v>
      </c>
      <c r="D483" s="4">
        <v>45774.250092430557</v>
      </c>
      <c r="E483" s="2">
        <v>2.99</v>
      </c>
      <c r="F483" s="2">
        <v>63.4</v>
      </c>
      <c r="G483" s="2" t="s">
        <v>983</v>
      </c>
      <c r="H483" s="2" t="s">
        <v>984</v>
      </c>
      <c r="I483" s="2"/>
      <c r="J483" s="2" t="s">
        <v>23</v>
      </c>
    </row>
    <row r="484" spans="1:10" ht="21" customHeight="1">
      <c r="A484" s="2" t="s">
        <v>1472</v>
      </c>
      <c r="B484" s="2" t="s">
        <v>23</v>
      </c>
      <c r="C484" s="4">
        <v>45775.25</v>
      </c>
      <c r="D484" s="4">
        <v>45775.250058993057</v>
      </c>
      <c r="E484" s="2">
        <v>2.42</v>
      </c>
      <c r="F484" s="2">
        <v>61.8</v>
      </c>
      <c r="G484" s="2" t="s">
        <v>983</v>
      </c>
      <c r="H484" s="2" t="s">
        <v>984</v>
      </c>
      <c r="I484" s="2"/>
      <c r="J484" s="2" t="s">
        <v>23</v>
      </c>
    </row>
    <row r="485" spans="1:10" ht="21" customHeight="1">
      <c r="A485" s="2" t="s">
        <v>1473</v>
      </c>
      <c r="B485" s="2" t="s">
        <v>23</v>
      </c>
      <c r="C485" s="4">
        <v>45776.25</v>
      </c>
      <c r="D485" s="4">
        <v>45776.250094803239</v>
      </c>
      <c r="E485" s="2">
        <v>2.76</v>
      </c>
      <c r="F485" s="2">
        <v>59.1</v>
      </c>
      <c r="G485" s="2" t="s">
        <v>983</v>
      </c>
      <c r="H485" s="2" t="s">
        <v>984</v>
      </c>
      <c r="I485" s="2"/>
      <c r="J485" s="2" t="s">
        <v>23</v>
      </c>
    </row>
    <row r="486" spans="1:10" ht="21" customHeight="1">
      <c r="A486" s="2" t="s">
        <v>1474</v>
      </c>
      <c r="B486" s="2" t="s">
        <v>23</v>
      </c>
      <c r="C486" s="4">
        <v>45777.25</v>
      </c>
      <c r="D486" s="4">
        <v>45777.250118611111</v>
      </c>
      <c r="E486" s="2">
        <v>2.33</v>
      </c>
      <c r="F486" s="2">
        <v>58.6</v>
      </c>
      <c r="G486" s="2" t="s">
        <v>983</v>
      </c>
      <c r="H486" s="2" t="s">
        <v>984</v>
      </c>
      <c r="I486" s="2" t="s">
        <v>985</v>
      </c>
      <c r="J486" s="2" t="s">
        <v>23</v>
      </c>
    </row>
    <row r="487" spans="1:10" ht="21" customHeight="1">
      <c r="A487" s="2" t="s">
        <v>1475</v>
      </c>
      <c r="B487" s="2" t="s">
        <v>23</v>
      </c>
      <c r="C487" s="4">
        <v>45778.25</v>
      </c>
      <c r="D487" s="4">
        <v>45778.250029999996</v>
      </c>
      <c r="E487" s="2">
        <v>2.9</v>
      </c>
      <c r="F487" s="2">
        <v>64.599999999999994</v>
      </c>
      <c r="G487" s="2" t="s">
        <v>983</v>
      </c>
      <c r="H487" s="2" t="s">
        <v>984</v>
      </c>
      <c r="I487" s="2"/>
      <c r="J487" s="2" t="s">
        <v>23</v>
      </c>
    </row>
    <row r="488" spans="1:10" ht="21" customHeight="1">
      <c r="A488" s="2" t="s">
        <v>1476</v>
      </c>
      <c r="B488" s="2" t="s">
        <v>23</v>
      </c>
      <c r="C488" s="4">
        <v>45779.25</v>
      </c>
      <c r="D488" s="4">
        <v>45779.25004846065</v>
      </c>
      <c r="E488" s="2"/>
      <c r="F488" s="2"/>
      <c r="G488" s="2" t="s">
        <v>983</v>
      </c>
      <c r="H488" s="2" t="s">
        <v>1066</v>
      </c>
      <c r="I488" s="2"/>
      <c r="J488" s="2" t="s">
        <v>23</v>
      </c>
    </row>
    <row r="489" spans="1:10" ht="21" customHeight="1">
      <c r="A489" s="2" t="s">
        <v>1477</v>
      </c>
      <c r="B489" s="2" t="s">
        <v>23</v>
      </c>
      <c r="C489" s="4">
        <v>45780.25</v>
      </c>
      <c r="D489" s="4">
        <v>45780.25054400463</v>
      </c>
      <c r="E489" s="2">
        <v>2.57</v>
      </c>
      <c r="F489" s="2">
        <v>61.8</v>
      </c>
      <c r="G489" s="2" t="s">
        <v>983</v>
      </c>
      <c r="H489" s="2" t="s">
        <v>984</v>
      </c>
      <c r="I489" s="2"/>
      <c r="J489" s="2" t="s">
        <v>23</v>
      </c>
    </row>
    <row r="490" spans="1:10" ht="21" customHeight="1">
      <c r="A490" s="2" t="s">
        <v>1478</v>
      </c>
      <c r="B490" s="2" t="s">
        <v>23</v>
      </c>
      <c r="C490" s="4">
        <v>45781.25</v>
      </c>
      <c r="D490" s="4">
        <v>45781.25018372685</v>
      </c>
      <c r="E490" s="2">
        <v>2.11</v>
      </c>
      <c r="F490" s="2">
        <v>59.5</v>
      </c>
      <c r="G490" s="2" t="s">
        <v>983</v>
      </c>
      <c r="H490" s="2" t="s">
        <v>984</v>
      </c>
      <c r="I490" s="2"/>
      <c r="J490" s="2" t="s">
        <v>23</v>
      </c>
    </row>
    <row r="491" spans="1:10" ht="21" customHeight="1">
      <c r="A491" s="2" t="s">
        <v>1479</v>
      </c>
      <c r="B491" s="2" t="s">
        <v>23</v>
      </c>
      <c r="C491" s="4">
        <v>45782.25</v>
      </c>
      <c r="D491" s="4">
        <v>45782.250089282403</v>
      </c>
      <c r="E491" s="2">
        <v>2.5299999999999998</v>
      </c>
      <c r="F491" s="2">
        <v>64.8</v>
      </c>
      <c r="G491" s="2" t="s">
        <v>983</v>
      </c>
      <c r="H491" s="2" t="s">
        <v>984</v>
      </c>
      <c r="I491" s="2"/>
      <c r="J491" s="2" t="s">
        <v>23</v>
      </c>
    </row>
    <row r="492" spans="1:10" ht="21" customHeight="1">
      <c r="A492" s="2" t="s">
        <v>1480</v>
      </c>
      <c r="B492" s="2" t="s">
        <v>23</v>
      </c>
      <c r="C492" s="4">
        <v>45783.25</v>
      </c>
      <c r="D492" s="4">
        <v>45783.250546342591</v>
      </c>
      <c r="E492" s="2">
        <v>2.34</v>
      </c>
      <c r="F492" s="2">
        <v>60.8</v>
      </c>
      <c r="G492" s="2" t="s">
        <v>983</v>
      </c>
      <c r="H492" s="2" t="s">
        <v>984</v>
      </c>
      <c r="I492" s="2"/>
      <c r="J492" s="2" t="s">
        <v>23</v>
      </c>
    </row>
    <row r="493" spans="1:10" ht="21" customHeight="1">
      <c r="A493" s="2" t="s">
        <v>1481</v>
      </c>
      <c r="B493" s="2" t="s">
        <v>23</v>
      </c>
      <c r="C493" s="4">
        <v>45784.25</v>
      </c>
      <c r="D493" s="4">
        <v>45784.25032269676</v>
      </c>
      <c r="E493" s="2">
        <v>2.61</v>
      </c>
      <c r="F493" s="2">
        <v>59.2</v>
      </c>
      <c r="G493" s="2" t="s">
        <v>983</v>
      </c>
      <c r="H493" s="2" t="s">
        <v>984</v>
      </c>
      <c r="I493" s="2"/>
      <c r="J493" s="2" t="s">
        <v>23</v>
      </c>
    </row>
    <row r="494" spans="1:10" ht="21" customHeight="1">
      <c r="A494" s="2" t="s">
        <v>1482</v>
      </c>
      <c r="B494" s="2" t="s">
        <v>1359</v>
      </c>
      <c r="C494" s="4">
        <v>45785.25</v>
      </c>
      <c r="D494" s="4">
        <v>45785.25010907407</v>
      </c>
      <c r="E494" s="2">
        <v>2.91</v>
      </c>
      <c r="F494" s="2">
        <v>64.099999999999994</v>
      </c>
      <c r="G494" s="2" t="s">
        <v>983</v>
      </c>
      <c r="H494" s="2" t="s">
        <v>984</v>
      </c>
      <c r="I494" s="2"/>
      <c r="J494" s="2" t="s">
        <v>23</v>
      </c>
    </row>
    <row r="495" spans="1:10" ht="21" customHeight="1">
      <c r="A495" s="2" t="s">
        <v>1483</v>
      </c>
      <c r="B495" s="2" t="s">
        <v>23</v>
      </c>
      <c r="C495" s="4">
        <v>45786.25</v>
      </c>
      <c r="D495" s="4">
        <v>45786.250662071761</v>
      </c>
      <c r="E495" s="2">
        <v>2.42</v>
      </c>
      <c r="F495" s="2">
        <v>59.5</v>
      </c>
      <c r="G495" s="2" t="s">
        <v>983</v>
      </c>
      <c r="H495" s="2" t="s">
        <v>984</v>
      </c>
      <c r="I495" s="2"/>
      <c r="J495" s="2" t="s">
        <v>23</v>
      </c>
    </row>
    <row r="496" spans="1:10" ht="21" customHeight="1">
      <c r="A496" s="2" t="s">
        <v>1484</v>
      </c>
      <c r="B496" s="2" t="s">
        <v>23</v>
      </c>
      <c r="C496" s="4">
        <v>45787.25</v>
      </c>
      <c r="D496" s="4">
        <v>45787.250425543985</v>
      </c>
      <c r="E496" s="2">
        <v>2.4900000000000002</v>
      </c>
      <c r="F496" s="2">
        <v>60.5</v>
      </c>
      <c r="G496" s="2" t="s">
        <v>983</v>
      </c>
      <c r="H496" s="2" t="s">
        <v>984</v>
      </c>
      <c r="I496" s="2"/>
      <c r="J496" s="2" t="s">
        <v>23</v>
      </c>
    </row>
    <row r="497" spans="1:10" ht="21" customHeight="1">
      <c r="A497" s="2" t="s">
        <v>1485</v>
      </c>
      <c r="B497" s="2" t="s">
        <v>23</v>
      </c>
      <c r="C497" s="4">
        <v>45788.25</v>
      </c>
      <c r="D497" s="4">
        <v>45788.250644108797</v>
      </c>
      <c r="E497" s="2">
        <v>3.09</v>
      </c>
      <c r="F497" s="2">
        <v>60.4</v>
      </c>
      <c r="G497" s="2" t="s">
        <v>983</v>
      </c>
      <c r="H497" s="2" t="s">
        <v>984</v>
      </c>
      <c r="I497" s="2"/>
      <c r="J497" s="2" t="s">
        <v>23</v>
      </c>
    </row>
    <row r="498" spans="1:10" ht="21" customHeight="1">
      <c r="A498" s="2" t="s">
        <v>1486</v>
      </c>
      <c r="B498" s="2" t="s">
        <v>23</v>
      </c>
      <c r="C498" s="4">
        <v>45789.25</v>
      </c>
      <c r="D498" s="4">
        <v>45789.250339120372</v>
      </c>
      <c r="E498" s="2">
        <v>3.03</v>
      </c>
      <c r="F498" s="2">
        <v>59.6</v>
      </c>
      <c r="G498" s="2" t="s">
        <v>983</v>
      </c>
      <c r="H498" s="2" t="s">
        <v>984</v>
      </c>
      <c r="I498" s="2"/>
      <c r="J498" s="2" t="s">
        <v>23</v>
      </c>
    </row>
    <row r="499" spans="1:10" ht="21" customHeight="1">
      <c r="A499" s="2" t="s">
        <v>1487</v>
      </c>
      <c r="B499" s="2" t="s">
        <v>23</v>
      </c>
      <c r="C499" s="4">
        <v>45790.25</v>
      </c>
      <c r="D499" s="4">
        <v>45790.250235625004</v>
      </c>
      <c r="E499" s="2">
        <v>3.1</v>
      </c>
      <c r="F499" s="2">
        <v>58.7</v>
      </c>
      <c r="G499" s="2" t="s">
        <v>983</v>
      </c>
      <c r="H499" s="2" t="s">
        <v>984</v>
      </c>
      <c r="I499" s="2"/>
      <c r="J499" s="2" t="s">
        <v>23</v>
      </c>
    </row>
    <row r="500" spans="1:10" ht="21" customHeight="1">
      <c r="A500" s="2" t="s">
        <v>1488</v>
      </c>
      <c r="B500" s="2" t="s">
        <v>23</v>
      </c>
      <c r="C500" s="4">
        <v>45791.25</v>
      </c>
      <c r="D500" s="4">
        <v>45791.250113807866</v>
      </c>
      <c r="E500" s="2">
        <v>2.38</v>
      </c>
      <c r="F500" s="2">
        <v>62.7</v>
      </c>
      <c r="G500" s="2" t="s">
        <v>983</v>
      </c>
      <c r="H500" s="2" t="s">
        <v>984</v>
      </c>
      <c r="I500" s="2"/>
      <c r="J500" s="2" t="s">
        <v>23</v>
      </c>
    </row>
    <row r="501" spans="1:10" ht="21" customHeight="1">
      <c r="A501" s="2" t="s">
        <v>1489</v>
      </c>
      <c r="B501" s="2" t="s">
        <v>23</v>
      </c>
      <c r="C501" s="4">
        <v>45792.25</v>
      </c>
      <c r="D501" s="4">
        <v>45792.250021087966</v>
      </c>
      <c r="E501" s="2">
        <v>2.74</v>
      </c>
      <c r="F501" s="2">
        <v>64.3</v>
      </c>
      <c r="G501" s="2" t="s">
        <v>983</v>
      </c>
      <c r="H501" s="2" t="s">
        <v>984</v>
      </c>
      <c r="I501" s="2"/>
      <c r="J501" s="2" t="s">
        <v>23</v>
      </c>
    </row>
    <row r="502" spans="1:10" ht="21" customHeight="1">
      <c r="A502" s="2" t="s">
        <v>1490</v>
      </c>
      <c r="B502" s="2" t="s">
        <v>23</v>
      </c>
      <c r="C502" s="4">
        <v>45793.25</v>
      </c>
      <c r="D502" s="4">
        <v>45793.250252557875</v>
      </c>
      <c r="E502" s="2">
        <v>2.5099999999999998</v>
      </c>
      <c r="F502" s="2">
        <v>58.3</v>
      </c>
      <c r="G502" s="2" t="s">
        <v>983</v>
      </c>
      <c r="H502" s="2" t="s">
        <v>984</v>
      </c>
      <c r="I502" s="2"/>
      <c r="J502" s="2" t="s">
        <v>23</v>
      </c>
    </row>
    <row r="503" spans="1:10" ht="21" customHeight="1">
      <c r="A503" s="2" t="s">
        <v>1491</v>
      </c>
      <c r="B503" s="2" t="s">
        <v>23</v>
      </c>
      <c r="C503" s="4">
        <v>45794.25</v>
      </c>
      <c r="D503" s="4">
        <v>45794.250578043982</v>
      </c>
      <c r="E503" s="2">
        <v>2.59</v>
      </c>
      <c r="F503" s="2">
        <v>64.5</v>
      </c>
      <c r="G503" s="2" t="s">
        <v>983</v>
      </c>
      <c r="H503" s="2" t="s">
        <v>984</v>
      </c>
      <c r="I503" s="2" t="s">
        <v>985</v>
      </c>
      <c r="J503" s="2" t="s">
        <v>23</v>
      </c>
    </row>
    <row r="504" spans="1:10" ht="21" customHeight="1">
      <c r="A504" s="2" t="s">
        <v>1492</v>
      </c>
      <c r="B504" s="2" t="s">
        <v>23</v>
      </c>
      <c r="C504" s="4">
        <v>45795.25</v>
      </c>
      <c r="D504" s="4">
        <v>45795.250581828703</v>
      </c>
      <c r="E504" s="2">
        <v>3.3</v>
      </c>
      <c r="F504" s="2">
        <v>61.9</v>
      </c>
      <c r="G504" s="2" t="s">
        <v>983</v>
      </c>
      <c r="H504" s="2" t="s">
        <v>984</v>
      </c>
      <c r="I504" s="2"/>
      <c r="J504" s="2" t="s">
        <v>23</v>
      </c>
    </row>
    <row r="505" spans="1:10" ht="21" customHeight="1">
      <c r="A505" s="2" t="s">
        <v>1493</v>
      </c>
      <c r="B505" s="2" t="s">
        <v>23</v>
      </c>
      <c r="C505" s="4">
        <v>45796.25</v>
      </c>
      <c r="D505" s="4">
        <v>45796.250588333336</v>
      </c>
      <c r="E505" s="2">
        <v>2.86</v>
      </c>
      <c r="F505" s="2">
        <v>63.4</v>
      </c>
      <c r="G505" s="2" t="s">
        <v>983</v>
      </c>
      <c r="H505" s="2" t="s">
        <v>984</v>
      </c>
      <c r="I505" s="2"/>
      <c r="J505" s="2" t="s">
        <v>23</v>
      </c>
    </row>
    <row r="506" spans="1:10" ht="21" customHeight="1">
      <c r="A506" s="2" t="s">
        <v>1494</v>
      </c>
      <c r="B506" s="2" t="s">
        <v>23</v>
      </c>
      <c r="C506" s="4">
        <v>45797.25</v>
      </c>
      <c r="D506" s="4">
        <v>45797.250108946755</v>
      </c>
      <c r="E506" s="2">
        <v>2.5499999999999998</v>
      </c>
      <c r="F506" s="2">
        <v>64.8</v>
      </c>
      <c r="G506" s="2" t="s">
        <v>983</v>
      </c>
      <c r="H506" s="2" t="s">
        <v>984</v>
      </c>
      <c r="I506" s="2"/>
      <c r="J506" s="2" t="s">
        <v>23</v>
      </c>
    </row>
    <row r="507" spans="1:10" ht="21" customHeight="1">
      <c r="A507" s="2" t="s">
        <v>1495</v>
      </c>
      <c r="B507" s="2" t="s">
        <v>23</v>
      </c>
      <c r="C507" s="4">
        <v>45798.25</v>
      </c>
      <c r="D507" s="4">
        <v>45798.250007476847</v>
      </c>
      <c r="E507" s="2">
        <v>2.4</v>
      </c>
      <c r="F507" s="2">
        <v>65.3</v>
      </c>
      <c r="G507" s="2" t="s">
        <v>983</v>
      </c>
      <c r="H507" s="2" t="s">
        <v>984</v>
      </c>
      <c r="I507" s="2"/>
      <c r="J507" s="2" t="s">
        <v>23</v>
      </c>
    </row>
    <row r="508" spans="1:10" ht="21" customHeight="1">
      <c r="A508" s="2" t="s">
        <v>1496</v>
      </c>
      <c r="B508" s="2" t="s">
        <v>23</v>
      </c>
      <c r="C508" s="4">
        <v>45799.25</v>
      </c>
      <c r="D508" s="4">
        <v>45799.250384212966</v>
      </c>
      <c r="E508" s="2">
        <v>2.4</v>
      </c>
      <c r="F508" s="2">
        <v>61.3</v>
      </c>
      <c r="G508" s="2" t="s">
        <v>983</v>
      </c>
      <c r="H508" s="2" t="s">
        <v>984</v>
      </c>
      <c r="I508" s="2"/>
      <c r="J508" s="2" t="s">
        <v>23</v>
      </c>
    </row>
    <row r="509" spans="1:10" ht="21" customHeight="1">
      <c r="A509" s="2" t="s">
        <v>1497</v>
      </c>
      <c r="B509" s="2" t="s">
        <v>23</v>
      </c>
      <c r="C509" s="4">
        <v>45800.25</v>
      </c>
      <c r="D509" s="4">
        <v>45800.250018379629</v>
      </c>
      <c r="E509" s="2">
        <v>3.24</v>
      </c>
      <c r="F509" s="2">
        <v>60.2</v>
      </c>
      <c r="G509" s="2" t="s">
        <v>983</v>
      </c>
      <c r="H509" s="2" t="s">
        <v>984</v>
      </c>
      <c r="I509" s="2"/>
      <c r="J509" s="2" t="s">
        <v>23</v>
      </c>
    </row>
    <row r="510" spans="1:10" ht="21" customHeight="1">
      <c r="A510" s="2" t="s">
        <v>1498</v>
      </c>
      <c r="B510" s="2" t="s">
        <v>23</v>
      </c>
      <c r="C510" s="4">
        <v>45801.25</v>
      </c>
      <c r="D510" s="4">
        <v>45801.250011979166</v>
      </c>
      <c r="E510" s="2">
        <v>2.61</v>
      </c>
      <c r="F510" s="2">
        <v>63.3</v>
      </c>
      <c r="G510" s="2" t="s">
        <v>983</v>
      </c>
      <c r="H510" s="2" t="s">
        <v>984</v>
      </c>
      <c r="I510" s="2"/>
      <c r="J510" s="2" t="s">
        <v>23</v>
      </c>
    </row>
    <row r="511" spans="1:10" ht="21" customHeight="1">
      <c r="A511" s="2" t="s">
        <v>1499</v>
      </c>
      <c r="B511" s="2" t="s">
        <v>23</v>
      </c>
      <c r="C511" s="4">
        <v>45802.25</v>
      </c>
      <c r="D511" s="4">
        <v>45802.250190127314</v>
      </c>
      <c r="E511" s="2">
        <v>2.4900000000000002</v>
      </c>
      <c r="F511" s="2">
        <v>59.5</v>
      </c>
      <c r="G511" s="2" t="s">
        <v>983</v>
      </c>
      <c r="H511" s="2" t="s">
        <v>984</v>
      </c>
      <c r="I511" s="2"/>
      <c r="J511" s="2" t="s">
        <v>23</v>
      </c>
    </row>
    <row r="512" spans="1:10" ht="21" customHeight="1">
      <c r="A512" s="2" t="s">
        <v>1500</v>
      </c>
      <c r="B512" s="2" t="s">
        <v>23</v>
      </c>
      <c r="C512" s="4">
        <v>45803.25</v>
      </c>
      <c r="D512" s="4">
        <v>45803.250182800926</v>
      </c>
      <c r="E512" s="2">
        <v>3.27</v>
      </c>
      <c r="F512" s="2">
        <v>63.1</v>
      </c>
      <c r="G512" s="2" t="s">
        <v>983</v>
      </c>
      <c r="H512" s="2" t="s">
        <v>984</v>
      </c>
      <c r="I512" s="2"/>
      <c r="J512" s="2" t="s">
        <v>23</v>
      </c>
    </row>
    <row r="513" spans="1:10" ht="21" customHeight="1">
      <c r="A513" s="2" t="s">
        <v>1501</v>
      </c>
      <c r="B513" s="2" t="s">
        <v>23</v>
      </c>
      <c r="C513" s="4">
        <v>45804.25</v>
      </c>
      <c r="D513" s="4">
        <v>45804.250118425931</v>
      </c>
      <c r="E513" s="2">
        <v>2.74</v>
      </c>
      <c r="F513" s="2">
        <v>60.5</v>
      </c>
      <c r="G513" s="2" t="s">
        <v>983</v>
      </c>
      <c r="H513" s="2" t="s">
        <v>984</v>
      </c>
      <c r="I513" s="2"/>
      <c r="J513" s="2" t="s">
        <v>23</v>
      </c>
    </row>
    <row r="514" spans="1:10" ht="21" customHeight="1">
      <c r="A514" s="2" t="s">
        <v>1502</v>
      </c>
      <c r="B514" s="2" t="s">
        <v>23</v>
      </c>
      <c r="C514" s="4">
        <v>45805.25</v>
      </c>
      <c r="D514" s="4">
        <v>45805.250197210647</v>
      </c>
      <c r="E514" s="2">
        <v>2.91</v>
      </c>
      <c r="F514" s="2">
        <v>65</v>
      </c>
      <c r="G514" s="2" t="s">
        <v>983</v>
      </c>
      <c r="H514" s="2" t="s">
        <v>984</v>
      </c>
      <c r="I514" s="2"/>
      <c r="J514" s="2" t="s">
        <v>23</v>
      </c>
    </row>
    <row r="515" spans="1:10" ht="21" customHeight="1">
      <c r="A515" s="2" t="s">
        <v>1503</v>
      </c>
      <c r="B515" s="2" t="s">
        <v>23</v>
      </c>
      <c r="C515" s="4">
        <v>45806.25</v>
      </c>
      <c r="D515" s="4">
        <v>45806.250002141205</v>
      </c>
      <c r="E515" s="2">
        <v>2.82</v>
      </c>
      <c r="F515" s="2">
        <v>59.3</v>
      </c>
      <c r="G515" s="2" t="s">
        <v>983</v>
      </c>
      <c r="H515" s="2" t="s">
        <v>984</v>
      </c>
      <c r="I515" s="2"/>
      <c r="J515" s="2" t="s">
        <v>23</v>
      </c>
    </row>
    <row r="516" spans="1:10" ht="21" customHeight="1">
      <c r="A516" s="2" t="s">
        <v>1504</v>
      </c>
      <c r="B516" s="2" t="s">
        <v>23</v>
      </c>
      <c r="C516" s="4">
        <v>45807.25</v>
      </c>
      <c r="D516" s="4">
        <v>45807.25004939815</v>
      </c>
      <c r="E516" s="2">
        <v>2.3199999999999998</v>
      </c>
      <c r="F516" s="2">
        <v>65.3</v>
      </c>
      <c r="G516" s="2" t="s">
        <v>983</v>
      </c>
      <c r="H516" s="2" t="s">
        <v>984</v>
      </c>
      <c r="I516" s="2"/>
      <c r="J516" s="2" t="s">
        <v>23</v>
      </c>
    </row>
    <row r="517" spans="1:10" ht="21" customHeight="1">
      <c r="A517" s="2" t="s">
        <v>1505</v>
      </c>
      <c r="B517" s="2" t="s">
        <v>23</v>
      </c>
      <c r="C517" s="4">
        <v>45808.25</v>
      </c>
      <c r="D517" s="4">
        <v>45808.250174456014</v>
      </c>
      <c r="E517" s="2">
        <v>3.2</v>
      </c>
      <c r="F517" s="2">
        <v>59</v>
      </c>
      <c r="G517" s="2" t="s">
        <v>983</v>
      </c>
      <c r="H517" s="2" t="s">
        <v>984</v>
      </c>
      <c r="I517" s="2"/>
      <c r="J517" s="2" t="s">
        <v>23</v>
      </c>
    </row>
    <row r="518" spans="1:10" ht="21" customHeight="1">
      <c r="A518" s="2" t="s">
        <v>1506</v>
      </c>
      <c r="B518" s="2" t="s">
        <v>23</v>
      </c>
      <c r="C518" s="4">
        <v>45809.25</v>
      </c>
      <c r="D518" s="4">
        <v>45809.250181192125</v>
      </c>
      <c r="E518" s="2">
        <v>2.2400000000000002</v>
      </c>
      <c r="F518" s="2">
        <v>58.8</v>
      </c>
      <c r="G518" s="2" t="s">
        <v>983</v>
      </c>
      <c r="H518" s="2" t="s">
        <v>984</v>
      </c>
      <c r="I518" s="2"/>
      <c r="J518" s="2" t="s">
        <v>23</v>
      </c>
    </row>
    <row r="519" spans="1:10" ht="21" customHeight="1">
      <c r="A519" s="2" t="s">
        <v>1507</v>
      </c>
      <c r="B519" s="2" t="s">
        <v>23</v>
      </c>
      <c r="C519" s="4">
        <v>45810.25</v>
      </c>
      <c r="D519" s="4">
        <v>45810.250164351848</v>
      </c>
      <c r="E519" s="2">
        <v>2.2200000000000002</v>
      </c>
      <c r="F519" s="2">
        <v>64.3</v>
      </c>
      <c r="G519" s="2" t="s">
        <v>983</v>
      </c>
      <c r="H519" s="2" t="s">
        <v>984</v>
      </c>
      <c r="I519" s="2"/>
      <c r="J519" s="2" t="s">
        <v>23</v>
      </c>
    </row>
    <row r="520" spans="1:10" ht="21" customHeight="1">
      <c r="A520" s="2" t="s">
        <v>1508</v>
      </c>
      <c r="B520" s="2" t="s">
        <v>23</v>
      </c>
      <c r="C520" s="4">
        <v>45811.25</v>
      </c>
      <c r="D520" s="4">
        <v>45811.250019074076</v>
      </c>
      <c r="E520" s="2">
        <v>2.41</v>
      </c>
      <c r="F520" s="2">
        <v>58.8</v>
      </c>
      <c r="G520" s="2" t="s">
        <v>983</v>
      </c>
      <c r="H520" s="2" t="s">
        <v>984</v>
      </c>
      <c r="I520" s="2" t="s">
        <v>985</v>
      </c>
      <c r="J520" s="2" t="s">
        <v>23</v>
      </c>
    </row>
    <row r="521" spans="1:10" ht="21" customHeight="1">
      <c r="A521" s="2" t="s">
        <v>1509</v>
      </c>
      <c r="B521" s="2" t="s">
        <v>23</v>
      </c>
      <c r="C521" s="4">
        <v>45812.25</v>
      </c>
      <c r="D521" s="4">
        <v>45812.250486793986</v>
      </c>
      <c r="E521" s="2">
        <v>6.56</v>
      </c>
      <c r="F521" s="2">
        <v>72.099999999999994</v>
      </c>
      <c r="G521" s="2" t="s">
        <v>983</v>
      </c>
      <c r="H521" s="2" t="s">
        <v>984</v>
      </c>
      <c r="I521" s="2" t="s">
        <v>1053</v>
      </c>
      <c r="J521" s="2" t="s">
        <v>23</v>
      </c>
    </row>
    <row r="522" spans="1:10" ht="21" customHeight="1">
      <c r="A522" s="2" t="s">
        <v>1510</v>
      </c>
      <c r="B522" s="2" t="s">
        <v>23</v>
      </c>
      <c r="C522" s="4">
        <v>45813.25</v>
      </c>
      <c r="D522" s="4">
        <v>45813.250092013885</v>
      </c>
      <c r="E522" s="2">
        <v>4.2699999999999996</v>
      </c>
      <c r="F522" s="2">
        <v>74</v>
      </c>
      <c r="G522" s="2" t="s">
        <v>983</v>
      </c>
      <c r="H522" s="2" t="s">
        <v>984</v>
      </c>
      <c r="I522" s="2"/>
      <c r="J522" s="2" t="s">
        <v>23</v>
      </c>
    </row>
    <row r="523" spans="1:10" ht="21" customHeight="1">
      <c r="A523" s="2" t="s">
        <v>1511</v>
      </c>
      <c r="B523" s="2" t="s">
        <v>23</v>
      </c>
      <c r="C523" s="4">
        <v>45814.25</v>
      </c>
      <c r="D523" s="4">
        <v>45814.250617951388</v>
      </c>
      <c r="E523" s="2">
        <v>6.37</v>
      </c>
      <c r="F523" s="2">
        <v>69.099999999999994</v>
      </c>
      <c r="G523" s="2" t="s">
        <v>983</v>
      </c>
      <c r="H523" s="2" t="s">
        <v>984</v>
      </c>
      <c r="I523" s="2" t="s">
        <v>1053</v>
      </c>
      <c r="J523" s="2" t="s">
        <v>23</v>
      </c>
    </row>
    <row r="524" spans="1:10" ht="21" customHeight="1">
      <c r="A524" s="2" t="s">
        <v>1512</v>
      </c>
      <c r="B524" s="2" t="s">
        <v>23</v>
      </c>
      <c r="C524" s="4">
        <v>45815.25</v>
      </c>
      <c r="D524" s="4">
        <v>45815.250496157409</v>
      </c>
      <c r="E524" s="2">
        <v>2.2599999999999998</v>
      </c>
      <c r="F524" s="2">
        <v>62.6</v>
      </c>
      <c r="G524" s="2" t="s">
        <v>983</v>
      </c>
      <c r="H524" s="2" t="s">
        <v>984</v>
      </c>
      <c r="I524" s="2"/>
      <c r="J524" s="2" t="s">
        <v>23</v>
      </c>
    </row>
    <row r="525" spans="1:10" ht="21" customHeight="1">
      <c r="A525" s="2" t="s">
        <v>1513</v>
      </c>
      <c r="B525" s="2" t="s">
        <v>23</v>
      </c>
      <c r="C525" s="4">
        <v>45816.25</v>
      </c>
      <c r="D525" s="4">
        <v>45816.250012476856</v>
      </c>
      <c r="E525" s="2">
        <v>2.2799999999999998</v>
      </c>
      <c r="F525" s="2">
        <v>60.7</v>
      </c>
      <c r="G525" s="2" t="s">
        <v>983</v>
      </c>
      <c r="H525" s="2" t="s">
        <v>984</v>
      </c>
      <c r="I525" s="2"/>
      <c r="J525" s="2" t="s">
        <v>23</v>
      </c>
    </row>
    <row r="526" spans="1:10" ht="21" customHeight="1">
      <c r="A526" s="2" t="s">
        <v>1514</v>
      </c>
      <c r="B526" s="2" t="s">
        <v>23</v>
      </c>
      <c r="C526" s="4">
        <v>45817.25</v>
      </c>
      <c r="D526" s="4">
        <v>45817.250504710653</v>
      </c>
      <c r="E526" s="2">
        <v>2.2000000000000002</v>
      </c>
      <c r="F526" s="2">
        <v>59.8</v>
      </c>
      <c r="G526" s="2" t="s">
        <v>983</v>
      </c>
      <c r="H526" s="2" t="s">
        <v>984</v>
      </c>
      <c r="I526" s="2"/>
      <c r="J526" s="2" t="s">
        <v>23</v>
      </c>
    </row>
    <row r="527" spans="1:10" ht="21" customHeight="1">
      <c r="A527" s="2" t="s">
        <v>1515</v>
      </c>
      <c r="B527" s="2" t="s">
        <v>23</v>
      </c>
      <c r="C527" s="4">
        <v>45818.25</v>
      </c>
      <c r="D527" s="4">
        <v>45818.250043020831</v>
      </c>
      <c r="E527" s="2">
        <v>2.79</v>
      </c>
      <c r="F527" s="2">
        <v>61.5</v>
      </c>
      <c r="G527" s="2" t="s">
        <v>983</v>
      </c>
      <c r="H527" s="2" t="s">
        <v>984</v>
      </c>
      <c r="I527" s="2"/>
      <c r="J527" s="2" t="s">
        <v>23</v>
      </c>
    </row>
    <row r="528" spans="1:10" ht="21" customHeight="1">
      <c r="A528" s="2" t="s">
        <v>1516</v>
      </c>
      <c r="B528" s="2" t="s">
        <v>23</v>
      </c>
      <c r="C528" s="4">
        <v>45819.25</v>
      </c>
      <c r="D528" s="4">
        <v>45819.250688888889</v>
      </c>
      <c r="E528" s="2">
        <v>2.97</v>
      </c>
      <c r="F528" s="2">
        <v>63.7</v>
      </c>
      <c r="G528" s="2" t="s">
        <v>983</v>
      </c>
      <c r="H528" s="2" t="s">
        <v>984</v>
      </c>
      <c r="I528" s="2"/>
      <c r="J528" s="2" t="s">
        <v>23</v>
      </c>
    </row>
    <row r="529" spans="1:10" ht="21" customHeight="1">
      <c r="A529" s="2" t="s">
        <v>1517</v>
      </c>
      <c r="B529" s="2" t="s">
        <v>23</v>
      </c>
      <c r="C529" s="4">
        <v>45820.25</v>
      </c>
      <c r="D529" s="4">
        <v>45820.250316817124</v>
      </c>
      <c r="E529" s="2">
        <v>2.61</v>
      </c>
      <c r="F529" s="2">
        <v>63.2</v>
      </c>
      <c r="G529" s="2" t="s">
        <v>983</v>
      </c>
      <c r="H529" s="2" t="s">
        <v>984</v>
      </c>
      <c r="I529" s="2"/>
      <c r="J529" s="2" t="s">
        <v>23</v>
      </c>
    </row>
    <row r="530" spans="1:10" ht="21" customHeight="1">
      <c r="A530" s="2" t="s">
        <v>1518</v>
      </c>
      <c r="B530" s="2" t="s">
        <v>23</v>
      </c>
      <c r="C530" s="4">
        <v>45821.25</v>
      </c>
      <c r="D530" s="4">
        <v>45821.250361805556</v>
      </c>
      <c r="E530" s="2">
        <v>21.4</v>
      </c>
      <c r="F530" s="2">
        <v>63.1</v>
      </c>
      <c r="G530" s="2" t="s">
        <v>983</v>
      </c>
      <c r="H530" s="2" t="s">
        <v>1022</v>
      </c>
      <c r="I530" s="2"/>
      <c r="J530" s="2" t="s">
        <v>23</v>
      </c>
    </row>
    <row r="531" spans="1:10" ht="21" customHeight="1">
      <c r="A531" s="2" t="s">
        <v>1519</v>
      </c>
      <c r="B531" s="2" t="s">
        <v>23</v>
      </c>
      <c r="C531" s="4">
        <v>45822.25</v>
      </c>
      <c r="D531" s="4">
        <v>45822.250672581024</v>
      </c>
      <c r="E531" s="2">
        <v>2.35</v>
      </c>
      <c r="F531" s="2">
        <v>60.8</v>
      </c>
      <c r="G531" s="2" t="s">
        <v>983</v>
      </c>
      <c r="H531" s="2" t="s">
        <v>984</v>
      </c>
      <c r="I531" s="2"/>
      <c r="J531" s="2" t="s">
        <v>23</v>
      </c>
    </row>
    <row r="532" spans="1:10" ht="21" customHeight="1">
      <c r="A532" s="2" t="s">
        <v>1520</v>
      </c>
      <c r="B532" s="2" t="s">
        <v>23</v>
      </c>
      <c r="C532" s="4">
        <v>45823.25</v>
      </c>
      <c r="D532" s="4">
        <v>45823.250129479165</v>
      </c>
      <c r="E532" s="2">
        <v>2.98</v>
      </c>
      <c r="F532" s="2">
        <v>63.9</v>
      </c>
      <c r="G532" s="2" t="s">
        <v>983</v>
      </c>
      <c r="H532" s="2" t="s">
        <v>984</v>
      </c>
      <c r="I532" s="2"/>
      <c r="J532" s="2" t="s">
        <v>23</v>
      </c>
    </row>
    <row r="533" spans="1:10" ht="21" customHeight="1">
      <c r="A533" s="2" t="s">
        <v>1521</v>
      </c>
      <c r="B533" s="2" t="s">
        <v>23</v>
      </c>
      <c r="C533" s="4">
        <v>45824.25</v>
      </c>
      <c r="D533" s="4">
        <v>45824.250335046294</v>
      </c>
      <c r="E533" s="2">
        <v>2.12</v>
      </c>
      <c r="F533" s="2">
        <v>61.1</v>
      </c>
      <c r="G533" s="2" t="s">
        <v>983</v>
      </c>
      <c r="H533" s="2" t="s">
        <v>984</v>
      </c>
      <c r="I533" s="2"/>
      <c r="J533" s="2" t="s">
        <v>23</v>
      </c>
    </row>
    <row r="534" spans="1:10" ht="21" customHeight="1">
      <c r="A534" s="2" t="s">
        <v>1522</v>
      </c>
      <c r="B534" s="2" t="s">
        <v>23</v>
      </c>
      <c r="C534" s="4">
        <v>45825.25</v>
      </c>
      <c r="D534" s="4">
        <v>45825.250567303243</v>
      </c>
      <c r="E534" s="2">
        <v>2.5299999999999998</v>
      </c>
      <c r="F534" s="2">
        <v>65</v>
      </c>
      <c r="G534" s="2" t="s">
        <v>983</v>
      </c>
      <c r="H534" s="2" t="s">
        <v>984</v>
      </c>
      <c r="I534" s="2"/>
      <c r="J534" s="2" t="s">
        <v>23</v>
      </c>
    </row>
    <row r="535" spans="1:10" ht="21" customHeight="1">
      <c r="A535" s="2" t="s">
        <v>1523</v>
      </c>
      <c r="B535" s="2" t="s">
        <v>1359</v>
      </c>
      <c r="C535" s="4">
        <v>45826.25</v>
      </c>
      <c r="D535" s="4">
        <v>45826.250087222223</v>
      </c>
      <c r="E535" s="2">
        <v>2.69</v>
      </c>
      <c r="F535" s="2">
        <v>65.3</v>
      </c>
      <c r="G535" s="2" t="s">
        <v>983</v>
      </c>
      <c r="H535" s="2" t="s">
        <v>984</v>
      </c>
      <c r="I535" s="2"/>
      <c r="J535" s="2" t="s">
        <v>23</v>
      </c>
    </row>
    <row r="536" spans="1:10" ht="21" customHeight="1">
      <c r="A536" s="2" t="s">
        <v>1524</v>
      </c>
      <c r="B536" s="2" t="s">
        <v>23</v>
      </c>
      <c r="C536" s="4">
        <v>45827.25</v>
      </c>
      <c r="D536" s="4">
        <v>45827.250585428235</v>
      </c>
      <c r="E536" s="2">
        <v>3.28</v>
      </c>
      <c r="F536" s="2">
        <v>61.5</v>
      </c>
      <c r="G536" s="2" t="s">
        <v>983</v>
      </c>
      <c r="H536" s="2" t="s">
        <v>984</v>
      </c>
      <c r="I536" s="2"/>
      <c r="J536" s="2" t="s">
        <v>23</v>
      </c>
    </row>
    <row r="537" spans="1:10" ht="21" customHeight="1">
      <c r="A537" s="2" t="s">
        <v>1525</v>
      </c>
      <c r="B537" s="2" t="s">
        <v>23</v>
      </c>
      <c r="C537" s="4">
        <v>45828.25</v>
      </c>
      <c r="D537" s="4">
        <v>45828.250522453702</v>
      </c>
      <c r="E537" s="2">
        <v>2.86</v>
      </c>
      <c r="F537" s="2">
        <v>62.2</v>
      </c>
      <c r="G537" s="2" t="s">
        <v>983</v>
      </c>
      <c r="H537" s="2" t="s">
        <v>984</v>
      </c>
      <c r="I537" s="2" t="s">
        <v>985</v>
      </c>
      <c r="J537" s="2" t="s">
        <v>23</v>
      </c>
    </row>
    <row r="538" spans="1:10" ht="21" customHeight="1">
      <c r="A538" s="2" t="s">
        <v>1526</v>
      </c>
      <c r="B538" s="2" t="s">
        <v>23</v>
      </c>
      <c r="C538" s="4">
        <v>45829.25</v>
      </c>
      <c r="D538" s="4">
        <v>45829.250527766199</v>
      </c>
      <c r="E538" s="2">
        <v>3.16</v>
      </c>
      <c r="F538" s="2">
        <v>65.7</v>
      </c>
      <c r="G538" s="2" t="s">
        <v>983</v>
      </c>
      <c r="H538" s="2" t="s">
        <v>984</v>
      </c>
      <c r="I538" s="2"/>
      <c r="J538" s="2" t="s">
        <v>23</v>
      </c>
    </row>
    <row r="539" spans="1:10" ht="21" customHeight="1">
      <c r="A539" s="2" t="s">
        <v>1527</v>
      </c>
      <c r="B539" s="2" t="s">
        <v>23</v>
      </c>
      <c r="C539" s="4">
        <v>45830.25</v>
      </c>
      <c r="D539" s="4">
        <v>45830.250508854166</v>
      </c>
      <c r="E539" s="2">
        <v>2.76</v>
      </c>
      <c r="F539" s="2">
        <v>65.599999999999994</v>
      </c>
      <c r="G539" s="2" t="s">
        <v>983</v>
      </c>
      <c r="H539" s="2" t="s">
        <v>984</v>
      </c>
      <c r="I539" s="2"/>
      <c r="J539" s="2" t="s">
        <v>23</v>
      </c>
    </row>
    <row r="540" spans="1:10" ht="21" customHeight="1">
      <c r="A540" s="2" t="s">
        <v>1528</v>
      </c>
      <c r="B540" s="2" t="s">
        <v>23</v>
      </c>
      <c r="C540" s="4">
        <v>45831.25</v>
      </c>
      <c r="D540" s="4">
        <v>45831.25026674768</v>
      </c>
      <c r="E540" s="2">
        <v>2.63</v>
      </c>
      <c r="F540" s="2">
        <v>65.400000000000006</v>
      </c>
      <c r="G540" s="2" t="s">
        <v>983</v>
      </c>
      <c r="H540" s="2" t="s">
        <v>984</v>
      </c>
      <c r="I540" s="2"/>
      <c r="J540" s="2" t="s">
        <v>23</v>
      </c>
    </row>
    <row r="541" spans="1:10" ht="21" customHeight="1">
      <c r="A541" s="2" t="s">
        <v>1529</v>
      </c>
      <c r="B541" s="2" t="s">
        <v>23</v>
      </c>
      <c r="C541" s="4">
        <v>45832.25</v>
      </c>
      <c r="D541" s="4">
        <v>45832.250083460647</v>
      </c>
      <c r="E541" s="2">
        <v>2.23</v>
      </c>
      <c r="F541" s="2">
        <v>65.5</v>
      </c>
      <c r="G541" s="2" t="s">
        <v>983</v>
      </c>
      <c r="H541" s="2" t="s">
        <v>984</v>
      </c>
      <c r="I541" s="2"/>
      <c r="J541" s="2" t="s">
        <v>23</v>
      </c>
    </row>
    <row r="542" spans="1:10" ht="21" customHeight="1">
      <c r="A542" s="2" t="s">
        <v>1530</v>
      </c>
      <c r="B542" s="2" t="s">
        <v>23</v>
      </c>
      <c r="C542" s="4">
        <v>45833.25</v>
      </c>
      <c r="D542" s="4">
        <v>45833.250219421301</v>
      </c>
      <c r="E542" s="2">
        <v>2.21</v>
      </c>
      <c r="F542" s="2">
        <v>64.8</v>
      </c>
      <c r="G542" s="2" t="s">
        <v>983</v>
      </c>
      <c r="H542" s="2" t="s">
        <v>984</v>
      </c>
      <c r="I542" s="2"/>
      <c r="J542" s="2" t="s">
        <v>23</v>
      </c>
    </row>
    <row r="543" spans="1:10" ht="21" customHeight="1">
      <c r="A543" s="2" t="s">
        <v>1531</v>
      </c>
      <c r="B543" s="2" t="s">
        <v>23</v>
      </c>
      <c r="C543" s="4">
        <v>45834.25</v>
      </c>
      <c r="D543" s="4">
        <v>45834.250329629635</v>
      </c>
      <c r="E543" s="2">
        <v>2.58</v>
      </c>
      <c r="F543" s="2">
        <v>65.2</v>
      </c>
      <c r="G543" s="2" t="s">
        <v>983</v>
      </c>
      <c r="H543" s="2" t="s">
        <v>984</v>
      </c>
      <c r="I543" s="2"/>
      <c r="J543" s="2" t="s">
        <v>23</v>
      </c>
    </row>
    <row r="544" spans="1:10" ht="21" customHeight="1">
      <c r="A544" s="2" t="s">
        <v>1532</v>
      </c>
      <c r="B544" s="2" t="s">
        <v>23</v>
      </c>
      <c r="C544" s="4">
        <v>45835.25</v>
      </c>
      <c r="D544" s="4">
        <v>45835.250127430554</v>
      </c>
      <c r="E544" s="2">
        <v>3.25</v>
      </c>
      <c r="F544" s="2">
        <v>59.8</v>
      </c>
      <c r="G544" s="2" t="s">
        <v>983</v>
      </c>
      <c r="H544" s="2" t="s">
        <v>984</v>
      </c>
      <c r="I544" s="2"/>
      <c r="J544" s="2" t="s">
        <v>23</v>
      </c>
    </row>
    <row r="545" spans="1:10" ht="21" customHeight="1">
      <c r="A545" s="2" t="s">
        <v>1533</v>
      </c>
      <c r="B545" s="2" t="s">
        <v>23</v>
      </c>
      <c r="C545" s="4">
        <v>45836.25</v>
      </c>
      <c r="D545" s="4">
        <v>45836.250604050925</v>
      </c>
      <c r="E545" s="2">
        <v>2.5099999999999998</v>
      </c>
      <c r="F545" s="2">
        <v>60.2</v>
      </c>
      <c r="G545" s="2" t="s">
        <v>983</v>
      </c>
      <c r="H545" s="2" t="s">
        <v>984</v>
      </c>
      <c r="I545" s="2"/>
      <c r="J545" s="2" t="s">
        <v>23</v>
      </c>
    </row>
    <row r="546" spans="1:10" ht="21" customHeight="1">
      <c r="A546" s="2" t="s">
        <v>1534</v>
      </c>
      <c r="B546" s="2" t="s">
        <v>23</v>
      </c>
      <c r="C546" s="4">
        <v>45837.25</v>
      </c>
      <c r="D546" s="4">
        <v>45837.250673217597</v>
      </c>
      <c r="E546" s="2">
        <v>2.19</v>
      </c>
      <c r="F546" s="2">
        <v>59</v>
      </c>
      <c r="G546" s="2" t="s">
        <v>983</v>
      </c>
      <c r="H546" s="2" t="s">
        <v>984</v>
      </c>
      <c r="I546" s="2"/>
      <c r="J546" s="2" t="s">
        <v>23</v>
      </c>
    </row>
    <row r="547" spans="1:10" ht="21" customHeight="1">
      <c r="A547" s="2" t="s">
        <v>1535</v>
      </c>
      <c r="B547" s="2" t="s">
        <v>23</v>
      </c>
      <c r="C547" s="4">
        <v>45838.25</v>
      </c>
      <c r="D547" s="4">
        <v>45838.250440902775</v>
      </c>
      <c r="E547" s="2">
        <v>2.35</v>
      </c>
      <c r="F547" s="2">
        <v>64.599999999999994</v>
      </c>
      <c r="G547" s="2" t="s">
        <v>983</v>
      </c>
      <c r="H547" s="2" t="s">
        <v>984</v>
      </c>
      <c r="I547" s="2"/>
      <c r="J547" s="2" t="s">
        <v>23</v>
      </c>
    </row>
    <row r="548" spans="1:10" ht="21" customHeight="1">
      <c r="A548" s="2" t="s">
        <v>1536</v>
      </c>
      <c r="B548" s="2" t="s">
        <v>23</v>
      </c>
      <c r="C548" s="4">
        <v>45839.25</v>
      </c>
      <c r="D548" s="4">
        <v>45839.250692754635</v>
      </c>
      <c r="E548" s="2">
        <v>2.4300000000000002</v>
      </c>
      <c r="F548" s="2">
        <v>63.6</v>
      </c>
      <c r="G548" s="2" t="s">
        <v>983</v>
      </c>
      <c r="H548" s="2" t="s">
        <v>984</v>
      </c>
      <c r="I548" s="2"/>
      <c r="J548" s="2" t="s">
        <v>23</v>
      </c>
    </row>
    <row r="549" spans="1:10" ht="21" customHeight="1">
      <c r="A549" s="2" t="s">
        <v>1537</v>
      </c>
      <c r="B549" s="2" t="s">
        <v>23</v>
      </c>
      <c r="C549" s="4">
        <v>45840.25</v>
      </c>
      <c r="D549" s="4">
        <v>45840.250300613421</v>
      </c>
      <c r="E549" s="2">
        <v>22.49</v>
      </c>
      <c r="F549" s="2">
        <v>60</v>
      </c>
      <c r="G549" s="2" t="s">
        <v>983</v>
      </c>
      <c r="H549" s="2" t="s">
        <v>1022</v>
      </c>
      <c r="I549" s="2"/>
      <c r="J549" s="2" t="s">
        <v>23</v>
      </c>
    </row>
    <row r="550" spans="1:10" ht="21" customHeight="1">
      <c r="A550" s="2" t="s">
        <v>1538</v>
      </c>
      <c r="B550" s="2" t="s">
        <v>23</v>
      </c>
      <c r="C550" s="4">
        <v>45841.25</v>
      </c>
      <c r="D550" s="4">
        <v>45841.250344155094</v>
      </c>
      <c r="E550" s="2">
        <v>4.87</v>
      </c>
      <c r="F550" s="2">
        <v>71.599999999999994</v>
      </c>
      <c r="G550" s="2" t="s">
        <v>983</v>
      </c>
      <c r="H550" s="2" t="s">
        <v>984</v>
      </c>
      <c r="I550" s="2"/>
      <c r="J550" s="2" t="s">
        <v>23</v>
      </c>
    </row>
    <row r="551" spans="1:10" ht="21" customHeight="1">
      <c r="A551" s="2" t="s">
        <v>1539</v>
      </c>
      <c r="B551" s="2" t="s">
        <v>23</v>
      </c>
      <c r="C551" s="4">
        <v>45842.25</v>
      </c>
      <c r="D551" s="4">
        <v>45842.250120509256</v>
      </c>
      <c r="E551" s="2">
        <v>5.69</v>
      </c>
      <c r="F551" s="2">
        <v>68.099999999999994</v>
      </c>
      <c r="G551" s="2" t="s">
        <v>983</v>
      </c>
      <c r="H551" s="2" t="s">
        <v>984</v>
      </c>
      <c r="I551" s="2" t="s">
        <v>1053</v>
      </c>
      <c r="J551" s="2" t="s">
        <v>23</v>
      </c>
    </row>
    <row r="552" spans="1:10" ht="21" customHeight="1">
      <c r="A552" s="2" t="s">
        <v>1540</v>
      </c>
      <c r="B552" s="2" t="s">
        <v>23</v>
      </c>
      <c r="C552" s="4">
        <v>45843.25</v>
      </c>
      <c r="D552" s="4">
        <v>45843.250153252317</v>
      </c>
      <c r="E552" s="2">
        <v>4.8899999999999997</v>
      </c>
      <c r="F552" s="2">
        <v>65.7</v>
      </c>
      <c r="G552" s="2" t="s">
        <v>983</v>
      </c>
      <c r="H552" s="2" t="s">
        <v>984</v>
      </c>
      <c r="I552" s="2"/>
      <c r="J552" s="2" t="s">
        <v>23</v>
      </c>
    </row>
    <row r="553" spans="1:10" ht="21" customHeight="1">
      <c r="A553" s="2" t="s">
        <v>1541</v>
      </c>
      <c r="B553" s="2" t="s">
        <v>23</v>
      </c>
      <c r="C553" s="4">
        <v>45844.25</v>
      </c>
      <c r="D553" s="4">
        <v>45844.25049987268</v>
      </c>
      <c r="E553" s="2">
        <v>0</v>
      </c>
      <c r="F553" s="2">
        <v>59.6</v>
      </c>
      <c r="G553" s="2" t="s">
        <v>1175</v>
      </c>
      <c r="H553" s="2" t="s">
        <v>984</v>
      </c>
      <c r="I553" s="2"/>
      <c r="J553" s="2" t="s">
        <v>23</v>
      </c>
    </row>
    <row r="554" spans="1:10" ht="21" customHeight="1">
      <c r="A554" s="2" t="s">
        <v>1542</v>
      </c>
      <c r="B554" s="2" t="s">
        <v>23</v>
      </c>
      <c r="C554" s="4">
        <v>45845.25</v>
      </c>
      <c r="D554" s="4">
        <v>45845.250477511574</v>
      </c>
      <c r="E554" s="2">
        <v>2.33</v>
      </c>
      <c r="F554" s="2">
        <v>64.7</v>
      </c>
      <c r="G554" s="2" t="s">
        <v>983</v>
      </c>
      <c r="H554" s="2" t="s">
        <v>984</v>
      </c>
      <c r="I554" s="2" t="s">
        <v>985</v>
      </c>
      <c r="J554" s="2" t="s">
        <v>23</v>
      </c>
    </row>
    <row r="555" spans="1:10" ht="21" customHeight="1">
      <c r="A555" s="2" t="s">
        <v>1543</v>
      </c>
      <c r="B555" s="2" t="s">
        <v>23</v>
      </c>
      <c r="C555" s="4">
        <v>45846.25</v>
      </c>
      <c r="D555" s="4">
        <v>45846.250246793978</v>
      </c>
      <c r="E555" s="2">
        <v>2.74</v>
      </c>
      <c r="F555" s="2">
        <v>59</v>
      </c>
      <c r="G555" s="2" t="s">
        <v>983</v>
      </c>
      <c r="H555" s="2" t="s">
        <v>984</v>
      </c>
      <c r="I555" s="2"/>
      <c r="J555" s="2" t="s">
        <v>23</v>
      </c>
    </row>
    <row r="556" spans="1:10" ht="21" customHeight="1">
      <c r="A556" s="2" t="s">
        <v>1544</v>
      </c>
      <c r="B556" s="2" t="s">
        <v>23</v>
      </c>
      <c r="C556" s="4">
        <v>45847.25</v>
      </c>
      <c r="D556" s="4">
        <v>45847.250600752319</v>
      </c>
      <c r="E556" s="2">
        <v>2.46</v>
      </c>
      <c r="F556" s="2">
        <v>61</v>
      </c>
      <c r="G556" s="2" t="s">
        <v>983</v>
      </c>
      <c r="H556" s="2" t="s">
        <v>984</v>
      </c>
      <c r="I556" s="2"/>
      <c r="J556" s="2" t="s">
        <v>23</v>
      </c>
    </row>
    <row r="557" spans="1:10" ht="21" customHeight="1">
      <c r="A557" s="2" t="s">
        <v>1545</v>
      </c>
      <c r="B557" s="2" t="s">
        <v>23</v>
      </c>
      <c r="C557" s="4">
        <v>45848.25</v>
      </c>
      <c r="D557" s="4">
        <v>45848.250162083335</v>
      </c>
      <c r="E557" s="2">
        <v>3.2</v>
      </c>
      <c r="F557" s="2">
        <v>65.900000000000006</v>
      </c>
      <c r="G557" s="2" t="s">
        <v>983</v>
      </c>
      <c r="H557" s="2" t="s">
        <v>984</v>
      </c>
      <c r="I557" s="2"/>
      <c r="J557" s="2" t="s">
        <v>23</v>
      </c>
    </row>
    <row r="558" spans="1:10" ht="21" customHeight="1">
      <c r="A558" s="2" t="s">
        <v>1546</v>
      </c>
      <c r="B558" s="2" t="s">
        <v>23</v>
      </c>
      <c r="C558" s="4">
        <v>45849.25</v>
      </c>
      <c r="D558" s="4">
        <v>45849.250273761572</v>
      </c>
      <c r="E558" s="2">
        <v>3.14</v>
      </c>
      <c r="F558" s="2">
        <v>64.3</v>
      </c>
      <c r="G558" s="2" t="s">
        <v>983</v>
      </c>
      <c r="H558" s="2" t="s">
        <v>984</v>
      </c>
      <c r="I558" s="2"/>
      <c r="J558" s="2" t="s">
        <v>23</v>
      </c>
    </row>
    <row r="559" spans="1:10" ht="21" customHeight="1">
      <c r="A559" s="2" t="s">
        <v>1547</v>
      </c>
      <c r="B559" s="2" t="s">
        <v>23</v>
      </c>
      <c r="C559" s="4">
        <v>45850.25</v>
      </c>
      <c r="D559" s="4">
        <v>45850.250029178242</v>
      </c>
      <c r="E559" s="2">
        <v>3.27</v>
      </c>
      <c r="F559" s="2">
        <v>61.5</v>
      </c>
      <c r="G559" s="2" t="s">
        <v>983</v>
      </c>
      <c r="H559" s="2" t="s">
        <v>984</v>
      </c>
      <c r="I559" s="2"/>
      <c r="J559" s="2" t="s">
        <v>23</v>
      </c>
    </row>
    <row r="560" spans="1:10" ht="21" customHeight="1">
      <c r="A560" s="2" t="s">
        <v>1548</v>
      </c>
      <c r="B560" s="2" t="s">
        <v>23</v>
      </c>
      <c r="C560" s="4">
        <v>45851.25</v>
      </c>
      <c r="D560" s="4">
        <v>45851.250086261571</v>
      </c>
      <c r="E560" s="2">
        <v>3.17</v>
      </c>
      <c r="F560" s="2">
        <v>63.2</v>
      </c>
      <c r="G560" s="2" t="s">
        <v>983</v>
      </c>
      <c r="H560" s="2" t="s">
        <v>984</v>
      </c>
      <c r="I560" s="2"/>
      <c r="J560" s="2" t="s">
        <v>23</v>
      </c>
    </row>
    <row r="561" spans="1:10" ht="21" customHeight="1">
      <c r="A561" s="2" t="s">
        <v>1549</v>
      </c>
      <c r="B561" s="2" t="s">
        <v>23</v>
      </c>
      <c r="C561" s="4">
        <v>45852.25</v>
      </c>
      <c r="D561" s="4">
        <v>45852.250450902779</v>
      </c>
      <c r="E561" s="2">
        <v>2.89</v>
      </c>
      <c r="F561" s="2">
        <v>63.3</v>
      </c>
      <c r="G561" s="2" t="s">
        <v>983</v>
      </c>
      <c r="H561" s="2" t="s">
        <v>984</v>
      </c>
      <c r="I561" s="2"/>
      <c r="J561" s="2" t="s">
        <v>23</v>
      </c>
    </row>
    <row r="562" spans="1:10" ht="21" customHeight="1">
      <c r="A562" s="2" t="s">
        <v>1550</v>
      </c>
      <c r="B562" s="2" t="s">
        <v>23</v>
      </c>
      <c r="C562" s="4">
        <v>45853.25</v>
      </c>
      <c r="D562" s="4">
        <v>45853.250043043983</v>
      </c>
      <c r="E562" s="2">
        <v>3.1</v>
      </c>
      <c r="F562" s="2">
        <v>61</v>
      </c>
      <c r="G562" s="2" t="s">
        <v>983</v>
      </c>
      <c r="H562" s="2" t="s">
        <v>984</v>
      </c>
      <c r="I562" s="2"/>
      <c r="J562" s="2" t="s">
        <v>23</v>
      </c>
    </row>
    <row r="563" spans="1:10" ht="21" customHeight="1">
      <c r="A563" s="2" t="s">
        <v>1551</v>
      </c>
      <c r="B563" s="2" t="s">
        <v>23</v>
      </c>
      <c r="C563" s="4">
        <v>45854.25</v>
      </c>
      <c r="D563" s="4">
        <v>45854.25003628472</v>
      </c>
      <c r="E563" s="2">
        <v>3.23</v>
      </c>
      <c r="F563" s="2">
        <v>60.5</v>
      </c>
      <c r="G563" s="2" t="s">
        <v>983</v>
      </c>
      <c r="H563" s="2" t="s">
        <v>984</v>
      </c>
      <c r="I563" s="2"/>
      <c r="J563" s="2" t="s">
        <v>23</v>
      </c>
    </row>
    <row r="564" spans="1:10" ht="21" customHeight="1">
      <c r="A564" s="2" t="s">
        <v>1552</v>
      </c>
      <c r="B564" s="2" t="s">
        <v>23</v>
      </c>
      <c r="C564" s="4">
        <v>45855.25</v>
      </c>
      <c r="D564" s="4">
        <v>45855.250081481485</v>
      </c>
      <c r="E564" s="2">
        <v>3.1</v>
      </c>
      <c r="F564" s="2">
        <v>64.099999999999994</v>
      </c>
      <c r="G564" s="2" t="s">
        <v>983</v>
      </c>
      <c r="H564" s="2" t="s">
        <v>984</v>
      </c>
      <c r="I564" s="2"/>
      <c r="J564" s="2" t="s">
        <v>23</v>
      </c>
    </row>
    <row r="565" spans="1:10" ht="21" customHeight="1">
      <c r="A565" s="2" t="s">
        <v>1553</v>
      </c>
      <c r="B565" s="2" t="s">
        <v>23</v>
      </c>
      <c r="C565" s="4">
        <v>45856.25</v>
      </c>
      <c r="D565" s="4">
        <v>45856.250064548614</v>
      </c>
      <c r="E565" s="2">
        <v>2.4900000000000002</v>
      </c>
      <c r="F565" s="2">
        <v>60.3</v>
      </c>
      <c r="G565" s="2" t="s">
        <v>983</v>
      </c>
      <c r="H565" s="2" t="s">
        <v>984</v>
      </c>
      <c r="I565" s="2"/>
      <c r="J565" s="2" t="s">
        <v>23</v>
      </c>
    </row>
    <row r="566" spans="1:10" ht="21" customHeight="1">
      <c r="A566" s="2" t="s">
        <v>1554</v>
      </c>
      <c r="B566" s="2" t="s">
        <v>23</v>
      </c>
      <c r="C566" s="4">
        <v>45857.25</v>
      </c>
      <c r="D566" s="4">
        <v>45857.250590972224</v>
      </c>
      <c r="E566" s="2">
        <v>3.18</v>
      </c>
      <c r="F566" s="2">
        <v>63</v>
      </c>
      <c r="G566" s="2" t="s">
        <v>983</v>
      </c>
      <c r="H566" s="2" t="s">
        <v>984</v>
      </c>
      <c r="I566" s="2"/>
      <c r="J566" s="2" t="s">
        <v>23</v>
      </c>
    </row>
    <row r="567" spans="1:10" ht="21" customHeight="1">
      <c r="A567" s="2" t="s">
        <v>1555</v>
      </c>
      <c r="B567" s="2" t="s">
        <v>23</v>
      </c>
      <c r="C567" s="4">
        <v>45858.25</v>
      </c>
      <c r="D567" s="4">
        <v>45858.25031747685</v>
      </c>
      <c r="E567" s="2">
        <v>2.63</v>
      </c>
      <c r="F567" s="2">
        <v>59.2</v>
      </c>
      <c r="G567" s="2" t="s">
        <v>983</v>
      </c>
      <c r="H567" s="2" t="s">
        <v>984</v>
      </c>
      <c r="I567" s="2"/>
      <c r="J567" s="2" t="s">
        <v>23</v>
      </c>
    </row>
    <row r="568" spans="1:10" ht="21" customHeight="1">
      <c r="A568" s="2" t="s">
        <v>1556</v>
      </c>
      <c r="B568" s="2" t="s">
        <v>23</v>
      </c>
      <c r="C568" s="4">
        <v>45859.25</v>
      </c>
      <c r="D568" s="4">
        <v>45859.250273761572</v>
      </c>
      <c r="E568" s="2">
        <v>2.63</v>
      </c>
      <c r="F568" s="2">
        <v>63.4</v>
      </c>
      <c r="G568" s="2" t="s">
        <v>983</v>
      </c>
      <c r="H568" s="2" t="s">
        <v>984</v>
      </c>
      <c r="I568" s="2"/>
      <c r="J568" s="2" t="s">
        <v>23</v>
      </c>
    </row>
    <row r="569" spans="1:10" ht="21" customHeight="1">
      <c r="A569" s="2" t="s">
        <v>1557</v>
      </c>
      <c r="B569" s="2" t="s">
        <v>23</v>
      </c>
      <c r="C569" s="4">
        <v>45860.25</v>
      </c>
      <c r="D569" s="4">
        <v>45860.250644907406</v>
      </c>
      <c r="E569" s="2">
        <v>2.21</v>
      </c>
      <c r="F569" s="2">
        <v>62.7</v>
      </c>
      <c r="G569" s="2" t="s">
        <v>983</v>
      </c>
      <c r="H569" s="2" t="s">
        <v>984</v>
      </c>
      <c r="I569" s="2"/>
      <c r="J569" s="2" t="s">
        <v>23</v>
      </c>
    </row>
    <row r="570" spans="1:10" ht="21" customHeight="1">
      <c r="A570" s="2" t="s">
        <v>1558</v>
      </c>
      <c r="B570" s="2" t="s">
        <v>23</v>
      </c>
      <c r="C570" s="4">
        <v>45861.25</v>
      </c>
      <c r="D570" s="4">
        <v>45861.250211180552</v>
      </c>
      <c r="E570" s="2">
        <v>2.23</v>
      </c>
      <c r="F570" s="2">
        <v>65.900000000000006</v>
      </c>
      <c r="G570" s="2" t="s">
        <v>983</v>
      </c>
      <c r="H570" s="2" t="s">
        <v>984</v>
      </c>
      <c r="I570" s="2"/>
      <c r="J570" s="2" t="s">
        <v>23</v>
      </c>
    </row>
    <row r="571" spans="1:10" ht="21" customHeight="1">
      <c r="A571" s="2" t="s">
        <v>1559</v>
      </c>
      <c r="B571" s="2" t="s">
        <v>23</v>
      </c>
      <c r="C571" s="4">
        <v>45862.25</v>
      </c>
      <c r="D571" s="4">
        <v>45862.250126342595</v>
      </c>
      <c r="E571" s="2">
        <v>3.11</v>
      </c>
      <c r="F571" s="2">
        <v>62</v>
      </c>
      <c r="G571" s="2" t="s">
        <v>983</v>
      </c>
      <c r="H571" s="2" t="s">
        <v>984</v>
      </c>
      <c r="I571" s="2" t="s">
        <v>985</v>
      </c>
      <c r="J571" s="2" t="s">
        <v>23</v>
      </c>
    </row>
    <row r="572" spans="1:10" ht="21" customHeight="1">
      <c r="A572" s="2" t="s">
        <v>1560</v>
      </c>
      <c r="B572" s="2" t="s">
        <v>23</v>
      </c>
      <c r="C572" s="4">
        <v>45863.25</v>
      </c>
      <c r="D572" s="4">
        <v>45863.250630706018</v>
      </c>
      <c r="E572" s="2">
        <v>2.15</v>
      </c>
      <c r="F572" s="2">
        <v>60.3</v>
      </c>
      <c r="G572" s="2" t="s">
        <v>983</v>
      </c>
      <c r="H572" s="2" t="s">
        <v>984</v>
      </c>
      <c r="I572" s="2"/>
      <c r="J572" s="2" t="s">
        <v>23</v>
      </c>
    </row>
    <row r="573" spans="1:10" ht="21" customHeight="1">
      <c r="A573" s="2" t="s">
        <v>1561</v>
      </c>
      <c r="B573" s="2" t="s">
        <v>23</v>
      </c>
      <c r="C573" s="4">
        <v>45864.25</v>
      </c>
      <c r="D573" s="4">
        <v>45864.25064849537</v>
      </c>
      <c r="E573" s="2">
        <v>26.44</v>
      </c>
      <c r="F573" s="2">
        <v>63.9</v>
      </c>
      <c r="G573" s="2" t="s">
        <v>983</v>
      </c>
      <c r="H573" s="2" t="s">
        <v>1022</v>
      </c>
      <c r="I573" s="2"/>
      <c r="J573" s="2" t="s">
        <v>23</v>
      </c>
    </row>
    <row r="574" spans="1:10" ht="21" customHeight="1">
      <c r="A574" s="2" t="s">
        <v>1562</v>
      </c>
      <c r="B574" s="2" t="s">
        <v>23</v>
      </c>
      <c r="C574" s="4">
        <v>45865.25</v>
      </c>
      <c r="D574" s="4">
        <v>45865.250494027779</v>
      </c>
      <c r="E574" s="2">
        <v>2.72</v>
      </c>
      <c r="F574" s="2">
        <v>65.400000000000006</v>
      </c>
      <c r="G574" s="2" t="s">
        <v>983</v>
      </c>
      <c r="H574" s="2" t="s">
        <v>984</v>
      </c>
      <c r="I574" s="2"/>
      <c r="J574" s="2" t="s">
        <v>23</v>
      </c>
    </row>
    <row r="575" spans="1:10" ht="21" customHeight="1">
      <c r="A575" s="2" t="s">
        <v>1563</v>
      </c>
      <c r="B575" s="2" t="s">
        <v>23</v>
      </c>
      <c r="C575" s="4">
        <v>45866.25</v>
      </c>
      <c r="D575" s="4">
        <v>45866.250053773147</v>
      </c>
      <c r="E575" s="2"/>
      <c r="F575" s="2"/>
      <c r="G575" s="2" t="s">
        <v>983</v>
      </c>
      <c r="H575" s="2" t="s">
        <v>1066</v>
      </c>
      <c r="I575" s="2"/>
      <c r="J575" s="2" t="s">
        <v>23</v>
      </c>
    </row>
    <row r="576" spans="1:10" ht="21" customHeight="1">
      <c r="A576" s="2" t="s">
        <v>1564</v>
      </c>
      <c r="B576" s="2" t="s">
        <v>1359</v>
      </c>
      <c r="C576" s="4">
        <v>45867.25</v>
      </c>
      <c r="D576" s="4">
        <v>45867.250471435182</v>
      </c>
      <c r="E576" s="2">
        <v>2.46</v>
      </c>
      <c r="F576" s="2">
        <v>63.9</v>
      </c>
      <c r="G576" s="2" t="s">
        <v>983</v>
      </c>
      <c r="H576" s="2" t="s">
        <v>984</v>
      </c>
      <c r="I576" s="2"/>
      <c r="J576" s="2" t="s">
        <v>23</v>
      </c>
    </row>
    <row r="577" spans="1:10" ht="21" customHeight="1">
      <c r="A577" s="2" t="s">
        <v>1565</v>
      </c>
      <c r="B577" s="2" t="s">
        <v>23</v>
      </c>
      <c r="C577" s="4">
        <v>45868.25</v>
      </c>
      <c r="D577" s="4">
        <v>45868.250666608801</v>
      </c>
      <c r="E577" s="2">
        <v>2.36</v>
      </c>
      <c r="F577" s="2">
        <v>64</v>
      </c>
      <c r="G577" s="2" t="s">
        <v>983</v>
      </c>
      <c r="H577" s="2" t="s">
        <v>984</v>
      </c>
      <c r="I577" s="2"/>
      <c r="J577" s="2" t="s">
        <v>23</v>
      </c>
    </row>
    <row r="578" spans="1:10" ht="21" customHeight="1">
      <c r="A578" s="2" t="s">
        <v>1566</v>
      </c>
      <c r="B578" s="2" t="s">
        <v>23</v>
      </c>
      <c r="C578" s="4">
        <v>45869.25</v>
      </c>
      <c r="D578" s="4">
        <v>45869.250247129632</v>
      </c>
      <c r="E578" s="2">
        <v>3.29</v>
      </c>
      <c r="F578" s="2">
        <v>65.3</v>
      </c>
      <c r="G578" s="2" t="s">
        <v>983</v>
      </c>
      <c r="H578" s="2" t="s">
        <v>984</v>
      </c>
      <c r="I578" s="2"/>
      <c r="J578" s="2" t="s">
        <v>23</v>
      </c>
    </row>
    <row r="579" spans="1:10" ht="21" customHeight="1">
      <c r="A579" s="2" t="s">
        <v>1567</v>
      </c>
      <c r="B579" s="2" t="s">
        <v>23</v>
      </c>
      <c r="C579" s="4">
        <v>45870.25</v>
      </c>
      <c r="D579" s="4">
        <v>45870.250666944441</v>
      </c>
      <c r="E579" s="2">
        <v>3</v>
      </c>
      <c r="F579" s="2">
        <v>62.5</v>
      </c>
      <c r="G579" s="2" t="s">
        <v>983</v>
      </c>
      <c r="H579" s="2" t="s">
        <v>984</v>
      </c>
      <c r="I579" s="2"/>
      <c r="J579" s="2" t="s">
        <v>23</v>
      </c>
    </row>
    <row r="580" spans="1:10" ht="21" customHeight="1">
      <c r="A580" s="2" t="s">
        <v>1568</v>
      </c>
      <c r="B580" s="2" t="s">
        <v>23</v>
      </c>
      <c r="C580" s="4">
        <v>45871.25</v>
      </c>
      <c r="D580" s="4">
        <v>45871.250247696764</v>
      </c>
      <c r="E580" s="2">
        <v>2.64</v>
      </c>
      <c r="F580" s="2">
        <v>58.4</v>
      </c>
      <c r="G580" s="2" t="s">
        <v>983</v>
      </c>
      <c r="H580" s="2" t="s">
        <v>984</v>
      </c>
      <c r="I580" s="2"/>
      <c r="J580" s="2" t="s">
        <v>23</v>
      </c>
    </row>
    <row r="581" spans="1:10" ht="21" customHeight="1">
      <c r="A581" s="2" t="s">
        <v>1569</v>
      </c>
      <c r="B581" s="2" t="s">
        <v>23</v>
      </c>
      <c r="C581" s="4">
        <v>45872.25</v>
      </c>
      <c r="D581" s="4">
        <v>45872.250243553237</v>
      </c>
      <c r="E581" s="2">
        <v>2.84</v>
      </c>
      <c r="F581" s="2">
        <v>58.9</v>
      </c>
      <c r="G581" s="2" t="s">
        <v>983</v>
      </c>
      <c r="H581" s="2" t="s">
        <v>984</v>
      </c>
      <c r="I581" s="2"/>
      <c r="J581" s="2" t="s">
        <v>23</v>
      </c>
    </row>
    <row r="582" spans="1:10" ht="21" customHeight="1">
      <c r="A582" s="2" t="s">
        <v>1570</v>
      </c>
      <c r="B582" s="2" t="s">
        <v>23</v>
      </c>
      <c r="C582" s="4">
        <v>45873.25</v>
      </c>
      <c r="D582" s="4">
        <v>45873.250668645836</v>
      </c>
      <c r="E582" s="2">
        <v>2.63</v>
      </c>
      <c r="F582" s="2">
        <v>59.1</v>
      </c>
      <c r="G582" s="2" t="s">
        <v>983</v>
      </c>
      <c r="H582" s="2" t="s">
        <v>984</v>
      </c>
      <c r="I582" s="2"/>
      <c r="J582" s="2" t="s">
        <v>23</v>
      </c>
    </row>
    <row r="583" spans="1:10" ht="21" customHeight="1">
      <c r="A583" s="2" t="s">
        <v>1571</v>
      </c>
      <c r="B583" s="2" t="s">
        <v>23</v>
      </c>
      <c r="C583" s="4">
        <v>45874.25</v>
      </c>
      <c r="D583" s="4">
        <v>45874.250558993052</v>
      </c>
      <c r="E583" s="2">
        <v>3.14</v>
      </c>
      <c r="F583" s="2">
        <v>63.2</v>
      </c>
      <c r="G583" s="2" t="s">
        <v>983</v>
      </c>
      <c r="H583" s="2" t="s">
        <v>984</v>
      </c>
      <c r="I583" s="2"/>
      <c r="J583" s="2" t="s">
        <v>23</v>
      </c>
    </row>
    <row r="584" spans="1:10" ht="21" customHeight="1">
      <c r="A584" s="2" t="s">
        <v>1572</v>
      </c>
      <c r="B584" s="2" t="s">
        <v>23</v>
      </c>
      <c r="C584" s="4">
        <v>45875.25</v>
      </c>
      <c r="D584" s="4">
        <v>45875.250297789353</v>
      </c>
      <c r="E584" s="2">
        <v>2.77</v>
      </c>
      <c r="F584" s="2">
        <v>60.1</v>
      </c>
      <c r="G584" s="2" t="s">
        <v>983</v>
      </c>
      <c r="H584" s="2" t="s">
        <v>984</v>
      </c>
      <c r="I584" s="2"/>
      <c r="J584" s="2" t="s">
        <v>23</v>
      </c>
    </row>
    <row r="585" spans="1:10" ht="21" customHeight="1">
      <c r="A585" s="2" t="s">
        <v>1573</v>
      </c>
      <c r="B585" s="2" t="s">
        <v>23</v>
      </c>
      <c r="C585" s="4">
        <v>45876.25</v>
      </c>
      <c r="D585" s="4">
        <v>45876.250626354165</v>
      </c>
      <c r="E585" s="2">
        <v>21.76</v>
      </c>
      <c r="F585" s="2">
        <v>58</v>
      </c>
      <c r="G585" s="2" t="s">
        <v>983</v>
      </c>
      <c r="H585" s="2" t="s">
        <v>1022</v>
      </c>
      <c r="I585" s="2"/>
      <c r="J585" s="2" t="s">
        <v>23</v>
      </c>
    </row>
    <row r="586" spans="1:10" ht="21" customHeight="1">
      <c r="A586" s="2" t="s">
        <v>1574</v>
      </c>
      <c r="B586" s="2" t="s">
        <v>23</v>
      </c>
      <c r="C586" s="4">
        <v>45877.25</v>
      </c>
      <c r="D586" s="4">
        <v>45877.250593287041</v>
      </c>
      <c r="E586" s="2">
        <v>2.4700000000000002</v>
      </c>
      <c r="F586" s="2">
        <v>59.8</v>
      </c>
      <c r="G586" s="2" t="s">
        <v>983</v>
      </c>
      <c r="H586" s="2" t="s">
        <v>984</v>
      </c>
      <c r="I586" s="2"/>
      <c r="J586" s="2" t="s">
        <v>23</v>
      </c>
    </row>
    <row r="587" spans="1:10" ht="21" customHeight="1">
      <c r="A587" s="2" t="s">
        <v>1575</v>
      </c>
      <c r="B587" s="2" t="s">
        <v>23</v>
      </c>
      <c r="C587" s="4">
        <v>45878.25</v>
      </c>
      <c r="D587" s="4">
        <v>45878.250492245366</v>
      </c>
      <c r="E587" s="2">
        <v>21.99</v>
      </c>
      <c r="F587" s="2">
        <v>61.4</v>
      </c>
      <c r="G587" s="2" t="s">
        <v>983</v>
      </c>
      <c r="H587" s="2" t="s">
        <v>1022</v>
      </c>
      <c r="I587" s="2"/>
      <c r="J587" s="2" t="s">
        <v>23</v>
      </c>
    </row>
    <row r="588" spans="1:10" ht="21" customHeight="1">
      <c r="A588" s="2" t="s">
        <v>1576</v>
      </c>
      <c r="B588" s="2" t="s">
        <v>23</v>
      </c>
      <c r="C588" s="4">
        <v>45879.25</v>
      </c>
      <c r="D588" s="4">
        <v>45879.250187071761</v>
      </c>
      <c r="E588" s="2">
        <v>2.81</v>
      </c>
      <c r="F588" s="2">
        <v>62.8</v>
      </c>
      <c r="G588" s="2" t="s">
        <v>983</v>
      </c>
      <c r="H588" s="2" t="s">
        <v>984</v>
      </c>
      <c r="I588" s="2" t="s">
        <v>985</v>
      </c>
      <c r="J588" s="2" t="s">
        <v>23</v>
      </c>
    </row>
    <row r="589" spans="1:10" ht="21" customHeight="1">
      <c r="A589" s="2" t="s">
        <v>1577</v>
      </c>
      <c r="B589" s="2" t="s">
        <v>23</v>
      </c>
      <c r="C589" s="4">
        <v>45880.25</v>
      </c>
      <c r="D589" s="4">
        <v>45880.250050532406</v>
      </c>
      <c r="E589" s="2">
        <v>2.71</v>
      </c>
      <c r="F589" s="2">
        <v>63.7</v>
      </c>
      <c r="G589" s="2" t="s">
        <v>983</v>
      </c>
      <c r="H589" s="2" t="s">
        <v>984</v>
      </c>
      <c r="I589" s="2"/>
      <c r="J589" s="2" t="s">
        <v>23</v>
      </c>
    </row>
    <row r="590" spans="1:10" ht="21" customHeight="1">
      <c r="A590" s="2" t="s">
        <v>1578</v>
      </c>
      <c r="B590" s="2" t="s">
        <v>23</v>
      </c>
      <c r="C590" s="4">
        <v>45881.25</v>
      </c>
      <c r="D590" s="4">
        <v>45881.250274999999</v>
      </c>
      <c r="E590" s="2"/>
      <c r="F590" s="2"/>
      <c r="G590" s="2" t="s">
        <v>983</v>
      </c>
      <c r="H590" s="2" t="s">
        <v>1066</v>
      </c>
      <c r="I590" s="2"/>
      <c r="J590" s="2" t="s">
        <v>23</v>
      </c>
    </row>
    <row r="591" spans="1:10" ht="21" customHeight="1">
      <c r="A591" s="2" t="s">
        <v>1579</v>
      </c>
      <c r="B591" s="2" t="s">
        <v>23</v>
      </c>
      <c r="C591" s="4">
        <v>45882.25</v>
      </c>
      <c r="D591" s="4">
        <v>45882.250560312503</v>
      </c>
      <c r="E591" s="2">
        <v>3.25</v>
      </c>
      <c r="F591" s="2">
        <v>62.2</v>
      </c>
      <c r="G591" s="2" t="s">
        <v>983</v>
      </c>
      <c r="H591" s="2" t="s">
        <v>984</v>
      </c>
      <c r="I591" s="2"/>
      <c r="J591" s="2" t="s">
        <v>23</v>
      </c>
    </row>
    <row r="592" spans="1:10" ht="21" customHeight="1">
      <c r="A592" s="2" t="s">
        <v>1580</v>
      </c>
      <c r="B592" s="2" t="s">
        <v>23</v>
      </c>
      <c r="C592" s="4">
        <v>45883.25</v>
      </c>
      <c r="D592" s="4">
        <v>45883.250523078706</v>
      </c>
      <c r="E592" s="2">
        <v>3.2</v>
      </c>
      <c r="F592" s="2">
        <v>59.6</v>
      </c>
      <c r="G592" s="2" t="s">
        <v>983</v>
      </c>
      <c r="H592" s="2" t="s">
        <v>984</v>
      </c>
      <c r="I592" s="2"/>
      <c r="J592" s="2" t="s">
        <v>23</v>
      </c>
    </row>
    <row r="593" spans="1:10" ht="21" customHeight="1">
      <c r="A593" s="2" t="s">
        <v>1581</v>
      </c>
      <c r="B593" s="2" t="s">
        <v>23</v>
      </c>
      <c r="C593" s="4">
        <v>45884.25</v>
      </c>
      <c r="D593" s="4">
        <v>45884.250268379634</v>
      </c>
      <c r="E593" s="2">
        <v>2.31</v>
      </c>
      <c r="F593" s="2">
        <v>61.9</v>
      </c>
      <c r="G593" s="2" t="s">
        <v>983</v>
      </c>
      <c r="H593" s="2" t="s">
        <v>984</v>
      </c>
      <c r="I593" s="2"/>
      <c r="J593" s="2" t="s">
        <v>23</v>
      </c>
    </row>
    <row r="594" spans="1:10" ht="21" customHeight="1">
      <c r="A594" s="2" t="s">
        <v>1582</v>
      </c>
      <c r="B594" s="2" t="s">
        <v>23</v>
      </c>
      <c r="C594" s="4">
        <v>45885.25</v>
      </c>
      <c r="D594" s="4">
        <v>45885.250284942129</v>
      </c>
      <c r="E594" s="2">
        <v>2.9</v>
      </c>
      <c r="F594" s="2">
        <v>59.9</v>
      </c>
      <c r="G594" s="2" t="s">
        <v>983</v>
      </c>
      <c r="H594" s="2" t="s">
        <v>984</v>
      </c>
      <c r="I594" s="2"/>
      <c r="J594" s="2" t="s">
        <v>23</v>
      </c>
    </row>
    <row r="595" spans="1:10" ht="21" customHeight="1">
      <c r="A595" s="2" t="s">
        <v>1583</v>
      </c>
      <c r="B595" s="2" t="s">
        <v>23</v>
      </c>
      <c r="C595" s="4">
        <v>45886.25</v>
      </c>
      <c r="D595" s="4">
        <v>45886.250027141199</v>
      </c>
      <c r="E595" s="2">
        <v>16.89</v>
      </c>
      <c r="F595" s="2">
        <v>58.1</v>
      </c>
      <c r="G595" s="2" t="s">
        <v>983</v>
      </c>
      <c r="H595" s="2" t="s">
        <v>1022</v>
      </c>
      <c r="I595" s="2"/>
      <c r="J595" s="2" t="s">
        <v>23</v>
      </c>
    </row>
    <row r="596" spans="1:10" ht="21" customHeight="1">
      <c r="A596" s="2" t="s">
        <v>1584</v>
      </c>
      <c r="B596" s="2" t="s">
        <v>23</v>
      </c>
      <c r="C596" s="4">
        <v>45887.25</v>
      </c>
      <c r="D596" s="4">
        <v>45887.250241909722</v>
      </c>
      <c r="E596" s="2">
        <v>2.97</v>
      </c>
      <c r="F596" s="2">
        <v>60.2</v>
      </c>
      <c r="G596" s="2" t="s">
        <v>983</v>
      </c>
      <c r="H596" s="2" t="s">
        <v>984</v>
      </c>
      <c r="I596" s="2"/>
      <c r="J596" s="2" t="s">
        <v>23</v>
      </c>
    </row>
    <row r="597" spans="1:10" ht="21" customHeight="1">
      <c r="A597" s="2" t="s">
        <v>1585</v>
      </c>
      <c r="B597" s="2" t="s">
        <v>23</v>
      </c>
      <c r="C597" s="4">
        <v>45888.25</v>
      </c>
      <c r="D597" s="4">
        <v>45888.25037736111</v>
      </c>
      <c r="E597" s="2">
        <v>2.25</v>
      </c>
      <c r="F597" s="2">
        <v>58.1</v>
      </c>
      <c r="G597" s="2" t="s">
        <v>983</v>
      </c>
      <c r="H597" s="2" t="s">
        <v>984</v>
      </c>
      <c r="I597" s="2"/>
      <c r="J597" s="2" t="s">
        <v>23</v>
      </c>
    </row>
    <row r="598" spans="1:10" ht="21" customHeight="1">
      <c r="A598" s="2" t="s">
        <v>1586</v>
      </c>
      <c r="B598" s="2" t="s">
        <v>23</v>
      </c>
      <c r="C598" s="4">
        <v>45889.25</v>
      </c>
      <c r="D598" s="4">
        <v>45889.250443773148</v>
      </c>
      <c r="E598" s="2">
        <v>2.69</v>
      </c>
      <c r="F598" s="2">
        <v>62.9</v>
      </c>
      <c r="G598" s="2" t="s">
        <v>983</v>
      </c>
      <c r="H598" s="2" t="s">
        <v>984</v>
      </c>
      <c r="I598" s="2"/>
      <c r="J598" s="2" t="s">
        <v>23</v>
      </c>
    </row>
    <row r="599" spans="1:10" ht="21" customHeight="1">
      <c r="A599" s="2" t="s">
        <v>1587</v>
      </c>
      <c r="B599" s="2" t="s">
        <v>23</v>
      </c>
      <c r="C599" s="4">
        <v>45890.25</v>
      </c>
      <c r="D599" s="4">
        <v>45890.2501687037</v>
      </c>
      <c r="E599" s="2">
        <v>2.79</v>
      </c>
      <c r="F599" s="2">
        <v>59.6</v>
      </c>
      <c r="G599" s="2" t="s">
        <v>983</v>
      </c>
      <c r="H599" s="2" t="s">
        <v>984</v>
      </c>
      <c r="I599" s="2"/>
      <c r="J599" s="2" t="s">
        <v>23</v>
      </c>
    </row>
    <row r="600" spans="1:10" ht="21" customHeight="1">
      <c r="A600" s="2" t="s">
        <v>1588</v>
      </c>
      <c r="B600" s="2" t="s">
        <v>23</v>
      </c>
      <c r="C600" s="4">
        <v>45891.25</v>
      </c>
      <c r="D600" s="4">
        <v>45891.250637060184</v>
      </c>
      <c r="E600" s="2">
        <v>2.6</v>
      </c>
      <c r="F600" s="2">
        <v>64.599999999999994</v>
      </c>
      <c r="G600" s="2" t="s">
        <v>983</v>
      </c>
      <c r="H600" s="2" t="s">
        <v>984</v>
      </c>
      <c r="I600" s="2"/>
      <c r="J600" s="2" t="s">
        <v>23</v>
      </c>
    </row>
    <row r="601" spans="1:10" ht="21" customHeight="1">
      <c r="A601" s="2" t="s">
        <v>1589</v>
      </c>
      <c r="B601" s="2" t="s">
        <v>23</v>
      </c>
      <c r="C601" s="4">
        <v>45892.25</v>
      </c>
      <c r="D601" s="4">
        <v>45892.250252743055</v>
      </c>
      <c r="E601" s="2">
        <v>2.94</v>
      </c>
      <c r="F601" s="2">
        <v>60.5</v>
      </c>
      <c r="G601" s="2" t="s">
        <v>983</v>
      </c>
      <c r="H601" s="2" t="s">
        <v>984</v>
      </c>
      <c r="I601" s="2"/>
      <c r="J601" s="2" t="s">
        <v>23</v>
      </c>
    </row>
    <row r="602" spans="1:10" ht="21" customHeight="1">
      <c r="A602" s="2" t="s">
        <v>1590</v>
      </c>
      <c r="B602" s="2" t="s">
        <v>23</v>
      </c>
      <c r="C602" s="4">
        <v>45893.25</v>
      </c>
      <c r="D602" s="4">
        <v>45893.250617071761</v>
      </c>
      <c r="E602" s="2">
        <v>2.19</v>
      </c>
      <c r="F602" s="2">
        <v>60.3</v>
      </c>
      <c r="G602" s="2" t="s">
        <v>983</v>
      </c>
      <c r="H602" s="2" t="s">
        <v>984</v>
      </c>
      <c r="I602" s="2"/>
      <c r="J602" s="2" t="s">
        <v>23</v>
      </c>
    </row>
    <row r="603" spans="1:10" ht="21" customHeight="1">
      <c r="A603" s="2" t="s">
        <v>1591</v>
      </c>
      <c r="B603" s="2" t="s">
        <v>23</v>
      </c>
      <c r="C603" s="4">
        <v>45894.25</v>
      </c>
      <c r="D603" s="4">
        <v>45894.250247361109</v>
      </c>
      <c r="E603" s="2">
        <v>2.25</v>
      </c>
      <c r="F603" s="2">
        <v>60.1</v>
      </c>
      <c r="G603" s="2" t="s">
        <v>983</v>
      </c>
      <c r="H603" s="2" t="s">
        <v>984</v>
      </c>
      <c r="I603" s="2"/>
      <c r="J603" s="2" t="s">
        <v>23</v>
      </c>
    </row>
    <row r="604" spans="1:10" ht="21" customHeight="1">
      <c r="A604" s="2" t="s">
        <v>1592</v>
      </c>
      <c r="B604" s="2" t="s">
        <v>23</v>
      </c>
      <c r="C604" s="4">
        <v>45895.25</v>
      </c>
      <c r="D604" s="4">
        <v>45895.250044791668</v>
      </c>
      <c r="E604" s="2">
        <v>3.11</v>
      </c>
      <c r="F604" s="2">
        <v>61.3</v>
      </c>
      <c r="G604" s="2" t="s">
        <v>983</v>
      </c>
      <c r="H604" s="2" t="s">
        <v>984</v>
      </c>
      <c r="I604" s="2"/>
      <c r="J604" s="2" t="s">
        <v>23</v>
      </c>
    </row>
    <row r="605" spans="1:10" ht="21" customHeight="1">
      <c r="A605" s="2" t="s">
        <v>1593</v>
      </c>
      <c r="B605" s="2" t="s">
        <v>23</v>
      </c>
      <c r="C605" s="4">
        <v>45896.25</v>
      </c>
      <c r="D605" s="4">
        <v>45896.250317233797</v>
      </c>
      <c r="E605" s="2">
        <v>2.85</v>
      </c>
      <c r="F605" s="2">
        <v>59.1</v>
      </c>
      <c r="G605" s="2" t="s">
        <v>983</v>
      </c>
      <c r="H605" s="2" t="s">
        <v>984</v>
      </c>
      <c r="I605" s="2" t="s">
        <v>985</v>
      </c>
      <c r="J605" s="2" t="s">
        <v>23</v>
      </c>
    </row>
    <row r="606" spans="1:10" ht="21" customHeight="1">
      <c r="A606" s="2" t="s">
        <v>1594</v>
      </c>
      <c r="B606" s="2" t="s">
        <v>23</v>
      </c>
      <c r="C606" s="4">
        <v>45897.25</v>
      </c>
      <c r="D606" s="4">
        <v>45897.250556192128</v>
      </c>
      <c r="E606" s="2">
        <v>2.5499999999999998</v>
      </c>
      <c r="F606" s="2">
        <v>60.1</v>
      </c>
      <c r="G606" s="2" t="s">
        <v>983</v>
      </c>
      <c r="H606" s="2" t="s">
        <v>984</v>
      </c>
      <c r="I606" s="2"/>
      <c r="J606" s="2" t="s">
        <v>23</v>
      </c>
    </row>
    <row r="607" spans="1:10" ht="21" customHeight="1">
      <c r="A607" s="2" t="s">
        <v>1595</v>
      </c>
      <c r="B607" s="2" t="s">
        <v>23</v>
      </c>
      <c r="C607" s="4">
        <v>45898.25</v>
      </c>
      <c r="D607" s="4">
        <v>45898.250201770832</v>
      </c>
      <c r="E607" s="2">
        <v>2.71</v>
      </c>
      <c r="F607" s="2">
        <v>61.7</v>
      </c>
      <c r="G607" s="2" t="s">
        <v>983</v>
      </c>
      <c r="H607" s="2" t="s">
        <v>984</v>
      </c>
      <c r="I607" s="2"/>
      <c r="J607" s="2" t="s">
        <v>23</v>
      </c>
    </row>
    <row r="608" spans="1:10" ht="21" customHeight="1">
      <c r="A608" s="2" t="s">
        <v>1596</v>
      </c>
      <c r="B608" s="2" t="s">
        <v>23</v>
      </c>
      <c r="C608" s="4">
        <v>45899.25</v>
      </c>
      <c r="D608" s="4">
        <v>45899.25006755787</v>
      </c>
      <c r="E608" s="2">
        <v>2.2999999999999998</v>
      </c>
      <c r="F608" s="2">
        <v>65</v>
      </c>
      <c r="G608" s="2" t="s">
        <v>983</v>
      </c>
      <c r="H608" s="2" t="s">
        <v>984</v>
      </c>
      <c r="I608" s="2"/>
      <c r="J608" s="2" t="s">
        <v>23</v>
      </c>
    </row>
    <row r="609" spans="1:10" ht="21" customHeight="1">
      <c r="A609" s="2" t="s">
        <v>1597</v>
      </c>
      <c r="B609" s="2" t="s">
        <v>23</v>
      </c>
      <c r="C609" s="4">
        <v>45900.25</v>
      </c>
      <c r="D609" s="4">
        <v>45900.250103506944</v>
      </c>
      <c r="E609" s="2">
        <v>2.82</v>
      </c>
      <c r="F609" s="2">
        <v>63.4</v>
      </c>
      <c r="G609" s="2" t="s">
        <v>983</v>
      </c>
      <c r="H609" s="2" t="s">
        <v>984</v>
      </c>
      <c r="I609" s="2"/>
      <c r="J609" s="2" t="s">
        <v>23</v>
      </c>
    </row>
    <row r="610" spans="1:10" ht="21" customHeight="1">
      <c r="A610" s="2" t="s">
        <v>1598</v>
      </c>
      <c r="B610" s="2" t="s">
        <v>23</v>
      </c>
      <c r="C610" s="4">
        <v>45901.25</v>
      </c>
      <c r="D610" s="4">
        <v>45901.250156388887</v>
      </c>
      <c r="E610" s="2">
        <v>2.19</v>
      </c>
      <c r="F610" s="2">
        <v>64.2</v>
      </c>
      <c r="G610" s="2" t="s">
        <v>983</v>
      </c>
      <c r="H610" s="2" t="s">
        <v>984</v>
      </c>
      <c r="I610" s="2"/>
      <c r="J610" s="2" t="s">
        <v>23</v>
      </c>
    </row>
    <row r="611" spans="1:10" ht="21" customHeight="1">
      <c r="A611" s="2" t="s">
        <v>1599</v>
      </c>
      <c r="B611" s="2" t="s">
        <v>23</v>
      </c>
      <c r="C611" s="4">
        <v>45902.25</v>
      </c>
      <c r="D611" s="4">
        <v>45902.250268611111</v>
      </c>
      <c r="E611" s="2">
        <v>3.11</v>
      </c>
      <c r="F611" s="2">
        <v>65</v>
      </c>
      <c r="G611" s="2" t="s">
        <v>983</v>
      </c>
      <c r="H611" s="2" t="s">
        <v>984</v>
      </c>
      <c r="I611" s="2"/>
      <c r="J611" s="2" t="s">
        <v>23</v>
      </c>
    </row>
    <row r="612" spans="1:10" ht="21" customHeight="1">
      <c r="A612" s="2" t="s">
        <v>1600</v>
      </c>
      <c r="B612" s="2" t="s">
        <v>23</v>
      </c>
      <c r="C612" s="4">
        <v>45903.25</v>
      </c>
      <c r="D612" s="4">
        <v>45903.250062013889</v>
      </c>
      <c r="E612" s="2">
        <v>2.4900000000000002</v>
      </c>
      <c r="F612" s="2">
        <v>65.2</v>
      </c>
      <c r="G612" s="2" t="s">
        <v>983</v>
      </c>
      <c r="H612" s="2" t="s">
        <v>984</v>
      </c>
      <c r="I612" s="2"/>
      <c r="J612" s="2" t="s">
        <v>23</v>
      </c>
    </row>
    <row r="613" spans="1:10" ht="21" customHeight="1">
      <c r="A613" s="2" t="s">
        <v>1601</v>
      </c>
      <c r="B613" s="2" t="s">
        <v>23</v>
      </c>
      <c r="C613" s="4">
        <v>45904.25</v>
      </c>
      <c r="D613" s="4">
        <v>45904.250141226847</v>
      </c>
      <c r="E613" s="2">
        <v>2.38</v>
      </c>
      <c r="F613" s="2">
        <v>62.8</v>
      </c>
      <c r="G613" s="2" t="s">
        <v>983</v>
      </c>
      <c r="H613" s="2" t="s">
        <v>984</v>
      </c>
      <c r="I613" s="2"/>
      <c r="J613" s="2" t="s">
        <v>23</v>
      </c>
    </row>
    <row r="614" spans="1:10" ht="21" customHeight="1">
      <c r="A614" s="2" t="s">
        <v>1602</v>
      </c>
      <c r="B614" s="2" t="s">
        <v>23</v>
      </c>
      <c r="C614" s="4">
        <v>45905.25</v>
      </c>
      <c r="D614" s="4">
        <v>45905.250481666662</v>
      </c>
      <c r="E614" s="2">
        <v>3.06</v>
      </c>
      <c r="F614" s="2">
        <v>62.6</v>
      </c>
      <c r="G614" s="2" t="s">
        <v>983</v>
      </c>
      <c r="H614" s="2" t="s">
        <v>984</v>
      </c>
      <c r="I614" s="2"/>
      <c r="J614" s="2" t="s">
        <v>23</v>
      </c>
    </row>
    <row r="615" spans="1:10" ht="21" customHeight="1">
      <c r="A615" s="2" t="s">
        <v>1603</v>
      </c>
      <c r="B615" s="2" t="s">
        <v>23</v>
      </c>
      <c r="C615" s="4">
        <v>45906.25</v>
      </c>
      <c r="D615" s="4">
        <v>45906.250532708335</v>
      </c>
      <c r="E615" s="2">
        <v>3.13</v>
      </c>
      <c r="F615" s="2">
        <v>59.5</v>
      </c>
      <c r="G615" s="2" t="s">
        <v>983</v>
      </c>
      <c r="H615" s="2" t="s">
        <v>984</v>
      </c>
      <c r="I615" s="2"/>
      <c r="J615" s="2" t="s">
        <v>23</v>
      </c>
    </row>
    <row r="616" spans="1:10" ht="21" customHeight="1">
      <c r="A616" s="2" t="s">
        <v>1604</v>
      </c>
      <c r="B616" s="2" t="s">
        <v>23</v>
      </c>
      <c r="C616" s="4">
        <v>45907.25</v>
      </c>
      <c r="D616" s="4">
        <v>45907.250521898153</v>
      </c>
      <c r="E616" s="2">
        <v>2.66</v>
      </c>
      <c r="F616" s="2">
        <v>58.3</v>
      </c>
      <c r="G616" s="2" t="s">
        <v>983</v>
      </c>
      <c r="H616" s="2" t="s">
        <v>984</v>
      </c>
      <c r="I616" s="2"/>
      <c r="J616" s="2" t="s">
        <v>23</v>
      </c>
    </row>
    <row r="617" spans="1:10" ht="21" customHeight="1">
      <c r="A617" s="2" t="s">
        <v>1605</v>
      </c>
      <c r="B617" s="2" t="s">
        <v>1359</v>
      </c>
      <c r="C617" s="4">
        <v>45908.25</v>
      </c>
      <c r="D617" s="4">
        <v>45908.250335625002</v>
      </c>
      <c r="E617" s="2">
        <v>0</v>
      </c>
      <c r="F617" s="2">
        <v>62.4</v>
      </c>
      <c r="G617" s="2" t="s">
        <v>1175</v>
      </c>
      <c r="H617" s="2" t="s">
        <v>984</v>
      </c>
      <c r="I617" s="2"/>
      <c r="J617" s="2" t="s">
        <v>23</v>
      </c>
    </row>
    <row r="618" spans="1:10" ht="21" customHeight="1">
      <c r="A618" s="2" t="s">
        <v>1606</v>
      </c>
      <c r="B618" s="2" t="s">
        <v>23</v>
      </c>
      <c r="C618" s="4">
        <v>45909.25</v>
      </c>
      <c r="D618" s="4">
        <v>45909.250278263891</v>
      </c>
      <c r="E618" s="2">
        <v>3.29</v>
      </c>
      <c r="F618" s="2">
        <v>63.6</v>
      </c>
      <c r="G618" s="2" t="s">
        <v>983</v>
      </c>
      <c r="H618" s="2" t="s">
        <v>984</v>
      </c>
      <c r="I618" s="2"/>
      <c r="J618" s="2" t="s">
        <v>23</v>
      </c>
    </row>
    <row r="619" spans="1:10" ht="21" customHeight="1">
      <c r="A619" s="2" t="s">
        <v>1607</v>
      </c>
      <c r="B619" s="2" t="s">
        <v>23</v>
      </c>
      <c r="C619" s="4">
        <v>45910.25</v>
      </c>
      <c r="D619" s="4">
        <v>45910.250024745372</v>
      </c>
      <c r="E619" s="2">
        <v>2.14</v>
      </c>
      <c r="F619" s="2">
        <v>63.1</v>
      </c>
      <c r="G619" s="2" t="s">
        <v>983</v>
      </c>
      <c r="H619" s="2" t="s">
        <v>984</v>
      </c>
      <c r="I619" s="2"/>
      <c r="J619" s="2" t="s">
        <v>23</v>
      </c>
    </row>
    <row r="620" spans="1:10" ht="21" customHeight="1">
      <c r="A620" s="2" t="s">
        <v>1608</v>
      </c>
      <c r="B620" s="2" t="s">
        <v>23</v>
      </c>
      <c r="C620" s="4">
        <v>45911.25</v>
      </c>
      <c r="D620" s="4">
        <v>45911.250504629628</v>
      </c>
      <c r="E620" s="2">
        <v>2.44</v>
      </c>
      <c r="F620" s="2">
        <v>65.099999999999994</v>
      </c>
      <c r="G620" s="2" t="s">
        <v>983</v>
      </c>
      <c r="H620" s="2" t="s">
        <v>984</v>
      </c>
      <c r="I620" s="2"/>
      <c r="J620" s="2" t="s">
        <v>23</v>
      </c>
    </row>
    <row r="621" spans="1:10" ht="21" customHeight="1">
      <c r="A621" s="2" t="s">
        <v>1609</v>
      </c>
      <c r="B621" s="2" t="s">
        <v>23</v>
      </c>
      <c r="C621" s="4">
        <v>45912.25</v>
      </c>
      <c r="D621" s="4">
        <v>45912.250655173615</v>
      </c>
      <c r="E621" s="2">
        <v>2.8</v>
      </c>
      <c r="F621" s="2">
        <v>61.1</v>
      </c>
      <c r="G621" s="2" t="s">
        <v>983</v>
      </c>
      <c r="H621" s="2" t="s">
        <v>984</v>
      </c>
      <c r="I621" s="2"/>
      <c r="J621" s="2" t="s">
        <v>23</v>
      </c>
    </row>
    <row r="622" spans="1:10" ht="21" customHeight="1">
      <c r="A622" s="2" t="s">
        <v>1610</v>
      </c>
      <c r="B622" s="2" t="s">
        <v>23</v>
      </c>
      <c r="C622" s="4">
        <v>45913.25</v>
      </c>
      <c r="D622" s="4">
        <v>45913.25029575231</v>
      </c>
      <c r="E622" s="2">
        <v>2.9</v>
      </c>
      <c r="F622" s="2">
        <v>59.6</v>
      </c>
      <c r="G622" s="2" t="s">
        <v>983</v>
      </c>
      <c r="H622" s="2" t="s">
        <v>984</v>
      </c>
      <c r="I622" s="2" t="s">
        <v>985</v>
      </c>
      <c r="J622" s="2" t="s">
        <v>23</v>
      </c>
    </row>
    <row r="623" spans="1:10" ht="21" customHeight="1">
      <c r="A623" s="2" t="s">
        <v>1611</v>
      </c>
      <c r="B623" s="2" t="s">
        <v>23</v>
      </c>
      <c r="C623" s="4">
        <v>45914.25</v>
      </c>
      <c r="D623" s="4">
        <v>45914.250412245368</v>
      </c>
      <c r="E623" s="2"/>
      <c r="F623" s="2"/>
      <c r="G623" s="2" t="s">
        <v>983</v>
      </c>
      <c r="H623" s="2" t="s">
        <v>1066</v>
      </c>
      <c r="I623" s="2"/>
      <c r="J623" s="2" t="s">
        <v>23</v>
      </c>
    </row>
    <row r="624" spans="1:10" ht="21" customHeight="1">
      <c r="A624" s="2" t="s">
        <v>1612</v>
      </c>
      <c r="B624" s="2" t="s">
        <v>23</v>
      </c>
      <c r="C624" s="4">
        <v>45915.25</v>
      </c>
      <c r="D624" s="4">
        <v>45915.25000644676</v>
      </c>
      <c r="E624" s="2">
        <v>2.4</v>
      </c>
      <c r="F624" s="2">
        <v>62.3</v>
      </c>
      <c r="G624" s="2" t="s">
        <v>983</v>
      </c>
      <c r="H624" s="2" t="s">
        <v>984</v>
      </c>
      <c r="I624" s="2"/>
      <c r="J624" s="2" t="s">
        <v>23</v>
      </c>
    </row>
    <row r="625" spans="1:10" ht="21" customHeight="1">
      <c r="A625" s="2" t="s">
        <v>1613</v>
      </c>
      <c r="B625" s="2" t="s">
        <v>23</v>
      </c>
      <c r="C625" s="4">
        <v>45916.25</v>
      </c>
      <c r="D625" s="4">
        <v>45916.250233067127</v>
      </c>
      <c r="E625" s="2">
        <v>2.34</v>
      </c>
      <c r="F625" s="2">
        <v>61.8</v>
      </c>
      <c r="G625" s="2" t="s">
        <v>983</v>
      </c>
      <c r="H625" s="2" t="s">
        <v>984</v>
      </c>
      <c r="I625" s="2"/>
      <c r="J625" s="2" t="s">
        <v>23</v>
      </c>
    </row>
    <row r="626" spans="1:10" ht="21" customHeight="1">
      <c r="A626" s="2" t="s">
        <v>1614</v>
      </c>
      <c r="B626" s="2" t="s">
        <v>23</v>
      </c>
      <c r="C626" s="4">
        <v>45917.25</v>
      </c>
      <c r="D626" s="4">
        <v>45917.250366064814</v>
      </c>
      <c r="E626" s="2">
        <v>2.36</v>
      </c>
      <c r="F626" s="2">
        <v>65.7</v>
      </c>
      <c r="G626" s="2" t="s">
        <v>983</v>
      </c>
      <c r="H626" s="2" t="s">
        <v>984</v>
      </c>
      <c r="I626" s="2"/>
      <c r="J626" s="2" t="s">
        <v>23</v>
      </c>
    </row>
    <row r="627" spans="1:10" ht="21" customHeight="1">
      <c r="A627" s="2" t="s">
        <v>1615</v>
      </c>
      <c r="B627" s="2" t="s">
        <v>23</v>
      </c>
      <c r="C627" s="4">
        <v>45918.25</v>
      </c>
      <c r="D627" s="4">
        <v>45918.250464375</v>
      </c>
      <c r="E627" s="2">
        <v>5.25</v>
      </c>
      <c r="F627" s="2">
        <v>66.8</v>
      </c>
      <c r="G627" s="2" t="s">
        <v>983</v>
      </c>
      <c r="H627" s="2" t="s">
        <v>984</v>
      </c>
      <c r="I627" s="2" t="s">
        <v>1053</v>
      </c>
      <c r="J627" s="2" t="s">
        <v>23</v>
      </c>
    </row>
    <row r="628" spans="1:10" ht="21" customHeight="1">
      <c r="A628" s="2" t="s">
        <v>1616</v>
      </c>
      <c r="B628" s="2" t="s">
        <v>23</v>
      </c>
      <c r="C628" s="4">
        <v>45919.25</v>
      </c>
      <c r="D628" s="4">
        <v>45919.250604710644</v>
      </c>
      <c r="E628" s="2">
        <v>4.79</v>
      </c>
      <c r="F628" s="2">
        <v>64</v>
      </c>
      <c r="G628" s="2" t="s">
        <v>983</v>
      </c>
      <c r="H628" s="2" t="s">
        <v>984</v>
      </c>
      <c r="I628" s="2"/>
      <c r="J628" s="2" t="s">
        <v>23</v>
      </c>
    </row>
    <row r="629" spans="1:10" ht="21" customHeight="1">
      <c r="A629" s="2" t="s">
        <v>1617</v>
      </c>
      <c r="B629" s="2" t="s">
        <v>23</v>
      </c>
      <c r="C629" s="4">
        <v>45920.25</v>
      </c>
      <c r="D629" s="4">
        <v>45920.250275474536</v>
      </c>
      <c r="E629" s="2">
        <v>5.1100000000000003</v>
      </c>
      <c r="F629" s="2">
        <v>63.9</v>
      </c>
      <c r="G629" s="2" t="s">
        <v>983</v>
      </c>
      <c r="H629" s="2" t="s">
        <v>984</v>
      </c>
      <c r="I629" s="2" t="s">
        <v>1053</v>
      </c>
      <c r="J629" s="2" t="s">
        <v>23</v>
      </c>
    </row>
    <row r="630" spans="1:10" ht="21" customHeight="1">
      <c r="A630" s="2" t="s">
        <v>1618</v>
      </c>
      <c r="B630" s="2" t="s">
        <v>23</v>
      </c>
      <c r="C630" s="4">
        <v>45921.25</v>
      </c>
      <c r="D630" s="4">
        <v>45921.250165474536</v>
      </c>
      <c r="E630" s="2">
        <v>3.25</v>
      </c>
      <c r="F630" s="2">
        <v>62.9</v>
      </c>
      <c r="G630" s="2" t="s">
        <v>983</v>
      </c>
      <c r="H630" s="2" t="s">
        <v>984</v>
      </c>
      <c r="I630" s="2"/>
      <c r="J630" s="2" t="s">
        <v>23</v>
      </c>
    </row>
    <row r="631" spans="1:10" ht="21" customHeight="1">
      <c r="A631" s="2" t="s">
        <v>1619</v>
      </c>
      <c r="B631" s="2" t="s">
        <v>23</v>
      </c>
      <c r="C631" s="4">
        <v>45922.25</v>
      </c>
      <c r="D631" s="4">
        <v>45922.250059537037</v>
      </c>
      <c r="E631" s="2">
        <v>3.13</v>
      </c>
      <c r="F631" s="2">
        <v>59.4</v>
      </c>
      <c r="G631" s="2" t="s">
        <v>983</v>
      </c>
      <c r="H631" s="2" t="s">
        <v>984</v>
      </c>
      <c r="I631" s="2"/>
      <c r="J631" s="2" t="s">
        <v>23</v>
      </c>
    </row>
    <row r="632" spans="1:10" ht="21" customHeight="1">
      <c r="A632" s="2" t="s">
        <v>1620</v>
      </c>
      <c r="B632" s="2" t="s">
        <v>23</v>
      </c>
      <c r="C632" s="4">
        <v>45923.25</v>
      </c>
      <c r="D632" s="4">
        <v>45923.250014062505</v>
      </c>
      <c r="E632" s="2">
        <v>2.4900000000000002</v>
      </c>
      <c r="F632" s="2">
        <v>61.4</v>
      </c>
      <c r="G632" s="2" t="s">
        <v>983</v>
      </c>
      <c r="H632" s="2" t="s">
        <v>984</v>
      </c>
      <c r="I632" s="2"/>
      <c r="J632" s="2" t="s">
        <v>23</v>
      </c>
    </row>
    <row r="633" spans="1:10" ht="21" customHeight="1">
      <c r="A633" s="2" t="s">
        <v>1621</v>
      </c>
      <c r="B633" s="2" t="s">
        <v>23</v>
      </c>
      <c r="C633" s="4">
        <v>45924.25</v>
      </c>
      <c r="D633" s="4">
        <v>45924.250251041667</v>
      </c>
      <c r="E633" s="2">
        <v>2.54</v>
      </c>
      <c r="F633" s="2">
        <v>65.2</v>
      </c>
      <c r="G633" s="2" t="s">
        <v>983</v>
      </c>
      <c r="H633" s="2" t="s">
        <v>984</v>
      </c>
      <c r="I633" s="2"/>
      <c r="J633" s="2" t="s">
        <v>23</v>
      </c>
    </row>
    <row r="634" spans="1:10" ht="21" customHeight="1">
      <c r="A634" s="2" t="s">
        <v>1622</v>
      </c>
      <c r="B634" s="2" t="s">
        <v>23</v>
      </c>
      <c r="C634" s="4">
        <v>45925.25</v>
      </c>
      <c r="D634" s="4">
        <v>45925.250486712961</v>
      </c>
      <c r="E634" s="2">
        <v>2.41</v>
      </c>
      <c r="F634" s="2">
        <v>60.8</v>
      </c>
      <c r="G634" s="2" t="s">
        <v>983</v>
      </c>
      <c r="H634" s="2" t="s">
        <v>984</v>
      </c>
      <c r="I634" s="2"/>
      <c r="J634" s="2" t="s">
        <v>23</v>
      </c>
    </row>
    <row r="635" spans="1:10" ht="21" customHeight="1">
      <c r="A635" s="2" t="s">
        <v>1623</v>
      </c>
      <c r="B635" s="2" t="s">
        <v>23</v>
      </c>
      <c r="C635" s="4">
        <v>45926.25</v>
      </c>
      <c r="D635" s="4">
        <v>45926.250163159726</v>
      </c>
      <c r="E635" s="2">
        <v>2.87</v>
      </c>
      <c r="F635" s="2">
        <v>58.6</v>
      </c>
      <c r="G635" s="2" t="s">
        <v>983</v>
      </c>
      <c r="H635" s="2" t="s">
        <v>984</v>
      </c>
      <c r="I635" s="2"/>
      <c r="J635" s="2" t="s">
        <v>23</v>
      </c>
    </row>
    <row r="636" spans="1:10" ht="21" customHeight="1">
      <c r="A636" s="2" t="s">
        <v>1624</v>
      </c>
      <c r="B636" s="2" t="s">
        <v>23</v>
      </c>
      <c r="C636" s="4">
        <v>45927.25</v>
      </c>
      <c r="D636" s="4">
        <v>45927.250510555554</v>
      </c>
      <c r="E636" s="2">
        <v>2.13</v>
      </c>
      <c r="F636" s="2">
        <v>60.2</v>
      </c>
      <c r="G636" s="2" t="s">
        <v>983</v>
      </c>
      <c r="H636" s="2" t="s">
        <v>984</v>
      </c>
      <c r="I636" s="2"/>
      <c r="J636" s="2" t="s">
        <v>23</v>
      </c>
    </row>
    <row r="637" spans="1:10" ht="21" customHeight="1">
      <c r="A637" s="2" t="s">
        <v>1625</v>
      </c>
      <c r="B637" s="2" t="s">
        <v>23</v>
      </c>
      <c r="C637" s="4">
        <v>45928.25</v>
      </c>
      <c r="D637" s="4">
        <v>45928.250129525462</v>
      </c>
      <c r="E637" s="2">
        <v>3.23</v>
      </c>
      <c r="F637" s="2">
        <v>61</v>
      </c>
      <c r="G637" s="2" t="s">
        <v>983</v>
      </c>
      <c r="H637" s="2" t="s">
        <v>984</v>
      </c>
      <c r="I637" s="2"/>
      <c r="J637" s="2" t="s">
        <v>23</v>
      </c>
    </row>
    <row r="638" spans="1:10" ht="21" customHeight="1">
      <c r="A638" s="2" t="s">
        <v>1626</v>
      </c>
      <c r="B638" s="2" t="s">
        <v>23</v>
      </c>
      <c r="C638" s="4">
        <v>45929.25</v>
      </c>
      <c r="D638" s="4">
        <v>45929.250288657408</v>
      </c>
      <c r="E638" s="2">
        <v>24.87</v>
      </c>
      <c r="F638" s="2">
        <v>63.7</v>
      </c>
      <c r="G638" s="2" t="s">
        <v>983</v>
      </c>
      <c r="H638" s="2" t="s">
        <v>1022</v>
      </c>
      <c r="I638" s="2"/>
      <c r="J638" s="2" t="s">
        <v>23</v>
      </c>
    </row>
    <row r="639" spans="1:10" ht="21" customHeight="1">
      <c r="A639" s="2" t="s">
        <v>1627</v>
      </c>
      <c r="B639" s="2" t="s">
        <v>23</v>
      </c>
      <c r="C639" s="4">
        <v>45930.25</v>
      </c>
      <c r="D639" s="4">
        <v>45930.250185798606</v>
      </c>
      <c r="E639" s="2">
        <v>20.51</v>
      </c>
      <c r="F639" s="2">
        <v>59.3</v>
      </c>
      <c r="G639" s="2" t="s">
        <v>983</v>
      </c>
      <c r="H639" s="2" t="s">
        <v>1022</v>
      </c>
      <c r="I639" s="2" t="s">
        <v>985</v>
      </c>
      <c r="J639" s="2" t="s">
        <v>23</v>
      </c>
    </row>
    <row r="640" spans="1:10" ht="21" customHeight="1">
      <c r="A640" s="2" t="s">
        <v>1628</v>
      </c>
      <c r="B640" s="2" t="s">
        <v>23</v>
      </c>
      <c r="C640" s="4">
        <v>45931.25</v>
      </c>
      <c r="D640" s="4">
        <v>45931.250164004625</v>
      </c>
      <c r="E640" s="2">
        <v>3.25</v>
      </c>
      <c r="F640" s="2">
        <v>64.3</v>
      </c>
      <c r="G640" s="2" t="s">
        <v>983</v>
      </c>
      <c r="H640" s="2" t="s">
        <v>984</v>
      </c>
      <c r="I640" s="2"/>
      <c r="J640" s="2" t="s">
        <v>23</v>
      </c>
    </row>
    <row r="641" spans="1:10" ht="21" customHeight="1">
      <c r="A641" s="2" t="s">
        <v>1629</v>
      </c>
      <c r="B641" s="2" t="s">
        <v>23</v>
      </c>
      <c r="C641" s="4">
        <v>45932.25</v>
      </c>
      <c r="D641" s="4">
        <v>45932.250551458332</v>
      </c>
      <c r="E641" s="2">
        <v>26.73</v>
      </c>
      <c r="F641" s="2">
        <v>59.9</v>
      </c>
      <c r="G641" s="2" t="s">
        <v>983</v>
      </c>
      <c r="H641" s="2" t="s">
        <v>1022</v>
      </c>
      <c r="I641" s="2"/>
      <c r="J641" s="2" t="s">
        <v>23</v>
      </c>
    </row>
    <row r="642" spans="1:10" ht="21" customHeight="1">
      <c r="A642" s="2" t="s">
        <v>1630</v>
      </c>
      <c r="B642" s="2" t="s">
        <v>23</v>
      </c>
      <c r="C642" s="4">
        <v>45933.25</v>
      </c>
      <c r="D642" s="4">
        <v>45933.250053506941</v>
      </c>
      <c r="E642" s="2">
        <v>5.2</v>
      </c>
      <c r="F642" s="2">
        <v>68.900000000000006</v>
      </c>
      <c r="G642" s="2" t="s">
        <v>983</v>
      </c>
      <c r="H642" s="2" t="s">
        <v>984</v>
      </c>
      <c r="I642" s="2"/>
      <c r="J642" s="2" t="s">
        <v>23</v>
      </c>
    </row>
    <row r="643" spans="1:10" ht="21" customHeight="1">
      <c r="A643" s="2" t="s">
        <v>1631</v>
      </c>
      <c r="B643" s="2" t="s">
        <v>23</v>
      </c>
      <c r="C643" s="4">
        <v>45934.25</v>
      </c>
      <c r="D643" s="4">
        <v>45934.250482106479</v>
      </c>
      <c r="E643" s="2">
        <v>4.99</v>
      </c>
      <c r="F643" s="2">
        <v>66.099999999999994</v>
      </c>
      <c r="G643" s="2" t="s">
        <v>983</v>
      </c>
      <c r="H643" s="2" t="s">
        <v>984</v>
      </c>
      <c r="I643" s="2" t="s">
        <v>1053</v>
      </c>
      <c r="J643" s="2" t="s">
        <v>23</v>
      </c>
    </row>
    <row r="644" spans="1:10" ht="21" customHeight="1">
      <c r="A644" s="2" t="s">
        <v>1632</v>
      </c>
      <c r="B644" s="2" t="s">
        <v>23</v>
      </c>
      <c r="C644" s="4">
        <v>45935.25</v>
      </c>
      <c r="D644" s="4">
        <v>45935.250145740742</v>
      </c>
      <c r="E644" s="2">
        <v>4.6100000000000003</v>
      </c>
      <c r="F644" s="2">
        <v>65.099999999999994</v>
      </c>
      <c r="G644" s="2" t="s">
        <v>983</v>
      </c>
      <c r="H644" s="2" t="s">
        <v>984</v>
      </c>
      <c r="I644" s="2"/>
      <c r="J644" s="2" t="s">
        <v>23</v>
      </c>
    </row>
    <row r="645" spans="1:10" ht="21" customHeight="1">
      <c r="A645" s="2" t="s">
        <v>1633</v>
      </c>
      <c r="B645" s="2" t="s">
        <v>23</v>
      </c>
      <c r="C645" s="4">
        <v>45936.25</v>
      </c>
      <c r="D645" s="4">
        <v>45936.250639664351</v>
      </c>
      <c r="E645" s="2">
        <v>3.08</v>
      </c>
      <c r="F645" s="2">
        <v>64.599999999999994</v>
      </c>
      <c r="G645" s="2" t="s">
        <v>983</v>
      </c>
      <c r="H645" s="2" t="s">
        <v>984</v>
      </c>
      <c r="I645" s="2"/>
      <c r="J645" s="2" t="s">
        <v>23</v>
      </c>
    </row>
    <row r="646" spans="1:10" ht="21" customHeight="1">
      <c r="A646" s="2" t="s">
        <v>1634</v>
      </c>
      <c r="B646" s="2" t="s">
        <v>23</v>
      </c>
      <c r="C646" s="4">
        <v>45937.25</v>
      </c>
      <c r="D646" s="4">
        <v>45937.250405694445</v>
      </c>
      <c r="E646" s="2">
        <v>2.62</v>
      </c>
      <c r="F646" s="2">
        <v>65.2</v>
      </c>
      <c r="G646" s="2" t="s">
        <v>983</v>
      </c>
      <c r="H646" s="2" t="s">
        <v>984</v>
      </c>
      <c r="I646" s="2"/>
      <c r="J646" s="2" t="s">
        <v>23</v>
      </c>
    </row>
    <row r="647" spans="1:10" ht="21" customHeight="1">
      <c r="A647" s="2" t="s">
        <v>1635</v>
      </c>
      <c r="B647" s="2" t="s">
        <v>23</v>
      </c>
      <c r="C647" s="4">
        <v>45938.25</v>
      </c>
      <c r="D647" s="4">
        <v>45938.250187650461</v>
      </c>
      <c r="E647" s="2">
        <v>2.65</v>
      </c>
      <c r="F647" s="2">
        <v>58.1</v>
      </c>
      <c r="G647" s="2" t="s">
        <v>983</v>
      </c>
      <c r="H647" s="2" t="s">
        <v>984</v>
      </c>
      <c r="I647" s="2"/>
      <c r="J647" s="2" t="s">
        <v>23</v>
      </c>
    </row>
    <row r="648" spans="1:10" ht="21" customHeight="1">
      <c r="A648" s="2" t="s">
        <v>1636</v>
      </c>
      <c r="B648" s="2" t="s">
        <v>23</v>
      </c>
      <c r="C648" s="4">
        <v>45939.25</v>
      </c>
      <c r="D648" s="4">
        <v>45939.250246944444</v>
      </c>
      <c r="E648" s="2">
        <v>2.82</v>
      </c>
      <c r="F648" s="2">
        <v>62.7</v>
      </c>
      <c r="G648" s="2" t="s">
        <v>983</v>
      </c>
      <c r="H648" s="2" t="s">
        <v>984</v>
      </c>
      <c r="I648" s="2"/>
      <c r="J648" s="2" t="s">
        <v>23</v>
      </c>
    </row>
    <row r="649" spans="1:10" ht="21" customHeight="1">
      <c r="A649" s="2" t="s">
        <v>1637</v>
      </c>
      <c r="B649" s="2" t="s">
        <v>23</v>
      </c>
      <c r="C649" s="4">
        <v>45940.25</v>
      </c>
      <c r="D649" s="4">
        <v>45940.250625185188</v>
      </c>
      <c r="E649" s="2">
        <v>2.37</v>
      </c>
      <c r="F649" s="2">
        <v>58.2</v>
      </c>
      <c r="G649" s="2" t="s">
        <v>983</v>
      </c>
      <c r="H649" s="2" t="s">
        <v>984</v>
      </c>
      <c r="I649" s="2"/>
      <c r="J649" s="2" t="s">
        <v>23</v>
      </c>
    </row>
    <row r="650" spans="1:10" ht="21" customHeight="1">
      <c r="A650" s="2" t="s">
        <v>1638</v>
      </c>
      <c r="B650" s="2" t="s">
        <v>23</v>
      </c>
      <c r="C650" s="4">
        <v>45941.25</v>
      </c>
      <c r="D650" s="4">
        <v>45941.250310069445</v>
      </c>
      <c r="E650" s="2">
        <v>2.71</v>
      </c>
      <c r="F650" s="2">
        <v>59.8</v>
      </c>
      <c r="G650" s="2" t="s">
        <v>983</v>
      </c>
      <c r="H650" s="2" t="s">
        <v>984</v>
      </c>
      <c r="I650" s="2"/>
      <c r="J650" s="2" t="s">
        <v>23</v>
      </c>
    </row>
    <row r="651" spans="1:10" ht="21" customHeight="1">
      <c r="A651" s="2" t="s">
        <v>1639</v>
      </c>
      <c r="B651" s="2" t="s">
        <v>23</v>
      </c>
      <c r="C651" s="4">
        <v>45942.25</v>
      </c>
      <c r="D651" s="4">
        <v>45942.250654374999</v>
      </c>
      <c r="E651" s="2">
        <v>2.85</v>
      </c>
      <c r="F651" s="2">
        <v>64.099999999999994</v>
      </c>
      <c r="G651" s="2" t="s">
        <v>983</v>
      </c>
      <c r="H651" s="2" t="s">
        <v>984</v>
      </c>
      <c r="I651" s="2"/>
      <c r="J651" s="2" t="s">
        <v>23</v>
      </c>
    </row>
    <row r="652" spans="1:10" ht="21" customHeight="1">
      <c r="A652" s="2" t="s">
        <v>1640</v>
      </c>
      <c r="B652" s="2" t="s">
        <v>23</v>
      </c>
      <c r="C652" s="4">
        <v>45943.25</v>
      </c>
      <c r="D652" s="4">
        <v>45943.250399085649</v>
      </c>
      <c r="E652" s="2">
        <v>3.11</v>
      </c>
      <c r="F652" s="2">
        <v>60.7</v>
      </c>
      <c r="G652" s="2" t="s">
        <v>983</v>
      </c>
      <c r="H652" s="2" t="s">
        <v>984</v>
      </c>
      <c r="I652" s="2"/>
      <c r="J652" s="2" t="s">
        <v>23</v>
      </c>
    </row>
    <row r="653" spans="1:10" ht="21" customHeight="1">
      <c r="A653" s="2" t="s">
        <v>1641</v>
      </c>
      <c r="B653" s="2" t="s">
        <v>23</v>
      </c>
      <c r="C653" s="4">
        <v>45944.25</v>
      </c>
      <c r="D653" s="4">
        <v>45944.250476712958</v>
      </c>
      <c r="E653" s="2">
        <v>2.66</v>
      </c>
      <c r="F653" s="2">
        <v>63.8</v>
      </c>
      <c r="G653" s="2" t="s">
        <v>983</v>
      </c>
      <c r="H653" s="2" t="s">
        <v>984</v>
      </c>
      <c r="I653" s="2"/>
      <c r="J653" s="2" t="s">
        <v>23</v>
      </c>
    </row>
    <row r="654" spans="1:10" ht="21" customHeight="1">
      <c r="A654" s="2" t="s">
        <v>1642</v>
      </c>
      <c r="B654" s="2" t="s">
        <v>23</v>
      </c>
      <c r="C654" s="4">
        <v>45945.25</v>
      </c>
      <c r="D654" s="4">
        <v>45945.250197210647</v>
      </c>
      <c r="E654" s="2">
        <v>2.92</v>
      </c>
      <c r="F654" s="2">
        <v>64.3</v>
      </c>
      <c r="G654" s="2" t="s">
        <v>983</v>
      </c>
      <c r="H654" s="2" t="s">
        <v>984</v>
      </c>
      <c r="I654" s="2"/>
      <c r="J654" s="2" t="s">
        <v>23</v>
      </c>
    </row>
    <row r="655" spans="1:10" ht="21" customHeight="1">
      <c r="A655" s="2" t="s">
        <v>1643</v>
      </c>
      <c r="B655" s="2" t="s">
        <v>23</v>
      </c>
      <c r="C655" s="4">
        <v>45946.25</v>
      </c>
      <c r="D655" s="4">
        <v>45946.250580196764</v>
      </c>
      <c r="E655" s="2">
        <v>2.15</v>
      </c>
      <c r="F655" s="2">
        <v>65.2</v>
      </c>
      <c r="G655" s="2" t="s">
        <v>983</v>
      </c>
      <c r="H655" s="2" t="s">
        <v>984</v>
      </c>
      <c r="I655" s="2"/>
      <c r="J655" s="2" t="s">
        <v>23</v>
      </c>
    </row>
    <row r="656" spans="1:10" ht="21" customHeight="1">
      <c r="A656" s="2" t="s">
        <v>1644</v>
      </c>
      <c r="B656" s="2" t="s">
        <v>23</v>
      </c>
      <c r="C656" s="4">
        <v>45947.25</v>
      </c>
      <c r="D656" s="4">
        <v>45947.25014152778</v>
      </c>
      <c r="E656" s="2">
        <v>3.13</v>
      </c>
      <c r="F656" s="2">
        <v>61.1</v>
      </c>
      <c r="G656" s="2" t="s">
        <v>983</v>
      </c>
      <c r="H656" s="2" t="s">
        <v>984</v>
      </c>
      <c r="I656" s="2" t="s">
        <v>985</v>
      </c>
      <c r="J656" s="2" t="s">
        <v>23</v>
      </c>
    </row>
    <row r="657" spans="1:10" ht="21" customHeight="1">
      <c r="A657" s="2" t="s">
        <v>1645</v>
      </c>
      <c r="B657" s="2" t="s">
        <v>23</v>
      </c>
      <c r="C657" s="4">
        <v>45948.25</v>
      </c>
      <c r="D657" s="4">
        <v>45948.250649050926</v>
      </c>
      <c r="E657" s="2">
        <v>2.89</v>
      </c>
      <c r="F657" s="2">
        <v>60.7</v>
      </c>
      <c r="G657" s="2" t="s">
        <v>983</v>
      </c>
      <c r="H657" s="2" t="s">
        <v>984</v>
      </c>
      <c r="I657" s="2"/>
      <c r="J657" s="2" t="s">
        <v>23</v>
      </c>
    </row>
    <row r="658" spans="1:10" ht="21" customHeight="1">
      <c r="A658" s="2" t="s">
        <v>1646</v>
      </c>
      <c r="B658" s="2" t="s">
        <v>1359</v>
      </c>
      <c r="C658" s="4">
        <v>45949.25</v>
      </c>
      <c r="D658" s="4">
        <v>45949.25001265046</v>
      </c>
      <c r="E658" s="2">
        <v>2.89</v>
      </c>
      <c r="F658" s="2">
        <v>58.8</v>
      </c>
      <c r="G658" s="2" t="s">
        <v>983</v>
      </c>
      <c r="H658" s="2" t="s">
        <v>984</v>
      </c>
      <c r="I658" s="2"/>
      <c r="J658" s="2" t="s">
        <v>23</v>
      </c>
    </row>
    <row r="659" spans="1:10" ht="21" customHeight="1">
      <c r="A659" s="2" t="s">
        <v>1647</v>
      </c>
      <c r="B659" s="2" t="s">
        <v>23</v>
      </c>
      <c r="C659" s="4">
        <v>45950.25</v>
      </c>
      <c r="D659" s="4">
        <v>45950.250672881943</v>
      </c>
      <c r="E659" s="2">
        <v>2.3199999999999998</v>
      </c>
      <c r="F659" s="2">
        <v>60.8</v>
      </c>
      <c r="G659" s="2" t="s">
        <v>983</v>
      </c>
      <c r="H659" s="2" t="s">
        <v>984</v>
      </c>
      <c r="I659" s="2"/>
      <c r="J659" s="2" t="s">
        <v>23</v>
      </c>
    </row>
    <row r="660" spans="1:10" ht="21" customHeight="1">
      <c r="A660" s="2" t="s">
        <v>1648</v>
      </c>
      <c r="B660" s="2" t="s">
        <v>23</v>
      </c>
      <c r="C660" s="4">
        <v>45951.25</v>
      </c>
      <c r="D660" s="4">
        <v>45951.250346087967</v>
      </c>
      <c r="E660" s="2">
        <v>2.25</v>
      </c>
      <c r="F660" s="2">
        <v>63.2</v>
      </c>
      <c r="G660" s="2" t="s">
        <v>983</v>
      </c>
      <c r="H660" s="2" t="s">
        <v>984</v>
      </c>
      <c r="I660" s="2"/>
      <c r="J660" s="2" t="s">
        <v>23</v>
      </c>
    </row>
    <row r="661" spans="1:10" ht="21" customHeight="1">
      <c r="A661" s="2" t="s">
        <v>1649</v>
      </c>
      <c r="B661" s="2" t="s">
        <v>23</v>
      </c>
      <c r="C661" s="4">
        <v>45952.25</v>
      </c>
      <c r="D661" s="4">
        <v>45952.250152835652</v>
      </c>
      <c r="E661" s="2">
        <v>2.83</v>
      </c>
      <c r="F661" s="2">
        <v>61.7</v>
      </c>
      <c r="G661" s="2" t="s">
        <v>983</v>
      </c>
      <c r="H661" s="2" t="s">
        <v>984</v>
      </c>
      <c r="I661" s="2"/>
      <c r="J661" s="2" t="s">
        <v>23</v>
      </c>
    </row>
    <row r="662" spans="1:10" ht="21" customHeight="1">
      <c r="A662" s="2" t="s">
        <v>1650</v>
      </c>
      <c r="B662" s="2" t="s">
        <v>23</v>
      </c>
      <c r="C662" s="4">
        <v>45953.25</v>
      </c>
      <c r="D662" s="4">
        <v>45953.250337974532</v>
      </c>
      <c r="E662" s="2">
        <v>2.73</v>
      </c>
      <c r="F662" s="2">
        <v>59.8</v>
      </c>
      <c r="G662" s="2" t="s">
        <v>983</v>
      </c>
      <c r="H662" s="2" t="s">
        <v>984</v>
      </c>
      <c r="I662" s="2"/>
      <c r="J662" s="2" t="s">
        <v>23</v>
      </c>
    </row>
    <row r="663" spans="1:10" ht="21" customHeight="1">
      <c r="A663" s="2" t="s">
        <v>1651</v>
      </c>
      <c r="B663" s="2" t="s">
        <v>23</v>
      </c>
      <c r="C663" s="4">
        <v>45954.25</v>
      </c>
      <c r="D663" s="4">
        <v>45954.250233692132</v>
      </c>
      <c r="E663" s="2">
        <v>2.54</v>
      </c>
      <c r="F663" s="2">
        <v>63.5</v>
      </c>
      <c r="G663" s="2" t="s">
        <v>983</v>
      </c>
      <c r="H663" s="2" t="s">
        <v>984</v>
      </c>
      <c r="I663" s="2"/>
      <c r="J663" s="2" t="s">
        <v>23</v>
      </c>
    </row>
    <row r="664" spans="1:10" ht="21" customHeight="1">
      <c r="A664" s="2" t="s">
        <v>1652</v>
      </c>
      <c r="B664" s="2" t="s">
        <v>23</v>
      </c>
      <c r="C664" s="4">
        <v>45955.25</v>
      </c>
      <c r="D664" s="4">
        <v>45955.250510868056</v>
      </c>
      <c r="E664" s="2">
        <v>3.19</v>
      </c>
      <c r="F664" s="2">
        <v>62.4</v>
      </c>
      <c r="G664" s="2" t="s">
        <v>983</v>
      </c>
      <c r="H664" s="2" t="s">
        <v>984</v>
      </c>
      <c r="I664" s="2"/>
      <c r="J664" s="2" t="s">
        <v>23</v>
      </c>
    </row>
    <row r="665" spans="1:10" ht="21" customHeight="1">
      <c r="A665" s="2" t="s">
        <v>1653</v>
      </c>
      <c r="B665" s="2" t="s">
        <v>23</v>
      </c>
      <c r="C665" s="4">
        <v>45956.25</v>
      </c>
      <c r="D665" s="4">
        <v>45956.250521331021</v>
      </c>
      <c r="E665" s="2">
        <v>2.2999999999999998</v>
      </c>
      <c r="F665" s="2">
        <v>58.7</v>
      </c>
      <c r="G665" s="2" t="s">
        <v>983</v>
      </c>
      <c r="H665" s="2" t="s">
        <v>984</v>
      </c>
      <c r="I665" s="2"/>
      <c r="J665" s="2" t="s">
        <v>23</v>
      </c>
    </row>
    <row r="666" spans="1:10" ht="21" customHeight="1">
      <c r="A666" s="2" t="s">
        <v>1654</v>
      </c>
      <c r="B666" s="2" t="s">
        <v>23</v>
      </c>
      <c r="C666" s="4">
        <v>45957.25</v>
      </c>
      <c r="D666" s="4">
        <v>45957.250211284721</v>
      </c>
      <c r="E666" s="2">
        <v>2.52</v>
      </c>
      <c r="F666" s="2">
        <v>59.7</v>
      </c>
      <c r="G666" s="2" t="s">
        <v>983</v>
      </c>
      <c r="H666" s="2" t="s">
        <v>984</v>
      </c>
      <c r="I666" s="2"/>
      <c r="J666" s="2" t="s">
        <v>23</v>
      </c>
    </row>
    <row r="667" spans="1:10" ht="21" customHeight="1">
      <c r="A667" s="2" t="s">
        <v>1655</v>
      </c>
      <c r="B667" s="2" t="s">
        <v>23</v>
      </c>
      <c r="C667" s="4">
        <v>45958.25</v>
      </c>
      <c r="D667" s="4">
        <v>45958.250097766198</v>
      </c>
      <c r="E667" s="2">
        <v>2.94</v>
      </c>
      <c r="F667" s="2">
        <v>62.7</v>
      </c>
      <c r="G667" s="2" t="s">
        <v>983</v>
      </c>
      <c r="H667" s="2" t="s">
        <v>984</v>
      </c>
      <c r="I667" s="2"/>
      <c r="J667" s="2" t="s">
        <v>23</v>
      </c>
    </row>
    <row r="668" spans="1:10" ht="21" customHeight="1">
      <c r="A668" s="2" t="s">
        <v>1656</v>
      </c>
      <c r="B668" s="2" t="s">
        <v>23</v>
      </c>
      <c r="C668" s="4">
        <v>45959.25</v>
      </c>
      <c r="D668" s="4">
        <v>45959.250430277782</v>
      </c>
      <c r="E668" s="2">
        <v>2.74</v>
      </c>
      <c r="F668" s="2">
        <v>61</v>
      </c>
      <c r="G668" s="2" t="s">
        <v>983</v>
      </c>
      <c r="H668" s="2" t="s">
        <v>984</v>
      </c>
      <c r="I668" s="2"/>
      <c r="J668" s="2" t="s">
        <v>23</v>
      </c>
    </row>
    <row r="669" spans="1:10" ht="21" customHeight="1">
      <c r="A669" s="2" t="s">
        <v>1657</v>
      </c>
      <c r="B669" s="2" t="s">
        <v>23</v>
      </c>
      <c r="C669" s="4">
        <v>45960.25</v>
      </c>
      <c r="D669" s="4">
        <v>45960.250099120371</v>
      </c>
      <c r="E669" s="2">
        <v>2.81</v>
      </c>
      <c r="F669" s="2">
        <v>60.9</v>
      </c>
      <c r="G669" s="2" t="s">
        <v>983</v>
      </c>
      <c r="H669" s="2" t="s">
        <v>984</v>
      </c>
      <c r="I669" s="2"/>
      <c r="J669" s="2" t="s">
        <v>23</v>
      </c>
    </row>
    <row r="670" spans="1:10" ht="21" customHeight="1">
      <c r="A670" s="2" t="s">
        <v>1658</v>
      </c>
      <c r="B670" s="2" t="s">
        <v>23</v>
      </c>
      <c r="C670" s="4">
        <v>45961.25</v>
      </c>
      <c r="D670" s="4">
        <v>45961.250436018519</v>
      </c>
      <c r="E670" s="2">
        <v>2.64</v>
      </c>
      <c r="F670" s="2">
        <v>61.4</v>
      </c>
      <c r="G670" s="2" t="s">
        <v>983</v>
      </c>
      <c r="H670" s="2" t="s">
        <v>984</v>
      </c>
      <c r="I670" s="2"/>
      <c r="J670" s="2" t="s">
        <v>23</v>
      </c>
    </row>
    <row r="671" spans="1:10" ht="21" customHeight="1">
      <c r="A671" s="2" t="s">
        <v>1659</v>
      </c>
      <c r="B671" s="2" t="s">
        <v>23</v>
      </c>
      <c r="C671" s="4">
        <v>45962.25</v>
      </c>
      <c r="D671" s="4">
        <v>45962.250025092595</v>
      </c>
      <c r="E671" s="2">
        <v>3.08</v>
      </c>
      <c r="F671" s="2">
        <v>61.7</v>
      </c>
      <c r="G671" s="2" t="s">
        <v>983</v>
      </c>
      <c r="H671" s="2" t="s">
        <v>984</v>
      </c>
      <c r="I671" s="2"/>
      <c r="J671" s="2" t="s">
        <v>23</v>
      </c>
    </row>
    <row r="672" spans="1:10" ht="21" customHeight="1">
      <c r="A672" s="2" t="s">
        <v>1660</v>
      </c>
      <c r="B672" s="2" t="s">
        <v>23</v>
      </c>
      <c r="C672" s="4">
        <v>45963.25</v>
      </c>
      <c r="D672" s="4">
        <v>45963.250349363429</v>
      </c>
      <c r="E672" s="2">
        <v>2.31</v>
      </c>
      <c r="F672" s="2">
        <v>62.6</v>
      </c>
      <c r="G672" s="2" t="s">
        <v>983</v>
      </c>
      <c r="H672" s="2" t="s">
        <v>984</v>
      </c>
      <c r="I672" s="2"/>
      <c r="J672" s="2" t="s">
        <v>23</v>
      </c>
    </row>
    <row r="673" spans="1:10" ht="21" customHeight="1">
      <c r="A673" s="2" t="s">
        <v>1661</v>
      </c>
      <c r="B673" s="2" t="s">
        <v>23</v>
      </c>
      <c r="C673" s="4">
        <v>45964.25</v>
      </c>
      <c r="D673" s="4">
        <v>45964.250147858795</v>
      </c>
      <c r="E673" s="2">
        <v>2.14</v>
      </c>
      <c r="F673" s="2">
        <v>62.7</v>
      </c>
      <c r="G673" s="2" t="s">
        <v>983</v>
      </c>
      <c r="H673" s="2" t="s">
        <v>984</v>
      </c>
      <c r="I673" s="2" t="s">
        <v>985</v>
      </c>
      <c r="J673" s="2" t="s">
        <v>23</v>
      </c>
    </row>
    <row r="674" spans="1:10" ht="21" customHeight="1">
      <c r="A674" s="2" t="s">
        <v>1662</v>
      </c>
      <c r="B674" s="2" t="s">
        <v>23</v>
      </c>
      <c r="C674" s="4">
        <v>45965.25</v>
      </c>
      <c r="D674" s="4">
        <v>45965.250323043976</v>
      </c>
      <c r="E674" s="2">
        <v>2.69</v>
      </c>
      <c r="F674" s="2">
        <v>65.2</v>
      </c>
      <c r="G674" s="2" t="s">
        <v>983</v>
      </c>
      <c r="H674" s="2" t="s">
        <v>984</v>
      </c>
      <c r="I674" s="2"/>
      <c r="J674" s="2" t="s">
        <v>23</v>
      </c>
    </row>
    <row r="675" spans="1:10" ht="21" customHeight="1">
      <c r="A675" s="2" t="s">
        <v>1663</v>
      </c>
      <c r="B675" s="2" t="s">
        <v>23</v>
      </c>
      <c r="C675" s="4">
        <v>45966.25</v>
      </c>
      <c r="D675" s="4">
        <v>45966.250665717591</v>
      </c>
      <c r="E675" s="2">
        <v>2.61</v>
      </c>
      <c r="F675" s="2">
        <v>62.9</v>
      </c>
      <c r="G675" s="2" t="s">
        <v>983</v>
      </c>
      <c r="H675" s="2" t="s">
        <v>984</v>
      </c>
      <c r="I675" s="2"/>
      <c r="J675" s="2" t="s">
        <v>23</v>
      </c>
    </row>
    <row r="676" spans="1:10" ht="21" customHeight="1">
      <c r="A676" s="2" t="s">
        <v>1664</v>
      </c>
      <c r="B676" s="2" t="s">
        <v>23</v>
      </c>
      <c r="C676" s="4">
        <v>45967.25</v>
      </c>
      <c r="D676" s="4">
        <v>45967.250134108792</v>
      </c>
      <c r="E676" s="2">
        <v>2.96</v>
      </c>
      <c r="F676" s="2">
        <v>65.400000000000006</v>
      </c>
      <c r="G676" s="2" t="s">
        <v>983</v>
      </c>
      <c r="H676" s="2" t="s">
        <v>984</v>
      </c>
      <c r="I676" s="2"/>
      <c r="J676" s="2" t="s">
        <v>23</v>
      </c>
    </row>
    <row r="677" spans="1:10" ht="21" customHeight="1">
      <c r="A677" s="2" t="s">
        <v>1665</v>
      </c>
      <c r="B677" s="2" t="s">
        <v>23</v>
      </c>
      <c r="C677" s="4">
        <v>45968.25</v>
      </c>
      <c r="D677" s="4">
        <v>45968.250687997686</v>
      </c>
      <c r="E677" s="2">
        <v>2.76</v>
      </c>
      <c r="F677" s="2">
        <v>62.7</v>
      </c>
      <c r="G677" s="2" t="s">
        <v>983</v>
      </c>
      <c r="H677" s="2" t="s">
        <v>984</v>
      </c>
      <c r="I677" s="2"/>
      <c r="J677" s="2" t="s">
        <v>23</v>
      </c>
    </row>
    <row r="678" spans="1:10" ht="21" customHeight="1">
      <c r="A678" s="2" t="s">
        <v>1666</v>
      </c>
      <c r="B678" s="2" t="s">
        <v>23</v>
      </c>
      <c r="C678" s="4">
        <v>45969.25</v>
      </c>
      <c r="D678" s="4">
        <v>45969.250290162032</v>
      </c>
      <c r="E678" s="2">
        <v>2.89</v>
      </c>
      <c r="F678" s="2">
        <v>65.2</v>
      </c>
      <c r="G678" s="2" t="s">
        <v>983</v>
      </c>
      <c r="H678" s="2" t="s">
        <v>984</v>
      </c>
      <c r="I678" s="2"/>
      <c r="J678" s="2" t="s">
        <v>23</v>
      </c>
    </row>
    <row r="679" spans="1:10" ht="21" customHeight="1">
      <c r="A679" s="2" t="s">
        <v>1667</v>
      </c>
      <c r="B679" s="2" t="s">
        <v>23</v>
      </c>
      <c r="C679" s="4">
        <v>45970.25</v>
      </c>
      <c r="D679" s="4">
        <v>45970.250257627311</v>
      </c>
      <c r="E679" s="2">
        <v>2.5499999999999998</v>
      </c>
      <c r="F679" s="2">
        <v>62.6</v>
      </c>
      <c r="G679" s="2" t="s">
        <v>983</v>
      </c>
      <c r="H679" s="2" t="s">
        <v>984</v>
      </c>
      <c r="I679" s="2"/>
      <c r="J679" s="2" t="s">
        <v>23</v>
      </c>
    </row>
    <row r="680" spans="1:10" ht="21" customHeight="1">
      <c r="A680" s="2" t="s">
        <v>1668</v>
      </c>
      <c r="B680" s="2" t="s">
        <v>23</v>
      </c>
      <c r="C680" s="4">
        <v>45971.25</v>
      </c>
      <c r="D680" s="4">
        <v>45971.250246342592</v>
      </c>
      <c r="E680" s="2">
        <v>3.2</v>
      </c>
      <c r="F680" s="2">
        <v>58.2</v>
      </c>
      <c r="G680" s="2" t="s">
        <v>983</v>
      </c>
      <c r="H680" s="2" t="s">
        <v>984</v>
      </c>
      <c r="I680" s="2"/>
      <c r="J680" s="2" t="s">
        <v>23</v>
      </c>
    </row>
    <row r="681" spans="1:10" ht="21" customHeight="1">
      <c r="A681" s="2" t="s">
        <v>1669</v>
      </c>
      <c r="B681" s="2" t="s">
        <v>23</v>
      </c>
      <c r="C681" s="4">
        <v>45972.25</v>
      </c>
      <c r="D681" s="4">
        <v>45972.250279872685</v>
      </c>
      <c r="E681" s="2">
        <v>2.5099999999999998</v>
      </c>
      <c r="F681" s="2">
        <v>64.900000000000006</v>
      </c>
      <c r="G681" s="2" t="s">
        <v>983</v>
      </c>
      <c r="H681" s="2" t="s">
        <v>984</v>
      </c>
      <c r="I681" s="2"/>
      <c r="J681" s="2" t="s">
        <v>23</v>
      </c>
    </row>
    <row r="682" spans="1:10" ht="21" customHeight="1">
      <c r="A682" s="2" t="s">
        <v>1670</v>
      </c>
      <c r="B682" s="2" t="s">
        <v>23</v>
      </c>
      <c r="C682" s="4">
        <v>45973.25</v>
      </c>
      <c r="D682" s="4">
        <v>45973.25069429398</v>
      </c>
      <c r="E682" s="2">
        <v>2.88</v>
      </c>
      <c r="F682" s="2">
        <v>60.3</v>
      </c>
      <c r="G682" s="2" t="s">
        <v>983</v>
      </c>
      <c r="H682" s="2" t="s">
        <v>984</v>
      </c>
      <c r="I682" s="2"/>
      <c r="J682" s="2" t="s">
        <v>23</v>
      </c>
    </row>
    <row r="683" spans="1:10" ht="21" customHeight="1">
      <c r="A683" s="2" t="s">
        <v>1671</v>
      </c>
      <c r="B683" s="2" t="s">
        <v>23</v>
      </c>
      <c r="C683" s="4">
        <v>45974.25</v>
      </c>
      <c r="D683" s="4">
        <v>45974.25000039352</v>
      </c>
      <c r="E683" s="2">
        <v>3.22</v>
      </c>
      <c r="F683" s="2">
        <v>64.099999999999994</v>
      </c>
      <c r="G683" s="2" t="s">
        <v>983</v>
      </c>
      <c r="H683" s="2" t="s">
        <v>984</v>
      </c>
      <c r="I683" s="2"/>
      <c r="J683" s="2" t="s">
        <v>23</v>
      </c>
    </row>
    <row r="684" spans="1:10" ht="21" customHeight="1">
      <c r="A684" s="2" t="s">
        <v>1672</v>
      </c>
      <c r="B684" s="2" t="s">
        <v>23</v>
      </c>
      <c r="C684" s="4">
        <v>45975.25</v>
      </c>
      <c r="D684" s="4">
        <v>45975.250541041663</v>
      </c>
      <c r="E684" s="2">
        <v>3.04</v>
      </c>
      <c r="F684" s="2">
        <v>65</v>
      </c>
      <c r="G684" s="2" t="s">
        <v>983</v>
      </c>
      <c r="H684" s="2" t="s">
        <v>984</v>
      </c>
      <c r="I684" s="2"/>
      <c r="J684" s="2" t="s">
        <v>23</v>
      </c>
    </row>
    <row r="685" spans="1:10" ht="21" customHeight="1">
      <c r="A685" s="2" t="s">
        <v>1673</v>
      </c>
      <c r="B685" s="2" t="s">
        <v>23</v>
      </c>
      <c r="C685" s="4">
        <v>45976.25</v>
      </c>
      <c r="D685" s="4">
        <v>45976.250232696759</v>
      </c>
      <c r="E685" s="2">
        <v>3.23</v>
      </c>
      <c r="F685" s="2">
        <v>64.8</v>
      </c>
      <c r="G685" s="2" t="s">
        <v>983</v>
      </c>
      <c r="H685" s="2" t="s">
        <v>984</v>
      </c>
      <c r="I685" s="2"/>
      <c r="J685" s="2" t="s">
        <v>23</v>
      </c>
    </row>
    <row r="686" spans="1:10" ht="21" customHeight="1">
      <c r="A686" s="2" t="s">
        <v>1674</v>
      </c>
      <c r="B686" s="2" t="s">
        <v>23</v>
      </c>
      <c r="C686" s="4">
        <v>45977.25</v>
      </c>
      <c r="D686" s="4">
        <v>45977.250640046295</v>
      </c>
      <c r="E686" s="2">
        <v>2.2400000000000002</v>
      </c>
      <c r="F686" s="2">
        <v>60.3</v>
      </c>
      <c r="G686" s="2" t="s">
        <v>983</v>
      </c>
      <c r="H686" s="2" t="s">
        <v>984</v>
      </c>
      <c r="I686" s="2"/>
      <c r="J686" s="2" t="s">
        <v>23</v>
      </c>
    </row>
    <row r="687" spans="1:10" ht="21" customHeight="1">
      <c r="A687" s="2" t="s">
        <v>1675</v>
      </c>
      <c r="B687" s="2" t="s">
        <v>23</v>
      </c>
      <c r="C687" s="4">
        <v>45978.25</v>
      </c>
      <c r="D687" s="4">
        <v>45978.250561736109</v>
      </c>
      <c r="E687" s="2">
        <v>5.0599999999999996</v>
      </c>
      <c r="F687" s="2">
        <v>71.599999999999994</v>
      </c>
      <c r="G687" s="2" t="s">
        <v>983</v>
      </c>
      <c r="H687" s="2" t="s">
        <v>984</v>
      </c>
      <c r="I687" s="2" t="s">
        <v>1053</v>
      </c>
      <c r="J687" s="2" t="s">
        <v>23</v>
      </c>
    </row>
    <row r="688" spans="1:10" ht="21" customHeight="1">
      <c r="A688" s="2" t="s">
        <v>1676</v>
      </c>
      <c r="B688" s="2" t="s">
        <v>23</v>
      </c>
      <c r="C688" s="4">
        <v>45979.25</v>
      </c>
      <c r="D688" s="4">
        <v>45979.250554907412</v>
      </c>
      <c r="E688" s="2">
        <v>4.5599999999999996</v>
      </c>
      <c r="F688" s="2">
        <v>68</v>
      </c>
      <c r="G688" s="2" t="s">
        <v>983</v>
      </c>
      <c r="H688" s="2" t="s">
        <v>984</v>
      </c>
      <c r="I688" s="2"/>
      <c r="J688" s="2" t="s">
        <v>23</v>
      </c>
    </row>
    <row r="689" spans="1:10" ht="21" customHeight="1">
      <c r="A689" s="2" t="s">
        <v>1677</v>
      </c>
      <c r="B689" s="2" t="s">
        <v>23</v>
      </c>
      <c r="C689" s="4">
        <v>45980.25</v>
      </c>
      <c r="D689" s="4">
        <v>45980.250354722222</v>
      </c>
      <c r="E689" s="2"/>
      <c r="F689" s="2"/>
      <c r="G689" s="2" t="s">
        <v>983</v>
      </c>
      <c r="H689" s="2" t="s">
        <v>1066</v>
      </c>
      <c r="I689" s="2" t="s">
        <v>1053</v>
      </c>
      <c r="J689" s="2" t="s">
        <v>23</v>
      </c>
    </row>
    <row r="690" spans="1:10" ht="21" customHeight="1">
      <c r="A690" s="2" t="s">
        <v>1678</v>
      </c>
      <c r="B690" s="2" t="s">
        <v>23</v>
      </c>
      <c r="C690" s="4">
        <v>45981.25</v>
      </c>
      <c r="D690" s="4">
        <v>45981.250096331016</v>
      </c>
      <c r="E690" s="2">
        <v>2.98</v>
      </c>
      <c r="F690" s="2">
        <v>64.2</v>
      </c>
      <c r="G690" s="2" t="s">
        <v>983</v>
      </c>
      <c r="H690" s="2" t="s">
        <v>984</v>
      </c>
      <c r="I690" s="2" t="s">
        <v>985</v>
      </c>
      <c r="J690" s="2" t="s">
        <v>23</v>
      </c>
    </row>
    <row r="691" spans="1:10" ht="21" customHeight="1">
      <c r="A691" s="2" t="s">
        <v>1679</v>
      </c>
      <c r="B691" s="2" t="s">
        <v>23</v>
      </c>
      <c r="C691" s="4">
        <v>45982.25</v>
      </c>
      <c r="D691" s="4">
        <v>45982.250090127316</v>
      </c>
      <c r="E691" s="2">
        <v>3.06</v>
      </c>
      <c r="F691" s="2">
        <v>64.3</v>
      </c>
      <c r="G691" s="2" t="s">
        <v>983</v>
      </c>
      <c r="H691" s="2" t="s">
        <v>984</v>
      </c>
      <c r="I691" s="2"/>
      <c r="J691" s="2" t="s">
        <v>23</v>
      </c>
    </row>
    <row r="692" spans="1:10" ht="21" customHeight="1">
      <c r="A692" s="2" t="s">
        <v>1680</v>
      </c>
      <c r="B692" s="2" t="s">
        <v>23</v>
      </c>
      <c r="C692" s="4">
        <v>45983.25</v>
      </c>
      <c r="D692" s="4">
        <v>45983.250112118054</v>
      </c>
      <c r="E692" s="2">
        <v>2.89</v>
      </c>
      <c r="F692" s="2">
        <v>62</v>
      </c>
      <c r="G692" s="2" t="s">
        <v>983</v>
      </c>
      <c r="H692" s="2" t="s">
        <v>984</v>
      </c>
      <c r="I692" s="2"/>
      <c r="J692" s="2" t="s">
        <v>23</v>
      </c>
    </row>
    <row r="693" spans="1:10" ht="21" customHeight="1">
      <c r="A693" s="2" t="s">
        <v>1681</v>
      </c>
      <c r="B693" s="2" t="s">
        <v>23</v>
      </c>
      <c r="C693" s="4">
        <v>45984.25</v>
      </c>
      <c r="D693" s="4">
        <v>45984.250274594902</v>
      </c>
      <c r="E693" s="2">
        <v>2.4900000000000002</v>
      </c>
      <c r="F693" s="2">
        <v>63.4</v>
      </c>
      <c r="G693" s="2" t="s">
        <v>983</v>
      </c>
      <c r="H693" s="2" t="s">
        <v>984</v>
      </c>
      <c r="I693" s="2"/>
      <c r="J693" s="2" t="s">
        <v>23</v>
      </c>
    </row>
    <row r="694" spans="1:10" ht="21" customHeight="1">
      <c r="A694" s="2" t="s">
        <v>1682</v>
      </c>
      <c r="B694" s="2" t="s">
        <v>23</v>
      </c>
      <c r="C694" s="4">
        <v>45985.25</v>
      </c>
      <c r="D694" s="4">
        <v>45985.250625879635</v>
      </c>
      <c r="E694" s="2">
        <v>3.01</v>
      </c>
      <c r="F694" s="2">
        <v>64.900000000000006</v>
      </c>
      <c r="G694" s="2" t="s">
        <v>983</v>
      </c>
      <c r="H694" s="2" t="s">
        <v>984</v>
      </c>
      <c r="I694" s="2"/>
      <c r="J694" s="2" t="s">
        <v>23</v>
      </c>
    </row>
    <row r="695" spans="1:10" ht="21" customHeight="1">
      <c r="A695" s="2" t="s">
        <v>1683</v>
      </c>
      <c r="B695" s="2" t="s">
        <v>23</v>
      </c>
      <c r="C695" s="4">
        <v>45986.25</v>
      </c>
      <c r="D695" s="4">
        <v>45986.250368078705</v>
      </c>
      <c r="E695" s="2">
        <v>2.68</v>
      </c>
      <c r="F695" s="2">
        <v>61.3</v>
      </c>
      <c r="G695" s="2" t="s">
        <v>983</v>
      </c>
      <c r="H695" s="2" t="s">
        <v>984</v>
      </c>
      <c r="I695" s="2"/>
      <c r="J695" s="2" t="s">
        <v>23</v>
      </c>
    </row>
    <row r="696" spans="1:10" ht="21" customHeight="1">
      <c r="A696" s="2" t="s">
        <v>1684</v>
      </c>
      <c r="B696" s="2" t="s">
        <v>23</v>
      </c>
      <c r="C696" s="4">
        <v>45987.25</v>
      </c>
      <c r="D696" s="4">
        <v>45987.250088460649</v>
      </c>
      <c r="E696" s="2">
        <v>2.94</v>
      </c>
      <c r="F696" s="2">
        <v>62.4</v>
      </c>
      <c r="G696" s="2" t="s">
        <v>983</v>
      </c>
      <c r="H696" s="2" t="s">
        <v>984</v>
      </c>
      <c r="I696" s="2"/>
      <c r="J696" s="2" t="s">
        <v>23</v>
      </c>
    </row>
    <row r="697" spans="1:10" ht="21" customHeight="1">
      <c r="A697" s="2" t="s">
        <v>1685</v>
      </c>
      <c r="B697" s="2" t="s">
        <v>23</v>
      </c>
      <c r="C697" s="4">
        <v>45988.25</v>
      </c>
      <c r="D697" s="4">
        <v>45988.250101585647</v>
      </c>
      <c r="E697" s="2">
        <v>3.2</v>
      </c>
      <c r="F697" s="2">
        <v>61.8</v>
      </c>
      <c r="G697" s="2" t="s">
        <v>983</v>
      </c>
      <c r="H697" s="2" t="s">
        <v>984</v>
      </c>
      <c r="I697" s="2"/>
      <c r="J697" s="2" t="s">
        <v>23</v>
      </c>
    </row>
    <row r="698" spans="1:10" ht="21" customHeight="1">
      <c r="A698" s="2" t="s">
        <v>1686</v>
      </c>
      <c r="B698" s="2" t="s">
        <v>23</v>
      </c>
      <c r="C698" s="4">
        <v>45989.25</v>
      </c>
      <c r="D698" s="4">
        <v>45989.250387523149</v>
      </c>
      <c r="E698" s="2">
        <v>3.18</v>
      </c>
      <c r="F698" s="2">
        <v>64</v>
      </c>
      <c r="G698" s="2" t="s">
        <v>983</v>
      </c>
      <c r="H698" s="2" t="s">
        <v>984</v>
      </c>
      <c r="I698" s="2"/>
      <c r="J698" s="2" t="s">
        <v>23</v>
      </c>
    </row>
    <row r="699" spans="1:10" ht="21" customHeight="1">
      <c r="A699" s="2" t="s">
        <v>1687</v>
      </c>
      <c r="B699" s="2" t="s">
        <v>1359</v>
      </c>
      <c r="C699" s="4">
        <v>45990.25</v>
      </c>
      <c r="D699" s="4">
        <v>45990.25051460648</v>
      </c>
      <c r="E699" s="2">
        <v>3.04</v>
      </c>
      <c r="F699" s="2">
        <v>58.8</v>
      </c>
      <c r="G699" s="2" t="s">
        <v>983</v>
      </c>
      <c r="H699" s="2" t="s">
        <v>984</v>
      </c>
      <c r="I699" s="2"/>
      <c r="J699" s="2" t="s">
        <v>23</v>
      </c>
    </row>
    <row r="700" spans="1:10" ht="21" customHeight="1">
      <c r="A700" s="2" t="s">
        <v>1688</v>
      </c>
      <c r="B700" s="2" t="s">
        <v>23</v>
      </c>
      <c r="C700" s="4">
        <v>45991.25</v>
      </c>
      <c r="D700" s="4">
        <v>45991.250086886575</v>
      </c>
      <c r="E700" s="2">
        <v>2.4300000000000002</v>
      </c>
      <c r="F700" s="2">
        <v>64.400000000000006</v>
      </c>
      <c r="G700" s="2" t="s">
        <v>983</v>
      </c>
      <c r="H700" s="2" t="s">
        <v>984</v>
      </c>
      <c r="I700" s="2"/>
      <c r="J700" s="2" t="s">
        <v>23</v>
      </c>
    </row>
    <row r="701" spans="1:10" ht="21" customHeight="1">
      <c r="A701" s="2" t="s">
        <v>1689</v>
      </c>
      <c r="B701" s="2" t="s">
        <v>23</v>
      </c>
      <c r="C701" s="4">
        <v>45992.25</v>
      </c>
      <c r="D701" s="4">
        <v>45992.250440821765</v>
      </c>
      <c r="E701" s="2">
        <v>2.46</v>
      </c>
      <c r="F701" s="2">
        <v>63.6</v>
      </c>
      <c r="G701" s="2" t="s">
        <v>983</v>
      </c>
      <c r="H701" s="2" t="s">
        <v>984</v>
      </c>
      <c r="I701" s="2"/>
      <c r="J701" s="2" t="s">
        <v>23</v>
      </c>
    </row>
    <row r="702" spans="1:10" ht="21" customHeight="1">
      <c r="A702" s="2" t="s">
        <v>1690</v>
      </c>
      <c r="B702" s="2" t="s">
        <v>23</v>
      </c>
      <c r="C702" s="4">
        <v>45993.25</v>
      </c>
      <c r="D702" s="4">
        <v>45993.250160324074</v>
      </c>
      <c r="E702" s="2">
        <v>2.42</v>
      </c>
      <c r="F702" s="2">
        <v>62.3</v>
      </c>
      <c r="G702" s="2" t="s">
        <v>983</v>
      </c>
      <c r="H702" s="2" t="s">
        <v>984</v>
      </c>
      <c r="I702" s="2"/>
      <c r="J702" s="2" t="s">
        <v>23</v>
      </c>
    </row>
    <row r="703" spans="1:10" ht="21" customHeight="1">
      <c r="A703" s="2" t="s">
        <v>1691</v>
      </c>
      <c r="B703" s="2" t="s">
        <v>23</v>
      </c>
      <c r="C703" s="4">
        <v>45994.25</v>
      </c>
      <c r="D703" s="4">
        <v>45994.250407465282</v>
      </c>
      <c r="E703" s="2">
        <v>3.05</v>
      </c>
      <c r="F703" s="2">
        <v>58.4</v>
      </c>
      <c r="G703" s="2" t="s">
        <v>983</v>
      </c>
      <c r="H703" s="2" t="s">
        <v>984</v>
      </c>
      <c r="I703" s="2"/>
      <c r="J703" s="2" t="s">
        <v>23</v>
      </c>
    </row>
    <row r="704" spans="1:10" ht="21" customHeight="1">
      <c r="A704" s="2" t="s">
        <v>1692</v>
      </c>
      <c r="B704" s="2" t="s">
        <v>23</v>
      </c>
      <c r="C704" s="4">
        <v>45995.25</v>
      </c>
      <c r="D704" s="4">
        <v>45995.250417314819</v>
      </c>
      <c r="E704" s="2">
        <v>2.92</v>
      </c>
      <c r="F704" s="2">
        <v>61.2</v>
      </c>
      <c r="G704" s="2" t="s">
        <v>983</v>
      </c>
      <c r="H704" s="2" t="s">
        <v>984</v>
      </c>
      <c r="I704" s="2"/>
      <c r="J704" s="2" t="s">
        <v>23</v>
      </c>
    </row>
    <row r="705" spans="1:10" ht="21" customHeight="1">
      <c r="A705" s="2" t="s">
        <v>1693</v>
      </c>
      <c r="B705" s="2" t="s">
        <v>23</v>
      </c>
      <c r="C705" s="4">
        <v>45996.25</v>
      </c>
      <c r="D705" s="4">
        <v>45996.250360324077</v>
      </c>
      <c r="E705" s="2">
        <v>3.12</v>
      </c>
      <c r="F705" s="2">
        <v>62.9</v>
      </c>
      <c r="G705" s="2" t="s">
        <v>983</v>
      </c>
      <c r="H705" s="2" t="s">
        <v>984</v>
      </c>
      <c r="I705" s="2"/>
      <c r="J705" s="2" t="s">
        <v>23</v>
      </c>
    </row>
    <row r="706" spans="1:10" ht="21" customHeight="1">
      <c r="A706" s="2" t="s">
        <v>1694</v>
      </c>
      <c r="B706" s="2" t="s">
        <v>23</v>
      </c>
      <c r="C706" s="4">
        <v>45997.25</v>
      </c>
      <c r="D706" s="4">
        <v>45997.250221655093</v>
      </c>
      <c r="E706" s="2">
        <v>2.85</v>
      </c>
      <c r="F706" s="2">
        <v>59.7</v>
      </c>
      <c r="G706" s="2" t="s">
        <v>983</v>
      </c>
      <c r="H706" s="2" t="s">
        <v>984</v>
      </c>
      <c r="I706" s="2"/>
      <c r="J706" s="2" t="s">
        <v>23</v>
      </c>
    </row>
    <row r="707" spans="1:10" ht="21" customHeight="1">
      <c r="A707" s="2" t="s">
        <v>1695</v>
      </c>
      <c r="B707" s="2" t="s">
        <v>23</v>
      </c>
      <c r="C707" s="4">
        <v>45998.25</v>
      </c>
      <c r="D707" s="4">
        <v>45998.25003978009</v>
      </c>
      <c r="E707" s="2">
        <v>3.25</v>
      </c>
      <c r="F707" s="2">
        <v>63.4</v>
      </c>
      <c r="G707" s="2" t="s">
        <v>983</v>
      </c>
      <c r="H707" s="2" t="s">
        <v>984</v>
      </c>
      <c r="I707" s="2" t="s">
        <v>985</v>
      </c>
      <c r="J707" s="2" t="s">
        <v>23</v>
      </c>
    </row>
    <row r="708" spans="1:10" ht="21" customHeight="1">
      <c r="A708" s="2" t="s">
        <v>1696</v>
      </c>
      <c r="B708" s="2" t="s">
        <v>23</v>
      </c>
      <c r="C708" s="4">
        <v>45999.25</v>
      </c>
      <c r="D708" s="4">
        <v>45999.250104479172</v>
      </c>
      <c r="E708" s="2">
        <v>2.13</v>
      </c>
      <c r="F708" s="2">
        <v>65.400000000000006</v>
      </c>
      <c r="G708" s="2" t="s">
        <v>983</v>
      </c>
      <c r="H708" s="2" t="s">
        <v>984</v>
      </c>
      <c r="I708" s="2"/>
      <c r="J708" s="2" t="s">
        <v>23</v>
      </c>
    </row>
    <row r="709" spans="1:10" ht="21" customHeight="1">
      <c r="A709" s="2" t="s">
        <v>1697</v>
      </c>
      <c r="B709" s="2" t="s">
        <v>23</v>
      </c>
      <c r="C709" s="4">
        <v>46000.25</v>
      </c>
      <c r="D709" s="4">
        <v>46000.250004444446</v>
      </c>
      <c r="E709" s="2">
        <v>2.95</v>
      </c>
      <c r="F709" s="2">
        <v>59.8</v>
      </c>
      <c r="G709" s="2" t="s">
        <v>983</v>
      </c>
      <c r="H709" s="2" t="s">
        <v>984</v>
      </c>
      <c r="I709" s="2"/>
      <c r="J709" s="2" t="s">
        <v>23</v>
      </c>
    </row>
    <row r="710" spans="1:10" ht="21" customHeight="1">
      <c r="A710" s="2" t="s">
        <v>1698</v>
      </c>
      <c r="B710" s="2" t="s">
        <v>23</v>
      </c>
      <c r="C710" s="4">
        <v>46001.25</v>
      </c>
      <c r="D710" s="4">
        <v>46001.250089861111</v>
      </c>
      <c r="E710" s="2">
        <v>2.2200000000000002</v>
      </c>
      <c r="F710" s="2">
        <v>65.5</v>
      </c>
      <c r="G710" s="2" t="s">
        <v>983</v>
      </c>
      <c r="H710" s="2" t="s">
        <v>984</v>
      </c>
      <c r="I710" s="2"/>
      <c r="J710" s="2" t="s">
        <v>23</v>
      </c>
    </row>
    <row r="711" spans="1:10" ht="21" customHeight="1">
      <c r="A711" s="2" t="s">
        <v>1699</v>
      </c>
      <c r="B711" s="2" t="s">
        <v>23</v>
      </c>
      <c r="C711" s="4">
        <v>46002.25</v>
      </c>
      <c r="D711" s="4">
        <v>46002.250675925927</v>
      </c>
      <c r="E711" s="2">
        <v>2.67</v>
      </c>
      <c r="F711" s="2">
        <v>64.3</v>
      </c>
      <c r="G711" s="2" t="s">
        <v>983</v>
      </c>
      <c r="H711" s="2" t="s">
        <v>984</v>
      </c>
      <c r="I711" s="2"/>
      <c r="J711" s="2" t="s">
        <v>23</v>
      </c>
    </row>
    <row r="712" spans="1:10" ht="21" customHeight="1">
      <c r="A712" s="2" t="s">
        <v>1700</v>
      </c>
      <c r="B712" s="2" t="s">
        <v>23</v>
      </c>
      <c r="C712" s="4">
        <v>46003.25</v>
      </c>
      <c r="D712" s="4">
        <v>46003.250645659718</v>
      </c>
      <c r="E712" s="2">
        <v>2.82</v>
      </c>
      <c r="F712" s="2">
        <v>59.1</v>
      </c>
      <c r="G712" s="2" t="s">
        <v>983</v>
      </c>
      <c r="H712" s="2" t="s">
        <v>984</v>
      </c>
      <c r="I712" s="2"/>
      <c r="J712" s="2" t="s">
        <v>23</v>
      </c>
    </row>
    <row r="713" spans="1:10" ht="21" customHeight="1">
      <c r="A713" s="2" t="s">
        <v>1701</v>
      </c>
      <c r="B713" s="2" t="s">
        <v>23</v>
      </c>
      <c r="C713" s="4">
        <v>46004.25</v>
      </c>
      <c r="D713" s="4">
        <v>46004.250153703702</v>
      </c>
      <c r="E713" s="2">
        <v>3.02</v>
      </c>
      <c r="F713" s="2">
        <v>59.4</v>
      </c>
      <c r="G713" s="2" t="s">
        <v>983</v>
      </c>
      <c r="H713" s="2" t="s">
        <v>984</v>
      </c>
      <c r="I713" s="2"/>
      <c r="J713" s="2" t="s">
        <v>23</v>
      </c>
    </row>
    <row r="714" spans="1:10" ht="21" customHeight="1">
      <c r="A714" s="2" t="s">
        <v>1702</v>
      </c>
      <c r="B714" s="2" t="s">
        <v>23</v>
      </c>
      <c r="C714" s="4">
        <v>46005.25</v>
      </c>
      <c r="D714" s="4">
        <v>46005.250375439813</v>
      </c>
      <c r="E714" s="2">
        <v>2.93</v>
      </c>
      <c r="F714" s="2">
        <v>63.2</v>
      </c>
      <c r="G714" s="2" t="s">
        <v>983</v>
      </c>
      <c r="H714" s="2" t="s">
        <v>984</v>
      </c>
      <c r="I714" s="2"/>
      <c r="J714" s="2" t="s">
        <v>23</v>
      </c>
    </row>
    <row r="715" spans="1:10" ht="21" customHeight="1">
      <c r="A715" s="2" t="s">
        <v>1703</v>
      </c>
      <c r="B715" s="2" t="s">
        <v>23</v>
      </c>
      <c r="C715" s="4">
        <v>46006.25</v>
      </c>
      <c r="D715" s="4">
        <v>46006.2500496875</v>
      </c>
      <c r="E715" s="2">
        <v>16.13</v>
      </c>
      <c r="F715" s="2">
        <v>63.6</v>
      </c>
      <c r="G715" s="2" t="s">
        <v>983</v>
      </c>
      <c r="H715" s="2" t="s">
        <v>1022</v>
      </c>
      <c r="I715" s="2"/>
      <c r="J715" s="2" t="s">
        <v>23</v>
      </c>
    </row>
    <row r="716" spans="1:10" ht="21" customHeight="1">
      <c r="A716" s="2" t="s">
        <v>1704</v>
      </c>
      <c r="B716" s="2" t="s">
        <v>23</v>
      </c>
      <c r="C716" s="4">
        <v>46007.25</v>
      </c>
      <c r="D716" s="4">
        <v>46007.25011883102</v>
      </c>
      <c r="E716" s="2">
        <v>3.2</v>
      </c>
      <c r="F716" s="2">
        <v>59.9</v>
      </c>
      <c r="G716" s="2" t="s">
        <v>983</v>
      </c>
      <c r="H716" s="2" t="s">
        <v>984</v>
      </c>
      <c r="I716" s="2"/>
      <c r="J716" s="2" t="s">
        <v>23</v>
      </c>
    </row>
    <row r="717" spans="1:10" ht="21" customHeight="1">
      <c r="A717" s="2" t="s">
        <v>1705</v>
      </c>
      <c r="B717" s="2" t="s">
        <v>23</v>
      </c>
      <c r="C717" s="4">
        <v>46008.25</v>
      </c>
      <c r="D717" s="4">
        <v>46008.250347685185</v>
      </c>
      <c r="E717" s="2">
        <v>5.7</v>
      </c>
      <c r="F717" s="2">
        <v>64.8</v>
      </c>
      <c r="G717" s="2" t="s">
        <v>983</v>
      </c>
      <c r="H717" s="2" t="s">
        <v>984</v>
      </c>
      <c r="I717" s="2" t="s">
        <v>1053</v>
      </c>
      <c r="J717" s="2" t="s">
        <v>23</v>
      </c>
    </row>
    <row r="718" spans="1:10" ht="21" customHeight="1">
      <c r="A718" s="2" t="s">
        <v>1706</v>
      </c>
      <c r="B718" s="2" t="s">
        <v>23</v>
      </c>
      <c r="C718" s="4">
        <v>46009.25</v>
      </c>
      <c r="D718" s="4">
        <v>46009.25054793981</v>
      </c>
      <c r="E718" s="2">
        <v>6.8</v>
      </c>
      <c r="F718" s="2">
        <v>69.599999999999994</v>
      </c>
      <c r="G718" s="2" t="s">
        <v>983</v>
      </c>
      <c r="H718" s="2" t="s">
        <v>984</v>
      </c>
      <c r="I718" s="2"/>
      <c r="J718" s="2" t="s">
        <v>23</v>
      </c>
    </row>
    <row r="719" spans="1:10" ht="21" customHeight="1">
      <c r="A719" s="2" t="s">
        <v>1707</v>
      </c>
      <c r="B719" s="2" t="s">
        <v>23</v>
      </c>
      <c r="C719" s="4">
        <v>46010.25</v>
      </c>
      <c r="D719" s="4">
        <v>46010.250608495371</v>
      </c>
      <c r="E719" s="2">
        <v>5.35</v>
      </c>
      <c r="F719" s="2">
        <v>62.7</v>
      </c>
      <c r="G719" s="2" t="s">
        <v>983</v>
      </c>
      <c r="H719" s="2" t="s">
        <v>984</v>
      </c>
      <c r="I719" s="2" t="s">
        <v>1053</v>
      </c>
      <c r="J719" s="2" t="s">
        <v>23</v>
      </c>
    </row>
    <row r="720" spans="1:10" ht="21" customHeight="1">
      <c r="A720" s="2" t="s">
        <v>1708</v>
      </c>
      <c r="B720" s="2" t="s">
        <v>23</v>
      </c>
      <c r="C720" s="4">
        <v>46011.25</v>
      </c>
      <c r="D720" s="4">
        <v>46011.250494722219</v>
      </c>
      <c r="E720" s="2">
        <v>0</v>
      </c>
      <c r="F720" s="2">
        <v>59.6</v>
      </c>
      <c r="G720" s="2" t="s">
        <v>1175</v>
      </c>
      <c r="H720" s="2" t="s">
        <v>984</v>
      </c>
      <c r="I720" s="2"/>
      <c r="J720" s="2" t="s">
        <v>23</v>
      </c>
    </row>
    <row r="721" spans="1:10" ht="21" customHeight="1">
      <c r="A721" s="2" t="s">
        <v>1709</v>
      </c>
      <c r="B721" s="2" t="s">
        <v>23</v>
      </c>
      <c r="C721" s="4">
        <v>46012.25</v>
      </c>
      <c r="D721" s="4">
        <v>46012.250335347228</v>
      </c>
      <c r="E721" s="2">
        <v>3</v>
      </c>
      <c r="F721" s="2">
        <v>59.3</v>
      </c>
      <c r="G721" s="2" t="s">
        <v>983</v>
      </c>
      <c r="H721" s="2" t="s">
        <v>984</v>
      </c>
      <c r="I721" s="2"/>
      <c r="J721" s="2" t="s">
        <v>23</v>
      </c>
    </row>
    <row r="722" spans="1:10" ht="21" customHeight="1">
      <c r="A722" s="2" t="s">
        <v>1710</v>
      </c>
      <c r="B722" s="2" t="s">
        <v>23</v>
      </c>
      <c r="C722" s="4">
        <v>46013.25</v>
      </c>
      <c r="D722" s="4">
        <v>46013.25018451389</v>
      </c>
      <c r="E722" s="2">
        <v>2.56</v>
      </c>
      <c r="F722" s="2">
        <v>65.8</v>
      </c>
      <c r="G722" s="2" t="s">
        <v>983</v>
      </c>
      <c r="H722" s="2" t="s">
        <v>984</v>
      </c>
      <c r="I722" s="2"/>
      <c r="J722" s="2" t="s">
        <v>23</v>
      </c>
    </row>
    <row r="723" spans="1:10" ht="21" customHeight="1">
      <c r="A723" s="2" t="s">
        <v>1711</v>
      </c>
      <c r="B723" s="2" t="s">
        <v>23</v>
      </c>
      <c r="C723" s="4">
        <v>46014.25</v>
      </c>
      <c r="D723" s="4">
        <v>46014.250096250005</v>
      </c>
      <c r="E723" s="2">
        <v>2.17</v>
      </c>
      <c r="F723" s="2">
        <v>65.8</v>
      </c>
      <c r="G723" s="2" t="s">
        <v>983</v>
      </c>
      <c r="H723" s="2" t="s">
        <v>984</v>
      </c>
      <c r="I723" s="2"/>
      <c r="J723" s="2" t="s">
        <v>23</v>
      </c>
    </row>
    <row r="724" spans="1:10" ht="21" customHeight="1">
      <c r="A724" s="2" t="s">
        <v>1712</v>
      </c>
      <c r="B724" s="2" t="s">
        <v>23</v>
      </c>
      <c r="C724" s="4">
        <v>46015.25</v>
      </c>
      <c r="D724" s="4">
        <v>46015.250684675921</v>
      </c>
      <c r="E724" s="2">
        <v>3.27</v>
      </c>
      <c r="F724" s="2">
        <v>64.599999999999994</v>
      </c>
      <c r="G724" s="2" t="s">
        <v>983</v>
      </c>
      <c r="H724" s="2" t="s">
        <v>984</v>
      </c>
      <c r="I724" s="2" t="s">
        <v>985</v>
      </c>
      <c r="J724" s="2" t="s">
        <v>23</v>
      </c>
    </row>
    <row r="725" spans="1:10" ht="21" customHeight="1">
      <c r="A725" s="2" t="s">
        <v>1713</v>
      </c>
      <c r="B725" s="2" t="s">
        <v>23</v>
      </c>
      <c r="C725" s="4">
        <v>46016.25</v>
      </c>
      <c r="D725" s="4">
        <v>46016.250171840278</v>
      </c>
      <c r="E725" s="2">
        <v>3.2</v>
      </c>
      <c r="F725" s="2">
        <v>62.5</v>
      </c>
      <c r="G725" s="2" t="s">
        <v>983</v>
      </c>
      <c r="H725" s="2" t="s">
        <v>984</v>
      </c>
      <c r="I725" s="2"/>
      <c r="J725" s="2" t="s">
        <v>23</v>
      </c>
    </row>
    <row r="726" spans="1:10" ht="21" customHeight="1">
      <c r="A726" s="2" t="s">
        <v>1714</v>
      </c>
      <c r="B726" s="2" t="s">
        <v>23</v>
      </c>
      <c r="C726" s="4">
        <v>46017.25</v>
      </c>
      <c r="D726" s="4">
        <v>46017.250324444445</v>
      </c>
      <c r="E726" s="2">
        <v>3.16</v>
      </c>
      <c r="F726" s="2">
        <v>62.9</v>
      </c>
      <c r="G726" s="2" t="s">
        <v>983</v>
      </c>
      <c r="H726" s="2" t="s">
        <v>984</v>
      </c>
      <c r="I726" s="2"/>
      <c r="J726" s="2" t="s">
        <v>23</v>
      </c>
    </row>
    <row r="727" spans="1:10" ht="21" customHeight="1">
      <c r="A727" s="2" t="s">
        <v>1715</v>
      </c>
      <c r="B727" s="2" t="s">
        <v>23</v>
      </c>
      <c r="C727" s="4">
        <v>46018.25</v>
      </c>
      <c r="D727" s="4">
        <v>46018.250560277782</v>
      </c>
      <c r="E727" s="2">
        <v>3.08</v>
      </c>
      <c r="F727" s="2">
        <v>61.9</v>
      </c>
      <c r="G727" s="2" t="s">
        <v>983</v>
      </c>
      <c r="H727" s="2" t="s">
        <v>984</v>
      </c>
      <c r="I727" s="2"/>
      <c r="J727" s="2" t="s">
        <v>23</v>
      </c>
    </row>
    <row r="728" spans="1:10" ht="21" customHeight="1">
      <c r="A728" s="2" t="s">
        <v>1716</v>
      </c>
      <c r="B728" s="2" t="s">
        <v>23</v>
      </c>
      <c r="C728" s="4">
        <v>46019.25</v>
      </c>
      <c r="D728" s="4">
        <v>46019.250492685183</v>
      </c>
      <c r="E728" s="2">
        <v>3.03</v>
      </c>
      <c r="F728" s="2">
        <v>63</v>
      </c>
      <c r="G728" s="2" t="s">
        <v>983</v>
      </c>
      <c r="H728" s="2" t="s">
        <v>984</v>
      </c>
      <c r="I728" s="2"/>
      <c r="J728" s="2" t="s">
        <v>23</v>
      </c>
    </row>
    <row r="729" spans="1:10" ht="21" customHeight="1">
      <c r="A729" s="2" t="s">
        <v>1717</v>
      </c>
      <c r="B729" s="2" t="s">
        <v>23</v>
      </c>
      <c r="C729" s="4">
        <v>46020.25</v>
      </c>
      <c r="D729" s="4">
        <v>46020.250150497683</v>
      </c>
      <c r="E729" s="2">
        <v>3.02</v>
      </c>
      <c r="F729" s="2">
        <v>60</v>
      </c>
      <c r="G729" s="2" t="s">
        <v>983</v>
      </c>
      <c r="H729" s="2" t="s">
        <v>984</v>
      </c>
      <c r="I729" s="2"/>
      <c r="J729" s="2" t="s">
        <v>23</v>
      </c>
    </row>
    <row r="730" spans="1:10" ht="21" customHeight="1">
      <c r="A730" s="2" t="s">
        <v>1718</v>
      </c>
      <c r="B730" s="2" t="s">
        <v>23</v>
      </c>
      <c r="C730" s="4">
        <v>46021.25</v>
      </c>
      <c r="D730" s="4">
        <v>46021.25019579861</v>
      </c>
      <c r="E730" s="2">
        <v>23.26</v>
      </c>
      <c r="F730" s="2">
        <v>58.8</v>
      </c>
      <c r="G730" s="2" t="s">
        <v>983</v>
      </c>
      <c r="H730" s="2" t="s">
        <v>1022</v>
      </c>
      <c r="I730" s="2"/>
      <c r="J730" s="2" t="s">
        <v>23</v>
      </c>
    </row>
    <row r="731" spans="1:10" ht="21" customHeight="1">
      <c r="A731" s="2" t="s">
        <v>1719</v>
      </c>
      <c r="B731" s="2" t="s">
        <v>23</v>
      </c>
      <c r="C731" s="4">
        <v>46022.25</v>
      </c>
      <c r="D731" s="4">
        <v>46022.250451863423</v>
      </c>
      <c r="E731" s="2">
        <v>2.79</v>
      </c>
      <c r="F731" s="2">
        <v>63.7</v>
      </c>
      <c r="G731" s="2" t="s">
        <v>983</v>
      </c>
      <c r="H731" s="2" t="s">
        <v>984</v>
      </c>
      <c r="I731" s="2"/>
      <c r="J731" s="2" t="s">
        <v>23</v>
      </c>
    </row>
    <row r="732" spans="1:10" ht="21" customHeight="1">
      <c r="A732" s="2" t="s">
        <v>1720</v>
      </c>
      <c r="B732" s="2" t="s">
        <v>26</v>
      </c>
      <c r="C732" s="4">
        <v>45658.25</v>
      </c>
      <c r="D732" s="4">
        <v>45658.250083749997</v>
      </c>
      <c r="E732" s="2">
        <v>3.22</v>
      </c>
      <c r="F732" s="2">
        <v>77.7</v>
      </c>
      <c r="G732" s="2" t="s">
        <v>983</v>
      </c>
      <c r="H732" s="2" t="s">
        <v>984</v>
      </c>
      <c r="I732" s="2" t="s">
        <v>985</v>
      </c>
      <c r="J732" s="2" t="s">
        <v>26</v>
      </c>
    </row>
    <row r="733" spans="1:10" ht="21" customHeight="1">
      <c r="A733" s="2" t="s">
        <v>1721</v>
      </c>
      <c r="B733" s="2" t="s">
        <v>26</v>
      </c>
      <c r="C733" s="4">
        <v>45659.25</v>
      </c>
      <c r="D733" s="4">
        <v>45659.250233113431</v>
      </c>
      <c r="E733" s="2">
        <v>3.79</v>
      </c>
      <c r="F733" s="2">
        <v>77.7</v>
      </c>
      <c r="G733" s="2" t="s">
        <v>983</v>
      </c>
      <c r="H733" s="2" t="s">
        <v>984</v>
      </c>
      <c r="I733" s="2"/>
      <c r="J733" s="2" t="s">
        <v>26</v>
      </c>
    </row>
    <row r="734" spans="1:10" ht="21" customHeight="1">
      <c r="A734" s="2" t="s">
        <v>1722</v>
      </c>
      <c r="B734" s="2" t="s">
        <v>26</v>
      </c>
      <c r="C734" s="4">
        <v>45660.25</v>
      </c>
      <c r="D734" s="4">
        <v>45660.250086666667</v>
      </c>
      <c r="E734" s="2">
        <v>3.54</v>
      </c>
      <c r="F734" s="2">
        <v>75.400000000000006</v>
      </c>
      <c r="G734" s="2" t="s">
        <v>983</v>
      </c>
      <c r="H734" s="2" t="s">
        <v>984</v>
      </c>
      <c r="I734" s="2"/>
      <c r="J734" s="2" t="s">
        <v>26</v>
      </c>
    </row>
    <row r="735" spans="1:10" ht="21" customHeight="1">
      <c r="A735" s="2" t="s">
        <v>1723</v>
      </c>
      <c r="B735" s="2" t="s">
        <v>26</v>
      </c>
      <c r="C735" s="4">
        <v>45661.25</v>
      </c>
      <c r="D735" s="4">
        <v>45661.250129571759</v>
      </c>
      <c r="E735" s="2">
        <v>3.33</v>
      </c>
      <c r="F735" s="2">
        <v>77.599999999999994</v>
      </c>
      <c r="G735" s="2" t="s">
        <v>983</v>
      </c>
      <c r="H735" s="2" t="s">
        <v>984</v>
      </c>
      <c r="I735" s="2"/>
      <c r="J735" s="2" t="s">
        <v>26</v>
      </c>
    </row>
    <row r="736" spans="1:10" ht="21" customHeight="1">
      <c r="A736" s="2" t="s">
        <v>1724</v>
      </c>
      <c r="B736" s="2" t="s">
        <v>26</v>
      </c>
      <c r="C736" s="4">
        <v>45662.25</v>
      </c>
      <c r="D736" s="4">
        <v>45662.250090208334</v>
      </c>
      <c r="E736" s="2">
        <v>3.26</v>
      </c>
      <c r="F736" s="2">
        <v>76.2</v>
      </c>
      <c r="G736" s="2" t="s">
        <v>983</v>
      </c>
      <c r="H736" s="2" t="s">
        <v>984</v>
      </c>
      <c r="I736" s="2"/>
      <c r="J736" s="2" t="s">
        <v>26</v>
      </c>
    </row>
    <row r="737" spans="1:10" ht="21" customHeight="1">
      <c r="A737" s="2" t="s">
        <v>1725</v>
      </c>
      <c r="B737" s="2" t="s">
        <v>26</v>
      </c>
      <c r="C737" s="4">
        <v>45663.25</v>
      </c>
      <c r="D737" s="4">
        <v>45663.250111597226</v>
      </c>
      <c r="E737" s="2">
        <v>3.46</v>
      </c>
      <c r="F737" s="2">
        <v>76.2</v>
      </c>
      <c r="G737" s="2" t="s">
        <v>983</v>
      </c>
      <c r="H737" s="2" t="s">
        <v>984</v>
      </c>
      <c r="I737" s="2"/>
      <c r="J737" s="2" t="s">
        <v>26</v>
      </c>
    </row>
    <row r="738" spans="1:10" ht="21" customHeight="1">
      <c r="A738" s="2" t="s">
        <v>1726</v>
      </c>
      <c r="B738" s="2" t="s">
        <v>26</v>
      </c>
      <c r="C738" s="4">
        <v>45664.25</v>
      </c>
      <c r="D738" s="4">
        <v>45664.250491886574</v>
      </c>
      <c r="E738" s="2">
        <v>3.68</v>
      </c>
      <c r="F738" s="2">
        <v>76</v>
      </c>
      <c r="G738" s="2" t="s">
        <v>983</v>
      </c>
      <c r="H738" s="2" t="s">
        <v>984</v>
      </c>
      <c r="I738" s="2"/>
      <c r="J738" s="2" t="s">
        <v>26</v>
      </c>
    </row>
    <row r="739" spans="1:10" ht="21" customHeight="1">
      <c r="A739" s="2" t="s">
        <v>1727</v>
      </c>
      <c r="B739" s="2" t="s">
        <v>26</v>
      </c>
      <c r="C739" s="4">
        <v>45665.25</v>
      </c>
      <c r="D739" s="4">
        <v>45665.250460324074</v>
      </c>
      <c r="E739" s="2">
        <v>3.36</v>
      </c>
      <c r="F739" s="2">
        <v>75.2</v>
      </c>
      <c r="G739" s="2" t="s">
        <v>983</v>
      </c>
      <c r="H739" s="2" t="s">
        <v>984</v>
      </c>
      <c r="I739" s="2"/>
      <c r="J739" s="2" t="s">
        <v>26</v>
      </c>
    </row>
    <row r="740" spans="1:10" ht="21" customHeight="1">
      <c r="A740" s="2" t="s">
        <v>1728</v>
      </c>
      <c r="B740" s="2" t="s">
        <v>1729</v>
      </c>
      <c r="C740" s="4">
        <v>45666.25</v>
      </c>
      <c r="D740" s="4">
        <v>45666.250131967594</v>
      </c>
      <c r="E740" s="2">
        <v>3.44</v>
      </c>
      <c r="F740" s="2">
        <v>72.2</v>
      </c>
      <c r="G740" s="2" t="s">
        <v>983</v>
      </c>
      <c r="H740" s="2" t="s">
        <v>984</v>
      </c>
      <c r="I740" s="2"/>
      <c r="J740" s="2" t="s">
        <v>26</v>
      </c>
    </row>
    <row r="741" spans="1:10" ht="21" customHeight="1">
      <c r="A741" s="2" t="s">
        <v>1730</v>
      </c>
      <c r="B741" s="2" t="s">
        <v>26</v>
      </c>
      <c r="C741" s="4">
        <v>45667.25</v>
      </c>
      <c r="D741" s="4">
        <v>45667.250028576389</v>
      </c>
      <c r="E741" s="2">
        <v>3.75</v>
      </c>
      <c r="F741" s="2">
        <v>74.8</v>
      </c>
      <c r="G741" s="2" t="s">
        <v>983</v>
      </c>
      <c r="H741" s="2" t="s">
        <v>984</v>
      </c>
      <c r="I741" s="2"/>
      <c r="J741" s="2" t="s">
        <v>26</v>
      </c>
    </row>
    <row r="742" spans="1:10" ht="21" customHeight="1">
      <c r="A742" s="2" t="s">
        <v>1731</v>
      </c>
      <c r="B742" s="2" t="s">
        <v>26</v>
      </c>
      <c r="C742" s="4">
        <v>45668.25</v>
      </c>
      <c r="D742" s="4">
        <v>45668.250626990739</v>
      </c>
      <c r="E742" s="2">
        <v>3.7</v>
      </c>
      <c r="F742" s="2">
        <v>73.400000000000006</v>
      </c>
      <c r="G742" s="2" t="s">
        <v>983</v>
      </c>
      <c r="H742" s="2" t="s">
        <v>984</v>
      </c>
      <c r="I742" s="2"/>
      <c r="J742" s="2" t="s">
        <v>26</v>
      </c>
    </row>
    <row r="743" spans="1:10" ht="21" customHeight="1">
      <c r="A743" s="2" t="s">
        <v>1732</v>
      </c>
      <c r="B743" s="2" t="s">
        <v>26</v>
      </c>
      <c r="C743" s="4">
        <v>45669.25</v>
      </c>
      <c r="D743" s="4">
        <v>45669.250638379628</v>
      </c>
      <c r="E743" s="2">
        <v>3.58</v>
      </c>
      <c r="F743" s="2">
        <v>77.3</v>
      </c>
      <c r="G743" s="2" t="s">
        <v>983</v>
      </c>
      <c r="H743" s="2" t="s">
        <v>984</v>
      </c>
      <c r="I743" s="2"/>
      <c r="J743" s="2" t="s">
        <v>26</v>
      </c>
    </row>
    <row r="744" spans="1:10" ht="21" customHeight="1">
      <c r="A744" s="2" t="s">
        <v>1733</v>
      </c>
      <c r="B744" s="2" t="s">
        <v>26</v>
      </c>
      <c r="C744" s="4">
        <v>45670.25</v>
      </c>
      <c r="D744" s="4">
        <v>45670.250690555557</v>
      </c>
      <c r="E744" s="2">
        <v>2.81</v>
      </c>
      <c r="F744" s="2">
        <v>72.599999999999994</v>
      </c>
      <c r="G744" s="2" t="s">
        <v>983</v>
      </c>
      <c r="H744" s="2" t="s">
        <v>984</v>
      </c>
      <c r="I744" s="2"/>
      <c r="J744" s="2" t="s">
        <v>26</v>
      </c>
    </row>
    <row r="745" spans="1:10" ht="21" customHeight="1">
      <c r="A745" s="2" t="s">
        <v>1734</v>
      </c>
      <c r="B745" s="2" t="s">
        <v>26</v>
      </c>
      <c r="C745" s="4">
        <v>45671.25</v>
      </c>
      <c r="D745" s="4">
        <v>45671.250191550927</v>
      </c>
      <c r="E745" s="2">
        <v>3.33</v>
      </c>
      <c r="F745" s="2">
        <v>79.8</v>
      </c>
      <c r="G745" s="2" t="s">
        <v>983</v>
      </c>
      <c r="H745" s="2" t="s">
        <v>984</v>
      </c>
      <c r="I745" s="2"/>
      <c r="J745" s="2" t="s">
        <v>26</v>
      </c>
    </row>
    <row r="746" spans="1:10" ht="21" customHeight="1">
      <c r="A746" s="2" t="s">
        <v>1735</v>
      </c>
      <c r="B746" s="2" t="s">
        <v>26</v>
      </c>
      <c r="C746" s="4">
        <v>45672.25</v>
      </c>
      <c r="D746" s="4">
        <v>45672.250514814819</v>
      </c>
      <c r="E746" s="2">
        <v>3.81</v>
      </c>
      <c r="F746" s="2">
        <v>76.7</v>
      </c>
      <c r="G746" s="2" t="s">
        <v>983</v>
      </c>
      <c r="H746" s="2" t="s">
        <v>984</v>
      </c>
      <c r="I746" s="2"/>
      <c r="J746" s="2" t="s">
        <v>26</v>
      </c>
    </row>
    <row r="747" spans="1:10" ht="21" customHeight="1">
      <c r="A747" s="2" t="s">
        <v>1736</v>
      </c>
      <c r="B747" s="2" t="s">
        <v>26</v>
      </c>
      <c r="C747" s="4">
        <v>45673.25</v>
      </c>
      <c r="D747" s="4">
        <v>45673.250533032406</v>
      </c>
      <c r="E747" s="2">
        <v>3.64</v>
      </c>
      <c r="F747" s="2">
        <v>72.400000000000006</v>
      </c>
      <c r="G747" s="2" t="s">
        <v>983</v>
      </c>
      <c r="H747" s="2" t="s">
        <v>984</v>
      </c>
      <c r="I747" s="2"/>
      <c r="J747" s="2" t="s">
        <v>26</v>
      </c>
    </row>
    <row r="748" spans="1:10" ht="21" customHeight="1">
      <c r="A748" s="2" t="s">
        <v>1737</v>
      </c>
      <c r="B748" s="2" t="s">
        <v>26</v>
      </c>
      <c r="C748" s="4">
        <v>45674.25</v>
      </c>
      <c r="D748" s="4">
        <v>45674.250580034721</v>
      </c>
      <c r="E748" s="2">
        <v>3.7</v>
      </c>
      <c r="F748" s="2">
        <v>73.3</v>
      </c>
      <c r="G748" s="2" t="s">
        <v>983</v>
      </c>
      <c r="H748" s="2" t="s">
        <v>984</v>
      </c>
      <c r="I748" s="2"/>
      <c r="J748" s="2" t="s">
        <v>26</v>
      </c>
    </row>
    <row r="749" spans="1:10" ht="21" customHeight="1">
      <c r="A749" s="2" t="s">
        <v>1738</v>
      </c>
      <c r="B749" s="2" t="s">
        <v>26</v>
      </c>
      <c r="C749" s="4">
        <v>45675.25</v>
      </c>
      <c r="D749" s="4">
        <v>45675.250009432872</v>
      </c>
      <c r="E749" s="2">
        <v>3.94</v>
      </c>
      <c r="F749" s="2">
        <v>76.099999999999994</v>
      </c>
      <c r="G749" s="2" t="s">
        <v>983</v>
      </c>
      <c r="H749" s="2" t="s">
        <v>984</v>
      </c>
      <c r="I749" s="2" t="s">
        <v>985</v>
      </c>
      <c r="J749" s="2" t="s">
        <v>26</v>
      </c>
    </row>
    <row r="750" spans="1:10" ht="21" customHeight="1">
      <c r="A750" s="2" t="s">
        <v>1739</v>
      </c>
      <c r="B750" s="2" t="s">
        <v>26</v>
      </c>
      <c r="C750" s="4">
        <v>45676.25</v>
      </c>
      <c r="D750" s="4">
        <v>45676.250394606483</v>
      </c>
      <c r="E750" s="2">
        <v>2.8</v>
      </c>
      <c r="F750" s="2">
        <v>79.2</v>
      </c>
      <c r="G750" s="2" t="s">
        <v>983</v>
      </c>
      <c r="H750" s="2" t="s">
        <v>984</v>
      </c>
      <c r="I750" s="2"/>
      <c r="J750" s="2" t="s">
        <v>26</v>
      </c>
    </row>
    <row r="751" spans="1:10" ht="21" customHeight="1">
      <c r="A751" s="2" t="s">
        <v>1740</v>
      </c>
      <c r="B751" s="2" t="s">
        <v>26</v>
      </c>
      <c r="C751" s="4">
        <v>45677.25</v>
      </c>
      <c r="D751" s="4">
        <v>45677.250675289353</v>
      </c>
      <c r="E751" s="2">
        <v>2.97</v>
      </c>
      <c r="F751" s="2">
        <v>75.400000000000006</v>
      </c>
      <c r="G751" s="2" t="s">
        <v>983</v>
      </c>
      <c r="H751" s="2" t="s">
        <v>984</v>
      </c>
      <c r="I751" s="2"/>
      <c r="J751" s="2" t="s">
        <v>26</v>
      </c>
    </row>
    <row r="752" spans="1:10" ht="21" customHeight="1">
      <c r="A752" s="2" t="s">
        <v>1741</v>
      </c>
      <c r="B752" s="2" t="s">
        <v>26</v>
      </c>
      <c r="C752" s="4">
        <v>45678.25</v>
      </c>
      <c r="D752" s="4">
        <v>45678.250305914349</v>
      </c>
      <c r="E752" s="2">
        <v>3.21</v>
      </c>
      <c r="F752" s="2">
        <v>74.3</v>
      </c>
      <c r="G752" s="2" t="s">
        <v>983</v>
      </c>
      <c r="H752" s="2" t="s">
        <v>984</v>
      </c>
      <c r="I752" s="2"/>
      <c r="J752" s="2" t="s">
        <v>26</v>
      </c>
    </row>
    <row r="753" spans="1:10" ht="21" customHeight="1">
      <c r="A753" s="2" t="s">
        <v>1742</v>
      </c>
      <c r="B753" s="2" t="s">
        <v>26</v>
      </c>
      <c r="C753" s="4">
        <v>45679.25</v>
      </c>
      <c r="D753" s="4">
        <v>45679.250150659718</v>
      </c>
      <c r="E753" s="2">
        <v>2.96</v>
      </c>
      <c r="F753" s="2">
        <v>78.3</v>
      </c>
      <c r="G753" s="2" t="s">
        <v>983</v>
      </c>
      <c r="H753" s="2" t="s">
        <v>984</v>
      </c>
      <c r="I753" s="2"/>
      <c r="J753" s="2" t="s">
        <v>26</v>
      </c>
    </row>
    <row r="754" spans="1:10" ht="21" customHeight="1">
      <c r="A754" s="2" t="s">
        <v>1743</v>
      </c>
      <c r="B754" s="2" t="s">
        <v>26</v>
      </c>
      <c r="C754" s="4">
        <v>45680.25</v>
      </c>
      <c r="D754" s="4">
        <v>45680.250199479167</v>
      </c>
      <c r="E754" s="2"/>
      <c r="F754" s="2"/>
      <c r="G754" s="2" t="s">
        <v>983</v>
      </c>
      <c r="H754" s="2" t="s">
        <v>1066</v>
      </c>
      <c r="I754" s="2"/>
      <c r="J754" s="2" t="s">
        <v>26</v>
      </c>
    </row>
    <row r="755" spans="1:10" ht="21" customHeight="1">
      <c r="A755" s="2" t="s">
        <v>1744</v>
      </c>
      <c r="B755" s="2" t="s">
        <v>26</v>
      </c>
      <c r="C755" s="4">
        <v>45681.25</v>
      </c>
      <c r="D755" s="4">
        <v>45681.250281203698</v>
      </c>
      <c r="E755" s="2">
        <v>2.93</v>
      </c>
      <c r="F755" s="2">
        <v>78.099999999999994</v>
      </c>
      <c r="G755" s="2" t="s">
        <v>983</v>
      </c>
      <c r="H755" s="2" t="s">
        <v>984</v>
      </c>
      <c r="I755" s="2"/>
      <c r="J755" s="2" t="s">
        <v>26</v>
      </c>
    </row>
    <row r="756" spans="1:10" ht="21" customHeight="1">
      <c r="A756" s="2" t="s">
        <v>1745</v>
      </c>
      <c r="B756" s="2" t="s">
        <v>26</v>
      </c>
      <c r="C756" s="4">
        <v>45682.25</v>
      </c>
      <c r="D756" s="4">
        <v>45682.25061534722</v>
      </c>
      <c r="E756" s="2">
        <v>2.99</v>
      </c>
      <c r="F756" s="2">
        <v>73.2</v>
      </c>
      <c r="G756" s="2" t="s">
        <v>983</v>
      </c>
      <c r="H756" s="2" t="s">
        <v>984</v>
      </c>
      <c r="I756" s="2"/>
      <c r="J756" s="2" t="s">
        <v>26</v>
      </c>
    </row>
    <row r="757" spans="1:10" ht="21" customHeight="1">
      <c r="A757" s="2" t="s">
        <v>1746</v>
      </c>
      <c r="B757" s="2" t="s">
        <v>26</v>
      </c>
      <c r="C757" s="4">
        <v>45683.25</v>
      </c>
      <c r="D757" s="4">
        <v>45683.250429930558</v>
      </c>
      <c r="E757" s="2">
        <v>3.79</v>
      </c>
      <c r="F757" s="2">
        <v>74.900000000000006</v>
      </c>
      <c r="G757" s="2" t="s">
        <v>983</v>
      </c>
      <c r="H757" s="2" t="s">
        <v>984</v>
      </c>
      <c r="I757" s="2"/>
      <c r="J757" s="2" t="s">
        <v>26</v>
      </c>
    </row>
    <row r="758" spans="1:10" ht="21" customHeight="1">
      <c r="A758" s="2" t="s">
        <v>1747</v>
      </c>
      <c r="B758" s="2" t="s">
        <v>26</v>
      </c>
      <c r="C758" s="4">
        <v>45684.25</v>
      </c>
      <c r="D758" s="4">
        <v>45684.250675763891</v>
      </c>
      <c r="E758" s="2">
        <v>3.6</v>
      </c>
      <c r="F758" s="2">
        <v>72.599999999999994</v>
      </c>
      <c r="G758" s="2" t="s">
        <v>983</v>
      </c>
      <c r="H758" s="2" t="s">
        <v>984</v>
      </c>
      <c r="I758" s="2"/>
      <c r="J758" s="2" t="s">
        <v>26</v>
      </c>
    </row>
    <row r="759" spans="1:10" ht="21" customHeight="1">
      <c r="A759" s="2" t="s">
        <v>1748</v>
      </c>
      <c r="B759" s="2" t="s">
        <v>26</v>
      </c>
      <c r="C759" s="4">
        <v>45685.25</v>
      </c>
      <c r="D759" s="4">
        <v>45685.25005023148</v>
      </c>
      <c r="E759" s="2">
        <v>3.65</v>
      </c>
      <c r="F759" s="2">
        <v>77.7</v>
      </c>
      <c r="G759" s="2" t="s">
        <v>983</v>
      </c>
      <c r="H759" s="2" t="s">
        <v>984</v>
      </c>
      <c r="I759" s="2"/>
      <c r="J759" s="2" t="s">
        <v>26</v>
      </c>
    </row>
    <row r="760" spans="1:10" ht="21" customHeight="1">
      <c r="A760" s="2" t="s">
        <v>1749</v>
      </c>
      <c r="B760" s="2" t="s">
        <v>26</v>
      </c>
      <c r="C760" s="4">
        <v>45686.25</v>
      </c>
      <c r="D760" s="4">
        <v>45686.250206747689</v>
      </c>
      <c r="E760" s="2">
        <v>27.69</v>
      </c>
      <c r="F760" s="2">
        <v>75</v>
      </c>
      <c r="G760" s="2" t="s">
        <v>983</v>
      </c>
      <c r="H760" s="2" t="s">
        <v>1022</v>
      </c>
      <c r="I760" s="2"/>
      <c r="J760" s="2" t="s">
        <v>26</v>
      </c>
    </row>
    <row r="761" spans="1:10" ht="21" customHeight="1">
      <c r="A761" s="2" t="s">
        <v>1750</v>
      </c>
      <c r="B761" s="2" t="s">
        <v>26</v>
      </c>
      <c r="C761" s="4">
        <v>45687.25</v>
      </c>
      <c r="D761" s="4">
        <v>45687.250575810191</v>
      </c>
      <c r="E761" s="2">
        <v>20.02</v>
      </c>
      <c r="F761" s="2">
        <v>78.3</v>
      </c>
      <c r="G761" s="2" t="s">
        <v>983</v>
      </c>
      <c r="H761" s="2" t="s">
        <v>1022</v>
      </c>
      <c r="I761" s="2"/>
      <c r="J761" s="2" t="s">
        <v>26</v>
      </c>
    </row>
    <row r="762" spans="1:10" ht="21" customHeight="1">
      <c r="A762" s="2" t="s">
        <v>1751</v>
      </c>
      <c r="B762" s="2" t="s">
        <v>26</v>
      </c>
      <c r="C762" s="4">
        <v>45688.25</v>
      </c>
      <c r="D762" s="4">
        <v>45688.250009143521</v>
      </c>
      <c r="E762" s="2">
        <v>3.31</v>
      </c>
      <c r="F762" s="2">
        <v>74.900000000000006</v>
      </c>
      <c r="G762" s="2" t="s">
        <v>983</v>
      </c>
      <c r="H762" s="2" t="s">
        <v>984</v>
      </c>
      <c r="I762" s="2"/>
      <c r="J762" s="2" t="s">
        <v>26</v>
      </c>
    </row>
    <row r="763" spans="1:10" ht="21" customHeight="1">
      <c r="A763" s="2" t="s">
        <v>1752</v>
      </c>
      <c r="B763" s="2" t="s">
        <v>26</v>
      </c>
      <c r="C763" s="4">
        <v>45689.25</v>
      </c>
      <c r="D763" s="4">
        <v>45689.250227488425</v>
      </c>
      <c r="E763" s="2">
        <v>3.34</v>
      </c>
      <c r="F763" s="2">
        <v>79.8</v>
      </c>
      <c r="G763" s="2" t="s">
        <v>983</v>
      </c>
      <c r="H763" s="2" t="s">
        <v>984</v>
      </c>
      <c r="I763" s="2"/>
      <c r="J763" s="2" t="s">
        <v>26</v>
      </c>
    </row>
    <row r="764" spans="1:10" ht="21" customHeight="1">
      <c r="A764" s="2" t="s">
        <v>1753</v>
      </c>
      <c r="B764" s="2" t="s">
        <v>26</v>
      </c>
      <c r="C764" s="4">
        <v>45690.25</v>
      </c>
      <c r="D764" s="4">
        <v>45690.250671180554</v>
      </c>
      <c r="E764" s="2">
        <v>3.61</v>
      </c>
      <c r="F764" s="2">
        <v>77.7</v>
      </c>
      <c r="G764" s="2" t="s">
        <v>983</v>
      </c>
      <c r="H764" s="2" t="s">
        <v>984</v>
      </c>
      <c r="I764" s="2"/>
      <c r="J764" s="2" t="s">
        <v>26</v>
      </c>
    </row>
    <row r="765" spans="1:10" ht="21" customHeight="1">
      <c r="A765" s="2" t="s">
        <v>1754</v>
      </c>
      <c r="B765" s="2" t="s">
        <v>26</v>
      </c>
      <c r="C765" s="4">
        <v>45691.25</v>
      </c>
      <c r="D765" s="4">
        <v>45691.250523402778</v>
      </c>
      <c r="E765" s="2">
        <v>3.94</v>
      </c>
      <c r="F765" s="2">
        <v>75</v>
      </c>
      <c r="G765" s="2" t="s">
        <v>983</v>
      </c>
      <c r="H765" s="2" t="s">
        <v>984</v>
      </c>
      <c r="I765" s="2"/>
      <c r="J765" s="2" t="s">
        <v>26</v>
      </c>
    </row>
    <row r="766" spans="1:10" ht="21" customHeight="1">
      <c r="A766" s="2" t="s">
        <v>1755</v>
      </c>
      <c r="B766" s="2" t="s">
        <v>26</v>
      </c>
      <c r="C766" s="4">
        <v>45692.25</v>
      </c>
      <c r="D766" s="4">
        <v>45692.250181192125</v>
      </c>
      <c r="E766" s="2">
        <v>3.22</v>
      </c>
      <c r="F766" s="2">
        <v>80</v>
      </c>
      <c r="G766" s="2" t="s">
        <v>983</v>
      </c>
      <c r="H766" s="2" t="s">
        <v>984</v>
      </c>
      <c r="I766" s="2" t="s">
        <v>985</v>
      </c>
      <c r="J766" s="2" t="s">
        <v>26</v>
      </c>
    </row>
    <row r="767" spans="1:10" ht="21" customHeight="1">
      <c r="A767" s="2" t="s">
        <v>1756</v>
      </c>
      <c r="B767" s="2" t="s">
        <v>26</v>
      </c>
      <c r="C767" s="4">
        <v>45693.25</v>
      </c>
      <c r="D767" s="4">
        <v>45693.250067719906</v>
      </c>
      <c r="E767" s="2">
        <v>3.24</v>
      </c>
      <c r="F767" s="2">
        <v>72</v>
      </c>
      <c r="G767" s="2" t="s">
        <v>983</v>
      </c>
      <c r="H767" s="2" t="s">
        <v>984</v>
      </c>
      <c r="I767" s="2"/>
      <c r="J767" s="2" t="s">
        <v>26</v>
      </c>
    </row>
    <row r="768" spans="1:10" ht="21" customHeight="1">
      <c r="A768" s="2" t="s">
        <v>1757</v>
      </c>
      <c r="B768" s="2" t="s">
        <v>26</v>
      </c>
      <c r="C768" s="4">
        <v>45694.25</v>
      </c>
      <c r="D768" s="4">
        <v>45694.250267569441</v>
      </c>
      <c r="E768" s="2">
        <v>3.19</v>
      </c>
      <c r="F768" s="2">
        <v>78.5</v>
      </c>
      <c r="G768" s="2" t="s">
        <v>983</v>
      </c>
      <c r="H768" s="2" t="s">
        <v>984</v>
      </c>
      <c r="I768" s="2"/>
      <c r="J768" s="2" t="s">
        <v>26</v>
      </c>
    </row>
    <row r="769" spans="1:10" ht="21" customHeight="1">
      <c r="A769" s="2" t="s">
        <v>1758</v>
      </c>
      <c r="B769" s="2" t="s">
        <v>26</v>
      </c>
      <c r="C769" s="4">
        <v>45695.25</v>
      </c>
      <c r="D769" s="4">
        <v>45695.250638356483</v>
      </c>
      <c r="E769" s="2">
        <v>2.84</v>
      </c>
      <c r="F769" s="2">
        <v>79</v>
      </c>
      <c r="G769" s="2" t="s">
        <v>983</v>
      </c>
      <c r="H769" s="2" t="s">
        <v>984</v>
      </c>
      <c r="I769" s="2"/>
      <c r="J769" s="2" t="s">
        <v>26</v>
      </c>
    </row>
    <row r="770" spans="1:10" ht="21" customHeight="1">
      <c r="A770" s="2" t="s">
        <v>1759</v>
      </c>
      <c r="B770" s="2" t="s">
        <v>26</v>
      </c>
      <c r="C770" s="4">
        <v>45696.25</v>
      </c>
      <c r="D770" s="4">
        <v>45696.250468842598</v>
      </c>
      <c r="E770" s="2">
        <v>3.2</v>
      </c>
      <c r="F770" s="2">
        <v>72.099999999999994</v>
      </c>
      <c r="G770" s="2" t="s">
        <v>983</v>
      </c>
      <c r="H770" s="2" t="s">
        <v>984</v>
      </c>
      <c r="I770" s="2"/>
      <c r="J770" s="2" t="s">
        <v>26</v>
      </c>
    </row>
    <row r="771" spans="1:10" ht="21" customHeight="1">
      <c r="A771" s="2" t="s">
        <v>1760</v>
      </c>
      <c r="B771" s="2" t="s">
        <v>26</v>
      </c>
      <c r="C771" s="4">
        <v>45697.25</v>
      </c>
      <c r="D771" s="4">
        <v>45697.250334722223</v>
      </c>
      <c r="E771" s="2">
        <v>0</v>
      </c>
      <c r="F771" s="2">
        <v>74.5</v>
      </c>
      <c r="G771" s="2" t="s">
        <v>1175</v>
      </c>
      <c r="H771" s="2" t="s">
        <v>984</v>
      </c>
      <c r="I771" s="2"/>
      <c r="J771" s="2" t="s">
        <v>26</v>
      </c>
    </row>
    <row r="772" spans="1:10" ht="21" customHeight="1">
      <c r="A772" s="2" t="s">
        <v>1761</v>
      </c>
      <c r="B772" s="2" t="s">
        <v>26</v>
      </c>
      <c r="C772" s="4">
        <v>45698.25</v>
      </c>
      <c r="D772" s="4">
        <v>45698.250110833338</v>
      </c>
      <c r="E772" s="2">
        <v>3.17</v>
      </c>
      <c r="F772" s="2">
        <v>74.3</v>
      </c>
      <c r="G772" s="2" t="s">
        <v>983</v>
      </c>
      <c r="H772" s="2" t="s">
        <v>984</v>
      </c>
      <c r="I772" s="2"/>
      <c r="J772" s="2" t="s">
        <v>26</v>
      </c>
    </row>
    <row r="773" spans="1:10" ht="21" customHeight="1">
      <c r="A773" s="2" t="s">
        <v>1762</v>
      </c>
      <c r="B773" s="2" t="s">
        <v>26</v>
      </c>
      <c r="C773" s="4">
        <v>45699.25</v>
      </c>
      <c r="D773" s="4">
        <v>45699.250276689811</v>
      </c>
      <c r="E773" s="2">
        <v>3.52</v>
      </c>
      <c r="F773" s="2">
        <v>75.900000000000006</v>
      </c>
      <c r="G773" s="2" t="s">
        <v>983</v>
      </c>
      <c r="H773" s="2" t="s">
        <v>984</v>
      </c>
      <c r="I773" s="2"/>
      <c r="J773" s="2" t="s">
        <v>26</v>
      </c>
    </row>
    <row r="774" spans="1:10" ht="21" customHeight="1">
      <c r="A774" s="2" t="s">
        <v>1763</v>
      </c>
      <c r="B774" s="2" t="s">
        <v>26</v>
      </c>
      <c r="C774" s="4">
        <v>45700.25</v>
      </c>
      <c r="D774" s="4">
        <v>45700.250676550924</v>
      </c>
      <c r="E774" s="2">
        <v>3.69</v>
      </c>
      <c r="F774" s="2">
        <v>78.8</v>
      </c>
      <c r="G774" s="2" t="s">
        <v>983</v>
      </c>
      <c r="H774" s="2" t="s">
        <v>984</v>
      </c>
      <c r="I774" s="2"/>
      <c r="J774" s="2" t="s">
        <v>26</v>
      </c>
    </row>
    <row r="775" spans="1:10" ht="21" customHeight="1">
      <c r="A775" s="2" t="s">
        <v>1764</v>
      </c>
      <c r="B775" s="2" t="s">
        <v>26</v>
      </c>
      <c r="C775" s="4">
        <v>45701.25</v>
      </c>
      <c r="D775" s="4">
        <v>45701.250364895837</v>
      </c>
      <c r="E775" s="2">
        <v>2.86</v>
      </c>
      <c r="F775" s="2">
        <v>78.900000000000006</v>
      </c>
      <c r="G775" s="2" t="s">
        <v>983</v>
      </c>
      <c r="H775" s="2" t="s">
        <v>984</v>
      </c>
      <c r="I775" s="2"/>
      <c r="J775" s="2" t="s">
        <v>26</v>
      </c>
    </row>
    <row r="776" spans="1:10" ht="21" customHeight="1">
      <c r="A776" s="2" t="s">
        <v>1765</v>
      </c>
      <c r="B776" s="2" t="s">
        <v>26</v>
      </c>
      <c r="C776" s="4">
        <v>45702.25</v>
      </c>
      <c r="D776" s="4">
        <v>45702.250623125001</v>
      </c>
      <c r="E776" s="2">
        <v>2.97</v>
      </c>
      <c r="F776" s="2">
        <v>76.900000000000006</v>
      </c>
      <c r="G776" s="2" t="s">
        <v>983</v>
      </c>
      <c r="H776" s="2" t="s">
        <v>984</v>
      </c>
      <c r="I776" s="2"/>
      <c r="J776" s="2" t="s">
        <v>26</v>
      </c>
    </row>
    <row r="777" spans="1:10" ht="21" customHeight="1">
      <c r="A777" s="2" t="s">
        <v>1766</v>
      </c>
      <c r="B777" s="2" t="s">
        <v>26</v>
      </c>
      <c r="C777" s="4">
        <v>45703.25</v>
      </c>
      <c r="D777" s="4">
        <v>45703.250189293976</v>
      </c>
      <c r="E777" s="2">
        <v>3.18</v>
      </c>
      <c r="F777" s="2">
        <v>79</v>
      </c>
      <c r="G777" s="2" t="s">
        <v>983</v>
      </c>
      <c r="H777" s="2" t="s">
        <v>984</v>
      </c>
      <c r="I777" s="2"/>
      <c r="J777" s="2" t="s">
        <v>26</v>
      </c>
    </row>
    <row r="778" spans="1:10" ht="21" customHeight="1">
      <c r="A778" s="2" t="s">
        <v>1767</v>
      </c>
      <c r="B778" s="2" t="s">
        <v>26</v>
      </c>
      <c r="C778" s="4">
        <v>45704.25</v>
      </c>
      <c r="D778" s="4">
        <v>45704.250430439817</v>
      </c>
      <c r="E778" s="2">
        <v>3.29</v>
      </c>
      <c r="F778" s="2">
        <v>75.900000000000006</v>
      </c>
      <c r="G778" s="2" t="s">
        <v>983</v>
      </c>
      <c r="H778" s="2" t="s">
        <v>984</v>
      </c>
      <c r="I778" s="2"/>
      <c r="J778" s="2" t="s">
        <v>26</v>
      </c>
    </row>
    <row r="779" spans="1:10" ht="21" customHeight="1">
      <c r="A779" s="2" t="s">
        <v>1768</v>
      </c>
      <c r="B779" s="2" t="s">
        <v>26</v>
      </c>
      <c r="C779" s="4">
        <v>45705.25</v>
      </c>
      <c r="D779" s="4">
        <v>45705.250209976854</v>
      </c>
      <c r="E779" s="2">
        <v>2.91</v>
      </c>
      <c r="F779" s="2">
        <v>73.400000000000006</v>
      </c>
      <c r="G779" s="2" t="s">
        <v>983</v>
      </c>
      <c r="H779" s="2" t="s">
        <v>984</v>
      </c>
      <c r="I779" s="2"/>
      <c r="J779" s="2" t="s">
        <v>26</v>
      </c>
    </row>
    <row r="780" spans="1:10" ht="21" customHeight="1">
      <c r="A780" s="2" t="s">
        <v>1769</v>
      </c>
      <c r="B780" s="2" t="s">
        <v>26</v>
      </c>
      <c r="C780" s="4">
        <v>45706.25</v>
      </c>
      <c r="D780" s="4">
        <v>45706.250008923613</v>
      </c>
      <c r="E780" s="2">
        <v>3.04</v>
      </c>
      <c r="F780" s="2">
        <v>72.2</v>
      </c>
      <c r="G780" s="2" t="s">
        <v>983</v>
      </c>
      <c r="H780" s="2" t="s">
        <v>984</v>
      </c>
      <c r="I780" s="2"/>
      <c r="J780" s="2" t="s">
        <v>26</v>
      </c>
    </row>
    <row r="781" spans="1:10" ht="21" customHeight="1">
      <c r="A781" s="2" t="s">
        <v>1770</v>
      </c>
      <c r="B781" s="2" t="s">
        <v>1729</v>
      </c>
      <c r="C781" s="4">
        <v>45707.25</v>
      </c>
      <c r="D781" s="4">
        <v>45707.250250219906</v>
      </c>
      <c r="E781" s="2">
        <v>3.33</v>
      </c>
      <c r="F781" s="2">
        <v>79.599999999999994</v>
      </c>
      <c r="G781" s="2" t="s">
        <v>983</v>
      </c>
      <c r="H781" s="2" t="s">
        <v>984</v>
      </c>
      <c r="I781" s="2"/>
      <c r="J781" s="2" t="s">
        <v>26</v>
      </c>
    </row>
    <row r="782" spans="1:10" ht="21" customHeight="1">
      <c r="A782" s="2" t="s">
        <v>1771</v>
      </c>
      <c r="B782" s="2" t="s">
        <v>26</v>
      </c>
      <c r="C782" s="4">
        <v>45708.25</v>
      </c>
      <c r="D782" s="4">
        <v>45708.250321087966</v>
      </c>
      <c r="E782" s="2">
        <v>18.66</v>
      </c>
      <c r="F782" s="2">
        <v>77.900000000000006</v>
      </c>
      <c r="G782" s="2" t="s">
        <v>983</v>
      </c>
      <c r="H782" s="2" t="s">
        <v>1022</v>
      </c>
      <c r="I782" s="2"/>
      <c r="J782" s="2" t="s">
        <v>26</v>
      </c>
    </row>
    <row r="783" spans="1:10" ht="21" customHeight="1">
      <c r="A783" s="2" t="s">
        <v>1772</v>
      </c>
      <c r="B783" s="2" t="s">
        <v>26</v>
      </c>
      <c r="C783" s="4">
        <v>45709.25</v>
      </c>
      <c r="D783" s="4">
        <v>45709.250010347227</v>
      </c>
      <c r="E783" s="2">
        <v>3.21</v>
      </c>
      <c r="F783" s="2">
        <v>74.5</v>
      </c>
      <c r="G783" s="2" t="s">
        <v>983</v>
      </c>
      <c r="H783" s="2" t="s">
        <v>984</v>
      </c>
      <c r="I783" s="2" t="s">
        <v>985</v>
      </c>
      <c r="J783" s="2" t="s">
        <v>26</v>
      </c>
    </row>
    <row r="784" spans="1:10" ht="21" customHeight="1">
      <c r="A784" s="2" t="s">
        <v>1773</v>
      </c>
      <c r="B784" s="2" t="s">
        <v>26</v>
      </c>
      <c r="C784" s="4">
        <v>45710.25</v>
      </c>
      <c r="D784" s="4">
        <v>45710.250465000005</v>
      </c>
      <c r="E784" s="2">
        <v>3.92</v>
      </c>
      <c r="F784" s="2">
        <v>72.2</v>
      </c>
      <c r="G784" s="2" t="s">
        <v>983</v>
      </c>
      <c r="H784" s="2" t="s">
        <v>984</v>
      </c>
      <c r="I784" s="2"/>
      <c r="J784" s="2" t="s">
        <v>26</v>
      </c>
    </row>
    <row r="785" spans="1:10" ht="21" customHeight="1">
      <c r="A785" s="2" t="s">
        <v>1774</v>
      </c>
      <c r="B785" s="2" t="s">
        <v>26</v>
      </c>
      <c r="C785" s="4">
        <v>45711.25</v>
      </c>
      <c r="D785" s="4">
        <v>45711.250169606486</v>
      </c>
      <c r="E785" s="2">
        <v>3.96</v>
      </c>
      <c r="F785" s="2">
        <v>79.900000000000006</v>
      </c>
      <c r="G785" s="2" t="s">
        <v>983</v>
      </c>
      <c r="H785" s="2" t="s">
        <v>984</v>
      </c>
      <c r="I785" s="2"/>
      <c r="J785" s="2" t="s">
        <v>26</v>
      </c>
    </row>
    <row r="786" spans="1:10" ht="21" customHeight="1">
      <c r="A786" s="2" t="s">
        <v>1775</v>
      </c>
      <c r="B786" s="2" t="s">
        <v>26</v>
      </c>
      <c r="C786" s="4">
        <v>45712.25</v>
      </c>
      <c r="D786" s="4">
        <v>45712.250499085647</v>
      </c>
      <c r="E786" s="2">
        <v>3.85</v>
      </c>
      <c r="F786" s="2">
        <v>76.099999999999994</v>
      </c>
      <c r="G786" s="2" t="s">
        <v>983</v>
      </c>
      <c r="H786" s="2" t="s">
        <v>984</v>
      </c>
      <c r="I786" s="2"/>
      <c r="J786" s="2" t="s">
        <v>26</v>
      </c>
    </row>
    <row r="787" spans="1:10" ht="21" customHeight="1">
      <c r="A787" s="2" t="s">
        <v>1776</v>
      </c>
      <c r="B787" s="2" t="s">
        <v>26</v>
      </c>
      <c r="C787" s="4">
        <v>45713.25</v>
      </c>
      <c r="D787" s="4">
        <v>45713.250121030098</v>
      </c>
      <c r="E787" s="2">
        <v>3.87</v>
      </c>
      <c r="F787" s="2">
        <v>76.5</v>
      </c>
      <c r="G787" s="2" t="s">
        <v>983</v>
      </c>
      <c r="H787" s="2" t="s">
        <v>984</v>
      </c>
      <c r="I787" s="2"/>
      <c r="J787" s="2" t="s">
        <v>26</v>
      </c>
    </row>
    <row r="788" spans="1:10" ht="21" customHeight="1">
      <c r="A788" s="2" t="s">
        <v>1777</v>
      </c>
      <c r="B788" s="2" t="s">
        <v>26</v>
      </c>
      <c r="C788" s="4">
        <v>45714.25</v>
      </c>
      <c r="D788" s="4">
        <v>45714.250161539356</v>
      </c>
      <c r="E788" s="2">
        <v>3.36</v>
      </c>
      <c r="F788" s="2">
        <v>76.599999999999994</v>
      </c>
      <c r="G788" s="2" t="s">
        <v>983</v>
      </c>
      <c r="H788" s="2" t="s">
        <v>984</v>
      </c>
      <c r="I788" s="2"/>
      <c r="J788" s="2" t="s">
        <v>26</v>
      </c>
    </row>
    <row r="789" spans="1:10" ht="21" customHeight="1">
      <c r="A789" s="2" t="s">
        <v>1778</v>
      </c>
      <c r="B789" s="2" t="s">
        <v>26</v>
      </c>
      <c r="C789" s="4">
        <v>45715.25</v>
      </c>
      <c r="D789" s="4">
        <v>45715.250479571754</v>
      </c>
      <c r="E789" s="2">
        <v>3.07</v>
      </c>
      <c r="F789" s="2">
        <v>77.7</v>
      </c>
      <c r="G789" s="2" t="s">
        <v>983</v>
      </c>
      <c r="H789" s="2" t="s">
        <v>984</v>
      </c>
      <c r="I789" s="2"/>
      <c r="J789" s="2" t="s">
        <v>26</v>
      </c>
    </row>
    <row r="790" spans="1:10" ht="21" customHeight="1">
      <c r="A790" s="2" t="s">
        <v>1779</v>
      </c>
      <c r="B790" s="2" t="s">
        <v>26</v>
      </c>
      <c r="C790" s="4">
        <v>45716.25</v>
      </c>
      <c r="D790" s="4">
        <v>45716.250517986111</v>
      </c>
      <c r="E790" s="2">
        <v>3.69</v>
      </c>
      <c r="F790" s="2">
        <v>74.900000000000006</v>
      </c>
      <c r="G790" s="2" t="s">
        <v>983</v>
      </c>
      <c r="H790" s="2" t="s">
        <v>984</v>
      </c>
      <c r="I790" s="2"/>
      <c r="J790" s="2" t="s">
        <v>26</v>
      </c>
    </row>
    <row r="791" spans="1:10" ht="21" customHeight="1">
      <c r="A791" s="2" t="s">
        <v>1780</v>
      </c>
      <c r="B791" s="2" t="s">
        <v>26</v>
      </c>
      <c r="C791" s="4">
        <v>45717.25</v>
      </c>
      <c r="D791" s="4">
        <v>45717.250665648149</v>
      </c>
      <c r="E791" s="2">
        <v>2.96</v>
      </c>
      <c r="F791" s="2">
        <v>72.400000000000006</v>
      </c>
      <c r="G791" s="2" t="s">
        <v>983</v>
      </c>
      <c r="H791" s="2" t="s">
        <v>984</v>
      </c>
      <c r="I791" s="2"/>
      <c r="J791" s="2" t="s">
        <v>26</v>
      </c>
    </row>
    <row r="792" spans="1:10" ht="21" customHeight="1">
      <c r="A792" s="2" t="s">
        <v>1781</v>
      </c>
      <c r="B792" s="2" t="s">
        <v>26</v>
      </c>
      <c r="C792" s="4">
        <v>45718.25</v>
      </c>
      <c r="D792" s="4">
        <v>45718.25006395833</v>
      </c>
      <c r="E792" s="2">
        <v>3.58</v>
      </c>
      <c r="F792" s="2">
        <v>78.099999999999994</v>
      </c>
      <c r="G792" s="2" t="s">
        <v>983</v>
      </c>
      <c r="H792" s="2" t="s">
        <v>984</v>
      </c>
      <c r="I792" s="2"/>
      <c r="J792" s="2" t="s">
        <v>26</v>
      </c>
    </row>
    <row r="793" spans="1:10" ht="21" customHeight="1">
      <c r="A793" s="2" t="s">
        <v>1782</v>
      </c>
      <c r="B793" s="2" t="s">
        <v>26</v>
      </c>
      <c r="C793" s="4">
        <v>45719.25</v>
      </c>
      <c r="D793" s="4">
        <v>45719.250567916664</v>
      </c>
      <c r="E793" s="2">
        <v>5.48</v>
      </c>
      <c r="F793" s="2">
        <v>84.1</v>
      </c>
      <c r="G793" s="2" t="s">
        <v>983</v>
      </c>
      <c r="H793" s="2" t="s">
        <v>984</v>
      </c>
      <c r="I793" s="2"/>
      <c r="J793" s="2" t="s">
        <v>26</v>
      </c>
    </row>
    <row r="794" spans="1:10" ht="21" customHeight="1">
      <c r="A794" s="2" t="s">
        <v>1783</v>
      </c>
      <c r="B794" s="2" t="s">
        <v>26</v>
      </c>
      <c r="C794" s="4">
        <v>45720.25</v>
      </c>
      <c r="D794" s="4">
        <v>45720.25040149306</v>
      </c>
      <c r="E794" s="2">
        <v>6.78</v>
      </c>
      <c r="F794" s="2">
        <v>87.2</v>
      </c>
      <c r="G794" s="2" t="s">
        <v>983</v>
      </c>
      <c r="H794" s="2" t="s">
        <v>984</v>
      </c>
      <c r="I794" s="2" t="s">
        <v>1053</v>
      </c>
      <c r="J794" s="2" t="s">
        <v>26</v>
      </c>
    </row>
    <row r="795" spans="1:10" ht="21" customHeight="1">
      <c r="A795" s="2" t="s">
        <v>1784</v>
      </c>
      <c r="B795" s="2" t="s">
        <v>26</v>
      </c>
      <c r="C795" s="4">
        <v>45721.25</v>
      </c>
      <c r="D795" s="4">
        <v>45721.250195185188</v>
      </c>
      <c r="E795" s="2">
        <v>7.21</v>
      </c>
      <c r="F795" s="2">
        <v>83.3</v>
      </c>
      <c r="G795" s="2" t="s">
        <v>983</v>
      </c>
      <c r="H795" s="2" t="s">
        <v>984</v>
      </c>
      <c r="I795" s="2"/>
      <c r="J795" s="2" t="s">
        <v>26</v>
      </c>
    </row>
    <row r="796" spans="1:10" ht="21" customHeight="1">
      <c r="A796" s="2" t="s">
        <v>1785</v>
      </c>
      <c r="B796" s="2" t="s">
        <v>26</v>
      </c>
      <c r="C796" s="4">
        <v>45722.25</v>
      </c>
      <c r="D796" s="4">
        <v>45722.250023842593</v>
      </c>
      <c r="E796" s="2">
        <v>3.71</v>
      </c>
      <c r="F796" s="2">
        <v>78.400000000000006</v>
      </c>
      <c r="G796" s="2" t="s">
        <v>983</v>
      </c>
      <c r="H796" s="2" t="s">
        <v>984</v>
      </c>
      <c r="I796" s="2"/>
      <c r="J796" s="2" t="s">
        <v>26</v>
      </c>
    </row>
    <row r="797" spans="1:10" ht="21" customHeight="1">
      <c r="A797" s="2" t="s">
        <v>1786</v>
      </c>
      <c r="B797" s="2" t="s">
        <v>26</v>
      </c>
      <c r="C797" s="4">
        <v>45723.25</v>
      </c>
      <c r="D797" s="4">
        <v>45723.250679849538</v>
      </c>
      <c r="E797" s="2">
        <v>3.73</v>
      </c>
      <c r="F797" s="2">
        <v>74.400000000000006</v>
      </c>
      <c r="G797" s="2" t="s">
        <v>983</v>
      </c>
      <c r="H797" s="2" t="s">
        <v>984</v>
      </c>
      <c r="I797" s="2"/>
      <c r="J797" s="2" t="s">
        <v>26</v>
      </c>
    </row>
    <row r="798" spans="1:10" ht="21" customHeight="1">
      <c r="A798" s="2" t="s">
        <v>1787</v>
      </c>
      <c r="B798" s="2" t="s">
        <v>26</v>
      </c>
      <c r="C798" s="4">
        <v>45724.25</v>
      </c>
      <c r="D798" s="4">
        <v>45724.250548900462</v>
      </c>
      <c r="E798" s="2">
        <v>3.62</v>
      </c>
      <c r="F798" s="2">
        <v>77.8</v>
      </c>
      <c r="G798" s="2" t="s">
        <v>983</v>
      </c>
      <c r="H798" s="2" t="s">
        <v>984</v>
      </c>
      <c r="I798" s="2"/>
      <c r="J798" s="2" t="s">
        <v>26</v>
      </c>
    </row>
    <row r="799" spans="1:10" ht="21" customHeight="1">
      <c r="A799" s="2" t="s">
        <v>1788</v>
      </c>
      <c r="B799" s="2" t="s">
        <v>26</v>
      </c>
      <c r="C799" s="4">
        <v>45725.25</v>
      </c>
      <c r="D799" s="4">
        <v>45725.250047384259</v>
      </c>
      <c r="E799" s="2"/>
      <c r="F799" s="2"/>
      <c r="G799" s="2" t="s">
        <v>983</v>
      </c>
      <c r="H799" s="2" t="s">
        <v>1066</v>
      </c>
      <c r="I799" s="2"/>
      <c r="J799" s="2" t="s">
        <v>26</v>
      </c>
    </row>
    <row r="800" spans="1:10" ht="21" customHeight="1">
      <c r="A800" s="2" t="s">
        <v>1789</v>
      </c>
      <c r="B800" s="2" t="s">
        <v>26</v>
      </c>
      <c r="C800" s="4">
        <v>45726.25</v>
      </c>
      <c r="D800" s="4">
        <v>45726.25026479167</v>
      </c>
      <c r="E800" s="2">
        <v>3.08</v>
      </c>
      <c r="F800" s="2">
        <v>77.7</v>
      </c>
      <c r="G800" s="2" t="s">
        <v>983</v>
      </c>
      <c r="H800" s="2" t="s">
        <v>984</v>
      </c>
      <c r="I800" s="2" t="s">
        <v>985</v>
      </c>
      <c r="J800" s="2" t="s">
        <v>26</v>
      </c>
    </row>
    <row r="801" spans="1:10" ht="21" customHeight="1">
      <c r="A801" s="2" t="s">
        <v>1790</v>
      </c>
      <c r="B801" s="2" t="s">
        <v>26</v>
      </c>
      <c r="C801" s="4">
        <v>45727.25</v>
      </c>
      <c r="D801" s="4">
        <v>45727.250374166666</v>
      </c>
      <c r="E801" s="2">
        <v>3.43</v>
      </c>
      <c r="F801" s="2">
        <v>74.099999999999994</v>
      </c>
      <c r="G801" s="2" t="s">
        <v>983</v>
      </c>
      <c r="H801" s="2" t="s">
        <v>984</v>
      </c>
      <c r="I801" s="2"/>
      <c r="J801" s="2" t="s">
        <v>26</v>
      </c>
    </row>
    <row r="802" spans="1:10" ht="21" customHeight="1">
      <c r="A802" s="2" t="s">
        <v>1791</v>
      </c>
      <c r="B802" s="2" t="s">
        <v>26</v>
      </c>
      <c r="C802" s="4">
        <v>45728.25</v>
      </c>
      <c r="D802" s="4">
        <v>45728.250588842595</v>
      </c>
      <c r="E802" s="2">
        <v>3.69</v>
      </c>
      <c r="F802" s="2">
        <v>77</v>
      </c>
      <c r="G802" s="2" t="s">
        <v>983</v>
      </c>
      <c r="H802" s="2" t="s">
        <v>984</v>
      </c>
      <c r="I802" s="2"/>
      <c r="J802" s="2" t="s">
        <v>26</v>
      </c>
    </row>
    <row r="803" spans="1:10" ht="21" customHeight="1">
      <c r="A803" s="2" t="s">
        <v>1792</v>
      </c>
      <c r="B803" s="2" t="s">
        <v>26</v>
      </c>
      <c r="C803" s="4">
        <v>45729.25</v>
      </c>
      <c r="D803" s="4">
        <v>45729.250311550924</v>
      </c>
      <c r="E803" s="2">
        <v>3.21</v>
      </c>
      <c r="F803" s="2">
        <v>75.8</v>
      </c>
      <c r="G803" s="2" t="s">
        <v>983</v>
      </c>
      <c r="H803" s="2" t="s">
        <v>984</v>
      </c>
      <c r="I803" s="2"/>
      <c r="J803" s="2" t="s">
        <v>26</v>
      </c>
    </row>
    <row r="804" spans="1:10" ht="21" customHeight="1">
      <c r="A804" s="2" t="s">
        <v>1793</v>
      </c>
      <c r="B804" s="2" t="s">
        <v>26</v>
      </c>
      <c r="C804" s="4">
        <v>45730.25</v>
      </c>
      <c r="D804" s="4">
        <v>45730.250447638886</v>
      </c>
      <c r="E804" s="2">
        <v>3</v>
      </c>
      <c r="F804" s="2">
        <v>73.900000000000006</v>
      </c>
      <c r="G804" s="2" t="s">
        <v>983</v>
      </c>
      <c r="H804" s="2" t="s">
        <v>984</v>
      </c>
      <c r="I804" s="2"/>
      <c r="J804" s="2" t="s">
        <v>26</v>
      </c>
    </row>
    <row r="805" spans="1:10" ht="21" customHeight="1">
      <c r="A805" s="2" t="s">
        <v>1794</v>
      </c>
      <c r="B805" s="2" t="s">
        <v>26</v>
      </c>
      <c r="C805" s="4">
        <v>45731.25</v>
      </c>
      <c r="D805" s="4">
        <v>45731.250353715281</v>
      </c>
      <c r="E805" s="2">
        <v>3.7</v>
      </c>
      <c r="F805" s="2">
        <v>79.3</v>
      </c>
      <c r="G805" s="2" t="s">
        <v>983</v>
      </c>
      <c r="H805" s="2" t="s">
        <v>984</v>
      </c>
      <c r="I805" s="2"/>
      <c r="J805" s="2" t="s">
        <v>26</v>
      </c>
    </row>
    <row r="806" spans="1:10" ht="21" customHeight="1">
      <c r="A806" s="2" t="s">
        <v>1795</v>
      </c>
      <c r="B806" s="2" t="s">
        <v>26</v>
      </c>
      <c r="C806" s="4">
        <v>45732.25</v>
      </c>
      <c r="D806" s="4">
        <v>45732.250279768516</v>
      </c>
      <c r="E806" s="2">
        <v>3.71</v>
      </c>
      <c r="F806" s="2">
        <v>75.099999999999994</v>
      </c>
      <c r="G806" s="2" t="s">
        <v>983</v>
      </c>
      <c r="H806" s="2" t="s">
        <v>984</v>
      </c>
      <c r="I806" s="2"/>
      <c r="J806" s="2" t="s">
        <v>26</v>
      </c>
    </row>
    <row r="807" spans="1:10" ht="21" customHeight="1">
      <c r="A807" s="2" t="s">
        <v>1796</v>
      </c>
      <c r="B807" s="2" t="s">
        <v>26</v>
      </c>
      <c r="C807" s="4">
        <v>45733.25</v>
      </c>
      <c r="D807" s="4">
        <v>45733.250080555561</v>
      </c>
      <c r="E807" s="2">
        <v>3.41</v>
      </c>
      <c r="F807" s="2">
        <v>73.900000000000006</v>
      </c>
      <c r="G807" s="2" t="s">
        <v>983</v>
      </c>
      <c r="H807" s="2" t="s">
        <v>984</v>
      </c>
      <c r="I807" s="2"/>
      <c r="J807" s="2" t="s">
        <v>26</v>
      </c>
    </row>
    <row r="808" spans="1:10" ht="21" customHeight="1">
      <c r="A808" s="2" t="s">
        <v>1797</v>
      </c>
      <c r="B808" s="2" t="s">
        <v>26</v>
      </c>
      <c r="C808" s="4">
        <v>45734.25</v>
      </c>
      <c r="D808" s="4">
        <v>45734.250110833338</v>
      </c>
      <c r="E808" s="2">
        <v>3.76</v>
      </c>
      <c r="F808" s="2">
        <v>74</v>
      </c>
      <c r="G808" s="2" t="s">
        <v>983</v>
      </c>
      <c r="H808" s="2" t="s">
        <v>984</v>
      </c>
      <c r="I808" s="2"/>
      <c r="J808" s="2" t="s">
        <v>26</v>
      </c>
    </row>
    <row r="809" spans="1:10" ht="21" customHeight="1">
      <c r="A809" s="2" t="s">
        <v>1798</v>
      </c>
      <c r="B809" s="2" t="s">
        <v>26</v>
      </c>
      <c r="C809" s="4">
        <v>45735.25</v>
      </c>
      <c r="D809" s="4">
        <v>45735.250034131939</v>
      </c>
      <c r="E809" s="2">
        <v>3.52</v>
      </c>
      <c r="F809" s="2">
        <v>77.3</v>
      </c>
      <c r="G809" s="2" t="s">
        <v>983</v>
      </c>
      <c r="H809" s="2" t="s">
        <v>984</v>
      </c>
      <c r="I809" s="2"/>
      <c r="J809" s="2" t="s">
        <v>26</v>
      </c>
    </row>
    <row r="810" spans="1:10" ht="21" customHeight="1">
      <c r="A810" s="2" t="s">
        <v>1799</v>
      </c>
      <c r="B810" s="2" t="s">
        <v>26</v>
      </c>
      <c r="C810" s="4">
        <v>45736.25</v>
      </c>
      <c r="D810" s="4">
        <v>45736.250358761579</v>
      </c>
      <c r="E810" s="2">
        <v>3.3</v>
      </c>
      <c r="F810" s="2">
        <v>72.3</v>
      </c>
      <c r="G810" s="2" t="s">
        <v>983</v>
      </c>
      <c r="H810" s="2" t="s">
        <v>984</v>
      </c>
      <c r="I810" s="2"/>
      <c r="J810" s="2" t="s">
        <v>26</v>
      </c>
    </row>
    <row r="811" spans="1:10" ht="21" customHeight="1">
      <c r="A811" s="2" t="s">
        <v>1800</v>
      </c>
      <c r="B811" s="2" t="s">
        <v>26</v>
      </c>
      <c r="C811" s="4">
        <v>45737.25</v>
      </c>
      <c r="D811" s="4">
        <v>45737.250426145838</v>
      </c>
      <c r="E811" s="2">
        <v>3.75</v>
      </c>
      <c r="F811" s="2">
        <v>77.2</v>
      </c>
      <c r="G811" s="2" t="s">
        <v>983</v>
      </c>
      <c r="H811" s="2" t="s">
        <v>984</v>
      </c>
      <c r="I811" s="2"/>
      <c r="J811" s="2" t="s">
        <v>26</v>
      </c>
    </row>
    <row r="812" spans="1:10" ht="21" customHeight="1">
      <c r="A812" s="2" t="s">
        <v>1801</v>
      </c>
      <c r="B812" s="2" t="s">
        <v>26</v>
      </c>
      <c r="C812" s="4">
        <v>45738.25</v>
      </c>
      <c r="D812" s="4">
        <v>45738.250041990745</v>
      </c>
      <c r="E812" s="2">
        <v>3.96</v>
      </c>
      <c r="F812" s="2">
        <v>74.900000000000006</v>
      </c>
      <c r="G812" s="2" t="s">
        <v>983</v>
      </c>
      <c r="H812" s="2" t="s">
        <v>984</v>
      </c>
      <c r="I812" s="2"/>
      <c r="J812" s="2" t="s">
        <v>26</v>
      </c>
    </row>
    <row r="813" spans="1:10" ht="21" customHeight="1">
      <c r="A813" s="2" t="s">
        <v>1802</v>
      </c>
      <c r="B813" s="2" t="s">
        <v>26</v>
      </c>
      <c r="C813" s="4">
        <v>45739.25</v>
      </c>
      <c r="D813" s="4">
        <v>45739.250688113425</v>
      </c>
      <c r="E813" s="2">
        <v>3.19</v>
      </c>
      <c r="F813" s="2">
        <v>73.599999999999994</v>
      </c>
      <c r="G813" s="2" t="s">
        <v>983</v>
      </c>
      <c r="H813" s="2" t="s">
        <v>984</v>
      </c>
      <c r="I813" s="2"/>
      <c r="J813" s="2" t="s">
        <v>26</v>
      </c>
    </row>
    <row r="814" spans="1:10" ht="21" customHeight="1">
      <c r="A814" s="2" t="s">
        <v>1803</v>
      </c>
      <c r="B814" s="2" t="s">
        <v>26</v>
      </c>
      <c r="C814" s="4">
        <v>45740.25</v>
      </c>
      <c r="D814" s="4">
        <v>45740.250382719911</v>
      </c>
      <c r="E814" s="2">
        <v>3.61</v>
      </c>
      <c r="F814" s="2">
        <v>73.7</v>
      </c>
      <c r="G814" s="2" t="s">
        <v>983</v>
      </c>
      <c r="H814" s="2" t="s">
        <v>984</v>
      </c>
      <c r="I814" s="2"/>
      <c r="J814" s="2" t="s">
        <v>26</v>
      </c>
    </row>
    <row r="815" spans="1:10" ht="21" customHeight="1">
      <c r="A815" s="2" t="s">
        <v>1804</v>
      </c>
      <c r="B815" s="2" t="s">
        <v>26</v>
      </c>
      <c r="C815" s="4">
        <v>45741.25</v>
      </c>
      <c r="D815" s="4">
        <v>45741.250266226853</v>
      </c>
      <c r="E815" s="2">
        <v>3.44</v>
      </c>
      <c r="F815" s="2">
        <v>72.5</v>
      </c>
      <c r="G815" s="2" t="s">
        <v>983</v>
      </c>
      <c r="H815" s="2" t="s">
        <v>984</v>
      </c>
      <c r="I815" s="2"/>
      <c r="J815" s="2" t="s">
        <v>26</v>
      </c>
    </row>
    <row r="816" spans="1:10" ht="21" customHeight="1">
      <c r="A816" s="2" t="s">
        <v>1805</v>
      </c>
      <c r="B816" s="2" t="s">
        <v>26</v>
      </c>
      <c r="C816" s="4">
        <v>45742.25</v>
      </c>
      <c r="D816" s="4">
        <v>45742.250661053244</v>
      </c>
      <c r="E816" s="2">
        <v>3.74</v>
      </c>
      <c r="F816" s="2">
        <v>74.599999999999994</v>
      </c>
      <c r="G816" s="2" t="s">
        <v>983</v>
      </c>
      <c r="H816" s="2" t="s">
        <v>984</v>
      </c>
      <c r="I816" s="2"/>
      <c r="J816" s="2" t="s">
        <v>26</v>
      </c>
    </row>
    <row r="817" spans="1:10" ht="21" customHeight="1">
      <c r="A817" s="2" t="s">
        <v>1806</v>
      </c>
      <c r="B817" s="2" t="s">
        <v>26</v>
      </c>
      <c r="C817" s="4">
        <v>45743.25</v>
      </c>
      <c r="D817" s="4">
        <v>45743.250648449073</v>
      </c>
      <c r="E817" s="2">
        <v>3.35</v>
      </c>
      <c r="F817" s="2">
        <v>73.099999999999994</v>
      </c>
      <c r="G817" s="2" t="s">
        <v>983</v>
      </c>
      <c r="H817" s="2" t="s">
        <v>984</v>
      </c>
      <c r="I817" s="2" t="s">
        <v>985</v>
      </c>
      <c r="J817" s="2" t="s">
        <v>26</v>
      </c>
    </row>
    <row r="818" spans="1:10" ht="21" customHeight="1">
      <c r="A818" s="2" t="s">
        <v>1807</v>
      </c>
      <c r="B818" s="2" t="s">
        <v>26</v>
      </c>
      <c r="C818" s="4">
        <v>45744.25</v>
      </c>
      <c r="D818" s="4">
        <v>45744.250612569449</v>
      </c>
      <c r="E818" s="2">
        <v>3.22</v>
      </c>
      <c r="F818" s="2">
        <v>74.400000000000006</v>
      </c>
      <c r="G818" s="2" t="s">
        <v>983</v>
      </c>
      <c r="H818" s="2" t="s">
        <v>984</v>
      </c>
      <c r="I818" s="2"/>
      <c r="J818" s="2" t="s">
        <v>26</v>
      </c>
    </row>
    <row r="819" spans="1:10" ht="21" customHeight="1">
      <c r="A819" s="2" t="s">
        <v>1808</v>
      </c>
      <c r="B819" s="2" t="s">
        <v>26</v>
      </c>
      <c r="C819" s="4">
        <v>45745.25</v>
      </c>
      <c r="D819" s="4">
        <v>45745.250498333335</v>
      </c>
      <c r="E819" s="2">
        <v>3.59</v>
      </c>
      <c r="F819" s="2">
        <v>75.3</v>
      </c>
      <c r="G819" s="2" t="s">
        <v>983</v>
      </c>
      <c r="H819" s="2" t="s">
        <v>984</v>
      </c>
      <c r="I819" s="2"/>
      <c r="J819" s="2" t="s">
        <v>26</v>
      </c>
    </row>
    <row r="820" spans="1:10" ht="21" customHeight="1">
      <c r="A820" s="2" t="s">
        <v>1809</v>
      </c>
      <c r="B820" s="2" t="s">
        <v>26</v>
      </c>
      <c r="C820" s="4">
        <v>45746.25</v>
      </c>
      <c r="D820" s="4">
        <v>45746.250409467597</v>
      </c>
      <c r="E820" s="2">
        <v>2.82</v>
      </c>
      <c r="F820" s="2">
        <v>77</v>
      </c>
      <c r="G820" s="2" t="s">
        <v>983</v>
      </c>
      <c r="H820" s="2" t="s">
        <v>984</v>
      </c>
      <c r="I820" s="2"/>
      <c r="J820" s="2" t="s">
        <v>26</v>
      </c>
    </row>
    <row r="821" spans="1:10" ht="21" customHeight="1">
      <c r="A821" s="2" t="s">
        <v>1810</v>
      </c>
      <c r="B821" s="2" t="s">
        <v>26</v>
      </c>
      <c r="C821" s="4">
        <v>45747.25</v>
      </c>
      <c r="D821" s="4">
        <v>45747.250106423613</v>
      </c>
      <c r="E821" s="2">
        <v>3.43</v>
      </c>
      <c r="F821" s="2">
        <v>75</v>
      </c>
      <c r="G821" s="2" t="s">
        <v>983</v>
      </c>
      <c r="H821" s="2" t="s">
        <v>984</v>
      </c>
      <c r="I821" s="2"/>
      <c r="J821" s="2" t="s">
        <v>26</v>
      </c>
    </row>
    <row r="822" spans="1:10" ht="21" customHeight="1">
      <c r="A822" s="2" t="s">
        <v>1811</v>
      </c>
      <c r="B822" s="2" t="s">
        <v>1729</v>
      </c>
      <c r="C822" s="4">
        <v>45748.25</v>
      </c>
      <c r="D822" s="4">
        <v>45748.250436712959</v>
      </c>
      <c r="E822" s="2">
        <v>3.71</v>
      </c>
      <c r="F822" s="2">
        <v>79.599999999999994</v>
      </c>
      <c r="G822" s="2" t="s">
        <v>983</v>
      </c>
      <c r="H822" s="2" t="s">
        <v>984</v>
      </c>
      <c r="I822" s="2"/>
      <c r="J822" s="2" t="s">
        <v>26</v>
      </c>
    </row>
    <row r="823" spans="1:10" ht="21" customHeight="1">
      <c r="A823" s="2" t="s">
        <v>1812</v>
      </c>
      <c r="B823" s="2" t="s">
        <v>26</v>
      </c>
      <c r="C823" s="4">
        <v>45749.25</v>
      </c>
      <c r="D823" s="4">
        <v>45749.250177476853</v>
      </c>
      <c r="E823" s="2">
        <v>3.04</v>
      </c>
      <c r="F823" s="2">
        <v>73.3</v>
      </c>
      <c r="G823" s="2" t="s">
        <v>983</v>
      </c>
      <c r="H823" s="2" t="s">
        <v>984</v>
      </c>
      <c r="I823" s="2"/>
      <c r="J823" s="2" t="s">
        <v>26</v>
      </c>
    </row>
    <row r="824" spans="1:10" ht="21" customHeight="1">
      <c r="A824" s="2" t="s">
        <v>1813</v>
      </c>
      <c r="B824" s="2" t="s">
        <v>26</v>
      </c>
      <c r="C824" s="4">
        <v>45750.25</v>
      </c>
      <c r="D824" s="4">
        <v>45750.250102604172</v>
      </c>
      <c r="E824" s="2">
        <v>3.26</v>
      </c>
      <c r="F824" s="2">
        <v>76.3</v>
      </c>
      <c r="G824" s="2" t="s">
        <v>983</v>
      </c>
      <c r="H824" s="2" t="s">
        <v>984</v>
      </c>
      <c r="I824" s="2"/>
      <c r="J824" s="2" t="s">
        <v>26</v>
      </c>
    </row>
    <row r="825" spans="1:10" ht="21" customHeight="1">
      <c r="A825" s="2" t="s">
        <v>1814</v>
      </c>
      <c r="B825" s="2" t="s">
        <v>26</v>
      </c>
      <c r="C825" s="4">
        <v>45751.25</v>
      </c>
      <c r="D825" s="4">
        <v>45751.250065162036</v>
      </c>
      <c r="E825" s="2">
        <v>3.89</v>
      </c>
      <c r="F825" s="2">
        <v>76.2</v>
      </c>
      <c r="G825" s="2" t="s">
        <v>983</v>
      </c>
      <c r="H825" s="2" t="s">
        <v>984</v>
      </c>
      <c r="I825" s="2"/>
      <c r="J825" s="2" t="s">
        <v>26</v>
      </c>
    </row>
    <row r="826" spans="1:10" ht="21" customHeight="1">
      <c r="A826" s="2" t="s">
        <v>1815</v>
      </c>
      <c r="B826" s="2" t="s">
        <v>26</v>
      </c>
      <c r="C826" s="4">
        <v>45752.25</v>
      </c>
      <c r="D826" s="4">
        <v>45752.250419293981</v>
      </c>
      <c r="E826" s="2">
        <v>3.94</v>
      </c>
      <c r="F826" s="2">
        <v>79</v>
      </c>
      <c r="G826" s="2" t="s">
        <v>983</v>
      </c>
      <c r="H826" s="2" t="s">
        <v>984</v>
      </c>
      <c r="I826" s="2"/>
      <c r="J826" s="2" t="s">
        <v>26</v>
      </c>
    </row>
    <row r="827" spans="1:10" ht="21" customHeight="1">
      <c r="A827" s="2" t="s">
        <v>1816</v>
      </c>
      <c r="B827" s="2" t="s">
        <v>26</v>
      </c>
      <c r="C827" s="4">
        <v>45753.25</v>
      </c>
      <c r="D827" s="4">
        <v>45753.250634791664</v>
      </c>
      <c r="E827" s="2">
        <v>3.91</v>
      </c>
      <c r="F827" s="2">
        <v>77</v>
      </c>
      <c r="G827" s="2" t="s">
        <v>983</v>
      </c>
      <c r="H827" s="2" t="s">
        <v>984</v>
      </c>
      <c r="I827" s="2"/>
      <c r="J827" s="2" t="s">
        <v>26</v>
      </c>
    </row>
    <row r="828" spans="1:10" ht="21" customHeight="1">
      <c r="A828" s="2" t="s">
        <v>1817</v>
      </c>
      <c r="B828" s="2" t="s">
        <v>26</v>
      </c>
      <c r="C828" s="4">
        <v>45754.25</v>
      </c>
      <c r="D828" s="4">
        <v>45754.250625833331</v>
      </c>
      <c r="E828" s="2">
        <v>3.1</v>
      </c>
      <c r="F828" s="2">
        <v>75.5</v>
      </c>
      <c r="G828" s="2" t="s">
        <v>983</v>
      </c>
      <c r="H828" s="2" t="s">
        <v>984</v>
      </c>
      <c r="I828" s="2"/>
      <c r="J828" s="2" t="s">
        <v>26</v>
      </c>
    </row>
    <row r="829" spans="1:10" ht="21" customHeight="1">
      <c r="A829" s="2" t="s">
        <v>1818</v>
      </c>
      <c r="B829" s="2" t="s">
        <v>26</v>
      </c>
      <c r="C829" s="4">
        <v>45755.25</v>
      </c>
      <c r="D829" s="4">
        <v>45755.250319664352</v>
      </c>
      <c r="E829" s="2">
        <v>3.86</v>
      </c>
      <c r="F829" s="2">
        <v>77</v>
      </c>
      <c r="G829" s="2" t="s">
        <v>983</v>
      </c>
      <c r="H829" s="2" t="s">
        <v>984</v>
      </c>
      <c r="I829" s="2"/>
      <c r="J829" s="2" t="s">
        <v>26</v>
      </c>
    </row>
    <row r="830" spans="1:10" ht="21" customHeight="1">
      <c r="A830" s="2" t="s">
        <v>1819</v>
      </c>
      <c r="B830" s="2" t="s">
        <v>26</v>
      </c>
      <c r="C830" s="4">
        <v>45756.25</v>
      </c>
      <c r="D830" s="4">
        <v>45756.250649097223</v>
      </c>
      <c r="E830" s="2">
        <v>2.9</v>
      </c>
      <c r="F830" s="2">
        <v>74.7</v>
      </c>
      <c r="G830" s="2" t="s">
        <v>983</v>
      </c>
      <c r="H830" s="2" t="s">
        <v>984</v>
      </c>
      <c r="I830" s="2"/>
      <c r="J830" s="2" t="s">
        <v>26</v>
      </c>
    </row>
    <row r="831" spans="1:10" ht="21" customHeight="1">
      <c r="A831" s="2" t="s">
        <v>1820</v>
      </c>
      <c r="B831" s="2" t="s">
        <v>26</v>
      </c>
      <c r="C831" s="4">
        <v>45757.25</v>
      </c>
      <c r="D831" s="4">
        <v>45757.250116412033</v>
      </c>
      <c r="E831" s="2">
        <v>20.72</v>
      </c>
      <c r="F831" s="2">
        <v>79.599999999999994</v>
      </c>
      <c r="G831" s="2" t="s">
        <v>983</v>
      </c>
      <c r="H831" s="2" t="s">
        <v>1022</v>
      </c>
      <c r="I831" s="2"/>
      <c r="J831" s="2" t="s">
        <v>26</v>
      </c>
    </row>
    <row r="832" spans="1:10" ht="21" customHeight="1">
      <c r="A832" s="2" t="s">
        <v>1821</v>
      </c>
      <c r="B832" s="2" t="s">
        <v>26</v>
      </c>
      <c r="C832" s="4">
        <v>45758.25</v>
      </c>
      <c r="D832" s="4">
        <v>45758.250627071757</v>
      </c>
      <c r="E832" s="2">
        <v>3.25</v>
      </c>
      <c r="F832" s="2">
        <v>78</v>
      </c>
      <c r="G832" s="2" t="s">
        <v>983</v>
      </c>
      <c r="H832" s="2" t="s">
        <v>984</v>
      </c>
      <c r="I832" s="2"/>
      <c r="J832" s="2" t="s">
        <v>26</v>
      </c>
    </row>
    <row r="833" spans="1:10" ht="21" customHeight="1">
      <c r="A833" s="2" t="s">
        <v>1822</v>
      </c>
      <c r="B833" s="2" t="s">
        <v>26</v>
      </c>
      <c r="C833" s="4">
        <v>45759.25</v>
      </c>
      <c r="D833" s="4">
        <v>45759.250253449078</v>
      </c>
      <c r="E833" s="2">
        <v>3.73</v>
      </c>
      <c r="F833" s="2">
        <v>73.400000000000006</v>
      </c>
      <c r="G833" s="2" t="s">
        <v>983</v>
      </c>
      <c r="H833" s="2" t="s">
        <v>984</v>
      </c>
      <c r="I833" s="2"/>
      <c r="J833" s="2" t="s">
        <v>26</v>
      </c>
    </row>
    <row r="834" spans="1:10" ht="21" customHeight="1">
      <c r="A834" s="2" t="s">
        <v>1823</v>
      </c>
      <c r="B834" s="2" t="s">
        <v>26</v>
      </c>
      <c r="C834" s="4">
        <v>45760.25</v>
      </c>
      <c r="D834" s="4">
        <v>45760.250555995372</v>
      </c>
      <c r="E834" s="2">
        <v>3.99</v>
      </c>
      <c r="F834" s="2">
        <v>77</v>
      </c>
      <c r="G834" s="2" t="s">
        <v>983</v>
      </c>
      <c r="H834" s="2" t="s">
        <v>984</v>
      </c>
      <c r="I834" s="2" t="s">
        <v>985</v>
      </c>
      <c r="J834" s="2" t="s">
        <v>26</v>
      </c>
    </row>
    <row r="835" spans="1:10" ht="21" customHeight="1">
      <c r="A835" s="2" t="s">
        <v>1824</v>
      </c>
      <c r="B835" s="2" t="s">
        <v>26</v>
      </c>
      <c r="C835" s="4">
        <v>45761.25</v>
      </c>
      <c r="D835" s="4">
        <v>45761.250318657403</v>
      </c>
      <c r="E835" s="2">
        <v>3.61</v>
      </c>
      <c r="F835" s="2">
        <v>72</v>
      </c>
      <c r="G835" s="2" t="s">
        <v>983</v>
      </c>
      <c r="H835" s="2" t="s">
        <v>984</v>
      </c>
      <c r="I835" s="2"/>
      <c r="J835" s="2" t="s">
        <v>26</v>
      </c>
    </row>
    <row r="836" spans="1:10" ht="21" customHeight="1">
      <c r="A836" s="2" t="s">
        <v>1825</v>
      </c>
      <c r="B836" s="2" t="s">
        <v>26</v>
      </c>
      <c r="C836" s="4">
        <v>45762.25</v>
      </c>
      <c r="D836" s="4">
        <v>45762.250589166666</v>
      </c>
      <c r="E836" s="2">
        <v>2.81</v>
      </c>
      <c r="F836" s="2">
        <v>74.599999999999994</v>
      </c>
      <c r="G836" s="2" t="s">
        <v>983</v>
      </c>
      <c r="H836" s="2" t="s">
        <v>984</v>
      </c>
      <c r="I836" s="2"/>
      <c r="J836" s="2" t="s">
        <v>26</v>
      </c>
    </row>
    <row r="837" spans="1:10" ht="21" customHeight="1">
      <c r="A837" s="2" t="s">
        <v>1826</v>
      </c>
      <c r="B837" s="2" t="s">
        <v>26</v>
      </c>
      <c r="C837" s="4">
        <v>45763.25</v>
      </c>
      <c r="D837" s="4">
        <v>45763.250611967596</v>
      </c>
      <c r="E837" s="2">
        <v>3.74</v>
      </c>
      <c r="F837" s="2">
        <v>76.599999999999994</v>
      </c>
      <c r="G837" s="2" t="s">
        <v>983</v>
      </c>
      <c r="H837" s="2" t="s">
        <v>984</v>
      </c>
      <c r="I837" s="2"/>
      <c r="J837" s="2" t="s">
        <v>26</v>
      </c>
    </row>
    <row r="838" spans="1:10" ht="21" customHeight="1">
      <c r="A838" s="2" t="s">
        <v>1827</v>
      </c>
      <c r="B838" s="2" t="s">
        <v>26</v>
      </c>
      <c r="C838" s="4">
        <v>45764.25</v>
      </c>
      <c r="D838" s="4">
        <v>45764.250020740743</v>
      </c>
      <c r="E838" s="2">
        <v>3.7</v>
      </c>
      <c r="F838" s="2">
        <v>79.599999999999994</v>
      </c>
      <c r="G838" s="2" t="s">
        <v>983</v>
      </c>
      <c r="H838" s="2" t="s">
        <v>984</v>
      </c>
      <c r="I838" s="2"/>
      <c r="J838" s="2" t="s">
        <v>26</v>
      </c>
    </row>
    <row r="839" spans="1:10" ht="21" customHeight="1">
      <c r="A839" s="2" t="s">
        <v>1828</v>
      </c>
      <c r="B839" s="2" t="s">
        <v>26</v>
      </c>
      <c r="C839" s="4">
        <v>45765.25</v>
      </c>
      <c r="D839" s="4">
        <v>45765.250394212962</v>
      </c>
      <c r="E839" s="2">
        <v>3.72</v>
      </c>
      <c r="F839" s="2">
        <v>79.8</v>
      </c>
      <c r="G839" s="2" t="s">
        <v>983</v>
      </c>
      <c r="H839" s="2" t="s">
        <v>984</v>
      </c>
      <c r="I839" s="2"/>
      <c r="J839" s="2" t="s">
        <v>26</v>
      </c>
    </row>
    <row r="840" spans="1:10" ht="21" customHeight="1">
      <c r="A840" s="2" t="s">
        <v>1829</v>
      </c>
      <c r="B840" s="2" t="s">
        <v>26</v>
      </c>
      <c r="C840" s="4">
        <v>45766.25</v>
      </c>
      <c r="D840" s="4">
        <v>45766.250168344908</v>
      </c>
      <c r="E840" s="2">
        <v>3.27</v>
      </c>
      <c r="F840" s="2">
        <v>77.5</v>
      </c>
      <c r="G840" s="2" t="s">
        <v>983</v>
      </c>
      <c r="H840" s="2" t="s">
        <v>984</v>
      </c>
      <c r="I840" s="2"/>
      <c r="J840" s="2" t="s">
        <v>26</v>
      </c>
    </row>
    <row r="841" spans="1:10" ht="21" customHeight="1">
      <c r="A841" s="2" t="s">
        <v>1830</v>
      </c>
      <c r="B841" s="2" t="s">
        <v>26</v>
      </c>
      <c r="C841" s="4">
        <v>45767.25</v>
      </c>
      <c r="D841" s="4">
        <v>45767.25020978009</v>
      </c>
      <c r="E841" s="2">
        <v>3.64</v>
      </c>
      <c r="F841" s="2">
        <v>74.2</v>
      </c>
      <c r="G841" s="2" t="s">
        <v>983</v>
      </c>
      <c r="H841" s="2" t="s">
        <v>984</v>
      </c>
      <c r="I841" s="2"/>
      <c r="J841" s="2" t="s">
        <v>26</v>
      </c>
    </row>
    <row r="842" spans="1:10" ht="21" customHeight="1">
      <c r="A842" s="2" t="s">
        <v>1831</v>
      </c>
      <c r="B842" s="2" t="s">
        <v>26</v>
      </c>
      <c r="C842" s="4">
        <v>45768.25</v>
      </c>
      <c r="D842" s="4">
        <v>45768.250040625004</v>
      </c>
      <c r="E842" s="2">
        <v>3.85</v>
      </c>
      <c r="F842" s="2">
        <v>73.900000000000006</v>
      </c>
      <c r="G842" s="2" t="s">
        <v>983</v>
      </c>
      <c r="H842" s="2" t="s">
        <v>984</v>
      </c>
      <c r="I842" s="2"/>
      <c r="J842" s="2" t="s">
        <v>26</v>
      </c>
    </row>
    <row r="843" spans="1:10" ht="21" customHeight="1">
      <c r="A843" s="2" t="s">
        <v>1832</v>
      </c>
      <c r="B843" s="2" t="s">
        <v>26</v>
      </c>
      <c r="C843" s="4">
        <v>45769.25</v>
      </c>
      <c r="D843" s="4">
        <v>45769.250491423612</v>
      </c>
      <c r="E843" s="2">
        <v>3.43</v>
      </c>
      <c r="F843" s="2">
        <v>72.5</v>
      </c>
      <c r="G843" s="2" t="s">
        <v>983</v>
      </c>
      <c r="H843" s="2" t="s">
        <v>984</v>
      </c>
      <c r="I843" s="2"/>
      <c r="J843" s="2" t="s">
        <v>26</v>
      </c>
    </row>
    <row r="844" spans="1:10" ht="21" customHeight="1">
      <c r="A844" s="2" t="s">
        <v>1833</v>
      </c>
      <c r="B844" s="2" t="s">
        <v>26</v>
      </c>
      <c r="C844" s="4">
        <v>45770.25</v>
      </c>
      <c r="D844" s="4">
        <v>45770.250098854165</v>
      </c>
      <c r="E844" s="2">
        <v>3.25</v>
      </c>
      <c r="F844" s="2">
        <v>76</v>
      </c>
      <c r="G844" s="2" t="s">
        <v>983</v>
      </c>
      <c r="H844" s="2" t="s">
        <v>984</v>
      </c>
      <c r="I844" s="2"/>
      <c r="J844" s="2" t="s">
        <v>26</v>
      </c>
    </row>
    <row r="845" spans="1:10" ht="21" customHeight="1">
      <c r="A845" s="2" t="s">
        <v>1834</v>
      </c>
      <c r="B845" s="2" t="s">
        <v>26</v>
      </c>
      <c r="C845" s="4">
        <v>45771.25</v>
      </c>
      <c r="D845" s="4">
        <v>45771.250434479167</v>
      </c>
      <c r="E845" s="2">
        <v>3.76</v>
      </c>
      <c r="F845" s="2">
        <v>74.099999999999994</v>
      </c>
      <c r="G845" s="2" t="s">
        <v>983</v>
      </c>
      <c r="H845" s="2" t="s">
        <v>984</v>
      </c>
      <c r="I845" s="2"/>
      <c r="J845" s="2" t="s">
        <v>26</v>
      </c>
    </row>
    <row r="846" spans="1:10" ht="21" customHeight="1">
      <c r="A846" s="2" t="s">
        <v>1835</v>
      </c>
      <c r="B846" s="2" t="s">
        <v>26</v>
      </c>
      <c r="C846" s="4">
        <v>45772.25</v>
      </c>
      <c r="D846" s="4">
        <v>45772.250358738427</v>
      </c>
      <c r="E846" s="2">
        <v>3.5</v>
      </c>
      <c r="F846" s="2">
        <v>72</v>
      </c>
      <c r="G846" s="2" t="s">
        <v>983</v>
      </c>
      <c r="H846" s="2" t="s">
        <v>984</v>
      </c>
      <c r="I846" s="2"/>
      <c r="J846" s="2" t="s">
        <v>26</v>
      </c>
    </row>
    <row r="847" spans="1:10" ht="21" customHeight="1">
      <c r="A847" s="2" t="s">
        <v>1836</v>
      </c>
      <c r="B847" s="2" t="s">
        <v>26</v>
      </c>
      <c r="C847" s="4">
        <v>45773.25</v>
      </c>
      <c r="D847" s="4">
        <v>45773.250118969911</v>
      </c>
      <c r="E847" s="2">
        <v>3.73</v>
      </c>
      <c r="F847" s="2">
        <v>78.2</v>
      </c>
      <c r="G847" s="2" t="s">
        <v>983</v>
      </c>
      <c r="H847" s="2" t="s">
        <v>984</v>
      </c>
      <c r="I847" s="2"/>
      <c r="J847" s="2" t="s">
        <v>26</v>
      </c>
    </row>
    <row r="848" spans="1:10" ht="21" customHeight="1">
      <c r="A848" s="2" t="s">
        <v>1837</v>
      </c>
      <c r="B848" s="2" t="s">
        <v>26</v>
      </c>
      <c r="C848" s="4">
        <v>45774.25</v>
      </c>
      <c r="D848" s="4">
        <v>45774.250571168981</v>
      </c>
      <c r="E848" s="2">
        <v>3.37</v>
      </c>
      <c r="F848" s="2">
        <v>74.5</v>
      </c>
      <c r="G848" s="2" t="s">
        <v>983</v>
      </c>
      <c r="H848" s="2" t="s">
        <v>984</v>
      </c>
      <c r="I848" s="2"/>
      <c r="J848" s="2" t="s">
        <v>26</v>
      </c>
    </row>
    <row r="849" spans="1:10" ht="21" customHeight="1">
      <c r="A849" s="2" t="s">
        <v>1838</v>
      </c>
      <c r="B849" s="2" t="s">
        <v>26</v>
      </c>
      <c r="C849" s="4">
        <v>45775.25</v>
      </c>
      <c r="D849" s="4">
        <v>45775.250086145832</v>
      </c>
      <c r="E849" s="2">
        <v>3.57</v>
      </c>
      <c r="F849" s="2">
        <v>75.2</v>
      </c>
      <c r="G849" s="2" t="s">
        <v>983</v>
      </c>
      <c r="H849" s="2" t="s">
        <v>984</v>
      </c>
      <c r="I849" s="2"/>
      <c r="J849" s="2" t="s">
        <v>26</v>
      </c>
    </row>
    <row r="850" spans="1:10" ht="21" customHeight="1">
      <c r="A850" s="2" t="s">
        <v>1839</v>
      </c>
      <c r="B850" s="2" t="s">
        <v>26</v>
      </c>
      <c r="C850" s="4">
        <v>45776.25</v>
      </c>
      <c r="D850" s="4">
        <v>45776.250665092593</v>
      </c>
      <c r="E850" s="2">
        <v>3.6</v>
      </c>
      <c r="F850" s="2">
        <v>73.7</v>
      </c>
      <c r="G850" s="2" t="s">
        <v>983</v>
      </c>
      <c r="H850" s="2" t="s">
        <v>984</v>
      </c>
      <c r="I850" s="2"/>
      <c r="J850" s="2" t="s">
        <v>26</v>
      </c>
    </row>
    <row r="851" spans="1:10" ht="21" customHeight="1">
      <c r="A851" s="2" t="s">
        <v>1840</v>
      </c>
      <c r="B851" s="2" t="s">
        <v>26</v>
      </c>
      <c r="C851" s="4">
        <v>45777.25</v>
      </c>
      <c r="D851" s="4">
        <v>45777.250389097222</v>
      </c>
      <c r="E851" s="2">
        <v>2.93</v>
      </c>
      <c r="F851" s="2">
        <v>79.3</v>
      </c>
      <c r="G851" s="2" t="s">
        <v>983</v>
      </c>
      <c r="H851" s="2" t="s">
        <v>984</v>
      </c>
      <c r="I851" s="2" t="s">
        <v>985</v>
      </c>
      <c r="J851" s="2" t="s">
        <v>26</v>
      </c>
    </row>
    <row r="852" spans="1:10" ht="21" customHeight="1">
      <c r="A852" s="2" t="s">
        <v>1841</v>
      </c>
      <c r="B852" s="2" t="s">
        <v>26</v>
      </c>
      <c r="C852" s="4">
        <v>45778.25</v>
      </c>
      <c r="D852" s="4">
        <v>45778.250566342591</v>
      </c>
      <c r="E852" s="2">
        <v>3.38</v>
      </c>
      <c r="F852" s="2">
        <v>75.3</v>
      </c>
      <c r="G852" s="2" t="s">
        <v>983</v>
      </c>
      <c r="H852" s="2" t="s">
        <v>984</v>
      </c>
      <c r="I852" s="2"/>
      <c r="J852" s="2" t="s">
        <v>26</v>
      </c>
    </row>
    <row r="853" spans="1:10" ht="21" customHeight="1">
      <c r="A853" s="2" t="s">
        <v>1842</v>
      </c>
      <c r="B853" s="2" t="s">
        <v>26</v>
      </c>
      <c r="C853" s="4">
        <v>45779.25</v>
      </c>
      <c r="D853" s="4">
        <v>45779.250231840277</v>
      </c>
      <c r="E853" s="2">
        <v>3.99</v>
      </c>
      <c r="F853" s="2">
        <v>72</v>
      </c>
      <c r="G853" s="2" t="s">
        <v>983</v>
      </c>
      <c r="H853" s="2" t="s">
        <v>984</v>
      </c>
      <c r="I853" s="2"/>
      <c r="J853" s="2" t="s">
        <v>26</v>
      </c>
    </row>
    <row r="854" spans="1:10" ht="21" customHeight="1">
      <c r="A854" s="2" t="s">
        <v>1843</v>
      </c>
      <c r="B854" s="2" t="s">
        <v>26</v>
      </c>
      <c r="C854" s="4">
        <v>45780.25</v>
      </c>
      <c r="D854" s="4">
        <v>45780.250419710646</v>
      </c>
      <c r="E854" s="2">
        <v>2.96</v>
      </c>
      <c r="F854" s="2">
        <v>76.5</v>
      </c>
      <c r="G854" s="2" t="s">
        <v>983</v>
      </c>
      <c r="H854" s="2" t="s">
        <v>984</v>
      </c>
      <c r="I854" s="2"/>
      <c r="J854" s="2" t="s">
        <v>26</v>
      </c>
    </row>
    <row r="855" spans="1:10" ht="21" customHeight="1">
      <c r="A855" s="2" t="s">
        <v>1844</v>
      </c>
      <c r="B855" s="2" t="s">
        <v>26</v>
      </c>
      <c r="C855" s="4">
        <v>45781.25</v>
      </c>
      <c r="D855" s="4">
        <v>45781.2501471875</v>
      </c>
      <c r="E855" s="2">
        <v>3.15</v>
      </c>
      <c r="F855" s="2">
        <v>74.3</v>
      </c>
      <c r="G855" s="2" t="s">
        <v>983</v>
      </c>
      <c r="H855" s="2" t="s">
        <v>984</v>
      </c>
      <c r="I855" s="2"/>
      <c r="J855" s="2" t="s">
        <v>26</v>
      </c>
    </row>
    <row r="856" spans="1:10" ht="21" customHeight="1">
      <c r="A856" s="2" t="s">
        <v>1845</v>
      </c>
      <c r="B856" s="2" t="s">
        <v>26</v>
      </c>
      <c r="C856" s="4">
        <v>45782.25</v>
      </c>
      <c r="D856" s="4">
        <v>45782.250145231483</v>
      </c>
      <c r="E856" s="2">
        <v>3.07</v>
      </c>
      <c r="F856" s="2">
        <v>75.3</v>
      </c>
      <c r="G856" s="2" t="s">
        <v>983</v>
      </c>
      <c r="H856" s="2" t="s">
        <v>984</v>
      </c>
      <c r="I856" s="2"/>
      <c r="J856" s="2" t="s">
        <v>26</v>
      </c>
    </row>
    <row r="857" spans="1:10" ht="21" customHeight="1">
      <c r="A857" s="2" t="s">
        <v>1846</v>
      </c>
      <c r="B857" s="2" t="s">
        <v>26</v>
      </c>
      <c r="C857" s="4">
        <v>45783.25</v>
      </c>
      <c r="D857" s="4">
        <v>45783.250521388887</v>
      </c>
      <c r="E857" s="2">
        <v>3.86</v>
      </c>
      <c r="F857" s="2">
        <v>79.2</v>
      </c>
      <c r="G857" s="2" t="s">
        <v>983</v>
      </c>
      <c r="H857" s="2" t="s">
        <v>984</v>
      </c>
      <c r="I857" s="2"/>
      <c r="J857" s="2" t="s">
        <v>26</v>
      </c>
    </row>
    <row r="858" spans="1:10" ht="21" customHeight="1">
      <c r="A858" s="2" t="s">
        <v>1847</v>
      </c>
      <c r="B858" s="2" t="s">
        <v>26</v>
      </c>
      <c r="C858" s="4">
        <v>45784.25</v>
      </c>
      <c r="D858" s="4">
        <v>45784.250398842589</v>
      </c>
      <c r="E858" s="2">
        <v>3.72</v>
      </c>
      <c r="F858" s="2">
        <v>74.8</v>
      </c>
      <c r="G858" s="2" t="s">
        <v>983</v>
      </c>
      <c r="H858" s="2" t="s">
        <v>984</v>
      </c>
      <c r="I858" s="2"/>
      <c r="J858" s="2" t="s">
        <v>26</v>
      </c>
    </row>
    <row r="859" spans="1:10" ht="21" customHeight="1">
      <c r="A859" s="2" t="s">
        <v>1848</v>
      </c>
      <c r="B859" s="2" t="s">
        <v>26</v>
      </c>
      <c r="C859" s="4">
        <v>45785.25</v>
      </c>
      <c r="D859" s="4">
        <v>45785.250278020831</v>
      </c>
      <c r="E859" s="2">
        <v>3.99</v>
      </c>
      <c r="F859" s="2">
        <v>76.400000000000006</v>
      </c>
      <c r="G859" s="2" t="s">
        <v>983</v>
      </c>
      <c r="H859" s="2" t="s">
        <v>984</v>
      </c>
      <c r="I859" s="2"/>
      <c r="J859" s="2" t="s">
        <v>26</v>
      </c>
    </row>
    <row r="860" spans="1:10" ht="21" customHeight="1">
      <c r="A860" s="2" t="s">
        <v>1849</v>
      </c>
      <c r="B860" s="2" t="s">
        <v>26</v>
      </c>
      <c r="C860" s="4">
        <v>45786.25</v>
      </c>
      <c r="D860" s="4">
        <v>45786.250668645836</v>
      </c>
      <c r="E860" s="2">
        <v>3.1</v>
      </c>
      <c r="F860" s="2">
        <v>77.7</v>
      </c>
      <c r="G860" s="2" t="s">
        <v>983</v>
      </c>
      <c r="H860" s="2" t="s">
        <v>984</v>
      </c>
      <c r="I860" s="2"/>
      <c r="J860" s="2" t="s">
        <v>26</v>
      </c>
    </row>
    <row r="861" spans="1:10" ht="21" customHeight="1">
      <c r="A861" s="2" t="s">
        <v>1850</v>
      </c>
      <c r="B861" s="2" t="s">
        <v>26</v>
      </c>
      <c r="C861" s="4">
        <v>45787.25</v>
      </c>
      <c r="D861" s="4">
        <v>45787.250299756939</v>
      </c>
      <c r="E861" s="2">
        <v>2.93</v>
      </c>
      <c r="F861" s="2">
        <v>72.7</v>
      </c>
      <c r="G861" s="2" t="s">
        <v>983</v>
      </c>
      <c r="H861" s="2" t="s">
        <v>984</v>
      </c>
      <c r="I861" s="2"/>
      <c r="J861" s="2" t="s">
        <v>26</v>
      </c>
    </row>
    <row r="862" spans="1:10" ht="21" customHeight="1">
      <c r="A862" s="2" t="s">
        <v>1851</v>
      </c>
      <c r="B862" s="2" t="s">
        <v>26</v>
      </c>
      <c r="C862" s="4">
        <v>45788.25</v>
      </c>
      <c r="D862" s="4">
        <v>45788.250332986107</v>
      </c>
      <c r="E862" s="2">
        <v>2.83</v>
      </c>
      <c r="F862" s="2">
        <v>79.099999999999994</v>
      </c>
      <c r="G862" s="2" t="s">
        <v>983</v>
      </c>
      <c r="H862" s="2" t="s">
        <v>984</v>
      </c>
      <c r="I862" s="2"/>
      <c r="J862" s="2" t="s">
        <v>26</v>
      </c>
    </row>
    <row r="863" spans="1:10" ht="21" customHeight="1">
      <c r="A863" s="2" t="s">
        <v>1852</v>
      </c>
      <c r="B863" s="2" t="s">
        <v>1729</v>
      </c>
      <c r="C863" s="4">
        <v>45789.25</v>
      </c>
      <c r="D863" s="4">
        <v>45789.250097083335</v>
      </c>
      <c r="E863" s="2">
        <v>3.26</v>
      </c>
      <c r="F863" s="2">
        <v>73.5</v>
      </c>
      <c r="G863" s="2" t="s">
        <v>983</v>
      </c>
      <c r="H863" s="2" t="s">
        <v>984</v>
      </c>
      <c r="I863" s="2"/>
      <c r="J863" s="2" t="s">
        <v>26</v>
      </c>
    </row>
    <row r="864" spans="1:10" ht="21" customHeight="1">
      <c r="A864" s="2" t="s">
        <v>1853</v>
      </c>
      <c r="B864" s="2" t="s">
        <v>26</v>
      </c>
      <c r="C864" s="4">
        <v>45790.25</v>
      </c>
      <c r="D864" s="4">
        <v>45790.250181354168</v>
      </c>
      <c r="E864" s="2">
        <v>3.16</v>
      </c>
      <c r="F864" s="2">
        <v>74.099999999999994</v>
      </c>
      <c r="G864" s="2" t="s">
        <v>983</v>
      </c>
      <c r="H864" s="2" t="s">
        <v>984</v>
      </c>
      <c r="I864" s="2"/>
      <c r="J864" s="2" t="s">
        <v>26</v>
      </c>
    </row>
    <row r="865" spans="1:10" ht="21" customHeight="1">
      <c r="A865" s="2" t="s">
        <v>1854</v>
      </c>
      <c r="B865" s="2" t="s">
        <v>26</v>
      </c>
      <c r="C865" s="4">
        <v>45791.25</v>
      </c>
      <c r="D865" s="4">
        <v>45791.250664155094</v>
      </c>
      <c r="E865" s="2">
        <v>3.82</v>
      </c>
      <c r="F865" s="2">
        <v>73.900000000000006</v>
      </c>
      <c r="G865" s="2" t="s">
        <v>983</v>
      </c>
      <c r="H865" s="2" t="s">
        <v>984</v>
      </c>
      <c r="I865" s="2"/>
      <c r="J865" s="2" t="s">
        <v>26</v>
      </c>
    </row>
    <row r="866" spans="1:10" ht="21" customHeight="1">
      <c r="A866" s="2" t="s">
        <v>1855</v>
      </c>
      <c r="B866" s="2" t="s">
        <v>26</v>
      </c>
      <c r="C866" s="4">
        <v>45792.25</v>
      </c>
      <c r="D866" s="4">
        <v>45792.250373136572</v>
      </c>
      <c r="E866" s="2">
        <v>3.84</v>
      </c>
      <c r="F866" s="2">
        <v>73</v>
      </c>
      <c r="G866" s="2" t="s">
        <v>983</v>
      </c>
      <c r="H866" s="2" t="s">
        <v>984</v>
      </c>
      <c r="I866" s="2"/>
      <c r="J866" s="2" t="s">
        <v>26</v>
      </c>
    </row>
    <row r="867" spans="1:10" ht="21" customHeight="1">
      <c r="A867" s="2" t="s">
        <v>1856</v>
      </c>
      <c r="B867" s="2" t="s">
        <v>26</v>
      </c>
      <c r="C867" s="4">
        <v>45793.25</v>
      </c>
      <c r="D867" s="4">
        <v>45793.250464594908</v>
      </c>
      <c r="E867" s="2">
        <v>3.29</v>
      </c>
      <c r="F867" s="2">
        <v>73.099999999999994</v>
      </c>
      <c r="G867" s="2" t="s">
        <v>983</v>
      </c>
      <c r="H867" s="2" t="s">
        <v>984</v>
      </c>
      <c r="I867" s="2"/>
      <c r="J867" s="2" t="s">
        <v>26</v>
      </c>
    </row>
    <row r="868" spans="1:10" ht="21" customHeight="1">
      <c r="A868" s="2" t="s">
        <v>1857</v>
      </c>
      <c r="B868" s="2" t="s">
        <v>26</v>
      </c>
      <c r="C868" s="4">
        <v>45794.25</v>
      </c>
      <c r="D868" s="4">
        <v>45794.250116898147</v>
      </c>
      <c r="E868" s="2">
        <v>3.76</v>
      </c>
      <c r="F868" s="2">
        <v>74.099999999999994</v>
      </c>
      <c r="G868" s="2" t="s">
        <v>983</v>
      </c>
      <c r="H868" s="2" t="s">
        <v>984</v>
      </c>
      <c r="I868" s="2" t="s">
        <v>985</v>
      </c>
      <c r="J868" s="2" t="s">
        <v>26</v>
      </c>
    </row>
    <row r="869" spans="1:10" ht="21" customHeight="1">
      <c r="A869" s="2" t="s">
        <v>1858</v>
      </c>
      <c r="B869" s="2" t="s">
        <v>26</v>
      </c>
      <c r="C869" s="4">
        <v>45795.25</v>
      </c>
      <c r="D869" s="4">
        <v>45795.250315196754</v>
      </c>
      <c r="E869" s="2">
        <v>3.11</v>
      </c>
      <c r="F869" s="2">
        <v>77.5</v>
      </c>
      <c r="G869" s="2" t="s">
        <v>983</v>
      </c>
      <c r="H869" s="2" t="s">
        <v>984</v>
      </c>
      <c r="I869" s="2"/>
      <c r="J869" s="2" t="s">
        <v>26</v>
      </c>
    </row>
    <row r="870" spans="1:10" ht="21" customHeight="1">
      <c r="A870" s="2" t="s">
        <v>1859</v>
      </c>
      <c r="B870" s="2" t="s">
        <v>26</v>
      </c>
      <c r="C870" s="4">
        <v>45796.25</v>
      </c>
      <c r="D870" s="4">
        <v>45796.250406493054</v>
      </c>
      <c r="E870" s="2">
        <v>3.1</v>
      </c>
      <c r="F870" s="2">
        <v>74.900000000000006</v>
      </c>
      <c r="G870" s="2" t="s">
        <v>983</v>
      </c>
      <c r="H870" s="2" t="s">
        <v>984</v>
      </c>
      <c r="I870" s="2"/>
      <c r="J870" s="2" t="s">
        <v>26</v>
      </c>
    </row>
    <row r="871" spans="1:10" ht="21" customHeight="1">
      <c r="A871" s="2" t="s">
        <v>1860</v>
      </c>
      <c r="B871" s="2" t="s">
        <v>26</v>
      </c>
      <c r="C871" s="4">
        <v>45797.25</v>
      </c>
      <c r="D871" s="4">
        <v>45797.250655682874</v>
      </c>
      <c r="E871" s="2">
        <v>3.67</v>
      </c>
      <c r="F871" s="2">
        <v>78</v>
      </c>
      <c r="G871" s="2" t="s">
        <v>983</v>
      </c>
      <c r="H871" s="2" t="s">
        <v>984</v>
      </c>
      <c r="I871" s="2"/>
      <c r="J871" s="2" t="s">
        <v>26</v>
      </c>
    </row>
    <row r="872" spans="1:10" ht="21" customHeight="1">
      <c r="A872" s="2" t="s">
        <v>1861</v>
      </c>
      <c r="B872" s="2" t="s">
        <v>26</v>
      </c>
      <c r="C872" s="4">
        <v>45798.25</v>
      </c>
      <c r="D872" s="4">
        <v>45798.250069953705</v>
      </c>
      <c r="E872" s="2">
        <v>3.9</v>
      </c>
      <c r="F872" s="2">
        <v>77</v>
      </c>
      <c r="G872" s="2" t="s">
        <v>983</v>
      </c>
      <c r="H872" s="2" t="s">
        <v>984</v>
      </c>
      <c r="I872" s="2"/>
      <c r="J872" s="2" t="s">
        <v>26</v>
      </c>
    </row>
    <row r="873" spans="1:10" ht="21" customHeight="1">
      <c r="A873" s="2" t="s">
        <v>1862</v>
      </c>
      <c r="B873" s="2" t="s">
        <v>26</v>
      </c>
      <c r="C873" s="4">
        <v>45799.25</v>
      </c>
      <c r="D873" s="4">
        <v>45799.250447407409</v>
      </c>
      <c r="E873" s="2">
        <v>3.05</v>
      </c>
      <c r="F873" s="2">
        <v>77.5</v>
      </c>
      <c r="G873" s="2" t="s">
        <v>983</v>
      </c>
      <c r="H873" s="2" t="s">
        <v>984</v>
      </c>
      <c r="I873" s="2"/>
      <c r="J873" s="2" t="s">
        <v>26</v>
      </c>
    </row>
    <row r="874" spans="1:10" ht="21" customHeight="1">
      <c r="A874" s="2" t="s">
        <v>1863</v>
      </c>
      <c r="B874" s="2" t="s">
        <v>26</v>
      </c>
      <c r="C874" s="4">
        <v>45800.25</v>
      </c>
      <c r="D874" s="4">
        <v>45800.250444502315</v>
      </c>
      <c r="E874" s="2">
        <v>3.38</v>
      </c>
      <c r="F874" s="2">
        <v>77.599999999999994</v>
      </c>
      <c r="G874" s="2" t="s">
        <v>983</v>
      </c>
      <c r="H874" s="2" t="s">
        <v>984</v>
      </c>
      <c r="I874" s="2"/>
      <c r="J874" s="2" t="s">
        <v>26</v>
      </c>
    </row>
    <row r="875" spans="1:10" ht="21" customHeight="1">
      <c r="A875" s="2" t="s">
        <v>1864</v>
      </c>
      <c r="B875" s="2" t="s">
        <v>26</v>
      </c>
      <c r="C875" s="4">
        <v>45801.25</v>
      </c>
      <c r="D875" s="4">
        <v>45801.250499120375</v>
      </c>
      <c r="E875" s="2">
        <v>3.45</v>
      </c>
      <c r="F875" s="2">
        <v>72.900000000000006</v>
      </c>
      <c r="G875" s="2" t="s">
        <v>983</v>
      </c>
      <c r="H875" s="2" t="s">
        <v>984</v>
      </c>
      <c r="I875" s="2"/>
      <c r="J875" s="2" t="s">
        <v>26</v>
      </c>
    </row>
    <row r="876" spans="1:10" ht="21" customHeight="1">
      <c r="A876" s="2" t="s">
        <v>1865</v>
      </c>
      <c r="B876" s="2" t="s">
        <v>26</v>
      </c>
      <c r="C876" s="4">
        <v>45802.25</v>
      </c>
      <c r="D876" s="4">
        <v>45802.250612488424</v>
      </c>
      <c r="E876" s="2">
        <v>3.63</v>
      </c>
      <c r="F876" s="2">
        <v>75.099999999999994</v>
      </c>
      <c r="G876" s="2" t="s">
        <v>983</v>
      </c>
      <c r="H876" s="2" t="s">
        <v>984</v>
      </c>
      <c r="I876" s="2"/>
      <c r="J876" s="2" t="s">
        <v>26</v>
      </c>
    </row>
    <row r="877" spans="1:10" ht="21" customHeight="1">
      <c r="A877" s="2" t="s">
        <v>1866</v>
      </c>
      <c r="B877" s="2" t="s">
        <v>26</v>
      </c>
      <c r="C877" s="4">
        <v>45803.25</v>
      </c>
      <c r="D877" s="4">
        <v>45803.25007008102</v>
      </c>
      <c r="E877" s="2">
        <v>3.5</v>
      </c>
      <c r="F877" s="2">
        <v>72.5</v>
      </c>
      <c r="G877" s="2" t="s">
        <v>983</v>
      </c>
      <c r="H877" s="2" t="s">
        <v>984</v>
      </c>
      <c r="I877" s="2"/>
      <c r="J877" s="2" t="s">
        <v>26</v>
      </c>
    </row>
    <row r="878" spans="1:10" ht="21" customHeight="1">
      <c r="A878" s="2" t="s">
        <v>1867</v>
      </c>
      <c r="B878" s="2" t="s">
        <v>26</v>
      </c>
      <c r="C878" s="4">
        <v>45804.25</v>
      </c>
      <c r="D878" s="4">
        <v>45804.250618078702</v>
      </c>
      <c r="E878" s="2">
        <v>3.64</v>
      </c>
      <c r="F878" s="2">
        <v>79.7</v>
      </c>
      <c r="G878" s="2" t="s">
        <v>983</v>
      </c>
      <c r="H878" s="2" t="s">
        <v>984</v>
      </c>
      <c r="I878" s="2"/>
      <c r="J878" s="2" t="s">
        <v>26</v>
      </c>
    </row>
    <row r="879" spans="1:10" ht="21" customHeight="1">
      <c r="A879" s="2" t="s">
        <v>1868</v>
      </c>
      <c r="B879" s="2" t="s">
        <v>26</v>
      </c>
      <c r="C879" s="4">
        <v>45805.25</v>
      </c>
      <c r="D879" s="4">
        <v>45805.25002663194</v>
      </c>
      <c r="E879" s="2">
        <v>3.87</v>
      </c>
      <c r="F879" s="2">
        <v>77.8</v>
      </c>
      <c r="G879" s="2" t="s">
        <v>983</v>
      </c>
      <c r="H879" s="2" t="s">
        <v>984</v>
      </c>
      <c r="I879" s="2"/>
      <c r="J879" s="2" t="s">
        <v>26</v>
      </c>
    </row>
    <row r="880" spans="1:10" ht="21" customHeight="1">
      <c r="A880" s="2" t="s">
        <v>1869</v>
      </c>
      <c r="B880" s="2" t="s">
        <v>26</v>
      </c>
      <c r="C880" s="4">
        <v>45806.25</v>
      </c>
      <c r="D880" s="4">
        <v>45806.250275578699</v>
      </c>
      <c r="E880" s="2">
        <v>3.27</v>
      </c>
      <c r="F880" s="2">
        <v>76.5</v>
      </c>
      <c r="G880" s="2" t="s">
        <v>983</v>
      </c>
      <c r="H880" s="2" t="s">
        <v>984</v>
      </c>
      <c r="I880" s="2"/>
      <c r="J880" s="2" t="s">
        <v>26</v>
      </c>
    </row>
    <row r="881" spans="1:10" ht="21" customHeight="1">
      <c r="A881" s="2" t="s">
        <v>1870</v>
      </c>
      <c r="B881" s="2" t="s">
        <v>26</v>
      </c>
      <c r="C881" s="4">
        <v>45807.25</v>
      </c>
      <c r="D881" s="4">
        <v>45807.250128680556</v>
      </c>
      <c r="E881" s="2">
        <v>3.63</v>
      </c>
      <c r="F881" s="2">
        <v>76.2</v>
      </c>
      <c r="G881" s="2" t="s">
        <v>983</v>
      </c>
      <c r="H881" s="2" t="s">
        <v>984</v>
      </c>
      <c r="I881" s="2"/>
      <c r="J881" s="2" t="s">
        <v>26</v>
      </c>
    </row>
    <row r="882" spans="1:10" ht="21" customHeight="1">
      <c r="A882" s="2" t="s">
        <v>1871</v>
      </c>
      <c r="B882" s="2" t="s">
        <v>26</v>
      </c>
      <c r="C882" s="4">
        <v>45808.25</v>
      </c>
      <c r="D882" s="4">
        <v>45808.250183495373</v>
      </c>
      <c r="E882" s="2">
        <v>2.85</v>
      </c>
      <c r="F882" s="2">
        <v>74</v>
      </c>
      <c r="G882" s="2" t="s">
        <v>983</v>
      </c>
      <c r="H882" s="2" t="s">
        <v>984</v>
      </c>
      <c r="I882" s="2"/>
      <c r="J882" s="2" t="s">
        <v>26</v>
      </c>
    </row>
    <row r="883" spans="1:10" ht="21" customHeight="1">
      <c r="A883" s="2" t="s">
        <v>1872</v>
      </c>
      <c r="B883" s="2" t="s">
        <v>26</v>
      </c>
      <c r="C883" s="4">
        <v>45809.25</v>
      </c>
      <c r="D883" s="4">
        <v>45809.250159085648</v>
      </c>
      <c r="E883" s="2">
        <v>3.01</v>
      </c>
      <c r="F883" s="2">
        <v>74.7</v>
      </c>
      <c r="G883" s="2" t="s">
        <v>983</v>
      </c>
      <c r="H883" s="2" t="s">
        <v>984</v>
      </c>
      <c r="I883" s="2"/>
      <c r="J883" s="2" t="s">
        <v>26</v>
      </c>
    </row>
    <row r="884" spans="1:10" ht="21" customHeight="1">
      <c r="A884" s="2" t="s">
        <v>1873</v>
      </c>
      <c r="B884" s="2" t="s">
        <v>26</v>
      </c>
      <c r="C884" s="4">
        <v>45810.25</v>
      </c>
      <c r="D884" s="4">
        <v>45810.250075925927</v>
      </c>
      <c r="E884" s="2">
        <v>3.03</v>
      </c>
      <c r="F884" s="2">
        <v>78.5</v>
      </c>
      <c r="G884" s="2" t="s">
        <v>983</v>
      </c>
      <c r="H884" s="2" t="s">
        <v>984</v>
      </c>
      <c r="I884" s="2"/>
      <c r="J884" s="2" t="s">
        <v>26</v>
      </c>
    </row>
    <row r="885" spans="1:10" ht="21" customHeight="1">
      <c r="A885" s="2" t="s">
        <v>1874</v>
      </c>
      <c r="B885" s="2" t="s">
        <v>26</v>
      </c>
      <c r="C885" s="4">
        <v>45811.25</v>
      </c>
      <c r="D885" s="4">
        <v>45811.250248518518</v>
      </c>
      <c r="E885" s="2">
        <v>3.75</v>
      </c>
      <c r="F885" s="2">
        <v>74.2</v>
      </c>
      <c r="G885" s="2" t="s">
        <v>983</v>
      </c>
      <c r="H885" s="2" t="s">
        <v>984</v>
      </c>
      <c r="I885" s="2" t="s">
        <v>985</v>
      </c>
      <c r="J885" s="2" t="s">
        <v>26</v>
      </c>
    </row>
    <row r="886" spans="1:10" ht="21" customHeight="1">
      <c r="A886" s="2" t="s">
        <v>1875</v>
      </c>
      <c r="B886" s="2" t="s">
        <v>26</v>
      </c>
      <c r="C886" s="4">
        <v>45812.25</v>
      </c>
      <c r="D886" s="4">
        <v>45812.250671145834</v>
      </c>
      <c r="E886" s="2">
        <v>3.22</v>
      </c>
      <c r="F886" s="2">
        <v>72.099999999999994</v>
      </c>
      <c r="G886" s="2" t="s">
        <v>983</v>
      </c>
      <c r="H886" s="2" t="s">
        <v>984</v>
      </c>
      <c r="I886" s="2"/>
      <c r="J886" s="2" t="s">
        <v>26</v>
      </c>
    </row>
    <row r="887" spans="1:10" ht="21" customHeight="1">
      <c r="A887" s="2" t="s">
        <v>1876</v>
      </c>
      <c r="B887" s="2" t="s">
        <v>26</v>
      </c>
      <c r="C887" s="4">
        <v>45813.25</v>
      </c>
      <c r="D887" s="4">
        <v>45813.250490752311</v>
      </c>
      <c r="E887" s="2">
        <v>3.81</v>
      </c>
      <c r="F887" s="2">
        <v>73.900000000000006</v>
      </c>
      <c r="G887" s="2" t="s">
        <v>983</v>
      </c>
      <c r="H887" s="2" t="s">
        <v>984</v>
      </c>
      <c r="I887" s="2"/>
      <c r="J887" s="2" t="s">
        <v>26</v>
      </c>
    </row>
    <row r="888" spans="1:10" ht="21" customHeight="1">
      <c r="A888" s="2" t="s">
        <v>1877</v>
      </c>
      <c r="B888" s="2" t="s">
        <v>26</v>
      </c>
      <c r="C888" s="4">
        <v>45814.25</v>
      </c>
      <c r="D888" s="4">
        <v>45814.250667210646</v>
      </c>
      <c r="E888" s="2">
        <v>3.59</v>
      </c>
      <c r="F888" s="2">
        <v>72.900000000000006</v>
      </c>
      <c r="G888" s="2" t="s">
        <v>983</v>
      </c>
      <c r="H888" s="2" t="s">
        <v>984</v>
      </c>
      <c r="I888" s="2"/>
      <c r="J888" s="2" t="s">
        <v>26</v>
      </c>
    </row>
    <row r="889" spans="1:10" ht="21" customHeight="1">
      <c r="A889" s="2" t="s">
        <v>1878</v>
      </c>
      <c r="B889" s="2" t="s">
        <v>26</v>
      </c>
      <c r="C889" s="4">
        <v>45815.25</v>
      </c>
      <c r="D889" s="4">
        <v>45815.250568067131</v>
      </c>
      <c r="E889" s="2">
        <v>3.74</v>
      </c>
      <c r="F889" s="2">
        <v>78</v>
      </c>
      <c r="G889" s="2" t="s">
        <v>983</v>
      </c>
      <c r="H889" s="2" t="s">
        <v>984</v>
      </c>
      <c r="I889" s="2"/>
      <c r="J889" s="2" t="s">
        <v>26</v>
      </c>
    </row>
    <row r="890" spans="1:10" ht="21" customHeight="1">
      <c r="A890" s="2" t="s">
        <v>1879</v>
      </c>
      <c r="B890" s="2" t="s">
        <v>26</v>
      </c>
      <c r="C890" s="4">
        <v>45816.25</v>
      </c>
      <c r="D890" s="4">
        <v>45816.250427696759</v>
      </c>
      <c r="E890" s="2">
        <v>3.45</v>
      </c>
      <c r="F890" s="2">
        <v>77.599999999999994</v>
      </c>
      <c r="G890" s="2" t="s">
        <v>983</v>
      </c>
      <c r="H890" s="2" t="s">
        <v>984</v>
      </c>
      <c r="I890" s="2"/>
      <c r="J890" s="2" t="s">
        <v>26</v>
      </c>
    </row>
    <row r="891" spans="1:10" ht="21" customHeight="1">
      <c r="A891" s="2" t="s">
        <v>1880</v>
      </c>
      <c r="B891" s="2" t="s">
        <v>26</v>
      </c>
      <c r="C891" s="4">
        <v>45817.25</v>
      </c>
      <c r="D891" s="4">
        <v>45817.250128773143</v>
      </c>
      <c r="E891" s="2">
        <v>3.56</v>
      </c>
      <c r="F891" s="2">
        <v>74.5</v>
      </c>
      <c r="G891" s="2" t="s">
        <v>983</v>
      </c>
      <c r="H891" s="2" t="s">
        <v>984</v>
      </c>
      <c r="I891" s="2"/>
      <c r="J891" s="2" t="s">
        <v>26</v>
      </c>
    </row>
    <row r="892" spans="1:10" ht="21" customHeight="1">
      <c r="A892" s="2" t="s">
        <v>1881</v>
      </c>
      <c r="B892" s="2" t="s">
        <v>26</v>
      </c>
      <c r="C892" s="4">
        <v>45818.25</v>
      </c>
      <c r="D892" s="4">
        <v>45818.250287025461</v>
      </c>
      <c r="E892" s="2">
        <v>3.64</v>
      </c>
      <c r="F892" s="2">
        <v>75.5</v>
      </c>
      <c r="G892" s="2" t="s">
        <v>983</v>
      </c>
      <c r="H892" s="2" t="s">
        <v>984</v>
      </c>
      <c r="I892" s="2"/>
      <c r="J892" s="2" t="s">
        <v>26</v>
      </c>
    </row>
    <row r="893" spans="1:10" ht="21" customHeight="1">
      <c r="A893" s="2" t="s">
        <v>1882</v>
      </c>
      <c r="B893" s="2" t="s">
        <v>26</v>
      </c>
      <c r="C893" s="4">
        <v>45819.25</v>
      </c>
      <c r="D893" s="4">
        <v>45819.250469606486</v>
      </c>
      <c r="E893" s="2">
        <v>3.39</v>
      </c>
      <c r="F893" s="2">
        <v>75.7</v>
      </c>
      <c r="G893" s="2" t="s">
        <v>983</v>
      </c>
      <c r="H893" s="2" t="s">
        <v>984</v>
      </c>
      <c r="I893" s="2"/>
      <c r="J893" s="2" t="s">
        <v>26</v>
      </c>
    </row>
    <row r="894" spans="1:10" ht="21" customHeight="1">
      <c r="A894" s="2" t="s">
        <v>1883</v>
      </c>
      <c r="B894" s="2" t="s">
        <v>26</v>
      </c>
      <c r="C894" s="4">
        <v>45820.25</v>
      </c>
      <c r="D894" s="4">
        <v>45820.250614502314</v>
      </c>
      <c r="E894" s="2">
        <v>3.87</v>
      </c>
      <c r="F894" s="2">
        <v>73.599999999999994</v>
      </c>
      <c r="G894" s="2" t="s">
        <v>983</v>
      </c>
      <c r="H894" s="2" t="s">
        <v>984</v>
      </c>
      <c r="I894" s="2"/>
      <c r="J894" s="2" t="s">
        <v>26</v>
      </c>
    </row>
    <row r="895" spans="1:10" ht="21" customHeight="1">
      <c r="A895" s="2" t="s">
        <v>1884</v>
      </c>
      <c r="B895" s="2" t="s">
        <v>26</v>
      </c>
      <c r="C895" s="4">
        <v>45821.25</v>
      </c>
      <c r="D895" s="4">
        <v>45821.250079513891</v>
      </c>
      <c r="E895" s="2">
        <v>3.74</v>
      </c>
      <c r="F895" s="2">
        <v>78.400000000000006</v>
      </c>
      <c r="G895" s="2" t="s">
        <v>983</v>
      </c>
      <c r="H895" s="2" t="s">
        <v>984</v>
      </c>
      <c r="I895" s="2"/>
      <c r="J895" s="2" t="s">
        <v>26</v>
      </c>
    </row>
    <row r="896" spans="1:10" ht="21" customHeight="1">
      <c r="A896" s="2" t="s">
        <v>1885</v>
      </c>
      <c r="B896" s="2" t="s">
        <v>26</v>
      </c>
      <c r="C896" s="4">
        <v>45822.25</v>
      </c>
      <c r="D896" s="4">
        <v>45822.250454513887</v>
      </c>
      <c r="E896" s="2">
        <v>2.8</v>
      </c>
      <c r="F896" s="2">
        <v>77.8</v>
      </c>
      <c r="G896" s="2" t="s">
        <v>983</v>
      </c>
      <c r="H896" s="2" t="s">
        <v>984</v>
      </c>
      <c r="I896" s="2"/>
      <c r="J896" s="2" t="s">
        <v>26</v>
      </c>
    </row>
    <row r="897" spans="1:10" ht="21" customHeight="1">
      <c r="A897" s="2" t="s">
        <v>1886</v>
      </c>
      <c r="B897" s="2" t="s">
        <v>26</v>
      </c>
      <c r="C897" s="4">
        <v>45823.25</v>
      </c>
      <c r="D897" s="4">
        <v>45823.250077523146</v>
      </c>
      <c r="E897" s="2">
        <v>3.05</v>
      </c>
      <c r="F897" s="2">
        <v>75.5</v>
      </c>
      <c r="G897" s="2" t="s">
        <v>983</v>
      </c>
      <c r="H897" s="2" t="s">
        <v>984</v>
      </c>
      <c r="I897" s="2"/>
      <c r="J897" s="2" t="s">
        <v>26</v>
      </c>
    </row>
    <row r="898" spans="1:10" ht="21" customHeight="1">
      <c r="A898" s="2" t="s">
        <v>1887</v>
      </c>
      <c r="B898" s="2" t="s">
        <v>26</v>
      </c>
      <c r="C898" s="4">
        <v>45824.25</v>
      </c>
      <c r="D898" s="4">
        <v>45824.250537847227</v>
      </c>
      <c r="E898" s="2">
        <v>3.79</v>
      </c>
      <c r="F898" s="2">
        <v>76.8</v>
      </c>
      <c r="G898" s="2" t="s">
        <v>983</v>
      </c>
      <c r="H898" s="2" t="s">
        <v>984</v>
      </c>
      <c r="I898" s="2"/>
      <c r="J898" s="2" t="s">
        <v>26</v>
      </c>
    </row>
    <row r="899" spans="1:10" ht="21" customHeight="1">
      <c r="A899" s="2" t="s">
        <v>1888</v>
      </c>
      <c r="B899" s="2" t="s">
        <v>26</v>
      </c>
      <c r="C899" s="4">
        <v>45825.25</v>
      </c>
      <c r="D899" s="4">
        <v>45825.250291585646</v>
      </c>
      <c r="E899" s="2">
        <v>2.82</v>
      </c>
      <c r="F899" s="2">
        <v>75.599999999999994</v>
      </c>
      <c r="G899" s="2" t="s">
        <v>983</v>
      </c>
      <c r="H899" s="2" t="s">
        <v>984</v>
      </c>
      <c r="I899" s="2"/>
      <c r="J899" s="2" t="s">
        <v>26</v>
      </c>
    </row>
    <row r="900" spans="1:10" ht="21" customHeight="1">
      <c r="A900" s="2" t="s">
        <v>1889</v>
      </c>
      <c r="B900" s="2" t="s">
        <v>26</v>
      </c>
      <c r="C900" s="4">
        <v>45826.25</v>
      </c>
      <c r="D900" s="4">
        <v>45826.250158877316</v>
      </c>
      <c r="E900" s="2">
        <v>2.96</v>
      </c>
      <c r="F900" s="2">
        <v>72.2</v>
      </c>
      <c r="G900" s="2" t="s">
        <v>983</v>
      </c>
      <c r="H900" s="2" t="s">
        <v>984</v>
      </c>
      <c r="I900" s="2"/>
      <c r="J900" s="2" t="s">
        <v>26</v>
      </c>
    </row>
    <row r="901" spans="1:10" ht="21" customHeight="1">
      <c r="A901" s="2" t="s">
        <v>1890</v>
      </c>
      <c r="B901" s="2" t="s">
        <v>26</v>
      </c>
      <c r="C901" s="4">
        <v>45827.25</v>
      </c>
      <c r="D901" s="4">
        <v>45827.250151388886</v>
      </c>
      <c r="E901" s="2">
        <v>3.19</v>
      </c>
      <c r="F901" s="2">
        <v>77.599999999999994</v>
      </c>
      <c r="G901" s="2" t="s">
        <v>983</v>
      </c>
      <c r="H901" s="2" t="s">
        <v>984</v>
      </c>
      <c r="I901" s="2"/>
      <c r="J901" s="2" t="s">
        <v>26</v>
      </c>
    </row>
    <row r="902" spans="1:10" ht="21" customHeight="1">
      <c r="A902" s="2" t="s">
        <v>1891</v>
      </c>
      <c r="B902" s="2" t="s">
        <v>26</v>
      </c>
      <c r="C902" s="4">
        <v>45828.25</v>
      </c>
      <c r="D902" s="4">
        <v>45828.250637569443</v>
      </c>
      <c r="E902" s="2">
        <v>2.88</v>
      </c>
      <c r="F902" s="2">
        <v>72.099999999999994</v>
      </c>
      <c r="G902" s="2" t="s">
        <v>983</v>
      </c>
      <c r="H902" s="2" t="s">
        <v>984</v>
      </c>
      <c r="I902" s="2" t="s">
        <v>985</v>
      </c>
      <c r="J902" s="2" t="s">
        <v>26</v>
      </c>
    </row>
    <row r="903" spans="1:10" ht="21" customHeight="1">
      <c r="A903" s="2" t="s">
        <v>1892</v>
      </c>
      <c r="B903" s="2" t="s">
        <v>26</v>
      </c>
      <c r="C903" s="4">
        <v>45829.25</v>
      </c>
      <c r="D903" s="4">
        <v>45829.250611296295</v>
      </c>
      <c r="E903" s="2">
        <v>3.18</v>
      </c>
      <c r="F903" s="2">
        <v>75.3</v>
      </c>
      <c r="G903" s="2" t="s">
        <v>983</v>
      </c>
      <c r="H903" s="2" t="s">
        <v>984</v>
      </c>
      <c r="I903" s="2"/>
      <c r="J903" s="2" t="s">
        <v>26</v>
      </c>
    </row>
    <row r="904" spans="1:10" ht="21" customHeight="1">
      <c r="A904" s="2" t="s">
        <v>1893</v>
      </c>
      <c r="B904" s="2" t="s">
        <v>1729</v>
      </c>
      <c r="C904" s="4">
        <v>45830.25</v>
      </c>
      <c r="D904" s="4">
        <v>45830.250424456019</v>
      </c>
      <c r="E904" s="2">
        <v>3.66</v>
      </c>
      <c r="F904" s="2">
        <v>76.099999999999994</v>
      </c>
      <c r="G904" s="2" t="s">
        <v>983</v>
      </c>
      <c r="H904" s="2" t="s">
        <v>984</v>
      </c>
      <c r="I904" s="2"/>
      <c r="J904" s="2" t="s">
        <v>26</v>
      </c>
    </row>
    <row r="905" spans="1:10" ht="21" customHeight="1">
      <c r="A905" s="2" t="s">
        <v>1894</v>
      </c>
      <c r="B905" s="2" t="s">
        <v>26</v>
      </c>
      <c r="C905" s="4">
        <v>45831.25</v>
      </c>
      <c r="D905" s="4">
        <v>45831.250341215273</v>
      </c>
      <c r="E905" s="2">
        <v>3.09</v>
      </c>
      <c r="F905" s="2">
        <v>77.099999999999994</v>
      </c>
      <c r="G905" s="2" t="s">
        <v>983</v>
      </c>
      <c r="H905" s="2" t="s">
        <v>984</v>
      </c>
      <c r="I905" s="2"/>
      <c r="J905" s="2" t="s">
        <v>26</v>
      </c>
    </row>
    <row r="906" spans="1:10" ht="21" customHeight="1">
      <c r="A906" s="2" t="s">
        <v>1895</v>
      </c>
      <c r="B906" s="2" t="s">
        <v>26</v>
      </c>
      <c r="C906" s="4">
        <v>45832.25</v>
      </c>
      <c r="D906" s="4">
        <v>45832.250384872685</v>
      </c>
      <c r="E906" s="2">
        <v>3.16</v>
      </c>
      <c r="F906" s="2">
        <v>75.900000000000006</v>
      </c>
      <c r="G906" s="2" t="s">
        <v>983</v>
      </c>
      <c r="H906" s="2" t="s">
        <v>984</v>
      </c>
      <c r="I906" s="2"/>
      <c r="J906" s="2" t="s">
        <v>26</v>
      </c>
    </row>
    <row r="907" spans="1:10" ht="21" customHeight="1">
      <c r="A907" s="2" t="s">
        <v>1896</v>
      </c>
      <c r="B907" s="2" t="s">
        <v>26</v>
      </c>
      <c r="C907" s="4">
        <v>45833.25</v>
      </c>
      <c r="D907" s="4">
        <v>45833.250496354165</v>
      </c>
      <c r="E907" s="2">
        <v>3.71</v>
      </c>
      <c r="F907" s="2">
        <v>75.099999999999994</v>
      </c>
      <c r="G907" s="2" t="s">
        <v>983</v>
      </c>
      <c r="H907" s="2" t="s">
        <v>984</v>
      </c>
      <c r="I907" s="2"/>
      <c r="J907" s="2" t="s">
        <v>26</v>
      </c>
    </row>
    <row r="908" spans="1:10" ht="21" customHeight="1">
      <c r="A908" s="2" t="s">
        <v>1897</v>
      </c>
      <c r="B908" s="2" t="s">
        <v>26</v>
      </c>
      <c r="C908" s="4">
        <v>45834.25</v>
      </c>
      <c r="D908" s="4">
        <v>45834.250339837963</v>
      </c>
      <c r="E908" s="2">
        <v>3.35</v>
      </c>
      <c r="F908" s="2">
        <v>76.599999999999994</v>
      </c>
      <c r="G908" s="2" t="s">
        <v>983</v>
      </c>
      <c r="H908" s="2" t="s">
        <v>984</v>
      </c>
      <c r="I908" s="2"/>
      <c r="J908" s="2" t="s">
        <v>26</v>
      </c>
    </row>
    <row r="909" spans="1:10" ht="21" customHeight="1">
      <c r="A909" s="2" t="s">
        <v>1898</v>
      </c>
      <c r="B909" s="2" t="s">
        <v>26</v>
      </c>
      <c r="C909" s="4">
        <v>45835.25</v>
      </c>
      <c r="D909" s="4">
        <v>45835.250112719907</v>
      </c>
      <c r="E909" s="2">
        <v>3.91</v>
      </c>
      <c r="F909" s="2">
        <v>75.5</v>
      </c>
      <c r="G909" s="2" t="s">
        <v>983</v>
      </c>
      <c r="H909" s="2" t="s">
        <v>984</v>
      </c>
      <c r="I909" s="2"/>
      <c r="J909" s="2" t="s">
        <v>26</v>
      </c>
    </row>
    <row r="910" spans="1:10" ht="21" customHeight="1">
      <c r="A910" s="2" t="s">
        <v>1899</v>
      </c>
      <c r="B910" s="2" t="s">
        <v>26</v>
      </c>
      <c r="C910" s="4">
        <v>45836.25</v>
      </c>
      <c r="D910" s="4">
        <v>45836.250040856481</v>
      </c>
      <c r="E910" s="2">
        <v>3.33</v>
      </c>
      <c r="F910" s="2">
        <v>75</v>
      </c>
      <c r="G910" s="2" t="s">
        <v>983</v>
      </c>
      <c r="H910" s="2" t="s">
        <v>984</v>
      </c>
      <c r="I910" s="2"/>
      <c r="J910" s="2" t="s">
        <v>26</v>
      </c>
    </row>
    <row r="911" spans="1:10" ht="21" customHeight="1">
      <c r="A911" s="2" t="s">
        <v>1900</v>
      </c>
      <c r="B911" s="2" t="s">
        <v>26</v>
      </c>
      <c r="C911" s="4">
        <v>45837.25</v>
      </c>
      <c r="D911" s="4">
        <v>45837.250146157407</v>
      </c>
      <c r="E911" s="2">
        <v>3.9</v>
      </c>
      <c r="F911" s="2">
        <v>76.7</v>
      </c>
      <c r="G911" s="2" t="s">
        <v>983</v>
      </c>
      <c r="H911" s="2" t="s">
        <v>984</v>
      </c>
      <c r="I911" s="2"/>
      <c r="J911" s="2" t="s">
        <v>26</v>
      </c>
    </row>
    <row r="912" spans="1:10" ht="21" customHeight="1">
      <c r="A912" s="2" t="s">
        <v>1901</v>
      </c>
      <c r="B912" s="2" t="s">
        <v>26</v>
      </c>
      <c r="C912" s="4">
        <v>45838.25</v>
      </c>
      <c r="D912" s="4">
        <v>45838.250533784725</v>
      </c>
      <c r="E912" s="2">
        <v>3.88</v>
      </c>
      <c r="F912" s="2">
        <v>75</v>
      </c>
      <c r="G912" s="2" t="s">
        <v>983</v>
      </c>
      <c r="H912" s="2" t="s">
        <v>984</v>
      </c>
      <c r="I912" s="2"/>
      <c r="J912" s="2" t="s">
        <v>26</v>
      </c>
    </row>
    <row r="913" spans="1:10" ht="21" customHeight="1">
      <c r="A913" s="2" t="s">
        <v>1902</v>
      </c>
      <c r="B913" s="2" t="s">
        <v>26</v>
      </c>
      <c r="C913" s="4">
        <v>45839.25</v>
      </c>
      <c r="D913" s="4">
        <v>45839.250573819445</v>
      </c>
      <c r="E913" s="2">
        <v>3.73</v>
      </c>
      <c r="F913" s="2">
        <v>78.2</v>
      </c>
      <c r="G913" s="2" t="s">
        <v>983</v>
      </c>
      <c r="H913" s="2" t="s">
        <v>984</v>
      </c>
      <c r="I913" s="2"/>
      <c r="J913" s="2" t="s">
        <v>26</v>
      </c>
    </row>
    <row r="914" spans="1:10" ht="21" customHeight="1">
      <c r="A914" s="2" t="s">
        <v>1903</v>
      </c>
      <c r="B914" s="2" t="s">
        <v>26</v>
      </c>
      <c r="C914" s="4">
        <v>45840.25</v>
      </c>
      <c r="D914" s="4">
        <v>45840.250123425925</v>
      </c>
      <c r="E914" s="2">
        <v>3.24</v>
      </c>
      <c r="F914" s="2">
        <v>75.400000000000006</v>
      </c>
      <c r="G914" s="2" t="s">
        <v>983</v>
      </c>
      <c r="H914" s="2" t="s">
        <v>984</v>
      </c>
      <c r="I914" s="2"/>
      <c r="J914" s="2" t="s">
        <v>26</v>
      </c>
    </row>
    <row r="915" spans="1:10" ht="21" customHeight="1">
      <c r="A915" s="2" t="s">
        <v>1904</v>
      </c>
      <c r="B915" s="2" t="s">
        <v>26</v>
      </c>
      <c r="C915" s="4">
        <v>45841.25</v>
      </c>
      <c r="D915" s="4">
        <v>45841.250325451387</v>
      </c>
      <c r="E915" s="2">
        <v>3.47</v>
      </c>
      <c r="F915" s="2">
        <v>75.7</v>
      </c>
      <c r="G915" s="2" t="s">
        <v>983</v>
      </c>
      <c r="H915" s="2" t="s">
        <v>984</v>
      </c>
      <c r="I915" s="2"/>
      <c r="J915" s="2" t="s">
        <v>26</v>
      </c>
    </row>
    <row r="916" spans="1:10" ht="21" customHeight="1">
      <c r="A916" s="2" t="s">
        <v>1905</v>
      </c>
      <c r="B916" s="2" t="s">
        <v>26</v>
      </c>
      <c r="C916" s="4">
        <v>45842.25</v>
      </c>
      <c r="D916" s="4">
        <v>45842.250393796297</v>
      </c>
      <c r="E916" s="2">
        <v>3.05</v>
      </c>
      <c r="F916" s="2">
        <v>76.400000000000006</v>
      </c>
      <c r="G916" s="2" t="s">
        <v>983</v>
      </c>
      <c r="H916" s="2" t="s">
        <v>984</v>
      </c>
      <c r="I916" s="2"/>
      <c r="J916" s="2" t="s">
        <v>26</v>
      </c>
    </row>
    <row r="917" spans="1:10" ht="21" customHeight="1">
      <c r="A917" s="2" t="s">
        <v>1906</v>
      </c>
      <c r="B917" s="2" t="s">
        <v>26</v>
      </c>
      <c r="C917" s="4">
        <v>45843.25</v>
      </c>
      <c r="D917" s="4">
        <v>45843.250051828705</v>
      </c>
      <c r="E917" s="2">
        <v>3.61</v>
      </c>
      <c r="F917" s="2">
        <v>75.599999999999994</v>
      </c>
      <c r="G917" s="2" t="s">
        <v>983</v>
      </c>
      <c r="H917" s="2" t="s">
        <v>984</v>
      </c>
      <c r="I917" s="2"/>
      <c r="J917" s="2" t="s">
        <v>26</v>
      </c>
    </row>
    <row r="918" spans="1:10" ht="21" customHeight="1">
      <c r="A918" s="2" t="s">
        <v>1907</v>
      </c>
      <c r="B918" s="2" t="s">
        <v>26</v>
      </c>
      <c r="C918" s="4">
        <v>45844.25</v>
      </c>
      <c r="D918" s="4">
        <v>45844.250243032409</v>
      </c>
      <c r="E918" s="2">
        <v>0</v>
      </c>
      <c r="F918" s="2">
        <v>77.5</v>
      </c>
      <c r="G918" s="2" t="s">
        <v>1175</v>
      </c>
      <c r="H918" s="2" t="s">
        <v>984</v>
      </c>
      <c r="I918" s="2"/>
      <c r="J918" s="2" t="s">
        <v>26</v>
      </c>
    </row>
    <row r="919" spans="1:10" ht="21" customHeight="1">
      <c r="A919" s="2" t="s">
        <v>1908</v>
      </c>
      <c r="B919" s="2" t="s">
        <v>26</v>
      </c>
      <c r="C919" s="4">
        <v>45845.25</v>
      </c>
      <c r="D919" s="4">
        <v>45845.250414409718</v>
      </c>
      <c r="E919" s="2">
        <v>3.68</v>
      </c>
      <c r="F919" s="2">
        <v>76.900000000000006</v>
      </c>
      <c r="G919" s="2" t="s">
        <v>983</v>
      </c>
      <c r="H919" s="2" t="s">
        <v>984</v>
      </c>
      <c r="I919" s="2" t="s">
        <v>985</v>
      </c>
      <c r="J919" s="2" t="s">
        <v>26</v>
      </c>
    </row>
    <row r="920" spans="1:10" ht="21" customHeight="1">
      <c r="A920" s="2" t="s">
        <v>1909</v>
      </c>
      <c r="B920" s="2" t="s">
        <v>26</v>
      </c>
      <c r="C920" s="4">
        <v>45846.25</v>
      </c>
      <c r="D920" s="4">
        <v>45846.250496365741</v>
      </c>
      <c r="E920" s="2">
        <v>3.15</v>
      </c>
      <c r="F920" s="2">
        <v>78.8</v>
      </c>
      <c r="G920" s="2" t="s">
        <v>983</v>
      </c>
      <c r="H920" s="2" t="s">
        <v>984</v>
      </c>
      <c r="I920" s="2"/>
      <c r="J920" s="2" t="s">
        <v>26</v>
      </c>
    </row>
    <row r="921" spans="1:10" ht="21" customHeight="1">
      <c r="A921" s="2" t="s">
        <v>1910</v>
      </c>
      <c r="B921" s="2" t="s">
        <v>26</v>
      </c>
      <c r="C921" s="4">
        <v>45847.25</v>
      </c>
      <c r="D921" s="4">
        <v>45847.250055486111</v>
      </c>
      <c r="E921" s="2">
        <v>3.18</v>
      </c>
      <c r="F921" s="2">
        <v>77.599999999999994</v>
      </c>
      <c r="G921" s="2" t="s">
        <v>983</v>
      </c>
      <c r="H921" s="2" t="s">
        <v>984</v>
      </c>
      <c r="I921" s="2"/>
      <c r="J921" s="2" t="s">
        <v>26</v>
      </c>
    </row>
    <row r="922" spans="1:10" ht="21" customHeight="1">
      <c r="A922" s="2" t="s">
        <v>1911</v>
      </c>
      <c r="B922" s="2" t="s">
        <v>26</v>
      </c>
      <c r="C922" s="4">
        <v>45848.25</v>
      </c>
      <c r="D922" s="4">
        <v>45848.250529525467</v>
      </c>
      <c r="E922" s="2">
        <v>3.15</v>
      </c>
      <c r="F922" s="2">
        <v>79.5</v>
      </c>
      <c r="G922" s="2" t="s">
        <v>983</v>
      </c>
      <c r="H922" s="2" t="s">
        <v>984</v>
      </c>
      <c r="I922" s="2"/>
      <c r="J922" s="2" t="s">
        <v>26</v>
      </c>
    </row>
    <row r="923" spans="1:10" ht="21" customHeight="1">
      <c r="A923" s="2" t="s">
        <v>1912</v>
      </c>
      <c r="B923" s="2" t="s">
        <v>26</v>
      </c>
      <c r="C923" s="4">
        <v>45849.25</v>
      </c>
      <c r="D923" s="4">
        <v>45849.250642372688</v>
      </c>
      <c r="E923" s="2">
        <v>3.38</v>
      </c>
      <c r="F923" s="2">
        <v>72.5</v>
      </c>
      <c r="G923" s="2" t="s">
        <v>983</v>
      </c>
      <c r="H923" s="2" t="s">
        <v>984</v>
      </c>
      <c r="I923" s="2"/>
      <c r="J923" s="2" t="s">
        <v>26</v>
      </c>
    </row>
    <row r="924" spans="1:10" ht="21" customHeight="1">
      <c r="A924" s="2" t="s">
        <v>1913</v>
      </c>
      <c r="B924" s="2" t="s">
        <v>26</v>
      </c>
      <c r="C924" s="4">
        <v>45850.25</v>
      </c>
      <c r="D924" s="4">
        <v>45850.250363946761</v>
      </c>
      <c r="E924" s="2">
        <v>2.97</v>
      </c>
      <c r="F924" s="2">
        <v>79.599999999999994</v>
      </c>
      <c r="G924" s="2" t="s">
        <v>983</v>
      </c>
      <c r="H924" s="2" t="s">
        <v>984</v>
      </c>
      <c r="I924" s="2"/>
      <c r="J924" s="2" t="s">
        <v>26</v>
      </c>
    </row>
    <row r="925" spans="1:10" ht="21" customHeight="1">
      <c r="A925" s="2" t="s">
        <v>1914</v>
      </c>
      <c r="B925" s="2" t="s">
        <v>26</v>
      </c>
      <c r="C925" s="4">
        <v>45851.25</v>
      </c>
      <c r="D925" s="4">
        <v>45851.250234942127</v>
      </c>
      <c r="E925" s="2">
        <v>3.17</v>
      </c>
      <c r="F925" s="2">
        <v>75.2</v>
      </c>
      <c r="G925" s="2" t="s">
        <v>983</v>
      </c>
      <c r="H925" s="2" t="s">
        <v>984</v>
      </c>
      <c r="I925" s="2"/>
      <c r="J925" s="2" t="s">
        <v>26</v>
      </c>
    </row>
    <row r="926" spans="1:10" ht="21" customHeight="1">
      <c r="A926" s="2" t="s">
        <v>1915</v>
      </c>
      <c r="B926" s="2" t="s">
        <v>26</v>
      </c>
      <c r="C926" s="4">
        <v>45852.25</v>
      </c>
      <c r="D926" s="4">
        <v>45852.25001880787</v>
      </c>
      <c r="E926" s="2">
        <v>2.87</v>
      </c>
      <c r="F926" s="2">
        <v>73</v>
      </c>
      <c r="G926" s="2" t="s">
        <v>983</v>
      </c>
      <c r="H926" s="2" t="s">
        <v>984</v>
      </c>
      <c r="I926" s="2"/>
      <c r="J926" s="2" t="s">
        <v>26</v>
      </c>
    </row>
    <row r="927" spans="1:10" ht="21" customHeight="1">
      <c r="A927" s="2" t="s">
        <v>1916</v>
      </c>
      <c r="B927" s="2" t="s">
        <v>26</v>
      </c>
      <c r="C927" s="4">
        <v>45853.25</v>
      </c>
      <c r="D927" s="4">
        <v>45853.250052604169</v>
      </c>
      <c r="E927" s="2">
        <v>3.57</v>
      </c>
      <c r="F927" s="2">
        <v>78.099999999999994</v>
      </c>
      <c r="G927" s="2" t="s">
        <v>983</v>
      </c>
      <c r="H927" s="2" t="s">
        <v>984</v>
      </c>
      <c r="I927" s="2"/>
      <c r="J927" s="2" t="s">
        <v>26</v>
      </c>
    </row>
    <row r="928" spans="1:10" ht="21" customHeight="1">
      <c r="A928" s="2" t="s">
        <v>1917</v>
      </c>
      <c r="B928" s="2" t="s">
        <v>26</v>
      </c>
      <c r="C928" s="4">
        <v>45854.25</v>
      </c>
      <c r="D928" s="4">
        <v>45854.250587407412</v>
      </c>
      <c r="E928" s="2">
        <v>3</v>
      </c>
      <c r="F928" s="2">
        <v>78.5</v>
      </c>
      <c r="G928" s="2" t="s">
        <v>983</v>
      </c>
      <c r="H928" s="2" t="s">
        <v>984</v>
      </c>
      <c r="I928" s="2"/>
      <c r="J928" s="2" t="s">
        <v>26</v>
      </c>
    </row>
    <row r="929" spans="1:10" ht="21" customHeight="1">
      <c r="A929" s="2" t="s">
        <v>1918</v>
      </c>
      <c r="B929" s="2" t="s">
        <v>26</v>
      </c>
      <c r="C929" s="4">
        <v>45855.25</v>
      </c>
      <c r="D929" s="4">
        <v>45855.250015787038</v>
      </c>
      <c r="E929" s="2">
        <v>3.57</v>
      </c>
      <c r="F929" s="2">
        <v>74.099999999999994</v>
      </c>
      <c r="G929" s="2" t="s">
        <v>983</v>
      </c>
      <c r="H929" s="2" t="s">
        <v>984</v>
      </c>
      <c r="I929" s="2"/>
      <c r="J929" s="2" t="s">
        <v>26</v>
      </c>
    </row>
    <row r="930" spans="1:10" ht="21" customHeight="1">
      <c r="A930" s="2" t="s">
        <v>1919</v>
      </c>
      <c r="B930" s="2" t="s">
        <v>26</v>
      </c>
      <c r="C930" s="4">
        <v>45856.25</v>
      </c>
      <c r="D930" s="4">
        <v>45856.250430358792</v>
      </c>
      <c r="E930" s="2">
        <v>3.61</v>
      </c>
      <c r="F930" s="2">
        <v>73.8</v>
      </c>
      <c r="G930" s="2" t="s">
        <v>983</v>
      </c>
      <c r="H930" s="2" t="s">
        <v>984</v>
      </c>
      <c r="I930" s="2"/>
      <c r="J930" s="2" t="s">
        <v>26</v>
      </c>
    </row>
    <row r="931" spans="1:10" ht="21" customHeight="1">
      <c r="A931" s="2" t="s">
        <v>1920</v>
      </c>
      <c r="B931" s="2" t="s">
        <v>26</v>
      </c>
      <c r="C931" s="4">
        <v>45857.25</v>
      </c>
      <c r="D931" s="4">
        <v>45857.250668761575</v>
      </c>
      <c r="E931" s="2">
        <v>3.46</v>
      </c>
      <c r="F931" s="2">
        <v>74</v>
      </c>
      <c r="G931" s="2" t="s">
        <v>983</v>
      </c>
      <c r="H931" s="2" t="s">
        <v>984</v>
      </c>
      <c r="I931" s="2"/>
      <c r="J931" s="2" t="s">
        <v>26</v>
      </c>
    </row>
    <row r="932" spans="1:10" ht="21" customHeight="1">
      <c r="A932" s="2" t="s">
        <v>1921</v>
      </c>
      <c r="B932" s="2" t="s">
        <v>26</v>
      </c>
      <c r="C932" s="4">
        <v>45858.25</v>
      </c>
      <c r="D932" s="4">
        <v>45858.250470370374</v>
      </c>
      <c r="E932" s="2">
        <v>3.87</v>
      </c>
      <c r="F932" s="2">
        <v>73.400000000000006</v>
      </c>
      <c r="G932" s="2" t="s">
        <v>983</v>
      </c>
      <c r="H932" s="2" t="s">
        <v>984</v>
      </c>
      <c r="I932" s="2"/>
      <c r="J932" s="2" t="s">
        <v>26</v>
      </c>
    </row>
    <row r="933" spans="1:10" ht="21" customHeight="1">
      <c r="A933" s="2" t="s">
        <v>1922</v>
      </c>
      <c r="B933" s="2" t="s">
        <v>26</v>
      </c>
      <c r="C933" s="4">
        <v>45859.25</v>
      </c>
      <c r="D933" s="4">
        <v>45859.250450555555</v>
      </c>
      <c r="E933" s="2">
        <v>3.16</v>
      </c>
      <c r="F933" s="2">
        <v>79.3</v>
      </c>
      <c r="G933" s="2" t="s">
        <v>983</v>
      </c>
      <c r="H933" s="2" t="s">
        <v>984</v>
      </c>
      <c r="I933" s="2"/>
      <c r="J933" s="2" t="s">
        <v>26</v>
      </c>
    </row>
    <row r="934" spans="1:10" ht="21" customHeight="1">
      <c r="A934" s="2" t="s">
        <v>1923</v>
      </c>
      <c r="B934" s="2" t="s">
        <v>26</v>
      </c>
      <c r="C934" s="4">
        <v>45860.25</v>
      </c>
      <c r="D934" s="4">
        <v>45860.250328831018</v>
      </c>
      <c r="E934" s="2">
        <v>3.88</v>
      </c>
      <c r="F934" s="2">
        <v>74.3</v>
      </c>
      <c r="G934" s="2" t="s">
        <v>983</v>
      </c>
      <c r="H934" s="2" t="s">
        <v>984</v>
      </c>
      <c r="I934" s="2"/>
      <c r="J934" s="2" t="s">
        <v>26</v>
      </c>
    </row>
    <row r="935" spans="1:10" ht="21" customHeight="1">
      <c r="A935" s="2" t="s">
        <v>1924</v>
      </c>
      <c r="B935" s="2" t="s">
        <v>26</v>
      </c>
      <c r="C935" s="4">
        <v>45861.25</v>
      </c>
      <c r="D935" s="4">
        <v>45861.250035671299</v>
      </c>
      <c r="E935" s="2"/>
      <c r="F935" s="2"/>
      <c r="G935" s="2" t="s">
        <v>983</v>
      </c>
      <c r="H935" s="2" t="s">
        <v>1066</v>
      </c>
      <c r="I935" s="2"/>
      <c r="J935" s="2" t="s">
        <v>26</v>
      </c>
    </row>
    <row r="936" spans="1:10" ht="21" customHeight="1">
      <c r="A936" s="2" t="s">
        <v>1925</v>
      </c>
      <c r="B936" s="2" t="s">
        <v>26</v>
      </c>
      <c r="C936" s="4">
        <v>45862.25</v>
      </c>
      <c r="D936" s="4">
        <v>45862.250581574073</v>
      </c>
      <c r="E936" s="2">
        <v>3.17</v>
      </c>
      <c r="F936" s="2">
        <v>72.599999999999994</v>
      </c>
      <c r="G936" s="2" t="s">
        <v>983</v>
      </c>
      <c r="H936" s="2" t="s">
        <v>984</v>
      </c>
      <c r="I936" s="2" t="s">
        <v>985</v>
      </c>
      <c r="J936" s="2" t="s">
        <v>26</v>
      </c>
    </row>
    <row r="937" spans="1:10" ht="21" customHeight="1">
      <c r="A937" s="2" t="s">
        <v>1926</v>
      </c>
      <c r="B937" s="2" t="s">
        <v>26</v>
      </c>
      <c r="C937" s="4">
        <v>45863.25</v>
      </c>
      <c r="D937" s="4">
        <v>45863.250005567126</v>
      </c>
      <c r="E937" s="2">
        <v>3.29</v>
      </c>
      <c r="F937" s="2">
        <v>75.2</v>
      </c>
      <c r="G937" s="2" t="s">
        <v>983</v>
      </c>
      <c r="H937" s="2" t="s">
        <v>984</v>
      </c>
      <c r="I937" s="2"/>
      <c r="J937" s="2" t="s">
        <v>26</v>
      </c>
    </row>
    <row r="938" spans="1:10" ht="21" customHeight="1">
      <c r="A938" s="2" t="s">
        <v>1927</v>
      </c>
      <c r="B938" s="2" t="s">
        <v>26</v>
      </c>
      <c r="C938" s="4">
        <v>45864.25</v>
      </c>
      <c r="D938" s="4">
        <v>45864.250253819446</v>
      </c>
      <c r="E938" s="2">
        <v>3.44</v>
      </c>
      <c r="F938" s="2">
        <v>77.8</v>
      </c>
      <c r="G938" s="2" t="s">
        <v>983</v>
      </c>
      <c r="H938" s="2" t="s">
        <v>984</v>
      </c>
      <c r="I938" s="2"/>
      <c r="J938" s="2" t="s">
        <v>26</v>
      </c>
    </row>
    <row r="939" spans="1:10" ht="21" customHeight="1">
      <c r="A939" s="2" t="s">
        <v>1928</v>
      </c>
      <c r="B939" s="2" t="s">
        <v>26</v>
      </c>
      <c r="C939" s="4">
        <v>45865.25</v>
      </c>
      <c r="D939" s="4">
        <v>45865.250313333338</v>
      </c>
      <c r="E939" s="2">
        <v>3.39</v>
      </c>
      <c r="F939" s="2">
        <v>74.599999999999994</v>
      </c>
      <c r="G939" s="2" t="s">
        <v>983</v>
      </c>
      <c r="H939" s="2" t="s">
        <v>984</v>
      </c>
      <c r="I939" s="2"/>
      <c r="J939" s="2" t="s">
        <v>26</v>
      </c>
    </row>
    <row r="940" spans="1:10" ht="21" customHeight="1">
      <c r="A940" s="2" t="s">
        <v>1929</v>
      </c>
      <c r="B940" s="2" t="s">
        <v>26</v>
      </c>
      <c r="C940" s="4">
        <v>45866.25</v>
      </c>
      <c r="D940" s="4">
        <v>45866.25033012731</v>
      </c>
      <c r="E940" s="2">
        <v>3.68</v>
      </c>
      <c r="F940" s="2">
        <v>77.400000000000006</v>
      </c>
      <c r="G940" s="2" t="s">
        <v>983</v>
      </c>
      <c r="H940" s="2" t="s">
        <v>984</v>
      </c>
      <c r="I940" s="2"/>
      <c r="J940" s="2" t="s">
        <v>26</v>
      </c>
    </row>
    <row r="941" spans="1:10" ht="21" customHeight="1">
      <c r="A941" s="2" t="s">
        <v>1930</v>
      </c>
      <c r="B941" s="2" t="s">
        <v>26</v>
      </c>
      <c r="C941" s="4">
        <v>45867.25</v>
      </c>
      <c r="D941" s="4">
        <v>45867.250396018513</v>
      </c>
      <c r="E941" s="2">
        <v>2.84</v>
      </c>
      <c r="F941" s="2">
        <v>74.400000000000006</v>
      </c>
      <c r="G941" s="2" t="s">
        <v>983</v>
      </c>
      <c r="H941" s="2" t="s">
        <v>984</v>
      </c>
      <c r="I941" s="2"/>
      <c r="J941" s="2" t="s">
        <v>26</v>
      </c>
    </row>
    <row r="942" spans="1:10" ht="21" customHeight="1">
      <c r="A942" s="2" t="s">
        <v>1931</v>
      </c>
      <c r="B942" s="2" t="s">
        <v>26</v>
      </c>
      <c r="C942" s="4">
        <v>45868.25</v>
      </c>
      <c r="D942" s="4">
        <v>45868.250686064814</v>
      </c>
      <c r="E942" s="2">
        <v>3.6</v>
      </c>
      <c r="F942" s="2">
        <v>72.7</v>
      </c>
      <c r="G942" s="2" t="s">
        <v>983</v>
      </c>
      <c r="H942" s="2" t="s">
        <v>984</v>
      </c>
      <c r="I942" s="2"/>
      <c r="J942" s="2" t="s">
        <v>26</v>
      </c>
    </row>
    <row r="943" spans="1:10" ht="21" customHeight="1">
      <c r="A943" s="2" t="s">
        <v>1932</v>
      </c>
      <c r="B943" s="2" t="s">
        <v>26</v>
      </c>
      <c r="C943" s="4">
        <v>45869.25</v>
      </c>
      <c r="D943" s="4">
        <v>45869.250471874999</v>
      </c>
      <c r="E943" s="2">
        <v>3.77</v>
      </c>
      <c r="F943" s="2">
        <v>75.5</v>
      </c>
      <c r="G943" s="2" t="s">
        <v>983</v>
      </c>
      <c r="H943" s="2" t="s">
        <v>984</v>
      </c>
      <c r="I943" s="2"/>
      <c r="J943" s="2" t="s">
        <v>26</v>
      </c>
    </row>
    <row r="944" spans="1:10" ht="21" customHeight="1">
      <c r="A944" s="2" t="s">
        <v>1933</v>
      </c>
      <c r="B944" s="2" t="s">
        <v>26</v>
      </c>
      <c r="C944" s="4">
        <v>45870.25</v>
      </c>
      <c r="D944" s="4">
        <v>45870.25029674769</v>
      </c>
      <c r="E944" s="2">
        <v>2.82</v>
      </c>
      <c r="F944" s="2">
        <v>76.7</v>
      </c>
      <c r="G944" s="2" t="s">
        <v>983</v>
      </c>
      <c r="H944" s="2" t="s">
        <v>984</v>
      </c>
      <c r="I944" s="2"/>
      <c r="J944" s="2" t="s">
        <v>26</v>
      </c>
    </row>
    <row r="945" spans="1:10" ht="21" customHeight="1">
      <c r="A945" s="2" t="s">
        <v>1934</v>
      </c>
      <c r="B945" s="2" t="s">
        <v>1729</v>
      </c>
      <c r="C945" s="4">
        <v>45871.25</v>
      </c>
      <c r="D945" s="4">
        <v>45871.250562083333</v>
      </c>
      <c r="E945" s="2">
        <v>3.38</v>
      </c>
      <c r="F945" s="2">
        <v>79.099999999999994</v>
      </c>
      <c r="G945" s="2" t="s">
        <v>983</v>
      </c>
      <c r="H945" s="2" t="s">
        <v>984</v>
      </c>
      <c r="I945" s="2"/>
      <c r="J945" s="2" t="s">
        <v>26</v>
      </c>
    </row>
    <row r="946" spans="1:10" ht="21" customHeight="1">
      <c r="A946" s="2" t="s">
        <v>1935</v>
      </c>
      <c r="B946" s="2" t="s">
        <v>26</v>
      </c>
      <c r="C946" s="4">
        <v>45872.25</v>
      </c>
      <c r="D946" s="4">
        <v>45872.25058670139</v>
      </c>
      <c r="E946" s="2">
        <v>3.84</v>
      </c>
      <c r="F946" s="2">
        <v>79</v>
      </c>
      <c r="G946" s="2" t="s">
        <v>983</v>
      </c>
      <c r="H946" s="2" t="s">
        <v>984</v>
      </c>
      <c r="I946" s="2"/>
      <c r="J946" s="2" t="s">
        <v>26</v>
      </c>
    </row>
    <row r="947" spans="1:10" ht="21" customHeight="1">
      <c r="A947" s="2" t="s">
        <v>1936</v>
      </c>
      <c r="B947" s="2" t="s">
        <v>26</v>
      </c>
      <c r="C947" s="4">
        <v>45873.25</v>
      </c>
      <c r="D947" s="4">
        <v>45873.250258229164</v>
      </c>
      <c r="E947" s="2">
        <v>6.51</v>
      </c>
      <c r="F947" s="2">
        <v>83.1</v>
      </c>
      <c r="G947" s="2" t="s">
        <v>983</v>
      </c>
      <c r="H947" s="2" t="s">
        <v>984</v>
      </c>
      <c r="I947" s="2"/>
      <c r="J947" s="2" t="s">
        <v>26</v>
      </c>
    </row>
    <row r="948" spans="1:10" ht="21" customHeight="1">
      <c r="A948" s="2" t="s">
        <v>1937</v>
      </c>
      <c r="B948" s="2" t="s">
        <v>26</v>
      </c>
      <c r="C948" s="4">
        <v>45874.25</v>
      </c>
      <c r="D948" s="4">
        <v>45874.250043402775</v>
      </c>
      <c r="E948" s="2">
        <v>7.03</v>
      </c>
      <c r="F948" s="2">
        <v>88.7</v>
      </c>
      <c r="G948" s="2" t="s">
        <v>983</v>
      </c>
      <c r="H948" s="2" t="s">
        <v>984</v>
      </c>
      <c r="I948" s="2" t="s">
        <v>1053</v>
      </c>
      <c r="J948" s="2" t="s">
        <v>26</v>
      </c>
    </row>
    <row r="949" spans="1:10" ht="21" customHeight="1">
      <c r="A949" s="2" t="s">
        <v>1938</v>
      </c>
      <c r="B949" s="2" t="s">
        <v>26</v>
      </c>
      <c r="C949" s="4">
        <v>45875.25</v>
      </c>
      <c r="D949" s="4">
        <v>45875.250376469907</v>
      </c>
      <c r="E949" s="2">
        <v>5.15</v>
      </c>
      <c r="F949" s="2">
        <v>78.099999999999994</v>
      </c>
      <c r="G949" s="2" t="s">
        <v>983</v>
      </c>
      <c r="H949" s="2" t="s">
        <v>984</v>
      </c>
      <c r="I949" s="2"/>
      <c r="J949" s="2" t="s">
        <v>26</v>
      </c>
    </row>
    <row r="950" spans="1:10" ht="21" customHeight="1">
      <c r="A950" s="2" t="s">
        <v>1939</v>
      </c>
      <c r="B950" s="2" t="s">
        <v>26</v>
      </c>
      <c r="C950" s="4">
        <v>45876.25</v>
      </c>
      <c r="D950" s="4">
        <v>45876.250412094909</v>
      </c>
      <c r="E950" s="2">
        <v>3.44</v>
      </c>
      <c r="F950" s="2">
        <v>73.2</v>
      </c>
      <c r="G950" s="2" t="s">
        <v>983</v>
      </c>
      <c r="H950" s="2" t="s">
        <v>984</v>
      </c>
      <c r="I950" s="2"/>
      <c r="J950" s="2" t="s">
        <v>26</v>
      </c>
    </row>
    <row r="951" spans="1:10" ht="21" customHeight="1">
      <c r="A951" s="2" t="s">
        <v>1940</v>
      </c>
      <c r="B951" s="2" t="s">
        <v>26</v>
      </c>
      <c r="C951" s="4">
        <v>45877.25</v>
      </c>
      <c r="D951" s="4">
        <v>45877.250018923616</v>
      </c>
      <c r="E951" s="2">
        <v>3.65</v>
      </c>
      <c r="F951" s="2">
        <v>79.599999999999994</v>
      </c>
      <c r="G951" s="2" t="s">
        <v>983</v>
      </c>
      <c r="H951" s="2" t="s">
        <v>984</v>
      </c>
      <c r="I951" s="2"/>
      <c r="J951" s="2" t="s">
        <v>26</v>
      </c>
    </row>
    <row r="952" spans="1:10" ht="21" customHeight="1">
      <c r="A952" s="2" t="s">
        <v>1941</v>
      </c>
      <c r="B952" s="2" t="s">
        <v>26</v>
      </c>
      <c r="C952" s="4">
        <v>45878.25</v>
      </c>
      <c r="D952" s="4">
        <v>45878.250658483797</v>
      </c>
      <c r="E952" s="2">
        <v>3.48</v>
      </c>
      <c r="F952" s="2">
        <v>78</v>
      </c>
      <c r="G952" s="2" t="s">
        <v>983</v>
      </c>
      <c r="H952" s="2" t="s">
        <v>984</v>
      </c>
      <c r="I952" s="2"/>
      <c r="J952" s="2" t="s">
        <v>26</v>
      </c>
    </row>
    <row r="953" spans="1:10" ht="21" customHeight="1">
      <c r="A953" s="2" t="s">
        <v>1942</v>
      </c>
      <c r="B953" s="2" t="s">
        <v>26</v>
      </c>
      <c r="C953" s="4">
        <v>45879.25</v>
      </c>
      <c r="D953" s="4">
        <v>45879.250416689814</v>
      </c>
      <c r="E953" s="2">
        <v>3.27</v>
      </c>
      <c r="F953" s="2">
        <v>78.900000000000006</v>
      </c>
      <c r="G953" s="2" t="s">
        <v>983</v>
      </c>
      <c r="H953" s="2" t="s">
        <v>984</v>
      </c>
      <c r="I953" s="2" t="s">
        <v>985</v>
      </c>
      <c r="J953" s="2" t="s">
        <v>26</v>
      </c>
    </row>
    <row r="954" spans="1:10" ht="21" customHeight="1">
      <c r="A954" s="2" t="s">
        <v>1943</v>
      </c>
      <c r="B954" s="2" t="s">
        <v>26</v>
      </c>
      <c r="C954" s="4">
        <v>45880.25</v>
      </c>
      <c r="D954" s="4">
        <v>45880.250157280097</v>
      </c>
      <c r="E954" s="2">
        <v>3.16</v>
      </c>
      <c r="F954" s="2">
        <v>77</v>
      </c>
      <c r="G954" s="2" t="s">
        <v>983</v>
      </c>
      <c r="H954" s="2" t="s">
        <v>984</v>
      </c>
      <c r="I954" s="2"/>
      <c r="J954" s="2" t="s">
        <v>26</v>
      </c>
    </row>
    <row r="955" spans="1:10" ht="21" customHeight="1">
      <c r="A955" s="2" t="s">
        <v>1944</v>
      </c>
      <c r="B955" s="2" t="s">
        <v>26</v>
      </c>
      <c r="C955" s="4">
        <v>45881.25</v>
      </c>
      <c r="D955" s="4">
        <v>45881.250001493056</v>
      </c>
      <c r="E955" s="2">
        <v>3.29</v>
      </c>
      <c r="F955" s="2">
        <v>79.400000000000006</v>
      </c>
      <c r="G955" s="2" t="s">
        <v>983</v>
      </c>
      <c r="H955" s="2" t="s">
        <v>984</v>
      </c>
      <c r="I955" s="2"/>
      <c r="J955" s="2" t="s">
        <v>26</v>
      </c>
    </row>
    <row r="956" spans="1:10" ht="21" customHeight="1">
      <c r="A956" s="2" t="s">
        <v>1945</v>
      </c>
      <c r="B956" s="2" t="s">
        <v>26</v>
      </c>
      <c r="C956" s="4">
        <v>45882.25</v>
      </c>
      <c r="D956" s="4">
        <v>45882.250235428241</v>
      </c>
      <c r="E956" s="2">
        <v>3.95</v>
      </c>
      <c r="F956" s="2">
        <v>76.5</v>
      </c>
      <c r="G956" s="2" t="s">
        <v>983</v>
      </c>
      <c r="H956" s="2" t="s">
        <v>984</v>
      </c>
      <c r="I956" s="2"/>
      <c r="J956" s="2" t="s">
        <v>26</v>
      </c>
    </row>
    <row r="957" spans="1:10" ht="21" customHeight="1">
      <c r="A957" s="2" t="s">
        <v>1946</v>
      </c>
      <c r="B957" s="2" t="s">
        <v>26</v>
      </c>
      <c r="C957" s="4">
        <v>45883.25</v>
      </c>
      <c r="D957" s="4">
        <v>45883.250018773149</v>
      </c>
      <c r="E957" s="2">
        <v>3.84</v>
      </c>
      <c r="F957" s="2">
        <v>78.5</v>
      </c>
      <c r="G957" s="2" t="s">
        <v>983</v>
      </c>
      <c r="H957" s="2" t="s">
        <v>984</v>
      </c>
      <c r="I957" s="2"/>
      <c r="J957" s="2" t="s">
        <v>26</v>
      </c>
    </row>
    <row r="958" spans="1:10" ht="21" customHeight="1">
      <c r="A958" s="2" t="s">
        <v>1947</v>
      </c>
      <c r="B958" s="2" t="s">
        <v>26</v>
      </c>
      <c r="C958" s="4">
        <v>45884.25</v>
      </c>
      <c r="D958" s="4">
        <v>45884.250119780088</v>
      </c>
      <c r="E958" s="2">
        <v>3.83</v>
      </c>
      <c r="F958" s="2">
        <v>73.2</v>
      </c>
      <c r="G958" s="2" t="s">
        <v>983</v>
      </c>
      <c r="H958" s="2" t="s">
        <v>984</v>
      </c>
      <c r="I958" s="2"/>
      <c r="J958" s="2" t="s">
        <v>26</v>
      </c>
    </row>
    <row r="959" spans="1:10" ht="21" customHeight="1">
      <c r="A959" s="2" t="s">
        <v>1948</v>
      </c>
      <c r="B959" s="2" t="s">
        <v>26</v>
      </c>
      <c r="C959" s="4">
        <v>45885.25</v>
      </c>
      <c r="D959" s="4">
        <v>45885.250369386573</v>
      </c>
      <c r="E959" s="2">
        <v>2.85</v>
      </c>
      <c r="F959" s="2">
        <v>76.7</v>
      </c>
      <c r="G959" s="2" t="s">
        <v>983</v>
      </c>
      <c r="H959" s="2" t="s">
        <v>984</v>
      </c>
      <c r="I959" s="2"/>
      <c r="J959" s="2" t="s">
        <v>26</v>
      </c>
    </row>
    <row r="960" spans="1:10" ht="21" customHeight="1">
      <c r="A960" s="2" t="s">
        <v>1949</v>
      </c>
      <c r="B960" s="2" t="s">
        <v>26</v>
      </c>
      <c r="C960" s="4">
        <v>45886.25</v>
      </c>
      <c r="D960" s="4">
        <v>45886.250522939816</v>
      </c>
      <c r="E960" s="2"/>
      <c r="F960" s="2"/>
      <c r="G960" s="2" t="s">
        <v>983</v>
      </c>
      <c r="H960" s="2" t="s">
        <v>1066</v>
      </c>
      <c r="I960" s="2"/>
      <c r="J960" s="2" t="s">
        <v>26</v>
      </c>
    </row>
    <row r="961" spans="1:10" ht="21" customHeight="1">
      <c r="A961" s="2" t="s">
        <v>1950</v>
      </c>
      <c r="B961" s="2" t="s">
        <v>26</v>
      </c>
      <c r="C961" s="4">
        <v>45887.25</v>
      </c>
      <c r="D961" s="4">
        <v>45887.250633541669</v>
      </c>
      <c r="E961" s="2">
        <v>3.55</v>
      </c>
      <c r="F961" s="2">
        <v>73.3</v>
      </c>
      <c r="G961" s="2" t="s">
        <v>983</v>
      </c>
      <c r="H961" s="2" t="s">
        <v>984</v>
      </c>
      <c r="I961" s="2"/>
      <c r="J961" s="2" t="s">
        <v>26</v>
      </c>
    </row>
    <row r="962" spans="1:10" ht="21" customHeight="1">
      <c r="A962" s="2" t="s">
        <v>1951</v>
      </c>
      <c r="B962" s="2" t="s">
        <v>26</v>
      </c>
      <c r="C962" s="4">
        <v>45888.25</v>
      </c>
      <c r="D962" s="4">
        <v>45888.250293761579</v>
      </c>
      <c r="E962" s="2">
        <v>2.86</v>
      </c>
      <c r="F962" s="2">
        <v>76.2</v>
      </c>
      <c r="G962" s="2" t="s">
        <v>983</v>
      </c>
      <c r="H962" s="2" t="s">
        <v>984</v>
      </c>
      <c r="I962" s="2"/>
      <c r="J962" s="2" t="s">
        <v>26</v>
      </c>
    </row>
    <row r="963" spans="1:10" ht="21" customHeight="1">
      <c r="A963" s="2" t="s">
        <v>1952</v>
      </c>
      <c r="B963" s="2" t="s">
        <v>26</v>
      </c>
      <c r="C963" s="4">
        <v>45889.25</v>
      </c>
      <c r="D963" s="4">
        <v>45889.250504745374</v>
      </c>
      <c r="E963" s="2">
        <v>3.19</v>
      </c>
      <c r="F963" s="2">
        <v>72.7</v>
      </c>
      <c r="G963" s="2" t="s">
        <v>983</v>
      </c>
      <c r="H963" s="2" t="s">
        <v>984</v>
      </c>
      <c r="I963" s="2"/>
      <c r="J963" s="2" t="s">
        <v>26</v>
      </c>
    </row>
    <row r="964" spans="1:10" ht="21" customHeight="1">
      <c r="A964" s="2" t="s">
        <v>1953</v>
      </c>
      <c r="B964" s="2" t="s">
        <v>26</v>
      </c>
      <c r="C964" s="4">
        <v>45890.25</v>
      </c>
      <c r="D964" s="4">
        <v>45890.250222974537</v>
      </c>
      <c r="E964" s="2">
        <v>3.89</v>
      </c>
      <c r="F964" s="2">
        <v>79.3</v>
      </c>
      <c r="G964" s="2" t="s">
        <v>983</v>
      </c>
      <c r="H964" s="2" t="s">
        <v>984</v>
      </c>
      <c r="I964" s="2"/>
      <c r="J964" s="2" t="s">
        <v>26</v>
      </c>
    </row>
    <row r="965" spans="1:10" ht="21" customHeight="1">
      <c r="A965" s="2" t="s">
        <v>1954</v>
      </c>
      <c r="B965" s="2" t="s">
        <v>26</v>
      </c>
      <c r="C965" s="4">
        <v>45891.25</v>
      </c>
      <c r="D965" s="4">
        <v>45891.250460370371</v>
      </c>
      <c r="E965" s="2">
        <v>3.11</v>
      </c>
      <c r="F965" s="2">
        <v>74.900000000000006</v>
      </c>
      <c r="G965" s="2" t="s">
        <v>983</v>
      </c>
      <c r="H965" s="2" t="s">
        <v>984</v>
      </c>
      <c r="I965" s="2"/>
      <c r="J965" s="2" t="s">
        <v>26</v>
      </c>
    </row>
    <row r="966" spans="1:10" ht="21" customHeight="1">
      <c r="A966" s="2" t="s">
        <v>1955</v>
      </c>
      <c r="B966" s="2" t="s">
        <v>26</v>
      </c>
      <c r="C966" s="4">
        <v>45892.25</v>
      </c>
      <c r="D966" s="4">
        <v>45892.250031631949</v>
      </c>
      <c r="E966" s="2">
        <v>3.38</v>
      </c>
      <c r="F966" s="2">
        <v>72.599999999999994</v>
      </c>
      <c r="G966" s="2" t="s">
        <v>983</v>
      </c>
      <c r="H966" s="2" t="s">
        <v>984</v>
      </c>
      <c r="I966" s="2"/>
      <c r="J966" s="2" t="s">
        <v>26</v>
      </c>
    </row>
    <row r="967" spans="1:10" ht="21" customHeight="1">
      <c r="A967" s="2" t="s">
        <v>1956</v>
      </c>
      <c r="B967" s="2" t="s">
        <v>26</v>
      </c>
      <c r="C967" s="4">
        <v>45893.25</v>
      </c>
      <c r="D967" s="4">
        <v>45893.250679363424</v>
      </c>
      <c r="E967" s="2">
        <v>3.18</v>
      </c>
      <c r="F967" s="2">
        <v>74.599999999999994</v>
      </c>
      <c r="G967" s="2" t="s">
        <v>983</v>
      </c>
      <c r="H967" s="2" t="s">
        <v>984</v>
      </c>
      <c r="I967" s="2"/>
      <c r="J967" s="2" t="s">
        <v>26</v>
      </c>
    </row>
    <row r="968" spans="1:10" ht="21" customHeight="1">
      <c r="A968" s="2" t="s">
        <v>1957</v>
      </c>
      <c r="B968" s="2" t="s">
        <v>26</v>
      </c>
      <c r="C968" s="4">
        <v>45894.25</v>
      </c>
      <c r="D968" s="4">
        <v>45894.250268599542</v>
      </c>
      <c r="E968" s="2">
        <v>3.74</v>
      </c>
      <c r="F968" s="2">
        <v>75.5</v>
      </c>
      <c r="G968" s="2" t="s">
        <v>983</v>
      </c>
      <c r="H968" s="2" t="s">
        <v>984</v>
      </c>
      <c r="I968" s="2"/>
      <c r="J968" s="2" t="s">
        <v>26</v>
      </c>
    </row>
    <row r="969" spans="1:10" ht="21" customHeight="1">
      <c r="A969" s="2" t="s">
        <v>1958</v>
      </c>
      <c r="B969" s="2" t="s">
        <v>26</v>
      </c>
      <c r="C969" s="4">
        <v>45895.25</v>
      </c>
      <c r="D969" s="4">
        <v>45895.25000605324</v>
      </c>
      <c r="E969" s="2">
        <v>3.32</v>
      </c>
      <c r="F969" s="2">
        <v>75.5</v>
      </c>
      <c r="G969" s="2" t="s">
        <v>983</v>
      </c>
      <c r="H969" s="2" t="s">
        <v>984</v>
      </c>
      <c r="I969" s="2"/>
      <c r="J969" s="2" t="s">
        <v>26</v>
      </c>
    </row>
    <row r="970" spans="1:10" ht="21" customHeight="1">
      <c r="A970" s="2" t="s">
        <v>1959</v>
      </c>
      <c r="B970" s="2" t="s">
        <v>26</v>
      </c>
      <c r="C970" s="4">
        <v>45896.25</v>
      </c>
      <c r="D970" s="4">
        <v>45896.250170439816</v>
      </c>
      <c r="E970" s="2">
        <v>3.99</v>
      </c>
      <c r="F970" s="2">
        <v>75.400000000000006</v>
      </c>
      <c r="G970" s="2" t="s">
        <v>983</v>
      </c>
      <c r="H970" s="2" t="s">
        <v>984</v>
      </c>
      <c r="I970" s="2" t="s">
        <v>985</v>
      </c>
      <c r="J970" s="2" t="s">
        <v>26</v>
      </c>
    </row>
    <row r="971" spans="1:10" ht="21" customHeight="1">
      <c r="A971" s="2" t="s">
        <v>1960</v>
      </c>
      <c r="B971" s="2" t="s">
        <v>26</v>
      </c>
      <c r="C971" s="4">
        <v>45897.25</v>
      </c>
      <c r="D971" s="4">
        <v>45897.250594826386</v>
      </c>
      <c r="E971" s="2">
        <v>3.89</v>
      </c>
      <c r="F971" s="2">
        <v>72.7</v>
      </c>
      <c r="G971" s="2" t="s">
        <v>983</v>
      </c>
      <c r="H971" s="2" t="s">
        <v>984</v>
      </c>
      <c r="I971" s="2"/>
      <c r="J971" s="2" t="s">
        <v>26</v>
      </c>
    </row>
    <row r="972" spans="1:10" ht="21" customHeight="1">
      <c r="A972" s="2" t="s">
        <v>1961</v>
      </c>
      <c r="B972" s="2" t="s">
        <v>26</v>
      </c>
      <c r="C972" s="4">
        <v>45898.25</v>
      </c>
      <c r="D972" s="4">
        <v>45898.250433078705</v>
      </c>
      <c r="E972" s="2">
        <v>3.23</v>
      </c>
      <c r="F972" s="2">
        <v>75.8</v>
      </c>
      <c r="G972" s="2" t="s">
        <v>983</v>
      </c>
      <c r="H972" s="2" t="s">
        <v>984</v>
      </c>
      <c r="I972" s="2"/>
      <c r="J972" s="2" t="s">
        <v>26</v>
      </c>
    </row>
    <row r="973" spans="1:10" ht="21" customHeight="1">
      <c r="A973" s="2" t="s">
        <v>1962</v>
      </c>
      <c r="B973" s="2" t="s">
        <v>26</v>
      </c>
      <c r="C973" s="4">
        <v>45899.25</v>
      </c>
      <c r="D973" s="4">
        <v>45899.25002162037</v>
      </c>
      <c r="E973" s="2">
        <v>3</v>
      </c>
      <c r="F973" s="2">
        <v>76</v>
      </c>
      <c r="G973" s="2" t="s">
        <v>983</v>
      </c>
      <c r="H973" s="2" t="s">
        <v>984</v>
      </c>
      <c r="I973" s="2"/>
      <c r="J973" s="2" t="s">
        <v>26</v>
      </c>
    </row>
    <row r="974" spans="1:10" ht="21" customHeight="1">
      <c r="A974" s="2" t="s">
        <v>1963</v>
      </c>
      <c r="B974" s="2" t="s">
        <v>26</v>
      </c>
      <c r="C974" s="4">
        <v>45900.25</v>
      </c>
      <c r="D974" s="4">
        <v>45900.250485138888</v>
      </c>
      <c r="E974" s="2">
        <v>3.13</v>
      </c>
      <c r="F974" s="2">
        <v>74.3</v>
      </c>
      <c r="G974" s="2" t="s">
        <v>983</v>
      </c>
      <c r="H974" s="2" t="s">
        <v>984</v>
      </c>
      <c r="I974" s="2"/>
      <c r="J974" s="2" t="s">
        <v>26</v>
      </c>
    </row>
    <row r="975" spans="1:10" ht="21" customHeight="1">
      <c r="A975" s="2" t="s">
        <v>1964</v>
      </c>
      <c r="B975" s="2" t="s">
        <v>26</v>
      </c>
      <c r="C975" s="4">
        <v>45901.25</v>
      </c>
      <c r="D975" s="4">
        <v>45901.250115092596</v>
      </c>
      <c r="E975" s="2">
        <v>3.86</v>
      </c>
      <c r="F975" s="2">
        <v>80</v>
      </c>
      <c r="G975" s="2" t="s">
        <v>983</v>
      </c>
      <c r="H975" s="2" t="s">
        <v>984</v>
      </c>
      <c r="I975" s="2"/>
      <c r="J975" s="2" t="s">
        <v>26</v>
      </c>
    </row>
    <row r="976" spans="1:10" ht="21" customHeight="1">
      <c r="A976" s="2" t="s">
        <v>1965</v>
      </c>
      <c r="B976" s="2" t="s">
        <v>26</v>
      </c>
      <c r="C976" s="4">
        <v>45902.25</v>
      </c>
      <c r="D976" s="4">
        <v>45902.250537835644</v>
      </c>
      <c r="E976" s="2">
        <v>3.52</v>
      </c>
      <c r="F976" s="2">
        <v>79.8</v>
      </c>
      <c r="G976" s="2" t="s">
        <v>983</v>
      </c>
      <c r="H976" s="2" t="s">
        <v>984</v>
      </c>
      <c r="I976" s="2"/>
      <c r="J976" s="2" t="s">
        <v>26</v>
      </c>
    </row>
    <row r="977" spans="1:10" ht="21" customHeight="1">
      <c r="A977" s="2" t="s">
        <v>1966</v>
      </c>
      <c r="B977" s="2" t="s">
        <v>26</v>
      </c>
      <c r="C977" s="4">
        <v>45903.25</v>
      </c>
      <c r="D977" s="4">
        <v>45903.250031319447</v>
      </c>
      <c r="E977" s="2">
        <v>3.05</v>
      </c>
      <c r="F977" s="2">
        <v>77.599999999999994</v>
      </c>
      <c r="G977" s="2" t="s">
        <v>983</v>
      </c>
      <c r="H977" s="2" t="s">
        <v>984</v>
      </c>
      <c r="I977" s="2"/>
      <c r="J977" s="2" t="s">
        <v>26</v>
      </c>
    </row>
    <row r="978" spans="1:10" ht="21" customHeight="1">
      <c r="A978" s="2" t="s">
        <v>1967</v>
      </c>
      <c r="B978" s="2" t="s">
        <v>26</v>
      </c>
      <c r="C978" s="4">
        <v>45904.25</v>
      </c>
      <c r="D978" s="4">
        <v>45904.250118171301</v>
      </c>
      <c r="E978" s="2">
        <v>3.45</v>
      </c>
      <c r="F978" s="2">
        <v>79.8</v>
      </c>
      <c r="G978" s="2" t="s">
        <v>983</v>
      </c>
      <c r="H978" s="2" t="s">
        <v>984</v>
      </c>
      <c r="I978" s="2"/>
      <c r="J978" s="2" t="s">
        <v>26</v>
      </c>
    </row>
    <row r="979" spans="1:10" ht="21" customHeight="1">
      <c r="A979" s="2" t="s">
        <v>1968</v>
      </c>
      <c r="B979" s="2" t="s">
        <v>26</v>
      </c>
      <c r="C979" s="4">
        <v>45905.25</v>
      </c>
      <c r="D979" s="4">
        <v>45905.250423032412</v>
      </c>
      <c r="E979" s="2">
        <v>3.39</v>
      </c>
      <c r="F979" s="2">
        <v>77.3</v>
      </c>
      <c r="G979" s="2" t="s">
        <v>983</v>
      </c>
      <c r="H979" s="2" t="s">
        <v>984</v>
      </c>
      <c r="I979" s="2"/>
      <c r="J979" s="2" t="s">
        <v>26</v>
      </c>
    </row>
    <row r="980" spans="1:10" ht="21" customHeight="1">
      <c r="A980" s="2" t="s">
        <v>1969</v>
      </c>
      <c r="B980" s="2" t="s">
        <v>26</v>
      </c>
      <c r="C980" s="4">
        <v>45906.25</v>
      </c>
      <c r="D980" s="4">
        <v>45906.250199421294</v>
      </c>
      <c r="E980" s="2">
        <v>5.26</v>
      </c>
      <c r="F980" s="2">
        <v>78.3</v>
      </c>
      <c r="G980" s="2" t="s">
        <v>983</v>
      </c>
      <c r="H980" s="2" t="s">
        <v>984</v>
      </c>
      <c r="I980" s="2" t="s">
        <v>1053</v>
      </c>
      <c r="J980" s="2" t="s">
        <v>26</v>
      </c>
    </row>
    <row r="981" spans="1:10" ht="21" customHeight="1">
      <c r="A981" s="2" t="s">
        <v>1970</v>
      </c>
      <c r="B981" s="2" t="s">
        <v>26</v>
      </c>
      <c r="C981" s="4">
        <v>45907.25</v>
      </c>
      <c r="D981" s="4">
        <v>45907.250216250002</v>
      </c>
      <c r="E981" s="2">
        <v>5.94</v>
      </c>
      <c r="F981" s="2">
        <v>87.7</v>
      </c>
      <c r="G981" s="2" t="s">
        <v>983</v>
      </c>
      <c r="H981" s="2" t="s">
        <v>984</v>
      </c>
      <c r="I981" s="2"/>
      <c r="J981" s="2" t="s">
        <v>26</v>
      </c>
    </row>
    <row r="982" spans="1:10" ht="21" customHeight="1">
      <c r="A982" s="2" t="s">
        <v>1971</v>
      </c>
      <c r="B982" s="2" t="s">
        <v>26</v>
      </c>
      <c r="C982" s="4">
        <v>45908.25</v>
      </c>
      <c r="D982" s="4">
        <v>45908.250340335653</v>
      </c>
      <c r="E982" s="2">
        <v>5.0199999999999996</v>
      </c>
      <c r="F982" s="2">
        <v>85.3</v>
      </c>
      <c r="G982" s="2" t="s">
        <v>983</v>
      </c>
      <c r="H982" s="2" t="s">
        <v>984</v>
      </c>
      <c r="I982" s="2" t="s">
        <v>1053</v>
      </c>
      <c r="J982" s="2" t="s">
        <v>26</v>
      </c>
    </row>
    <row r="983" spans="1:10" ht="21" customHeight="1">
      <c r="A983" s="2" t="s">
        <v>1972</v>
      </c>
      <c r="B983" s="2" t="s">
        <v>26</v>
      </c>
      <c r="C983" s="4">
        <v>45909.25</v>
      </c>
      <c r="D983" s="4">
        <v>45909.250556064813</v>
      </c>
      <c r="E983" s="2">
        <v>3.69</v>
      </c>
      <c r="F983" s="2">
        <v>74.099999999999994</v>
      </c>
      <c r="G983" s="2" t="s">
        <v>983</v>
      </c>
      <c r="H983" s="2" t="s">
        <v>984</v>
      </c>
      <c r="I983" s="2"/>
      <c r="J983" s="2" t="s">
        <v>26</v>
      </c>
    </row>
    <row r="984" spans="1:10" ht="21" customHeight="1">
      <c r="A984" s="2" t="s">
        <v>1973</v>
      </c>
      <c r="B984" s="2" t="s">
        <v>26</v>
      </c>
      <c r="C984" s="4">
        <v>45910.25</v>
      </c>
      <c r="D984" s="4">
        <v>45910.250390567133</v>
      </c>
      <c r="E984" s="2">
        <v>3.79</v>
      </c>
      <c r="F984" s="2">
        <v>78.900000000000006</v>
      </c>
      <c r="G984" s="2" t="s">
        <v>983</v>
      </c>
      <c r="H984" s="2" t="s">
        <v>984</v>
      </c>
      <c r="I984" s="2"/>
      <c r="J984" s="2" t="s">
        <v>26</v>
      </c>
    </row>
    <row r="985" spans="1:10" ht="21" customHeight="1">
      <c r="A985" s="2" t="s">
        <v>1974</v>
      </c>
      <c r="B985" s="2" t="s">
        <v>26</v>
      </c>
      <c r="C985" s="4">
        <v>45911.25</v>
      </c>
      <c r="D985" s="4">
        <v>45911.250624930559</v>
      </c>
      <c r="E985" s="2">
        <v>2.81</v>
      </c>
      <c r="F985" s="2">
        <v>72.7</v>
      </c>
      <c r="G985" s="2" t="s">
        <v>983</v>
      </c>
      <c r="H985" s="2" t="s">
        <v>984</v>
      </c>
      <c r="I985" s="2"/>
      <c r="J985" s="2" t="s">
        <v>26</v>
      </c>
    </row>
    <row r="986" spans="1:10" ht="21" customHeight="1">
      <c r="A986" s="2" t="s">
        <v>1975</v>
      </c>
      <c r="B986" s="2" t="s">
        <v>1729</v>
      </c>
      <c r="C986" s="4">
        <v>45912.25</v>
      </c>
      <c r="D986" s="4">
        <v>45912.250408564811</v>
      </c>
      <c r="E986" s="2">
        <v>3.72</v>
      </c>
      <c r="F986" s="2">
        <v>79</v>
      </c>
      <c r="G986" s="2" t="s">
        <v>983</v>
      </c>
      <c r="H986" s="2" t="s">
        <v>984</v>
      </c>
      <c r="I986" s="2"/>
      <c r="J986" s="2" t="s">
        <v>26</v>
      </c>
    </row>
    <row r="987" spans="1:10" ht="21" customHeight="1">
      <c r="A987" s="2" t="s">
        <v>1976</v>
      </c>
      <c r="B987" s="2" t="s">
        <v>26</v>
      </c>
      <c r="C987" s="4">
        <v>45913.25</v>
      </c>
      <c r="D987" s="4">
        <v>45913.250599236111</v>
      </c>
      <c r="E987" s="2">
        <v>3.53</v>
      </c>
      <c r="F987" s="2">
        <v>73</v>
      </c>
      <c r="G987" s="2" t="s">
        <v>983</v>
      </c>
      <c r="H987" s="2" t="s">
        <v>984</v>
      </c>
      <c r="I987" s="2" t="s">
        <v>985</v>
      </c>
      <c r="J987" s="2" t="s">
        <v>26</v>
      </c>
    </row>
    <row r="988" spans="1:10" ht="21" customHeight="1">
      <c r="A988" s="2" t="s">
        <v>1977</v>
      </c>
      <c r="B988" s="2" t="s">
        <v>26</v>
      </c>
      <c r="C988" s="4">
        <v>45914.25</v>
      </c>
      <c r="D988" s="4">
        <v>45914.25061880787</v>
      </c>
      <c r="E988" s="2">
        <v>3.52</v>
      </c>
      <c r="F988" s="2">
        <v>74.900000000000006</v>
      </c>
      <c r="G988" s="2" t="s">
        <v>983</v>
      </c>
      <c r="H988" s="2" t="s">
        <v>984</v>
      </c>
      <c r="I988" s="2"/>
      <c r="J988" s="2" t="s">
        <v>26</v>
      </c>
    </row>
    <row r="989" spans="1:10" ht="21" customHeight="1">
      <c r="A989" s="2" t="s">
        <v>1978</v>
      </c>
      <c r="B989" s="2" t="s">
        <v>26</v>
      </c>
      <c r="C989" s="4">
        <v>45915.25</v>
      </c>
      <c r="D989" s="4">
        <v>45915.250192164356</v>
      </c>
      <c r="E989" s="2">
        <v>2.98</v>
      </c>
      <c r="F989" s="2">
        <v>75.8</v>
      </c>
      <c r="G989" s="2" t="s">
        <v>983</v>
      </c>
      <c r="H989" s="2" t="s">
        <v>984</v>
      </c>
      <c r="I989" s="2"/>
      <c r="J989" s="2" t="s">
        <v>26</v>
      </c>
    </row>
    <row r="990" spans="1:10" ht="21" customHeight="1">
      <c r="A990" s="2" t="s">
        <v>1979</v>
      </c>
      <c r="B990" s="2" t="s">
        <v>26</v>
      </c>
      <c r="C990" s="4">
        <v>45916.25</v>
      </c>
      <c r="D990" s="4">
        <v>45916.250178634262</v>
      </c>
      <c r="E990" s="2">
        <v>3.04</v>
      </c>
      <c r="F990" s="2">
        <v>75.5</v>
      </c>
      <c r="G990" s="2" t="s">
        <v>983</v>
      </c>
      <c r="H990" s="2" t="s">
        <v>984</v>
      </c>
      <c r="I990" s="2"/>
      <c r="J990" s="2" t="s">
        <v>26</v>
      </c>
    </row>
    <row r="991" spans="1:10" ht="21" customHeight="1">
      <c r="A991" s="2" t="s">
        <v>1980</v>
      </c>
      <c r="B991" s="2" t="s">
        <v>26</v>
      </c>
      <c r="C991" s="4">
        <v>45917.25</v>
      </c>
      <c r="D991" s="4">
        <v>45917.250499282411</v>
      </c>
      <c r="E991" s="2">
        <v>3.15</v>
      </c>
      <c r="F991" s="2">
        <v>72.7</v>
      </c>
      <c r="G991" s="2" t="s">
        <v>983</v>
      </c>
      <c r="H991" s="2" t="s">
        <v>984</v>
      </c>
      <c r="I991" s="2"/>
      <c r="J991" s="2" t="s">
        <v>26</v>
      </c>
    </row>
    <row r="992" spans="1:10" ht="21" customHeight="1">
      <c r="A992" s="2" t="s">
        <v>1981</v>
      </c>
      <c r="B992" s="2" t="s">
        <v>26</v>
      </c>
      <c r="C992" s="4">
        <v>45918.25</v>
      </c>
      <c r="D992" s="4">
        <v>45918.250076087963</v>
      </c>
      <c r="E992" s="2">
        <v>3.88</v>
      </c>
      <c r="F992" s="2">
        <v>75.599999999999994</v>
      </c>
      <c r="G992" s="2" t="s">
        <v>983</v>
      </c>
      <c r="H992" s="2" t="s">
        <v>984</v>
      </c>
      <c r="I992" s="2"/>
      <c r="J992" s="2" t="s">
        <v>26</v>
      </c>
    </row>
    <row r="993" spans="1:10" ht="21" customHeight="1">
      <c r="A993" s="2" t="s">
        <v>1982</v>
      </c>
      <c r="B993" s="2" t="s">
        <v>26</v>
      </c>
      <c r="C993" s="4">
        <v>45919.25</v>
      </c>
      <c r="D993" s="4">
        <v>45919.250149780091</v>
      </c>
      <c r="E993" s="2">
        <v>3.87</v>
      </c>
      <c r="F993" s="2">
        <v>74.099999999999994</v>
      </c>
      <c r="G993" s="2" t="s">
        <v>983</v>
      </c>
      <c r="H993" s="2" t="s">
        <v>984</v>
      </c>
      <c r="I993" s="2"/>
      <c r="J993" s="2" t="s">
        <v>26</v>
      </c>
    </row>
    <row r="994" spans="1:10" ht="21" customHeight="1">
      <c r="A994" s="2" t="s">
        <v>1983</v>
      </c>
      <c r="B994" s="2" t="s">
        <v>26</v>
      </c>
      <c r="C994" s="4">
        <v>45920.25</v>
      </c>
      <c r="D994" s="4">
        <v>45920.250553275459</v>
      </c>
      <c r="E994" s="2">
        <v>5.54</v>
      </c>
      <c r="F994" s="2">
        <v>85.4</v>
      </c>
      <c r="G994" s="2" t="s">
        <v>983</v>
      </c>
      <c r="H994" s="2" t="s">
        <v>984</v>
      </c>
      <c r="I994" s="2" t="s">
        <v>1053</v>
      </c>
      <c r="J994" s="2" t="s">
        <v>26</v>
      </c>
    </row>
    <row r="995" spans="1:10" ht="21" customHeight="1">
      <c r="A995" s="2" t="s">
        <v>1984</v>
      </c>
      <c r="B995" s="2" t="s">
        <v>26</v>
      </c>
      <c r="C995" s="4">
        <v>45921.25</v>
      </c>
      <c r="D995" s="4">
        <v>45921.250347615744</v>
      </c>
      <c r="E995" s="2">
        <v>7.1</v>
      </c>
      <c r="F995" s="2">
        <v>82.9</v>
      </c>
      <c r="G995" s="2" t="s">
        <v>983</v>
      </c>
      <c r="H995" s="2" t="s">
        <v>984</v>
      </c>
      <c r="I995" s="2"/>
      <c r="J995" s="2" t="s">
        <v>26</v>
      </c>
    </row>
    <row r="996" spans="1:10" ht="21" customHeight="1">
      <c r="A996" s="2" t="s">
        <v>1985</v>
      </c>
      <c r="B996" s="2" t="s">
        <v>26</v>
      </c>
      <c r="C996" s="4">
        <v>45922.25</v>
      </c>
      <c r="D996" s="4">
        <v>45922.250422037032</v>
      </c>
      <c r="E996" s="2">
        <v>6.15</v>
      </c>
      <c r="F996" s="2">
        <v>88.5</v>
      </c>
      <c r="G996" s="2" t="s">
        <v>983</v>
      </c>
      <c r="H996" s="2" t="s">
        <v>984</v>
      </c>
      <c r="I996" s="2" t="s">
        <v>1053</v>
      </c>
      <c r="J996" s="2" t="s">
        <v>26</v>
      </c>
    </row>
    <row r="997" spans="1:10" ht="21" customHeight="1">
      <c r="A997" s="2" t="s">
        <v>1986</v>
      </c>
      <c r="B997" s="2" t="s">
        <v>26</v>
      </c>
      <c r="C997" s="4">
        <v>45923.25</v>
      </c>
      <c r="D997" s="4">
        <v>45923.250072314811</v>
      </c>
      <c r="E997" s="2">
        <v>3.95</v>
      </c>
      <c r="F997" s="2">
        <v>77.5</v>
      </c>
      <c r="G997" s="2" t="s">
        <v>983</v>
      </c>
      <c r="H997" s="2" t="s">
        <v>984</v>
      </c>
      <c r="I997" s="2"/>
      <c r="J997" s="2" t="s">
        <v>26</v>
      </c>
    </row>
    <row r="998" spans="1:10" ht="21" customHeight="1">
      <c r="A998" s="2" t="s">
        <v>1987</v>
      </c>
      <c r="B998" s="2" t="s">
        <v>26</v>
      </c>
      <c r="C998" s="4">
        <v>45924.25</v>
      </c>
      <c r="D998" s="4">
        <v>45924.25044103009</v>
      </c>
      <c r="E998" s="2">
        <v>3.29</v>
      </c>
      <c r="F998" s="2">
        <v>72.3</v>
      </c>
      <c r="G998" s="2" t="s">
        <v>983</v>
      </c>
      <c r="H998" s="2" t="s">
        <v>984</v>
      </c>
      <c r="I998" s="2"/>
      <c r="J998" s="2" t="s">
        <v>26</v>
      </c>
    </row>
    <row r="999" spans="1:10" ht="21" customHeight="1">
      <c r="A999" s="2" t="s">
        <v>1988</v>
      </c>
      <c r="B999" s="2" t="s">
        <v>26</v>
      </c>
      <c r="C999" s="4">
        <v>45925.25</v>
      </c>
      <c r="D999" s="4">
        <v>45925.250076828699</v>
      </c>
      <c r="E999" s="2">
        <v>3.19</v>
      </c>
      <c r="F999" s="2">
        <v>77.400000000000006</v>
      </c>
      <c r="G999" s="2" t="s">
        <v>983</v>
      </c>
      <c r="H999" s="2" t="s">
        <v>984</v>
      </c>
      <c r="I999" s="2"/>
      <c r="J999" s="2" t="s">
        <v>26</v>
      </c>
    </row>
    <row r="1000" spans="1:10" ht="21" customHeight="1">
      <c r="A1000" s="2" t="s">
        <v>1989</v>
      </c>
      <c r="B1000" s="2" t="s">
        <v>26</v>
      </c>
      <c r="C1000" s="4">
        <v>45926.25</v>
      </c>
      <c r="D1000" s="4">
        <v>45926.250033321761</v>
      </c>
      <c r="E1000" s="2">
        <v>3.39</v>
      </c>
      <c r="F1000" s="2">
        <v>77.7</v>
      </c>
      <c r="G1000" s="2" t="s">
        <v>983</v>
      </c>
      <c r="H1000" s="2" t="s">
        <v>984</v>
      </c>
      <c r="I1000" s="2"/>
      <c r="J1000" s="2" t="s">
        <v>26</v>
      </c>
    </row>
    <row r="1001" spans="1:10" ht="21" customHeight="1">
      <c r="A1001" s="2" t="s">
        <v>1990</v>
      </c>
      <c r="B1001" s="2" t="s">
        <v>26</v>
      </c>
      <c r="C1001" s="4">
        <v>45927.25</v>
      </c>
      <c r="D1001" s="4">
        <v>45927.25004885417</v>
      </c>
      <c r="E1001" s="2"/>
      <c r="F1001" s="2"/>
      <c r="G1001" s="2" t="s">
        <v>983</v>
      </c>
      <c r="H1001" s="2" t="s">
        <v>1066</v>
      </c>
      <c r="I1001" s="2"/>
      <c r="J1001" s="2" t="s">
        <v>26</v>
      </c>
    </row>
    <row r="1002" spans="1:10" ht="21" customHeight="1">
      <c r="A1002" s="2" t="s">
        <v>1991</v>
      </c>
      <c r="B1002" s="2" t="s">
        <v>26</v>
      </c>
      <c r="C1002" s="4">
        <v>45928.25</v>
      </c>
      <c r="D1002" s="4">
        <v>45928.25061584491</v>
      </c>
      <c r="E1002" s="2">
        <v>3.3</v>
      </c>
      <c r="F1002" s="2">
        <v>78.3</v>
      </c>
      <c r="G1002" s="2" t="s">
        <v>983</v>
      </c>
      <c r="H1002" s="2" t="s">
        <v>984</v>
      </c>
      <c r="I1002" s="2"/>
      <c r="J1002" s="2" t="s">
        <v>26</v>
      </c>
    </row>
    <row r="1003" spans="1:10" ht="21" customHeight="1">
      <c r="A1003" s="2" t="s">
        <v>1992</v>
      </c>
      <c r="B1003" s="2" t="s">
        <v>26</v>
      </c>
      <c r="C1003" s="4">
        <v>45929.25</v>
      </c>
      <c r="D1003" s="4">
        <v>45929.250668645836</v>
      </c>
      <c r="E1003" s="2">
        <v>3.55</v>
      </c>
      <c r="F1003" s="2">
        <v>74</v>
      </c>
      <c r="G1003" s="2" t="s">
        <v>983</v>
      </c>
      <c r="H1003" s="2" t="s">
        <v>984</v>
      </c>
      <c r="I1003" s="2"/>
      <c r="J1003" s="2" t="s">
        <v>26</v>
      </c>
    </row>
    <row r="1004" spans="1:10" ht="21" customHeight="1">
      <c r="A1004" s="2" t="s">
        <v>1993</v>
      </c>
      <c r="B1004" s="2" t="s">
        <v>26</v>
      </c>
      <c r="C1004" s="4">
        <v>45930.25</v>
      </c>
      <c r="D1004" s="4">
        <v>45930.25052030092</v>
      </c>
      <c r="E1004" s="2">
        <v>2.86</v>
      </c>
      <c r="F1004" s="2">
        <v>78.3</v>
      </c>
      <c r="G1004" s="2" t="s">
        <v>983</v>
      </c>
      <c r="H1004" s="2" t="s">
        <v>984</v>
      </c>
      <c r="I1004" s="2" t="s">
        <v>985</v>
      </c>
      <c r="J1004" s="2" t="s">
        <v>26</v>
      </c>
    </row>
    <row r="1005" spans="1:10" ht="21" customHeight="1">
      <c r="A1005" s="2" t="s">
        <v>1994</v>
      </c>
      <c r="B1005" s="2" t="s">
        <v>26</v>
      </c>
      <c r="C1005" s="4">
        <v>45931.25</v>
      </c>
      <c r="D1005" s="4">
        <v>45931.250473587963</v>
      </c>
      <c r="E1005" s="2">
        <v>3.19</v>
      </c>
      <c r="F1005" s="2">
        <v>72.400000000000006</v>
      </c>
      <c r="G1005" s="2" t="s">
        <v>983</v>
      </c>
      <c r="H1005" s="2" t="s">
        <v>984</v>
      </c>
      <c r="I1005" s="2"/>
      <c r="J1005" s="2" t="s">
        <v>26</v>
      </c>
    </row>
    <row r="1006" spans="1:10" ht="21" customHeight="1">
      <c r="A1006" s="2" t="s">
        <v>1995</v>
      </c>
      <c r="B1006" s="2" t="s">
        <v>26</v>
      </c>
      <c r="C1006" s="4">
        <v>45932.25</v>
      </c>
      <c r="D1006" s="4">
        <v>45932.250331493051</v>
      </c>
      <c r="E1006" s="2">
        <v>2.87</v>
      </c>
      <c r="F1006" s="2">
        <v>74.3</v>
      </c>
      <c r="G1006" s="2" t="s">
        <v>983</v>
      </c>
      <c r="H1006" s="2" t="s">
        <v>984</v>
      </c>
      <c r="I1006" s="2"/>
      <c r="J1006" s="2" t="s">
        <v>26</v>
      </c>
    </row>
    <row r="1007" spans="1:10" ht="21" customHeight="1">
      <c r="A1007" s="2" t="s">
        <v>1996</v>
      </c>
      <c r="B1007" s="2" t="s">
        <v>26</v>
      </c>
      <c r="C1007" s="4">
        <v>45933.25</v>
      </c>
      <c r="D1007" s="4">
        <v>45933.250170254629</v>
      </c>
      <c r="E1007" s="2">
        <v>3.9</v>
      </c>
      <c r="F1007" s="2">
        <v>78.099999999999994</v>
      </c>
      <c r="G1007" s="2" t="s">
        <v>983</v>
      </c>
      <c r="H1007" s="2" t="s">
        <v>984</v>
      </c>
      <c r="I1007" s="2"/>
      <c r="J1007" s="2" t="s">
        <v>26</v>
      </c>
    </row>
    <row r="1008" spans="1:10" ht="21" customHeight="1">
      <c r="A1008" s="2" t="s">
        <v>1997</v>
      </c>
      <c r="B1008" s="2" t="s">
        <v>26</v>
      </c>
      <c r="C1008" s="4">
        <v>45934.25</v>
      </c>
      <c r="D1008" s="4">
        <v>45934.250417743053</v>
      </c>
      <c r="E1008" s="2">
        <v>3.14</v>
      </c>
      <c r="F1008" s="2">
        <v>74.099999999999994</v>
      </c>
      <c r="G1008" s="2" t="s">
        <v>983</v>
      </c>
      <c r="H1008" s="2" t="s">
        <v>984</v>
      </c>
      <c r="I1008" s="2"/>
      <c r="J1008" s="2" t="s">
        <v>26</v>
      </c>
    </row>
    <row r="1009" spans="1:10" ht="21" customHeight="1">
      <c r="A1009" s="2" t="s">
        <v>1998</v>
      </c>
      <c r="B1009" s="2" t="s">
        <v>26</v>
      </c>
      <c r="C1009" s="4">
        <v>45935.25</v>
      </c>
      <c r="D1009" s="4">
        <v>45935.250367523149</v>
      </c>
      <c r="E1009" s="2">
        <v>3.92</v>
      </c>
      <c r="F1009" s="2">
        <v>74.5</v>
      </c>
      <c r="G1009" s="2" t="s">
        <v>983</v>
      </c>
      <c r="H1009" s="2" t="s">
        <v>984</v>
      </c>
      <c r="I1009" s="2"/>
      <c r="J1009" s="2" t="s">
        <v>26</v>
      </c>
    </row>
    <row r="1010" spans="1:10" ht="21" customHeight="1">
      <c r="A1010" s="2" t="s">
        <v>1999</v>
      </c>
      <c r="B1010" s="2" t="s">
        <v>26</v>
      </c>
      <c r="C1010" s="4">
        <v>45936.25</v>
      </c>
      <c r="D1010" s="4">
        <v>45936.250186979167</v>
      </c>
      <c r="E1010" s="2">
        <v>3.45</v>
      </c>
      <c r="F1010" s="2">
        <v>75.099999999999994</v>
      </c>
      <c r="G1010" s="2" t="s">
        <v>983</v>
      </c>
      <c r="H1010" s="2" t="s">
        <v>984</v>
      </c>
      <c r="I1010" s="2"/>
      <c r="J1010" s="2" t="s">
        <v>26</v>
      </c>
    </row>
    <row r="1011" spans="1:10" ht="21" customHeight="1">
      <c r="A1011" s="2" t="s">
        <v>2000</v>
      </c>
      <c r="B1011" s="2" t="s">
        <v>26</v>
      </c>
      <c r="C1011" s="4">
        <v>45937.25</v>
      </c>
      <c r="D1011" s="4">
        <v>45937.250347499998</v>
      </c>
      <c r="E1011" s="2">
        <v>3.84</v>
      </c>
      <c r="F1011" s="2">
        <v>77</v>
      </c>
      <c r="G1011" s="2" t="s">
        <v>983</v>
      </c>
      <c r="H1011" s="2" t="s">
        <v>984</v>
      </c>
      <c r="I1011" s="2"/>
      <c r="J1011" s="2" t="s">
        <v>26</v>
      </c>
    </row>
    <row r="1012" spans="1:10" ht="21" customHeight="1">
      <c r="A1012" s="2" t="s">
        <v>2001</v>
      </c>
      <c r="B1012" s="2" t="s">
        <v>26</v>
      </c>
      <c r="C1012" s="4">
        <v>45938.25</v>
      </c>
      <c r="D1012" s="4">
        <v>45938.250640717597</v>
      </c>
      <c r="E1012" s="2">
        <v>2.86</v>
      </c>
      <c r="F1012" s="2">
        <v>73.900000000000006</v>
      </c>
      <c r="G1012" s="2" t="s">
        <v>983</v>
      </c>
      <c r="H1012" s="2" t="s">
        <v>984</v>
      </c>
      <c r="I1012" s="2"/>
      <c r="J1012" s="2" t="s">
        <v>26</v>
      </c>
    </row>
    <row r="1013" spans="1:10" ht="21" customHeight="1">
      <c r="A1013" s="2" t="s">
        <v>2002</v>
      </c>
      <c r="B1013" s="2" t="s">
        <v>26</v>
      </c>
      <c r="C1013" s="4">
        <v>45939.25</v>
      </c>
      <c r="D1013" s="4">
        <v>45939.250532511578</v>
      </c>
      <c r="E1013" s="2">
        <v>3.59</v>
      </c>
      <c r="F1013" s="2">
        <v>74.7</v>
      </c>
      <c r="G1013" s="2" t="s">
        <v>983</v>
      </c>
      <c r="H1013" s="2" t="s">
        <v>984</v>
      </c>
      <c r="I1013" s="2"/>
      <c r="J1013" s="2" t="s">
        <v>26</v>
      </c>
    </row>
    <row r="1014" spans="1:10" ht="21" customHeight="1">
      <c r="A1014" s="2" t="s">
        <v>2003</v>
      </c>
      <c r="B1014" s="2" t="s">
        <v>26</v>
      </c>
      <c r="C1014" s="4">
        <v>45940.25</v>
      </c>
      <c r="D1014" s="4">
        <v>45940.250001712964</v>
      </c>
      <c r="E1014" s="2">
        <v>3.5</v>
      </c>
      <c r="F1014" s="2">
        <v>74.8</v>
      </c>
      <c r="G1014" s="2" t="s">
        <v>983</v>
      </c>
      <c r="H1014" s="2" t="s">
        <v>984</v>
      </c>
      <c r="I1014" s="2"/>
      <c r="J1014" s="2" t="s">
        <v>26</v>
      </c>
    </row>
    <row r="1015" spans="1:10" ht="21" customHeight="1">
      <c r="A1015" s="2" t="s">
        <v>2004</v>
      </c>
      <c r="B1015" s="2" t="s">
        <v>26</v>
      </c>
      <c r="C1015" s="4">
        <v>45941.25</v>
      </c>
      <c r="D1015" s="4">
        <v>45941.250321250001</v>
      </c>
      <c r="E1015" s="2">
        <v>3.71</v>
      </c>
      <c r="F1015" s="2">
        <v>73.3</v>
      </c>
      <c r="G1015" s="2" t="s">
        <v>983</v>
      </c>
      <c r="H1015" s="2" t="s">
        <v>984</v>
      </c>
      <c r="I1015" s="2"/>
      <c r="J1015" s="2" t="s">
        <v>26</v>
      </c>
    </row>
    <row r="1016" spans="1:10" ht="21" customHeight="1">
      <c r="A1016" s="2" t="s">
        <v>2005</v>
      </c>
      <c r="B1016" s="2" t="s">
        <v>26</v>
      </c>
      <c r="C1016" s="4">
        <v>45942.25</v>
      </c>
      <c r="D1016" s="4">
        <v>45942.250525567128</v>
      </c>
      <c r="E1016" s="2">
        <v>3.5</v>
      </c>
      <c r="F1016" s="2">
        <v>72.2</v>
      </c>
      <c r="G1016" s="2" t="s">
        <v>983</v>
      </c>
      <c r="H1016" s="2" t="s">
        <v>984</v>
      </c>
      <c r="I1016" s="2"/>
      <c r="J1016" s="2" t="s">
        <v>26</v>
      </c>
    </row>
    <row r="1017" spans="1:10" ht="21" customHeight="1">
      <c r="A1017" s="2" t="s">
        <v>2006</v>
      </c>
      <c r="B1017" s="2" t="s">
        <v>26</v>
      </c>
      <c r="C1017" s="4">
        <v>45943.25</v>
      </c>
      <c r="D1017" s="4">
        <v>45943.250024699075</v>
      </c>
      <c r="E1017" s="2">
        <v>3.35</v>
      </c>
      <c r="F1017" s="2">
        <v>73.400000000000006</v>
      </c>
      <c r="G1017" s="2" t="s">
        <v>983</v>
      </c>
      <c r="H1017" s="2" t="s">
        <v>984</v>
      </c>
      <c r="I1017" s="2"/>
      <c r="J1017" s="2" t="s">
        <v>26</v>
      </c>
    </row>
    <row r="1018" spans="1:10" ht="21" customHeight="1">
      <c r="A1018" s="2" t="s">
        <v>2007</v>
      </c>
      <c r="B1018" s="2" t="s">
        <v>26</v>
      </c>
      <c r="C1018" s="4">
        <v>45944.25</v>
      </c>
      <c r="D1018" s="4">
        <v>45944.250442037039</v>
      </c>
      <c r="E1018" s="2">
        <v>3.81</v>
      </c>
      <c r="F1018" s="2">
        <v>77.3</v>
      </c>
      <c r="G1018" s="2" t="s">
        <v>983</v>
      </c>
      <c r="H1018" s="2" t="s">
        <v>984</v>
      </c>
      <c r="I1018" s="2"/>
      <c r="J1018" s="2" t="s">
        <v>26</v>
      </c>
    </row>
    <row r="1019" spans="1:10" ht="21" customHeight="1">
      <c r="A1019" s="2" t="s">
        <v>2008</v>
      </c>
      <c r="B1019" s="2" t="s">
        <v>26</v>
      </c>
      <c r="C1019" s="4">
        <v>45945.25</v>
      </c>
      <c r="D1019" s="4">
        <v>45945.250014004632</v>
      </c>
      <c r="E1019" s="2">
        <v>3.17</v>
      </c>
      <c r="F1019" s="2">
        <v>79.599999999999994</v>
      </c>
      <c r="G1019" s="2" t="s">
        <v>983</v>
      </c>
      <c r="H1019" s="2" t="s">
        <v>984</v>
      </c>
      <c r="I1019" s="2"/>
      <c r="J1019" s="2" t="s">
        <v>26</v>
      </c>
    </row>
    <row r="1020" spans="1:10" ht="21" customHeight="1">
      <c r="A1020" s="2" t="s">
        <v>2009</v>
      </c>
      <c r="B1020" s="2" t="s">
        <v>26</v>
      </c>
      <c r="C1020" s="4">
        <v>45946.25</v>
      </c>
      <c r="D1020" s="4">
        <v>45946.250053599535</v>
      </c>
      <c r="E1020" s="2">
        <v>3.34</v>
      </c>
      <c r="F1020" s="2">
        <v>75.400000000000006</v>
      </c>
      <c r="G1020" s="2" t="s">
        <v>983</v>
      </c>
      <c r="H1020" s="2" t="s">
        <v>984</v>
      </c>
      <c r="I1020" s="2"/>
      <c r="J1020" s="2" t="s">
        <v>26</v>
      </c>
    </row>
    <row r="1021" spans="1:10" ht="21" customHeight="1">
      <c r="A1021" s="2" t="s">
        <v>2010</v>
      </c>
      <c r="B1021" s="2" t="s">
        <v>26</v>
      </c>
      <c r="C1021" s="4">
        <v>45947.25</v>
      </c>
      <c r="D1021" s="4">
        <v>45947.250272881945</v>
      </c>
      <c r="E1021" s="2">
        <v>2.96</v>
      </c>
      <c r="F1021" s="2">
        <v>73.599999999999994</v>
      </c>
      <c r="G1021" s="2" t="s">
        <v>983</v>
      </c>
      <c r="H1021" s="2" t="s">
        <v>984</v>
      </c>
      <c r="I1021" s="2" t="s">
        <v>985</v>
      </c>
      <c r="J1021" s="2" t="s">
        <v>26</v>
      </c>
    </row>
    <row r="1022" spans="1:10" ht="21" customHeight="1">
      <c r="A1022" s="2" t="s">
        <v>2011</v>
      </c>
      <c r="B1022" s="2" t="s">
        <v>26</v>
      </c>
      <c r="C1022" s="4">
        <v>45948.25</v>
      </c>
      <c r="D1022" s="4">
        <v>45948.250354467593</v>
      </c>
      <c r="E1022" s="2">
        <v>3.78</v>
      </c>
      <c r="F1022" s="2">
        <v>77.5</v>
      </c>
      <c r="G1022" s="2" t="s">
        <v>983</v>
      </c>
      <c r="H1022" s="2" t="s">
        <v>984</v>
      </c>
      <c r="I1022" s="2"/>
      <c r="J1022" s="2" t="s">
        <v>26</v>
      </c>
    </row>
    <row r="1023" spans="1:10" ht="21" customHeight="1">
      <c r="A1023" s="2" t="s">
        <v>2012</v>
      </c>
      <c r="B1023" s="2" t="s">
        <v>26</v>
      </c>
      <c r="C1023" s="4">
        <v>45949.25</v>
      </c>
      <c r="D1023" s="4">
        <v>45949.25013591435</v>
      </c>
      <c r="E1023" s="2">
        <v>3.46</v>
      </c>
      <c r="F1023" s="2">
        <v>76.8</v>
      </c>
      <c r="G1023" s="2" t="s">
        <v>983</v>
      </c>
      <c r="H1023" s="2" t="s">
        <v>984</v>
      </c>
      <c r="I1023" s="2"/>
      <c r="J1023" s="2" t="s">
        <v>26</v>
      </c>
    </row>
    <row r="1024" spans="1:10" ht="21" customHeight="1">
      <c r="A1024" s="2" t="s">
        <v>2013</v>
      </c>
      <c r="B1024" s="2" t="s">
        <v>26</v>
      </c>
      <c r="C1024" s="4">
        <v>45950.25</v>
      </c>
      <c r="D1024" s="4">
        <v>45950.250369293979</v>
      </c>
      <c r="E1024" s="2">
        <v>3.22</v>
      </c>
      <c r="F1024" s="2">
        <v>72.2</v>
      </c>
      <c r="G1024" s="2" t="s">
        <v>983</v>
      </c>
      <c r="H1024" s="2" t="s">
        <v>984</v>
      </c>
      <c r="I1024" s="2"/>
      <c r="J1024" s="2" t="s">
        <v>26</v>
      </c>
    </row>
    <row r="1025" spans="1:10" ht="21" customHeight="1">
      <c r="A1025" s="2" t="s">
        <v>2014</v>
      </c>
      <c r="B1025" s="2" t="s">
        <v>26</v>
      </c>
      <c r="C1025" s="4">
        <v>45951.25</v>
      </c>
      <c r="D1025" s="4">
        <v>45951.250576701394</v>
      </c>
      <c r="E1025" s="2">
        <v>3.85</v>
      </c>
      <c r="F1025" s="2">
        <v>76.099999999999994</v>
      </c>
      <c r="G1025" s="2" t="s">
        <v>983</v>
      </c>
      <c r="H1025" s="2" t="s">
        <v>984</v>
      </c>
      <c r="I1025" s="2"/>
      <c r="J1025" s="2" t="s">
        <v>26</v>
      </c>
    </row>
    <row r="1026" spans="1:10" ht="21" customHeight="1">
      <c r="A1026" s="2" t="s">
        <v>2015</v>
      </c>
      <c r="B1026" s="2" t="s">
        <v>26</v>
      </c>
      <c r="C1026" s="4">
        <v>45952.25</v>
      </c>
      <c r="D1026" s="4">
        <v>45952.250601226857</v>
      </c>
      <c r="E1026" s="2">
        <v>17.02</v>
      </c>
      <c r="F1026" s="2">
        <v>74.8</v>
      </c>
      <c r="G1026" s="2" t="s">
        <v>983</v>
      </c>
      <c r="H1026" s="2" t="s">
        <v>1022</v>
      </c>
      <c r="I1026" s="2"/>
      <c r="J1026" s="2" t="s">
        <v>26</v>
      </c>
    </row>
    <row r="1027" spans="1:10" ht="21" customHeight="1">
      <c r="A1027" s="2" t="s">
        <v>2016</v>
      </c>
      <c r="B1027" s="2" t="s">
        <v>1729</v>
      </c>
      <c r="C1027" s="4">
        <v>45953.25</v>
      </c>
      <c r="D1027" s="4">
        <v>45953.250046944449</v>
      </c>
      <c r="E1027" s="2">
        <v>3.76</v>
      </c>
      <c r="F1027" s="2">
        <v>74.8</v>
      </c>
      <c r="G1027" s="2" t="s">
        <v>983</v>
      </c>
      <c r="H1027" s="2" t="s">
        <v>984</v>
      </c>
      <c r="I1027" s="2"/>
      <c r="J1027" s="2" t="s">
        <v>26</v>
      </c>
    </row>
    <row r="1028" spans="1:10" ht="21" customHeight="1">
      <c r="A1028" s="2" t="s">
        <v>2017</v>
      </c>
      <c r="B1028" s="2" t="s">
        <v>26</v>
      </c>
      <c r="C1028" s="4">
        <v>45954.25</v>
      </c>
      <c r="D1028" s="4">
        <v>45954.25030274305</v>
      </c>
      <c r="E1028" s="2">
        <v>3.6</v>
      </c>
      <c r="F1028" s="2">
        <v>77.099999999999994</v>
      </c>
      <c r="G1028" s="2" t="s">
        <v>983</v>
      </c>
      <c r="H1028" s="2" t="s">
        <v>984</v>
      </c>
      <c r="I1028" s="2"/>
      <c r="J1028" s="2" t="s">
        <v>26</v>
      </c>
    </row>
    <row r="1029" spans="1:10" ht="21" customHeight="1">
      <c r="A1029" s="2" t="s">
        <v>2018</v>
      </c>
      <c r="B1029" s="2" t="s">
        <v>26</v>
      </c>
      <c r="C1029" s="4">
        <v>45955.25</v>
      </c>
      <c r="D1029" s="4">
        <v>45955.25035386574</v>
      </c>
      <c r="E1029" s="2">
        <v>3.32</v>
      </c>
      <c r="F1029" s="2">
        <v>77.099999999999994</v>
      </c>
      <c r="G1029" s="2" t="s">
        <v>983</v>
      </c>
      <c r="H1029" s="2" t="s">
        <v>984</v>
      </c>
      <c r="I1029" s="2"/>
      <c r="J1029" s="2" t="s">
        <v>26</v>
      </c>
    </row>
    <row r="1030" spans="1:10" ht="21" customHeight="1">
      <c r="A1030" s="2" t="s">
        <v>2019</v>
      </c>
      <c r="B1030" s="2" t="s">
        <v>26</v>
      </c>
      <c r="C1030" s="4">
        <v>45956.25</v>
      </c>
      <c r="D1030" s="4">
        <v>45956.25044265046</v>
      </c>
      <c r="E1030" s="2">
        <v>2.81</v>
      </c>
      <c r="F1030" s="2">
        <v>74</v>
      </c>
      <c r="G1030" s="2" t="s">
        <v>983</v>
      </c>
      <c r="H1030" s="2" t="s">
        <v>984</v>
      </c>
      <c r="I1030" s="2"/>
      <c r="J1030" s="2" t="s">
        <v>26</v>
      </c>
    </row>
    <row r="1031" spans="1:10" ht="21" customHeight="1">
      <c r="A1031" s="2" t="s">
        <v>2020</v>
      </c>
      <c r="B1031" s="2" t="s">
        <v>26</v>
      </c>
      <c r="C1031" s="4">
        <v>45957.25</v>
      </c>
      <c r="D1031" s="4">
        <v>45957.250082152779</v>
      </c>
      <c r="E1031" s="2">
        <v>2.85</v>
      </c>
      <c r="F1031" s="2">
        <v>76.900000000000006</v>
      </c>
      <c r="G1031" s="2" t="s">
        <v>983</v>
      </c>
      <c r="H1031" s="2" t="s">
        <v>984</v>
      </c>
      <c r="I1031" s="2"/>
      <c r="J1031" s="2" t="s">
        <v>26</v>
      </c>
    </row>
    <row r="1032" spans="1:10" ht="21" customHeight="1">
      <c r="A1032" s="2" t="s">
        <v>2021</v>
      </c>
      <c r="B1032" s="2" t="s">
        <v>26</v>
      </c>
      <c r="C1032" s="4">
        <v>45958.25</v>
      </c>
      <c r="D1032" s="4">
        <v>45958.250274363425</v>
      </c>
      <c r="E1032" s="2">
        <v>3.71</v>
      </c>
      <c r="F1032" s="2">
        <v>76</v>
      </c>
      <c r="G1032" s="2" t="s">
        <v>983</v>
      </c>
      <c r="H1032" s="2" t="s">
        <v>984</v>
      </c>
      <c r="I1032" s="2"/>
      <c r="J1032" s="2" t="s">
        <v>26</v>
      </c>
    </row>
    <row r="1033" spans="1:10" ht="21" customHeight="1">
      <c r="A1033" s="2" t="s">
        <v>2022</v>
      </c>
      <c r="B1033" s="2" t="s">
        <v>26</v>
      </c>
      <c r="C1033" s="4">
        <v>45959.25</v>
      </c>
      <c r="D1033" s="4">
        <v>45959.250391122681</v>
      </c>
      <c r="E1033" s="2">
        <v>3.23</v>
      </c>
      <c r="F1033" s="2">
        <v>76.2</v>
      </c>
      <c r="G1033" s="2" t="s">
        <v>983</v>
      </c>
      <c r="H1033" s="2" t="s">
        <v>984</v>
      </c>
      <c r="I1033" s="2"/>
      <c r="J1033" s="2" t="s">
        <v>26</v>
      </c>
    </row>
    <row r="1034" spans="1:10" ht="21" customHeight="1">
      <c r="A1034" s="2" t="s">
        <v>2023</v>
      </c>
      <c r="B1034" s="2" t="s">
        <v>26</v>
      </c>
      <c r="C1034" s="4">
        <v>45960.25</v>
      </c>
      <c r="D1034" s="4">
        <v>45960.25002673611</v>
      </c>
      <c r="E1034" s="2">
        <v>3.41</v>
      </c>
      <c r="F1034" s="2">
        <v>74.599999999999994</v>
      </c>
      <c r="G1034" s="2" t="s">
        <v>983</v>
      </c>
      <c r="H1034" s="2" t="s">
        <v>984</v>
      </c>
      <c r="I1034" s="2"/>
      <c r="J1034" s="2" t="s">
        <v>26</v>
      </c>
    </row>
    <row r="1035" spans="1:10" ht="21" customHeight="1">
      <c r="A1035" s="2" t="s">
        <v>2024</v>
      </c>
      <c r="B1035" s="2" t="s">
        <v>26</v>
      </c>
      <c r="C1035" s="4">
        <v>45961.25</v>
      </c>
      <c r="D1035" s="4">
        <v>45961.250508773148</v>
      </c>
      <c r="E1035" s="2">
        <v>3.68</v>
      </c>
      <c r="F1035" s="2">
        <v>79.900000000000006</v>
      </c>
      <c r="G1035" s="2" t="s">
        <v>983</v>
      </c>
      <c r="H1035" s="2" t="s">
        <v>984</v>
      </c>
      <c r="I1035" s="2"/>
      <c r="J1035" s="2" t="s">
        <v>26</v>
      </c>
    </row>
    <row r="1036" spans="1:10" ht="21" customHeight="1">
      <c r="A1036" s="2" t="s">
        <v>2025</v>
      </c>
      <c r="B1036" s="2" t="s">
        <v>26</v>
      </c>
      <c r="C1036" s="4">
        <v>45962.25</v>
      </c>
      <c r="D1036" s="4">
        <v>45962.250296122686</v>
      </c>
      <c r="E1036" s="2">
        <v>2.84</v>
      </c>
      <c r="F1036" s="2">
        <v>80</v>
      </c>
      <c r="G1036" s="2" t="s">
        <v>983</v>
      </c>
      <c r="H1036" s="2" t="s">
        <v>984</v>
      </c>
      <c r="I1036" s="2"/>
      <c r="J1036" s="2" t="s">
        <v>26</v>
      </c>
    </row>
    <row r="1037" spans="1:10" ht="21" customHeight="1">
      <c r="A1037" s="2" t="s">
        <v>2026</v>
      </c>
      <c r="B1037" s="2" t="s">
        <v>26</v>
      </c>
      <c r="C1037" s="4">
        <v>45963.25</v>
      </c>
      <c r="D1037" s="4">
        <v>45963.250652488423</v>
      </c>
      <c r="E1037" s="2">
        <v>3.91</v>
      </c>
      <c r="F1037" s="2">
        <v>74.3</v>
      </c>
      <c r="G1037" s="2" t="s">
        <v>983</v>
      </c>
      <c r="H1037" s="2" t="s">
        <v>984</v>
      </c>
      <c r="I1037" s="2"/>
      <c r="J1037" s="2" t="s">
        <v>26</v>
      </c>
    </row>
    <row r="1038" spans="1:10" ht="21" customHeight="1">
      <c r="A1038" s="2" t="s">
        <v>2027</v>
      </c>
      <c r="B1038" s="2" t="s">
        <v>26</v>
      </c>
      <c r="C1038" s="4">
        <v>45964.25</v>
      </c>
      <c r="D1038" s="4">
        <v>45964.250401203702</v>
      </c>
      <c r="E1038" s="2">
        <v>3.89</v>
      </c>
      <c r="F1038" s="2">
        <v>75.2</v>
      </c>
      <c r="G1038" s="2" t="s">
        <v>983</v>
      </c>
      <c r="H1038" s="2" t="s">
        <v>984</v>
      </c>
      <c r="I1038" s="2" t="s">
        <v>985</v>
      </c>
      <c r="J1038" s="2" t="s">
        <v>26</v>
      </c>
    </row>
    <row r="1039" spans="1:10" ht="21" customHeight="1">
      <c r="A1039" s="2" t="s">
        <v>2028</v>
      </c>
      <c r="B1039" s="2" t="s">
        <v>26</v>
      </c>
      <c r="C1039" s="4">
        <v>45965.25</v>
      </c>
      <c r="D1039" s="4">
        <v>45965.250008310184</v>
      </c>
      <c r="E1039" s="2">
        <v>3.19</v>
      </c>
      <c r="F1039" s="2">
        <v>78.3</v>
      </c>
      <c r="G1039" s="2" t="s">
        <v>983</v>
      </c>
      <c r="H1039" s="2" t="s">
        <v>984</v>
      </c>
      <c r="I1039" s="2"/>
      <c r="J1039" s="2" t="s">
        <v>26</v>
      </c>
    </row>
    <row r="1040" spans="1:10" ht="21" customHeight="1">
      <c r="A1040" s="2" t="s">
        <v>2029</v>
      </c>
      <c r="B1040" s="2" t="s">
        <v>26</v>
      </c>
      <c r="C1040" s="4">
        <v>45966.25</v>
      </c>
      <c r="D1040" s="4">
        <v>45966.250039421298</v>
      </c>
      <c r="E1040" s="2">
        <v>7.69</v>
      </c>
      <c r="F1040" s="2">
        <v>84.4</v>
      </c>
      <c r="G1040" s="2" t="s">
        <v>983</v>
      </c>
      <c r="H1040" s="2" t="s">
        <v>984</v>
      </c>
      <c r="I1040" s="2" t="s">
        <v>1053</v>
      </c>
      <c r="J1040" s="2" t="s">
        <v>26</v>
      </c>
    </row>
    <row r="1041" spans="1:10" ht="21" customHeight="1">
      <c r="A1041" s="2" t="s">
        <v>2030</v>
      </c>
      <c r="B1041" s="2" t="s">
        <v>26</v>
      </c>
      <c r="C1041" s="4">
        <v>45967.25</v>
      </c>
      <c r="D1041" s="4">
        <v>45967.250402418984</v>
      </c>
      <c r="E1041" s="2">
        <v>5.95</v>
      </c>
      <c r="F1041" s="2">
        <v>83.6</v>
      </c>
      <c r="G1041" s="2" t="s">
        <v>983</v>
      </c>
      <c r="H1041" s="2" t="s">
        <v>984</v>
      </c>
      <c r="I1041" s="2"/>
      <c r="J1041" s="2" t="s">
        <v>26</v>
      </c>
    </row>
    <row r="1042" spans="1:10" ht="21" customHeight="1">
      <c r="A1042" s="2" t="s">
        <v>2031</v>
      </c>
      <c r="B1042" s="2" t="s">
        <v>26</v>
      </c>
      <c r="C1042" s="4">
        <v>45968.25</v>
      </c>
      <c r="D1042" s="4">
        <v>45968.250006423608</v>
      </c>
      <c r="E1042" s="2">
        <v>6.69</v>
      </c>
      <c r="F1042" s="2">
        <v>85.8</v>
      </c>
      <c r="G1042" s="2" t="s">
        <v>983</v>
      </c>
      <c r="H1042" s="2" t="s">
        <v>984</v>
      </c>
      <c r="I1042" s="2" t="s">
        <v>1053</v>
      </c>
      <c r="J1042" s="2" t="s">
        <v>26</v>
      </c>
    </row>
    <row r="1043" spans="1:10" ht="21" customHeight="1">
      <c r="A1043" s="2" t="s">
        <v>2032</v>
      </c>
      <c r="B1043" s="2" t="s">
        <v>26</v>
      </c>
      <c r="C1043" s="4">
        <v>45969.25</v>
      </c>
      <c r="D1043" s="4">
        <v>45969.250245821764</v>
      </c>
      <c r="E1043" s="2">
        <v>3.12</v>
      </c>
      <c r="F1043" s="2">
        <v>73.2</v>
      </c>
      <c r="G1043" s="2" t="s">
        <v>983</v>
      </c>
      <c r="H1043" s="2" t="s">
        <v>984</v>
      </c>
      <c r="I1043" s="2"/>
      <c r="J1043" s="2" t="s">
        <v>26</v>
      </c>
    </row>
    <row r="1044" spans="1:10" ht="21" customHeight="1">
      <c r="A1044" s="2" t="s">
        <v>2033</v>
      </c>
      <c r="B1044" s="2" t="s">
        <v>26</v>
      </c>
      <c r="C1044" s="4">
        <v>45970.25</v>
      </c>
      <c r="D1044" s="4">
        <v>45970.250613217591</v>
      </c>
      <c r="E1044" s="2">
        <v>3.58</v>
      </c>
      <c r="F1044" s="2">
        <v>74.2</v>
      </c>
      <c r="G1044" s="2" t="s">
        <v>983</v>
      </c>
      <c r="H1044" s="2" t="s">
        <v>984</v>
      </c>
      <c r="I1044" s="2"/>
      <c r="J1044" s="2" t="s">
        <v>26</v>
      </c>
    </row>
    <row r="1045" spans="1:10" ht="21" customHeight="1">
      <c r="A1045" s="2" t="s">
        <v>2034</v>
      </c>
      <c r="B1045" s="2" t="s">
        <v>26</v>
      </c>
      <c r="C1045" s="4">
        <v>45971.25</v>
      </c>
      <c r="D1045" s="4">
        <v>45971.25044758102</v>
      </c>
      <c r="E1045" s="2">
        <v>3.02</v>
      </c>
      <c r="F1045" s="2">
        <v>76.599999999999994</v>
      </c>
      <c r="G1045" s="2" t="s">
        <v>983</v>
      </c>
      <c r="H1045" s="2" t="s">
        <v>984</v>
      </c>
      <c r="I1045" s="2"/>
      <c r="J1045" s="2" t="s">
        <v>26</v>
      </c>
    </row>
    <row r="1046" spans="1:10" ht="21" customHeight="1">
      <c r="A1046" s="2" t="s">
        <v>2035</v>
      </c>
      <c r="B1046" s="2" t="s">
        <v>26</v>
      </c>
      <c r="C1046" s="4">
        <v>45972.25</v>
      </c>
      <c r="D1046" s="4">
        <v>45972.250124108796</v>
      </c>
      <c r="E1046" s="2">
        <v>3.75</v>
      </c>
      <c r="F1046" s="2">
        <v>76.8</v>
      </c>
      <c r="G1046" s="2" t="s">
        <v>983</v>
      </c>
      <c r="H1046" s="2" t="s">
        <v>984</v>
      </c>
      <c r="I1046" s="2"/>
      <c r="J1046" s="2" t="s">
        <v>26</v>
      </c>
    </row>
    <row r="1047" spans="1:10" ht="21" customHeight="1">
      <c r="A1047" s="2" t="s">
        <v>2036</v>
      </c>
      <c r="B1047" s="2" t="s">
        <v>26</v>
      </c>
      <c r="C1047" s="4">
        <v>45973.25</v>
      </c>
      <c r="D1047" s="4">
        <v>45973.250253854167</v>
      </c>
      <c r="E1047" s="2">
        <v>3.04</v>
      </c>
      <c r="F1047" s="2">
        <v>79</v>
      </c>
      <c r="G1047" s="2" t="s">
        <v>983</v>
      </c>
      <c r="H1047" s="2" t="s">
        <v>984</v>
      </c>
      <c r="I1047" s="2"/>
      <c r="J1047" s="2" t="s">
        <v>26</v>
      </c>
    </row>
    <row r="1048" spans="1:10" ht="21" customHeight="1">
      <c r="A1048" s="2" t="s">
        <v>2037</v>
      </c>
      <c r="B1048" s="2" t="s">
        <v>26</v>
      </c>
      <c r="C1048" s="4">
        <v>45974.25</v>
      </c>
      <c r="D1048" s="4">
        <v>45974.250093703704</v>
      </c>
      <c r="E1048" s="2">
        <v>3.86</v>
      </c>
      <c r="F1048" s="2">
        <v>76.099999999999994</v>
      </c>
      <c r="G1048" s="2" t="s">
        <v>983</v>
      </c>
      <c r="H1048" s="2" t="s">
        <v>984</v>
      </c>
      <c r="I1048" s="2"/>
      <c r="J1048" s="2" t="s">
        <v>26</v>
      </c>
    </row>
    <row r="1049" spans="1:10" ht="21" customHeight="1">
      <c r="A1049" s="2" t="s">
        <v>2038</v>
      </c>
      <c r="B1049" s="2" t="s">
        <v>26</v>
      </c>
      <c r="C1049" s="4">
        <v>45975.25</v>
      </c>
      <c r="D1049" s="4">
        <v>45975.250323935186</v>
      </c>
      <c r="E1049" s="2">
        <v>3.65</v>
      </c>
      <c r="F1049" s="2">
        <v>72.8</v>
      </c>
      <c r="G1049" s="2" t="s">
        <v>983</v>
      </c>
      <c r="H1049" s="2" t="s">
        <v>984</v>
      </c>
      <c r="I1049" s="2"/>
      <c r="J1049" s="2" t="s">
        <v>26</v>
      </c>
    </row>
    <row r="1050" spans="1:10" ht="21" customHeight="1">
      <c r="A1050" s="2" t="s">
        <v>2039</v>
      </c>
      <c r="B1050" s="2" t="s">
        <v>26</v>
      </c>
      <c r="C1050" s="4">
        <v>45976.25</v>
      </c>
      <c r="D1050" s="4">
        <v>45976.250356458331</v>
      </c>
      <c r="E1050" s="2">
        <v>2.82</v>
      </c>
      <c r="F1050" s="2">
        <v>73</v>
      </c>
      <c r="G1050" s="2" t="s">
        <v>983</v>
      </c>
      <c r="H1050" s="2" t="s">
        <v>984</v>
      </c>
      <c r="I1050" s="2"/>
      <c r="J1050" s="2" t="s">
        <v>26</v>
      </c>
    </row>
    <row r="1051" spans="1:10" ht="21" customHeight="1">
      <c r="A1051" s="2" t="s">
        <v>2040</v>
      </c>
      <c r="B1051" s="2" t="s">
        <v>26</v>
      </c>
      <c r="C1051" s="4">
        <v>45977.25</v>
      </c>
      <c r="D1051" s="4">
        <v>45977.250143865742</v>
      </c>
      <c r="E1051" s="2">
        <v>3.77</v>
      </c>
      <c r="F1051" s="2">
        <v>72.3</v>
      </c>
      <c r="G1051" s="2" t="s">
        <v>983</v>
      </c>
      <c r="H1051" s="2" t="s">
        <v>984</v>
      </c>
      <c r="I1051" s="2"/>
      <c r="J1051" s="2" t="s">
        <v>26</v>
      </c>
    </row>
    <row r="1052" spans="1:10" ht="21" customHeight="1">
      <c r="A1052" s="2" t="s">
        <v>2041</v>
      </c>
      <c r="B1052" s="2" t="s">
        <v>26</v>
      </c>
      <c r="C1052" s="4">
        <v>45978.25</v>
      </c>
      <c r="D1052" s="4">
        <v>45978.250338738428</v>
      </c>
      <c r="E1052" s="2">
        <v>3.52</v>
      </c>
      <c r="F1052" s="2">
        <v>77.8</v>
      </c>
      <c r="G1052" s="2" t="s">
        <v>983</v>
      </c>
      <c r="H1052" s="2" t="s">
        <v>984</v>
      </c>
      <c r="I1052" s="2"/>
      <c r="J1052" s="2" t="s">
        <v>26</v>
      </c>
    </row>
    <row r="1053" spans="1:10" ht="21" customHeight="1">
      <c r="A1053" s="2" t="s">
        <v>2042</v>
      </c>
      <c r="B1053" s="2" t="s">
        <v>26</v>
      </c>
      <c r="C1053" s="4">
        <v>45979.25</v>
      </c>
      <c r="D1053" s="4">
        <v>45979.250323831016</v>
      </c>
      <c r="E1053" s="2">
        <v>3.9</v>
      </c>
      <c r="F1053" s="2">
        <v>76.099999999999994</v>
      </c>
      <c r="G1053" s="2" t="s">
        <v>983</v>
      </c>
      <c r="H1053" s="2" t="s">
        <v>984</v>
      </c>
      <c r="I1053" s="2"/>
      <c r="J1053" s="2" t="s">
        <v>26</v>
      </c>
    </row>
    <row r="1054" spans="1:10" ht="21" customHeight="1">
      <c r="A1054" s="2" t="s">
        <v>2043</v>
      </c>
      <c r="B1054" s="2" t="s">
        <v>26</v>
      </c>
      <c r="C1054" s="4">
        <v>45980.25</v>
      </c>
      <c r="D1054" s="4">
        <v>45980.250616053236</v>
      </c>
      <c r="E1054" s="2">
        <v>3.47</v>
      </c>
      <c r="F1054" s="2">
        <v>73.599999999999994</v>
      </c>
      <c r="G1054" s="2" t="s">
        <v>983</v>
      </c>
      <c r="H1054" s="2" t="s">
        <v>984</v>
      </c>
      <c r="I1054" s="2"/>
      <c r="J1054" s="2" t="s">
        <v>26</v>
      </c>
    </row>
    <row r="1055" spans="1:10" ht="21" customHeight="1">
      <c r="A1055" s="2" t="s">
        <v>2044</v>
      </c>
      <c r="B1055" s="2" t="s">
        <v>26</v>
      </c>
      <c r="C1055" s="4">
        <v>45981.25</v>
      </c>
      <c r="D1055" s="4">
        <v>45981.250287314819</v>
      </c>
      <c r="E1055" s="2">
        <v>3.68</v>
      </c>
      <c r="F1055" s="2">
        <v>73.900000000000006</v>
      </c>
      <c r="G1055" s="2" t="s">
        <v>983</v>
      </c>
      <c r="H1055" s="2" t="s">
        <v>984</v>
      </c>
      <c r="I1055" s="2" t="s">
        <v>985</v>
      </c>
      <c r="J1055" s="2" t="s">
        <v>26</v>
      </c>
    </row>
    <row r="1056" spans="1:10" ht="21" customHeight="1">
      <c r="A1056" s="2" t="s">
        <v>2045</v>
      </c>
      <c r="B1056" s="2" t="s">
        <v>26</v>
      </c>
      <c r="C1056" s="4">
        <v>45982.25</v>
      </c>
      <c r="D1056" s="4">
        <v>45982.250496655091</v>
      </c>
      <c r="E1056" s="2">
        <v>2.88</v>
      </c>
      <c r="F1056" s="2">
        <v>73.7</v>
      </c>
      <c r="G1056" s="2" t="s">
        <v>983</v>
      </c>
      <c r="H1056" s="2" t="s">
        <v>984</v>
      </c>
      <c r="I1056" s="2"/>
      <c r="J1056" s="2" t="s">
        <v>26</v>
      </c>
    </row>
    <row r="1057" spans="1:10" ht="21" customHeight="1">
      <c r="A1057" s="2" t="s">
        <v>2046</v>
      </c>
      <c r="B1057" s="2" t="s">
        <v>26</v>
      </c>
      <c r="C1057" s="4">
        <v>45983.25</v>
      </c>
      <c r="D1057" s="4">
        <v>45983.250566064817</v>
      </c>
      <c r="E1057" s="2">
        <v>2.85</v>
      </c>
      <c r="F1057" s="2">
        <v>76.900000000000006</v>
      </c>
      <c r="G1057" s="2" t="s">
        <v>983</v>
      </c>
      <c r="H1057" s="2" t="s">
        <v>984</v>
      </c>
      <c r="I1057" s="2"/>
      <c r="J1057" s="2" t="s">
        <v>26</v>
      </c>
    </row>
    <row r="1058" spans="1:10" ht="21" customHeight="1">
      <c r="A1058" s="2" t="s">
        <v>2047</v>
      </c>
      <c r="B1058" s="2" t="s">
        <v>26</v>
      </c>
      <c r="C1058" s="4">
        <v>45984.25</v>
      </c>
      <c r="D1058" s="4">
        <v>45984.250097789351</v>
      </c>
      <c r="E1058" s="2">
        <v>3.36</v>
      </c>
      <c r="F1058" s="2">
        <v>75.599999999999994</v>
      </c>
      <c r="G1058" s="2" t="s">
        <v>983</v>
      </c>
      <c r="H1058" s="2" t="s">
        <v>984</v>
      </c>
      <c r="I1058" s="2"/>
      <c r="J1058" s="2" t="s">
        <v>26</v>
      </c>
    </row>
    <row r="1059" spans="1:10" ht="21" customHeight="1">
      <c r="A1059" s="2" t="s">
        <v>2048</v>
      </c>
      <c r="B1059" s="2" t="s">
        <v>26</v>
      </c>
      <c r="C1059" s="4">
        <v>45985.25</v>
      </c>
      <c r="D1059" s="4">
        <v>45985.250021840278</v>
      </c>
      <c r="E1059" s="2">
        <v>3.28</v>
      </c>
      <c r="F1059" s="2">
        <v>75</v>
      </c>
      <c r="G1059" s="2" t="s">
        <v>983</v>
      </c>
      <c r="H1059" s="2" t="s">
        <v>984</v>
      </c>
      <c r="I1059" s="2"/>
      <c r="J1059" s="2" t="s">
        <v>26</v>
      </c>
    </row>
    <row r="1060" spans="1:10" ht="21" customHeight="1">
      <c r="A1060" s="2" t="s">
        <v>2049</v>
      </c>
      <c r="B1060" s="2" t="s">
        <v>26</v>
      </c>
      <c r="C1060" s="4">
        <v>45986.25</v>
      </c>
      <c r="D1060" s="4">
        <v>45986.250684513885</v>
      </c>
      <c r="E1060" s="2">
        <v>2.99</v>
      </c>
      <c r="F1060" s="2">
        <v>75.5</v>
      </c>
      <c r="G1060" s="2" t="s">
        <v>983</v>
      </c>
      <c r="H1060" s="2" t="s">
        <v>984</v>
      </c>
      <c r="I1060" s="2"/>
      <c r="J1060" s="2" t="s">
        <v>26</v>
      </c>
    </row>
    <row r="1061" spans="1:10" ht="21" customHeight="1">
      <c r="A1061" s="2" t="s">
        <v>2050</v>
      </c>
      <c r="B1061" s="2" t="s">
        <v>26</v>
      </c>
      <c r="C1061" s="4">
        <v>45987.25</v>
      </c>
      <c r="D1061" s="4">
        <v>45987.250422141209</v>
      </c>
      <c r="E1061" s="2">
        <v>3.39</v>
      </c>
      <c r="F1061" s="2">
        <v>74.400000000000006</v>
      </c>
      <c r="G1061" s="2" t="s">
        <v>983</v>
      </c>
      <c r="H1061" s="2" t="s">
        <v>984</v>
      </c>
      <c r="I1061" s="2"/>
      <c r="J1061" s="2" t="s">
        <v>26</v>
      </c>
    </row>
    <row r="1062" spans="1:10" ht="21" customHeight="1">
      <c r="A1062" s="2" t="s">
        <v>2051</v>
      </c>
      <c r="B1062" s="2" t="s">
        <v>26</v>
      </c>
      <c r="C1062" s="4">
        <v>45988.25</v>
      </c>
      <c r="D1062" s="4">
        <v>45988.250144583333</v>
      </c>
      <c r="E1062" s="2">
        <v>3.14</v>
      </c>
      <c r="F1062" s="2">
        <v>78</v>
      </c>
      <c r="G1062" s="2" t="s">
        <v>983</v>
      </c>
      <c r="H1062" s="2" t="s">
        <v>984</v>
      </c>
      <c r="I1062" s="2"/>
      <c r="J1062" s="2" t="s">
        <v>26</v>
      </c>
    </row>
    <row r="1063" spans="1:10" ht="21" customHeight="1">
      <c r="A1063" s="2" t="s">
        <v>2052</v>
      </c>
      <c r="B1063" s="2" t="s">
        <v>26</v>
      </c>
      <c r="C1063" s="4">
        <v>45989.25</v>
      </c>
      <c r="D1063" s="4">
        <v>45989.250022418986</v>
      </c>
      <c r="E1063" s="2">
        <v>2.99</v>
      </c>
      <c r="F1063" s="2">
        <v>72.900000000000006</v>
      </c>
      <c r="G1063" s="2" t="s">
        <v>983</v>
      </c>
      <c r="H1063" s="2" t="s">
        <v>984</v>
      </c>
      <c r="I1063" s="2"/>
      <c r="J1063" s="2" t="s">
        <v>26</v>
      </c>
    </row>
    <row r="1064" spans="1:10" ht="21" customHeight="1">
      <c r="A1064" s="2" t="s">
        <v>2053</v>
      </c>
      <c r="B1064" s="2" t="s">
        <v>26</v>
      </c>
      <c r="C1064" s="4">
        <v>45990.25</v>
      </c>
      <c r="D1064" s="4">
        <v>45990.250379641206</v>
      </c>
      <c r="E1064" s="2">
        <v>3.27</v>
      </c>
      <c r="F1064" s="2">
        <v>73.2</v>
      </c>
      <c r="G1064" s="2" t="s">
        <v>983</v>
      </c>
      <c r="H1064" s="2" t="s">
        <v>984</v>
      </c>
      <c r="I1064" s="2"/>
      <c r="J1064" s="2" t="s">
        <v>26</v>
      </c>
    </row>
    <row r="1065" spans="1:10" ht="21" customHeight="1">
      <c r="A1065" s="2" t="s">
        <v>2054</v>
      </c>
      <c r="B1065" s="2" t="s">
        <v>26</v>
      </c>
      <c r="C1065" s="4">
        <v>45991.25</v>
      </c>
      <c r="D1065" s="4">
        <v>45991.250063321757</v>
      </c>
      <c r="E1065" s="2">
        <v>3.54</v>
      </c>
      <c r="F1065" s="2">
        <v>74.400000000000006</v>
      </c>
      <c r="G1065" s="2" t="s">
        <v>983</v>
      </c>
      <c r="H1065" s="2" t="s">
        <v>984</v>
      </c>
      <c r="I1065" s="2"/>
      <c r="J1065" s="2" t="s">
        <v>26</v>
      </c>
    </row>
    <row r="1066" spans="1:10" ht="21" customHeight="1">
      <c r="A1066" s="2" t="s">
        <v>2055</v>
      </c>
      <c r="B1066" s="2" t="s">
        <v>26</v>
      </c>
      <c r="C1066" s="4">
        <v>45992.25</v>
      </c>
      <c r="D1066" s="4">
        <v>45992.2502833912</v>
      </c>
      <c r="E1066" s="2">
        <v>3.92</v>
      </c>
      <c r="F1066" s="2">
        <v>78.8</v>
      </c>
      <c r="G1066" s="2" t="s">
        <v>983</v>
      </c>
      <c r="H1066" s="2" t="s">
        <v>984</v>
      </c>
      <c r="I1066" s="2"/>
      <c r="J1066" s="2" t="s">
        <v>26</v>
      </c>
    </row>
    <row r="1067" spans="1:10" ht="21" customHeight="1">
      <c r="A1067" s="2" t="s">
        <v>2056</v>
      </c>
      <c r="B1067" s="2" t="s">
        <v>26</v>
      </c>
      <c r="C1067" s="4">
        <v>45993.25</v>
      </c>
      <c r="D1067" s="4">
        <v>45993.250580960652</v>
      </c>
      <c r="E1067" s="2">
        <v>5.56</v>
      </c>
      <c r="F1067" s="2">
        <v>77.400000000000006</v>
      </c>
      <c r="G1067" s="2" t="s">
        <v>983</v>
      </c>
      <c r="H1067" s="2" t="s">
        <v>984</v>
      </c>
      <c r="I1067" s="2"/>
      <c r="J1067" s="2" t="s">
        <v>26</v>
      </c>
    </row>
    <row r="1068" spans="1:10" ht="21" customHeight="1">
      <c r="A1068" s="2" t="s">
        <v>2057</v>
      </c>
      <c r="B1068" s="2" t="s">
        <v>1729</v>
      </c>
      <c r="C1068" s="4">
        <v>45994.25</v>
      </c>
      <c r="D1068" s="4">
        <v>45994.250255266204</v>
      </c>
      <c r="E1068" s="2">
        <v>6.44</v>
      </c>
      <c r="F1068" s="2">
        <v>89.1</v>
      </c>
      <c r="G1068" s="2" t="s">
        <v>983</v>
      </c>
      <c r="H1068" s="2" t="s">
        <v>984</v>
      </c>
      <c r="I1068" s="2" t="s">
        <v>1053</v>
      </c>
      <c r="J1068" s="2" t="s">
        <v>26</v>
      </c>
    </row>
    <row r="1069" spans="1:10" ht="21" customHeight="1">
      <c r="A1069" s="2" t="s">
        <v>2058</v>
      </c>
      <c r="B1069" s="2" t="s">
        <v>26</v>
      </c>
      <c r="C1069" s="4">
        <v>45995.25</v>
      </c>
      <c r="D1069" s="4">
        <v>45995.250514479165</v>
      </c>
      <c r="E1069" s="2">
        <v>6.81</v>
      </c>
      <c r="F1069" s="2">
        <v>87</v>
      </c>
      <c r="G1069" s="2" t="s">
        <v>983</v>
      </c>
      <c r="H1069" s="2" t="s">
        <v>984</v>
      </c>
      <c r="I1069" s="2"/>
      <c r="J1069" s="2" t="s">
        <v>26</v>
      </c>
    </row>
    <row r="1070" spans="1:10" ht="21" customHeight="1">
      <c r="A1070" s="2" t="s">
        <v>2059</v>
      </c>
      <c r="B1070" s="2" t="s">
        <v>26</v>
      </c>
      <c r="C1070" s="4">
        <v>45996.25</v>
      </c>
      <c r="D1070" s="4">
        <v>45996.250393518523</v>
      </c>
      <c r="E1070" s="2">
        <v>0</v>
      </c>
      <c r="F1070" s="2">
        <v>73.7</v>
      </c>
      <c r="G1070" s="2" t="s">
        <v>1175</v>
      </c>
      <c r="H1070" s="2" t="s">
        <v>984</v>
      </c>
      <c r="I1070" s="2"/>
      <c r="J1070" s="2" t="s">
        <v>26</v>
      </c>
    </row>
    <row r="1071" spans="1:10" ht="21" customHeight="1">
      <c r="A1071" s="2" t="s">
        <v>2060</v>
      </c>
      <c r="B1071" s="2" t="s">
        <v>26</v>
      </c>
      <c r="C1071" s="4">
        <v>45997.25</v>
      </c>
      <c r="D1071" s="4">
        <v>45997.250025601854</v>
      </c>
      <c r="E1071" s="2">
        <v>3.47</v>
      </c>
      <c r="F1071" s="2">
        <v>73.7</v>
      </c>
      <c r="G1071" s="2" t="s">
        <v>983</v>
      </c>
      <c r="H1071" s="2" t="s">
        <v>984</v>
      </c>
      <c r="I1071" s="2"/>
      <c r="J1071" s="2" t="s">
        <v>26</v>
      </c>
    </row>
    <row r="1072" spans="1:10" ht="21" customHeight="1">
      <c r="A1072" s="2" t="s">
        <v>2061</v>
      </c>
      <c r="B1072" s="2" t="s">
        <v>26</v>
      </c>
      <c r="C1072" s="4">
        <v>45998.25</v>
      </c>
      <c r="D1072" s="4">
        <v>45998.250356099539</v>
      </c>
      <c r="E1072" s="2">
        <v>3.4</v>
      </c>
      <c r="F1072" s="2">
        <v>78.099999999999994</v>
      </c>
      <c r="G1072" s="2" t="s">
        <v>983</v>
      </c>
      <c r="H1072" s="2" t="s">
        <v>984</v>
      </c>
      <c r="I1072" s="2" t="s">
        <v>985</v>
      </c>
      <c r="J1072" s="2" t="s">
        <v>26</v>
      </c>
    </row>
    <row r="1073" spans="1:10" ht="21" customHeight="1">
      <c r="A1073" s="2" t="s">
        <v>2062</v>
      </c>
      <c r="B1073" s="2" t="s">
        <v>26</v>
      </c>
      <c r="C1073" s="4">
        <v>45999.25</v>
      </c>
      <c r="D1073" s="4">
        <v>45999.250453217595</v>
      </c>
      <c r="E1073" s="2">
        <v>3.96</v>
      </c>
      <c r="F1073" s="2">
        <v>72.900000000000006</v>
      </c>
      <c r="G1073" s="2" t="s">
        <v>983</v>
      </c>
      <c r="H1073" s="2" t="s">
        <v>984</v>
      </c>
      <c r="I1073" s="2"/>
      <c r="J1073" s="2" t="s">
        <v>26</v>
      </c>
    </row>
    <row r="1074" spans="1:10" ht="21" customHeight="1">
      <c r="A1074" s="2" t="s">
        <v>2063</v>
      </c>
      <c r="B1074" s="2" t="s">
        <v>26</v>
      </c>
      <c r="C1074" s="4">
        <v>46000.25</v>
      </c>
      <c r="D1074" s="4">
        <v>46000.250270775461</v>
      </c>
      <c r="E1074" s="2">
        <v>3.09</v>
      </c>
      <c r="F1074" s="2">
        <v>76.3</v>
      </c>
      <c r="G1074" s="2" t="s">
        <v>983</v>
      </c>
      <c r="H1074" s="2" t="s">
        <v>984</v>
      </c>
      <c r="I1074" s="2"/>
      <c r="J1074" s="2" t="s">
        <v>26</v>
      </c>
    </row>
    <row r="1075" spans="1:10" ht="21" customHeight="1">
      <c r="A1075" s="2" t="s">
        <v>2064</v>
      </c>
      <c r="B1075" s="2" t="s">
        <v>26</v>
      </c>
      <c r="C1075" s="4">
        <v>46001.25</v>
      </c>
      <c r="D1075" s="4">
        <v>46001.250190694445</v>
      </c>
      <c r="E1075" s="2">
        <v>2.85</v>
      </c>
      <c r="F1075" s="2">
        <v>75.8</v>
      </c>
      <c r="G1075" s="2" t="s">
        <v>983</v>
      </c>
      <c r="H1075" s="2" t="s">
        <v>984</v>
      </c>
      <c r="I1075" s="2"/>
      <c r="J1075" s="2" t="s">
        <v>26</v>
      </c>
    </row>
    <row r="1076" spans="1:10" ht="21" customHeight="1">
      <c r="A1076" s="2" t="s">
        <v>2065</v>
      </c>
      <c r="B1076" s="2" t="s">
        <v>26</v>
      </c>
      <c r="C1076" s="4">
        <v>46002.25</v>
      </c>
      <c r="D1076" s="4">
        <v>46002.250163379635</v>
      </c>
      <c r="E1076" s="2">
        <v>3.05</v>
      </c>
      <c r="F1076" s="2">
        <v>73.8</v>
      </c>
      <c r="G1076" s="2" t="s">
        <v>983</v>
      </c>
      <c r="H1076" s="2" t="s">
        <v>984</v>
      </c>
      <c r="I1076" s="2"/>
      <c r="J1076" s="2" t="s">
        <v>26</v>
      </c>
    </row>
    <row r="1077" spans="1:10" ht="21" customHeight="1">
      <c r="A1077" s="2" t="s">
        <v>2066</v>
      </c>
      <c r="B1077" s="2" t="s">
        <v>26</v>
      </c>
      <c r="C1077" s="4">
        <v>46003.25</v>
      </c>
      <c r="D1077" s="4">
        <v>46003.250378124998</v>
      </c>
      <c r="E1077" s="2">
        <v>3.59</v>
      </c>
      <c r="F1077" s="2">
        <v>73.400000000000006</v>
      </c>
      <c r="G1077" s="2" t="s">
        <v>983</v>
      </c>
      <c r="H1077" s="2" t="s">
        <v>984</v>
      </c>
      <c r="I1077" s="2"/>
      <c r="J1077" s="2" t="s">
        <v>26</v>
      </c>
    </row>
    <row r="1078" spans="1:10" ht="21" customHeight="1">
      <c r="A1078" s="2" t="s">
        <v>2067</v>
      </c>
      <c r="B1078" s="2" t="s">
        <v>26</v>
      </c>
      <c r="C1078" s="4">
        <v>46004.25</v>
      </c>
      <c r="D1078" s="4">
        <v>46004.250460775467</v>
      </c>
      <c r="E1078" s="2">
        <v>3.28</v>
      </c>
      <c r="F1078" s="2">
        <v>77.8</v>
      </c>
      <c r="G1078" s="2" t="s">
        <v>983</v>
      </c>
      <c r="H1078" s="2" t="s">
        <v>984</v>
      </c>
      <c r="I1078" s="2"/>
      <c r="J1078" s="2" t="s">
        <v>26</v>
      </c>
    </row>
    <row r="1079" spans="1:10" ht="21" customHeight="1">
      <c r="A1079" s="2" t="s">
        <v>2068</v>
      </c>
      <c r="B1079" s="2" t="s">
        <v>26</v>
      </c>
      <c r="C1079" s="4">
        <v>46005.25</v>
      </c>
      <c r="D1079" s="4">
        <v>46005.250672546295</v>
      </c>
      <c r="E1079" s="2">
        <v>3.43</v>
      </c>
      <c r="F1079" s="2">
        <v>79.900000000000006</v>
      </c>
      <c r="G1079" s="2" t="s">
        <v>983</v>
      </c>
      <c r="H1079" s="2" t="s">
        <v>984</v>
      </c>
      <c r="I1079" s="2"/>
      <c r="J1079" s="2" t="s">
        <v>26</v>
      </c>
    </row>
    <row r="1080" spans="1:10" ht="21" customHeight="1">
      <c r="A1080" s="2" t="s">
        <v>2069</v>
      </c>
      <c r="B1080" s="2" t="s">
        <v>26</v>
      </c>
      <c r="C1080" s="4">
        <v>46006.25</v>
      </c>
      <c r="D1080" s="4">
        <v>46006.250428530097</v>
      </c>
      <c r="E1080" s="2">
        <v>3.11</v>
      </c>
      <c r="F1080" s="2">
        <v>76.400000000000006</v>
      </c>
      <c r="G1080" s="2" t="s">
        <v>983</v>
      </c>
      <c r="H1080" s="2" t="s">
        <v>984</v>
      </c>
      <c r="I1080" s="2"/>
      <c r="J1080" s="2" t="s">
        <v>26</v>
      </c>
    </row>
    <row r="1081" spans="1:10" ht="21" customHeight="1">
      <c r="A1081" s="2" t="s">
        <v>2070</v>
      </c>
      <c r="B1081" s="2" t="s">
        <v>26</v>
      </c>
      <c r="C1081" s="4">
        <v>46007.25</v>
      </c>
      <c r="D1081" s="4">
        <v>46007.250657384255</v>
      </c>
      <c r="E1081" s="2">
        <v>3.3</v>
      </c>
      <c r="F1081" s="2">
        <v>72.900000000000006</v>
      </c>
      <c r="G1081" s="2" t="s">
        <v>983</v>
      </c>
      <c r="H1081" s="2" t="s">
        <v>984</v>
      </c>
      <c r="I1081" s="2"/>
      <c r="J1081" s="2" t="s">
        <v>26</v>
      </c>
    </row>
    <row r="1082" spans="1:10" ht="21" customHeight="1">
      <c r="A1082" s="2" t="s">
        <v>2071</v>
      </c>
      <c r="B1082" s="2" t="s">
        <v>26</v>
      </c>
      <c r="C1082" s="4">
        <v>46008.25</v>
      </c>
      <c r="D1082" s="4">
        <v>46008.250510208338</v>
      </c>
      <c r="E1082" s="2">
        <v>3.34</v>
      </c>
      <c r="F1082" s="2">
        <v>77.400000000000006</v>
      </c>
      <c r="G1082" s="2" t="s">
        <v>983</v>
      </c>
      <c r="H1082" s="2" t="s">
        <v>984</v>
      </c>
      <c r="I1082" s="2"/>
      <c r="J1082" s="2" t="s">
        <v>26</v>
      </c>
    </row>
    <row r="1083" spans="1:10" ht="21" customHeight="1">
      <c r="A1083" s="2" t="s">
        <v>2072</v>
      </c>
      <c r="B1083" s="2" t="s">
        <v>26</v>
      </c>
      <c r="C1083" s="4">
        <v>46009.25</v>
      </c>
      <c r="D1083" s="4">
        <v>46009.250059756945</v>
      </c>
      <c r="E1083" s="2">
        <v>3.12</v>
      </c>
      <c r="F1083" s="2">
        <v>79</v>
      </c>
      <c r="G1083" s="2" t="s">
        <v>983</v>
      </c>
      <c r="H1083" s="2" t="s">
        <v>984</v>
      </c>
      <c r="I1083" s="2"/>
      <c r="J1083" s="2" t="s">
        <v>26</v>
      </c>
    </row>
    <row r="1084" spans="1:10" ht="21" customHeight="1">
      <c r="A1084" s="2" t="s">
        <v>2073</v>
      </c>
      <c r="B1084" s="2" t="s">
        <v>26</v>
      </c>
      <c r="C1084" s="4">
        <v>46010.25</v>
      </c>
      <c r="D1084" s="4">
        <v>46010.250500833332</v>
      </c>
      <c r="E1084" s="2">
        <v>3.19</v>
      </c>
      <c r="F1084" s="2">
        <v>78.400000000000006</v>
      </c>
      <c r="G1084" s="2" t="s">
        <v>983</v>
      </c>
      <c r="H1084" s="2" t="s">
        <v>984</v>
      </c>
      <c r="I1084" s="2"/>
      <c r="J1084" s="2" t="s">
        <v>26</v>
      </c>
    </row>
    <row r="1085" spans="1:10" ht="21" customHeight="1">
      <c r="A1085" s="2" t="s">
        <v>2074</v>
      </c>
      <c r="B1085" s="2" t="s">
        <v>26</v>
      </c>
      <c r="C1085" s="4">
        <v>46011.25</v>
      </c>
      <c r="D1085" s="4">
        <v>46011.250458206021</v>
      </c>
      <c r="E1085" s="2">
        <v>3.42</v>
      </c>
      <c r="F1085" s="2">
        <v>76.900000000000006</v>
      </c>
      <c r="G1085" s="2" t="s">
        <v>983</v>
      </c>
      <c r="H1085" s="2" t="s">
        <v>984</v>
      </c>
      <c r="I1085" s="2"/>
      <c r="J1085" s="2" t="s">
        <v>26</v>
      </c>
    </row>
    <row r="1086" spans="1:10" ht="21" customHeight="1">
      <c r="A1086" s="2" t="s">
        <v>2075</v>
      </c>
      <c r="B1086" s="2" t="s">
        <v>26</v>
      </c>
      <c r="C1086" s="4">
        <v>46012.25</v>
      </c>
      <c r="D1086" s="4">
        <v>46012.250152581022</v>
      </c>
      <c r="E1086" s="2">
        <v>3.09</v>
      </c>
      <c r="F1086" s="2">
        <v>77.5</v>
      </c>
      <c r="G1086" s="2" t="s">
        <v>983</v>
      </c>
      <c r="H1086" s="2" t="s">
        <v>984</v>
      </c>
      <c r="I1086" s="2"/>
      <c r="J1086" s="2" t="s">
        <v>26</v>
      </c>
    </row>
    <row r="1087" spans="1:10" ht="21" customHeight="1">
      <c r="A1087" s="2" t="s">
        <v>2076</v>
      </c>
      <c r="B1087" s="2" t="s">
        <v>26</v>
      </c>
      <c r="C1087" s="4">
        <v>46013.25</v>
      </c>
      <c r="D1087" s="4">
        <v>46013.250044780092</v>
      </c>
      <c r="E1087" s="2">
        <v>3.17</v>
      </c>
      <c r="F1087" s="2">
        <v>75.7</v>
      </c>
      <c r="G1087" s="2" t="s">
        <v>983</v>
      </c>
      <c r="H1087" s="2" t="s">
        <v>984</v>
      </c>
      <c r="I1087" s="2"/>
      <c r="J1087" s="2" t="s">
        <v>26</v>
      </c>
    </row>
    <row r="1088" spans="1:10" ht="21" customHeight="1">
      <c r="A1088" s="2" t="s">
        <v>2077</v>
      </c>
      <c r="B1088" s="2" t="s">
        <v>26</v>
      </c>
      <c r="C1088" s="4">
        <v>46014.25</v>
      </c>
      <c r="D1088" s="4">
        <v>46014.250477928239</v>
      </c>
      <c r="E1088" s="2">
        <v>2.98</v>
      </c>
      <c r="F1088" s="2">
        <v>72.900000000000006</v>
      </c>
      <c r="G1088" s="2" t="s">
        <v>983</v>
      </c>
      <c r="H1088" s="2" t="s">
        <v>984</v>
      </c>
      <c r="I1088" s="2"/>
      <c r="J1088" s="2" t="s">
        <v>26</v>
      </c>
    </row>
    <row r="1089" spans="1:10" ht="21" customHeight="1">
      <c r="A1089" s="2" t="s">
        <v>2078</v>
      </c>
      <c r="B1089" s="2" t="s">
        <v>26</v>
      </c>
      <c r="C1089" s="4">
        <v>46015.25</v>
      </c>
      <c r="D1089" s="4">
        <v>46015.250152048611</v>
      </c>
      <c r="E1089" s="2">
        <v>3.27</v>
      </c>
      <c r="F1089" s="2">
        <v>72.900000000000006</v>
      </c>
      <c r="G1089" s="2" t="s">
        <v>983</v>
      </c>
      <c r="H1089" s="2" t="s">
        <v>984</v>
      </c>
      <c r="I1089" s="2" t="s">
        <v>985</v>
      </c>
      <c r="J1089" s="2" t="s">
        <v>26</v>
      </c>
    </row>
    <row r="1090" spans="1:10" ht="21" customHeight="1">
      <c r="A1090" s="2" t="s">
        <v>2079</v>
      </c>
      <c r="B1090" s="2" t="s">
        <v>26</v>
      </c>
      <c r="C1090" s="4">
        <v>46016.25</v>
      </c>
      <c r="D1090" s="4">
        <v>46016.250158912037</v>
      </c>
      <c r="E1090" s="2">
        <v>3.06</v>
      </c>
      <c r="F1090" s="2">
        <v>78.8</v>
      </c>
      <c r="G1090" s="2" t="s">
        <v>983</v>
      </c>
      <c r="H1090" s="2" t="s">
        <v>984</v>
      </c>
      <c r="I1090" s="2"/>
      <c r="J1090" s="2" t="s">
        <v>26</v>
      </c>
    </row>
    <row r="1091" spans="1:10" ht="21" customHeight="1">
      <c r="A1091" s="2" t="s">
        <v>2080</v>
      </c>
      <c r="B1091" s="2" t="s">
        <v>26</v>
      </c>
      <c r="C1091" s="4">
        <v>46017.25</v>
      </c>
      <c r="D1091" s="4">
        <v>46017.250244756942</v>
      </c>
      <c r="E1091" s="2">
        <v>3.59</v>
      </c>
      <c r="F1091" s="2">
        <v>76.400000000000006</v>
      </c>
      <c r="G1091" s="2" t="s">
        <v>983</v>
      </c>
      <c r="H1091" s="2" t="s">
        <v>984</v>
      </c>
      <c r="I1091" s="2"/>
      <c r="J1091" s="2" t="s">
        <v>26</v>
      </c>
    </row>
    <row r="1092" spans="1:10" ht="21" customHeight="1">
      <c r="A1092" s="2" t="s">
        <v>2081</v>
      </c>
      <c r="B1092" s="2" t="s">
        <v>26</v>
      </c>
      <c r="C1092" s="4">
        <v>46018.25</v>
      </c>
      <c r="D1092" s="4">
        <v>46018.25018920139</v>
      </c>
      <c r="E1092" s="2">
        <v>3.43</v>
      </c>
      <c r="F1092" s="2">
        <v>73.7</v>
      </c>
      <c r="G1092" s="2" t="s">
        <v>983</v>
      </c>
      <c r="H1092" s="2" t="s">
        <v>984</v>
      </c>
      <c r="I1092" s="2"/>
      <c r="J1092" s="2" t="s">
        <v>26</v>
      </c>
    </row>
    <row r="1093" spans="1:10" ht="21" customHeight="1">
      <c r="A1093" s="2" t="s">
        <v>2082</v>
      </c>
      <c r="B1093" s="2" t="s">
        <v>26</v>
      </c>
      <c r="C1093" s="4">
        <v>46019.25</v>
      </c>
      <c r="D1093" s="4">
        <v>46019.250250868055</v>
      </c>
      <c r="E1093" s="2">
        <v>3.9</v>
      </c>
      <c r="F1093" s="2">
        <v>77.599999999999994</v>
      </c>
      <c r="G1093" s="2" t="s">
        <v>983</v>
      </c>
      <c r="H1093" s="2" t="s">
        <v>984</v>
      </c>
      <c r="I1093" s="2"/>
      <c r="J1093" s="2" t="s">
        <v>26</v>
      </c>
    </row>
    <row r="1094" spans="1:10" ht="21" customHeight="1">
      <c r="A1094" s="2" t="s">
        <v>2083</v>
      </c>
      <c r="B1094" s="2" t="s">
        <v>26</v>
      </c>
      <c r="C1094" s="4">
        <v>46020.25</v>
      </c>
      <c r="D1094" s="4">
        <v>46020.250031493051</v>
      </c>
      <c r="E1094" s="2">
        <v>3.41</v>
      </c>
      <c r="F1094" s="2">
        <v>78</v>
      </c>
      <c r="G1094" s="2" t="s">
        <v>983</v>
      </c>
      <c r="H1094" s="2" t="s">
        <v>984</v>
      </c>
      <c r="I1094" s="2"/>
      <c r="J1094" s="2" t="s">
        <v>26</v>
      </c>
    </row>
    <row r="1095" spans="1:10" ht="21" customHeight="1">
      <c r="A1095" s="2" t="s">
        <v>2084</v>
      </c>
      <c r="B1095" s="2" t="s">
        <v>26</v>
      </c>
      <c r="C1095" s="4">
        <v>46021.25</v>
      </c>
      <c r="D1095" s="4">
        <v>46021.250127534724</v>
      </c>
      <c r="E1095" s="2">
        <v>3.12</v>
      </c>
      <c r="F1095" s="2">
        <v>78.7</v>
      </c>
      <c r="G1095" s="2" t="s">
        <v>983</v>
      </c>
      <c r="H1095" s="2" t="s">
        <v>984</v>
      </c>
      <c r="I1095" s="2"/>
      <c r="J1095" s="2" t="s">
        <v>26</v>
      </c>
    </row>
    <row r="1096" spans="1:10" ht="21" customHeight="1">
      <c r="A1096" s="2" t="s">
        <v>2085</v>
      </c>
      <c r="B1096" s="2" t="s">
        <v>26</v>
      </c>
      <c r="C1096" s="4">
        <v>46022.25</v>
      </c>
      <c r="D1096" s="4">
        <v>46022.250626516208</v>
      </c>
      <c r="E1096" s="2">
        <v>3.44</v>
      </c>
      <c r="F1096" s="2">
        <v>78.2</v>
      </c>
      <c r="G1096" s="2" t="s">
        <v>983</v>
      </c>
      <c r="H1096" s="2" t="s">
        <v>984</v>
      </c>
      <c r="I1096" s="2"/>
      <c r="J1096" s="2" t="s">
        <v>26</v>
      </c>
    </row>
    <row r="1097" spans="1:10" ht="21" customHeight="1">
      <c r="A1097" s="2" t="s">
        <v>2086</v>
      </c>
      <c r="B1097" s="2" t="s">
        <v>28</v>
      </c>
      <c r="C1097" s="4">
        <v>45658.25</v>
      </c>
      <c r="D1097" s="4">
        <v>45658.250184166667</v>
      </c>
      <c r="E1097" s="2">
        <v>2.41</v>
      </c>
      <c r="F1097" s="2">
        <v>62.7</v>
      </c>
      <c r="G1097" s="2" t="s">
        <v>983</v>
      </c>
      <c r="H1097" s="2" t="s">
        <v>984</v>
      </c>
      <c r="I1097" s="2" t="s">
        <v>985</v>
      </c>
      <c r="J1097" s="2" t="s">
        <v>28</v>
      </c>
    </row>
    <row r="1098" spans="1:10" ht="21" customHeight="1">
      <c r="A1098" s="2" t="s">
        <v>2087</v>
      </c>
      <c r="B1098" s="2" t="s">
        <v>28</v>
      </c>
      <c r="C1098" s="4">
        <v>45659.25</v>
      </c>
      <c r="D1098" s="4">
        <v>45659.250320671301</v>
      </c>
      <c r="E1098" s="2">
        <v>2.36</v>
      </c>
      <c r="F1098" s="2">
        <v>61.9</v>
      </c>
      <c r="G1098" s="2" t="s">
        <v>983</v>
      </c>
      <c r="H1098" s="2" t="s">
        <v>984</v>
      </c>
      <c r="I1098" s="2"/>
      <c r="J1098" s="2" t="s">
        <v>28</v>
      </c>
    </row>
    <row r="1099" spans="1:10" ht="21" customHeight="1">
      <c r="A1099" s="2" t="s">
        <v>2088</v>
      </c>
      <c r="B1099" s="2" t="s">
        <v>28</v>
      </c>
      <c r="C1099" s="4">
        <v>45660.25</v>
      </c>
      <c r="D1099" s="4">
        <v>45660.250328078706</v>
      </c>
      <c r="E1099" s="2">
        <v>3.28</v>
      </c>
      <c r="F1099" s="2">
        <v>65</v>
      </c>
      <c r="G1099" s="2" t="s">
        <v>983</v>
      </c>
      <c r="H1099" s="2" t="s">
        <v>984</v>
      </c>
      <c r="I1099" s="2"/>
      <c r="J1099" s="2" t="s">
        <v>28</v>
      </c>
    </row>
    <row r="1100" spans="1:10" ht="21" customHeight="1">
      <c r="A1100" s="2" t="s">
        <v>2089</v>
      </c>
      <c r="B1100" s="2" t="s">
        <v>28</v>
      </c>
      <c r="C1100" s="4">
        <v>45661.25</v>
      </c>
      <c r="D1100" s="4">
        <v>45661.250064351851</v>
      </c>
      <c r="E1100" s="2">
        <v>2.41</v>
      </c>
      <c r="F1100" s="2">
        <v>62.3</v>
      </c>
      <c r="G1100" s="2" t="s">
        <v>983</v>
      </c>
      <c r="H1100" s="2" t="s">
        <v>984</v>
      </c>
      <c r="I1100" s="2"/>
      <c r="J1100" s="2" t="s">
        <v>28</v>
      </c>
    </row>
    <row r="1101" spans="1:10" ht="21" customHeight="1">
      <c r="A1101" s="2" t="s">
        <v>2090</v>
      </c>
      <c r="B1101" s="2" t="s">
        <v>28</v>
      </c>
      <c r="C1101" s="4">
        <v>45662.25</v>
      </c>
      <c r="D1101" s="4">
        <v>45662.250419247684</v>
      </c>
      <c r="E1101" s="2">
        <v>5.84</v>
      </c>
      <c r="F1101" s="2">
        <v>66.099999999999994</v>
      </c>
      <c r="G1101" s="2" t="s">
        <v>983</v>
      </c>
      <c r="H1101" s="2" t="s">
        <v>984</v>
      </c>
      <c r="I1101" s="2" t="s">
        <v>1053</v>
      </c>
      <c r="J1101" s="2" t="s">
        <v>28</v>
      </c>
    </row>
    <row r="1102" spans="1:10" ht="21" customHeight="1">
      <c r="A1102" s="2" t="s">
        <v>2091</v>
      </c>
      <c r="B1102" s="2" t="s">
        <v>28</v>
      </c>
      <c r="C1102" s="4">
        <v>45663.25</v>
      </c>
      <c r="D1102" s="4">
        <v>45663.250567060182</v>
      </c>
      <c r="E1102" s="2">
        <v>5.41</v>
      </c>
      <c r="F1102" s="2">
        <v>68.7</v>
      </c>
      <c r="G1102" s="2" t="s">
        <v>983</v>
      </c>
      <c r="H1102" s="2" t="s">
        <v>984</v>
      </c>
      <c r="I1102" s="2"/>
      <c r="J1102" s="2" t="s">
        <v>28</v>
      </c>
    </row>
    <row r="1103" spans="1:10" ht="21" customHeight="1">
      <c r="A1103" s="2" t="s">
        <v>2092</v>
      </c>
      <c r="B1103" s="2" t="s">
        <v>28</v>
      </c>
      <c r="C1103" s="4">
        <v>45664.25</v>
      </c>
      <c r="D1103" s="4">
        <v>45664.250122523154</v>
      </c>
      <c r="E1103" s="2">
        <v>3.98</v>
      </c>
      <c r="F1103" s="2">
        <v>63.6</v>
      </c>
      <c r="G1103" s="2" t="s">
        <v>983</v>
      </c>
      <c r="H1103" s="2" t="s">
        <v>984</v>
      </c>
      <c r="I1103" s="2" t="s">
        <v>1053</v>
      </c>
      <c r="J1103" s="2" t="s">
        <v>28</v>
      </c>
    </row>
    <row r="1104" spans="1:10" ht="21" customHeight="1">
      <c r="A1104" s="2" t="s">
        <v>2093</v>
      </c>
      <c r="B1104" s="2" t="s">
        <v>28</v>
      </c>
      <c r="C1104" s="4">
        <v>45665.25</v>
      </c>
      <c r="D1104" s="4">
        <v>45665.250166365746</v>
      </c>
      <c r="E1104" s="2">
        <v>0</v>
      </c>
      <c r="F1104" s="2">
        <v>62.7</v>
      </c>
      <c r="G1104" s="2" t="s">
        <v>1175</v>
      </c>
      <c r="H1104" s="2" t="s">
        <v>984</v>
      </c>
      <c r="I1104" s="2"/>
      <c r="J1104" s="2" t="s">
        <v>28</v>
      </c>
    </row>
    <row r="1105" spans="1:10" ht="21" customHeight="1">
      <c r="A1105" s="2" t="s">
        <v>2094</v>
      </c>
      <c r="B1105" s="2" t="s">
        <v>28</v>
      </c>
      <c r="C1105" s="4">
        <v>45666.25</v>
      </c>
      <c r="D1105" s="4">
        <v>45666.250193148153</v>
      </c>
      <c r="E1105" s="2">
        <v>2.37</v>
      </c>
      <c r="F1105" s="2">
        <v>60</v>
      </c>
      <c r="G1105" s="2" t="s">
        <v>983</v>
      </c>
      <c r="H1105" s="2" t="s">
        <v>984</v>
      </c>
      <c r="I1105" s="2"/>
      <c r="J1105" s="2" t="s">
        <v>28</v>
      </c>
    </row>
    <row r="1106" spans="1:10" ht="21" customHeight="1">
      <c r="A1106" s="2" t="s">
        <v>2095</v>
      </c>
      <c r="B1106" s="2" t="s">
        <v>28</v>
      </c>
      <c r="C1106" s="4">
        <v>45667.25</v>
      </c>
      <c r="D1106" s="4">
        <v>45667.250392499998</v>
      </c>
      <c r="E1106" s="2">
        <v>3.28</v>
      </c>
      <c r="F1106" s="2">
        <v>63.9</v>
      </c>
      <c r="G1106" s="2" t="s">
        <v>983</v>
      </c>
      <c r="H1106" s="2" t="s">
        <v>984</v>
      </c>
      <c r="I1106" s="2"/>
      <c r="J1106" s="2" t="s">
        <v>28</v>
      </c>
    </row>
    <row r="1107" spans="1:10" ht="21" customHeight="1">
      <c r="A1107" s="2" t="s">
        <v>2096</v>
      </c>
      <c r="B1107" s="2" t="s">
        <v>28</v>
      </c>
      <c r="C1107" s="4">
        <v>45668.25</v>
      </c>
      <c r="D1107" s="4">
        <v>45668.250675659721</v>
      </c>
      <c r="E1107" s="2">
        <v>2.25</v>
      </c>
      <c r="F1107" s="2">
        <v>59</v>
      </c>
      <c r="G1107" s="2" t="s">
        <v>983</v>
      </c>
      <c r="H1107" s="2" t="s">
        <v>984</v>
      </c>
      <c r="I1107" s="2"/>
      <c r="J1107" s="2" t="s">
        <v>28</v>
      </c>
    </row>
    <row r="1108" spans="1:10" ht="21" customHeight="1">
      <c r="A1108" s="2" t="s">
        <v>2097</v>
      </c>
      <c r="B1108" s="2" t="s">
        <v>28</v>
      </c>
      <c r="C1108" s="4">
        <v>45669.25</v>
      </c>
      <c r="D1108" s="4">
        <v>45669.250678645833</v>
      </c>
      <c r="E1108" s="2">
        <v>3.23</v>
      </c>
      <c r="F1108" s="2">
        <v>64</v>
      </c>
      <c r="G1108" s="2" t="s">
        <v>983</v>
      </c>
      <c r="H1108" s="2" t="s">
        <v>984</v>
      </c>
      <c r="I1108" s="2"/>
      <c r="J1108" s="2" t="s">
        <v>28</v>
      </c>
    </row>
    <row r="1109" spans="1:10" ht="21" customHeight="1">
      <c r="A1109" s="2" t="s">
        <v>2098</v>
      </c>
      <c r="B1109" s="2" t="s">
        <v>2099</v>
      </c>
      <c r="C1109" s="4">
        <v>45670.25</v>
      </c>
      <c r="D1109" s="4">
        <v>45670.250261747686</v>
      </c>
      <c r="E1109" s="2">
        <v>2.56</v>
      </c>
      <c r="F1109" s="2">
        <v>62.6</v>
      </c>
      <c r="G1109" s="2" t="s">
        <v>983</v>
      </c>
      <c r="H1109" s="2" t="s">
        <v>984</v>
      </c>
      <c r="I1109" s="2"/>
      <c r="J1109" s="2" t="s">
        <v>28</v>
      </c>
    </row>
    <row r="1110" spans="1:10" ht="21" customHeight="1">
      <c r="A1110" s="2" t="s">
        <v>2100</v>
      </c>
      <c r="B1110" s="2" t="s">
        <v>28</v>
      </c>
      <c r="C1110" s="4">
        <v>45671.25</v>
      </c>
      <c r="D1110" s="4">
        <v>45671.250082592596</v>
      </c>
      <c r="E1110" s="2">
        <v>2.2599999999999998</v>
      </c>
      <c r="F1110" s="2">
        <v>65.5</v>
      </c>
      <c r="G1110" s="2" t="s">
        <v>983</v>
      </c>
      <c r="H1110" s="2" t="s">
        <v>984</v>
      </c>
      <c r="I1110" s="2"/>
      <c r="J1110" s="2" t="s">
        <v>28</v>
      </c>
    </row>
    <row r="1111" spans="1:10" ht="21" customHeight="1">
      <c r="A1111" s="2" t="s">
        <v>2101</v>
      </c>
      <c r="B1111" s="2" t="s">
        <v>28</v>
      </c>
      <c r="C1111" s="4">
        <v>45672.25</v>
      </c>
      <c r="D1111" s="4">
        <v>45672.250110092587</v>
      </c>
      <c r="E1111" s="2">
        <v>2.11</v>
      </c>
      <c r="F1111" s="2">
        <v>62.4</v>
      </c>
      <c r="G1111" s="2" t="s">
        <v>983</v>
      </c>
      <c r="H1111" s="2" t="s">
        <v>984</v>
      </c>
      <c r="I1111" s="2"/>
      <c r="J1111" s="2" t="s">
        <v>28</v>
      </c>
    </row>
    <row r="1112" spans="1:10" ht="21" customHeight="1">
      <c r="A1112" s="2" t="s">
        <v>2102</v>
      </c>
      <c r="B1112" s="2" t="s">
        <v>28</v>
      </c>
      <c r="C1112" s="4">
        <v>45673.25</v>
      </c>
      <c r="D1112" s="4">
        <v>45673.250149212967</v>
      </c>
      <c r="E1112" s="2">
        <v>2.57</v>
      </c>
      <c r="F1112" s="2">
        <v>63.1</v>
      </c>
      <c r="G1112" s="2" t="s">
        <v>983</v>
      </c>
      <c r="H1112" s="2" t="s">
        <v>984</v>
      </c>
      <c r="I1112" s="2"/>
      <c r="J1112" s="2" t="s">
        <v>28</v>
      </c>
    </row>
    <row r="1113" spans="1:10" ht="21" customHeight="1">
      <c r="A1113" s="2" t="s">
        <v>2103</v>
      </c>
      <c r="B1113" s="2" t="s">
        <v>28</v>
      </c>
      <c r="C1113" s="4">
        <v>45674.25</v>
      </c>
      <c r="D1113" s="4">
        <v>45674.250563865746</v>
      </c>
      <c r="E1113" s="2">
        <v>2.78</v>
      </c>
      <c r="F1113" s="2">
        <v>62.5</v>
      </c>
      <c r="G1113" s="2" t="s">
        <v>983</v>
      </c>
      <c r="H1113" s="2" t="s">
        <v>984</v>
      </c>
      <c r="I1113" s="2"/>
      <c r="J1113" s="2" t="s">
        <v>28</v>
      </c>
    </row>
    <row r="1114" spans="1:10" ht="21" customHeight="1">
      <c r="A1114" s="2" t="s">
        <v>2104</v>
      </c>
      <c r="B1114" s="2" t="s">
        <v>28</v>
      </c>
      <c r="C1114" s="4">
        <v>45675.25</v>
      </c>
      <c r="D1114" s="4">
        <v>45675.250302789354</v>
      </c>
      <c r="E1114" s="2">
        <v>2.93</v>
      </c>
      <c r="F1114" s="2">
        <v>64.7</v>
      </c>
      <c r="G1114" s="2" t="s">
        <v>983</v>
      </c>
      <c r="H1114" s="2" t="s">
        <v>984</v>
      </c>
      <c r="I1114" s="2" t="s">
        <v>985</v>
      </c>
      <c r="J1114" s="2" t="s">
        <v>28</v>
      </c>
    </row>
    <row r="1115" spans="1:10" ht="21" customHeight="1">
      <c r="A1115" s="2" t="s">
        <v>2105</v>
      </c>
      <c r="B1115" s="2" t="s">
        <v>28</v>
      </c>
      <c r="C1115" s="4">
        <v>45676.25</v>
      </c>
      <c r="D1115" s="4">
        <v>45676.250414421302</v>
      </c>
      <c r="E1115" s="2">
        <v>3.25</v>
      </c>
      <c r="F1115" s="2">
        <v>60.6</v>
      </c>
      <c r="G1115" s="2" t="s">
        <v>983</v>
      </c>
      <c r="H1115" s="2" t="s">
        <v>984</v>
      </c>
      <c r="I1115" s="2"/>
      <c r="J1115" s="2" t="s">
        <v>28</v>
      </c>
    </row>
    <row r="1116" spans="1:10" ht="21" customHeight="1">
      <c r="A1116" s="2" t="s">
        <v>2106</v>
      </c>
      <c r="B1116" s="2" t="s">
        <v>28</v>
      </c>
      <c r="C1116" s="4">
        <v>45677.25</v>
      </c>
      <c r="D1116" s="4">
        <v>45677.250452361113</v>
      </c>
      <c r="E1116" s="2">
        <v>3.17</v>
      </c>
      <c r="F1116" s="2">
        <v>61.3</v>
      </c>
      <c r="G1116" s="2" t="s">
        <v>983</v>
      </c>
      <c r="H1116" s="2" t="s">
        <v>984</v>
      </c>
      <c r="I1116" s="2"/>
      <c r="J1116" s="2" t="s">
        <v>28</v>
      </c>
    </row>
    <row r="1117" spans="1:10" ht="21" customHeight="1">
      <c r="A1117" s="2" t="s">
        <v>2107</v>
      </c>
      <c r="B1117" s="2" t="s">
        <v>28</v>
      </c>
      <c r="C1117" s="4">
        <v>45678.25</v>
      </c>
      <c r="D1117" s="4">
        <v>45678.25016408565</v>
      </c>
      <c r="E1117" s="2">
        <v>3.13</v>
      </c>
      <c r="F1117" s="2">
        <v>61</v>
      </c>
      <c r="G1117" s="2" t="s">
        <v>983</v>
      </c>
      <c r="H1117" s="2" t="s">
        <v>984</v>
      </c>
      <c r="I1117" s="2"/>
      <c r="J1117" s="2" t="s">
        <v>28</v>
      </c>
    </row>
    <row r="1118" spans="1:10" ht="21" customHeight="1">
      <c r="A1118" s="2" t="s">
        <v>2108</v>
      </c>
      <c r="B1118" s="2" t="s">
        <v>28</v>
      </c>
      <c r="C1118" s="4">
        <v>45679.25</v>
      </c>
      <c r="D1118" s="4">
        <v>45679.250285115741</v>
      </c>
      <c r="E1118" s="2"/>
      <c r="F1118" s="2"/>
      <c r="G1118" s="2" t="s">
        <v>983</v>
      </c>
      <c r="H1118" s="2" t="s">
        <v>1066</v>
      </c>
      <c r="I1118" s="2"/>
      <c r="J1118" s="2" t="s">
        <v>28</v>
      </c>
    </row>
    <row r="1119" spans="1:10" ht="21" customHeight="1">
      <c r="A1119" s="2" t="s">
        <v>2109</v>
      </c>
      <c r="B1119" s="2" t="s">
        <v>28</v>
      </c>
      <c r="C1119" s="4">
        <v>45680.25</v>
      </c>
      <c r="D1119" s="4">
        <v>45680.250073101852</v>
      </c>
      <c r="E1119" s="2">
        <v>2.38</v>
      </c>
      <c r="F1119" s="2">
        <v>64.2</v>
      </c>
      <c r="G1119" s="2" t="s">
        <v>983</v>
      </c>
      <c r="H1119" s="2" t="s">
        <v>984</v>
      </c>
      <c r="I1119" s="2"/>
      <c r="J1119" s="2" t="s">
        <v>28</v>
      </c>
    </row>
    <row r="1120" spans="1:10" ht="21" customHeight="1">
      <c r="A1120" s="2" t="s">
        <v>2110</v>
      </c>
      <c r="B1120" s="2" t="s">
        <v>28</v>
      </c>
      <c r="C1120" s="4">
        <v>45681.25</v>
      </c>
      <c r="D1120" s="4">
        <v>45681.250212789353</v>
      </c>
      <c r="E1120" s="2">
        <v>2.19</v>
      </c>
      <c r="F1120" s="2">
        <v>64.400000000000006</v>
      </c>
      <c r="G1120" s="2" t="s">
        <v>983</v>
      </c>
      <c r="H1120" s="2" t="s">
        <v>984</v>
      </c>
      <c r="I1120" s="2"/>
      <c r="J1120" s="2" t="s">
        <v>28</v>
      </c>
    </row>
    <row r="1121" spans="1:10" ht="21" customHeight="1">
      <c r="A1121" s="2" t="s">
        <v>2111</v>
      </c>
      <c r="B1121" s="2" t="s">
        <v>28</v>
      </c>
      <c r="C1121" s="4">
        <v>45682.25</v>
      </c>
      <c r="D1121" s="4">
        <v>45682.250043807871</v>
      </c>
      <c r="E1121" s="2">
        <v>2.2200000000000002</v>
      </c>
      <c r="F1121" s="2">
        <v>65.099999999999994</v>
      </c>
      <c r="G1121" s="2" t="s">
        <v>983</v>
      </c>
      <c r="H1121" s="2" t="s">
        <v>984</v>
      </c>
      <c r="I1121" s="2"/>
      <c r="J1121" s="2" t="s">
        <v>28</v>
      </c>
    </row>
    <row r="1122" spans="1:10" ht="21" customHeight="1">
      <c r="A1122" s="2" t="s">
        <v>2112</v>
      </c>
      <c r="B1122" s="2" t="s">
        <v>28</v>
      </c>
      <c r="C1122" s="4">
        <v>45683.25</v>
      </c>
      <c r="D1122" s="4">
        <v>45683.250386203705</v>
      </c>
      <c r="E1122" s="2">
        <v>3.01</v>
      </c>
      <c r="F1122" s="2">
        <v>58.9</v>
      </c>
      <c r="G1122" s="2" t="s">
        <v>983</v>
      </c>
      <c r="H1122" s="2" t="s">
        <v>984</v>
      </c>
      <c r="I1122" s="2"/>
      <c r="J1122" s="2" t="s">
        <v>28</v>
      </c>
    </row>
    <row r="1123" spans="1:10" ht="21" customHeight="1">
      <c r="A1123" s="2" t="s">
        <v>2113</v>
      </c>
      <c r="B1123" s="2" t="s">
        <v>28</v>
      </c>
      <c r="C1123" s="4">
        <v>45684.25</v>
      </c>
      <c r="D1123" s="4">
        <v>45684.250082083337</v>
      </c>
      <c r="E1123" s="2">
        <v>2.1800000000000002</v>
      </c>
      <c r="F1123" s="2">
        <v>62.3</v>
      </c>
      <c r="G1123" s="2" t="s">
        <v>983</v>
      </c>
      <c r="H1123" s="2" t="s">
        <v>984</v>
      </c>
      <c r="I1123" s="2"/>
      <c r="J1123" s="2" t="s">
        <v>28</v>
      </c>
    </row>
    <row r="1124" spans="1:10" ht="21" customHeight="1">
      <c r="A1124" s="2" t="s">
        <v>2114</v>
      </c>
      <c r="B1124" s="2" t="s">
        <v>28</v>
      </c>
      <c r="C1124" s="4">
        <v>45685.25</v>
      </c>
      <c r="D1124" s="4">
        <v>45685.250189143517</v>
      </c>
      <c r="E1124" s="2">
        <v>2.8</v>
      </c>
      <c r="F1124" s="2">
        <v>59.6</v>
      </c>
      <c r="G1124" s="2" t="s">
        <v>983</v>
      </c>
      <c r="H1124" s="2" t="s">
        <v>984</v>
      </c>
      <c r="I1124" s="2"/>
      <c r="J1124" s="2" t="s">
        <v>28</v>
      </c>
    </row>
    <row r="1125" spans="1:10" ht="21" customHeight="1">
      <c r="A1125" s="2" t="s">
        <v>2115</v>
      </c>
      <c r="B1125" s="2" t="s">
        <v>28</v>
      </c>
      <c r="C1125" s="4">
        <v>45686.25</v>
      </c>
      <c r="D1125" s="4">
        <v>45686.250035358797</v>
      </c>
      <c r="E1125" s="2">
        <v>2.3199999999999998</v>
      </c>
      <c r="F1125" s="2">
        <v>62.4</v>
      </c>
      <c r="G1125" s="2" t="s">
        <v>983</v>
      </c>
      <c r="H1125" s="2" t="s">
        <v>984</v>
      </c>
      <c r="I1125" s="2"/>
      <c r="J1125" s="2" t="s">
        <v>28</v>
      </c>
    </row>
    <row r="1126" spans="1:10" ht="21" customHeight="1">
      <c r="A1126" s="2" t="s">
        <v>2116</v>
      </c>
      <c r="B1126" s="2" t="s">
        <v>28</v>
      </c>
      <c r="C1126" s="4">
        <v>45687.25</v>
      </c>
      <c r="D1126" s="4">
        <v>45687.250373437499</v>
      </c>
      <c r="E1126" s="2">
        <v>2.75</v>
      </c>
      <c r="F1126" s="2">
        <v>58.8</v>
      </c>
      <c r="G1126" s="2" t="s">
        <v>983</v>
      </c>
      <c r="H1126" s="2" t="s">
        <v>984</v>
      </c>
      <c r="I1126" s="2"/>
      <c r="J1126" s="2" t="s">
        <v>28</v>
      </c>
    </row>
    <row r="1127" spans="1:10" ht="21" customHeight="1">
      <c r="A1127" s="2" t="s">
        <v>2117</v>
      </c>
      <c r="B1127" s="2" t="s">
        <v>28</v>
      </c>
      <c r="C1127" s="4">
        <v>45688.25</v>
      </c>
      <c r="D1127" s="4">
        <v>45688.250549618053</v>
      </c>
      <c r="E1127" s="2">
        <v>2.4</v>
      </c>
      <c r="F1127" s="2">
        <v>65.3</v>
      </c>
      <c r="G1127" s="2" t="s">
        <v>983</v>
      </c>
      <c r="H1127" s="2" t="s">
        <v>984</v>
      </c>
      <c r="I1127" s="2"/>
      <c r="J1127" s="2" t="s">
        <v>28</v>
      </c>
    </row>
    <row r="1128" spans="1:10" ht="21" customHeight="1">
      <c r="A1128" s="2" t="s">
        <v>2118</v>
      </c>
      <c r="B1128" s="2" t="s">
        <v>28</v>
      </c>
      <c r="C1128" s="4">
        <v>45689.25</v>
      </c>
      <c r="D1128" s="4">
        <v>45689.250422476849</v>
      </c>
      <c r="E1128" s="2">
        <v>2.98</v>
      </c>
      <c r="F1128" s="2">
        <v>59.9</v>
      </c>
      <c r="G1128" s="2" t="s">
        <v>983</v>
      </c>
      <c r="H1128" s="2" t="s">
        <v>984</v>
      </c>
      <c r="I1128" s="2"/>
      <c r="J1128" s="2" t="s">
        <v>28</v>
      </c>
    </row>
    <row r="1129" spans="1:10" ht="21" customHeight="1">
      <c r="A1129" s="2" t="s">
        <v>2119</v>
      </c>
      <c r="B1129" s="2" t="s">
        <v>28</v>
      </c>
      <c r="C1129" s="4">
        <v>45690.25</v>
      </c>
      <c r="D1129" s="4">
        <v>45690.250039965278</v>
      </c>
      <c r="E1129" s="2">
        <v>2.48</v>
      </c>
      <c r="F1129" s="2">
        <v>65.2</v>
      </c>
      <c r="G1129" s="2" t="s">
        <v>983</v>
      </c>
      <c r="H1129" s="2" t="s">
        <v>984</v>
      </c>
      <c r="I1129" s="2"/>
      <c r="J1129" s="2" t="s">
        <v>28</v>
      </c>
    </row>
    <row r="1130" spans="1:10" ht="21" customHeight="1">
      <c r="A1130" s="2" t="s">
        <v>2120</v>
      </c>
      <c r="B1130" s="2" t="s">
        <v>28</v>
      </c>
      <c r="C1130" s="4">
        <v>45691.25</v>
      </c>
      <c r="D1130" s="4">
        <v>45691.250049386574</v>
      </c>
      <c r="E1130" s="2">
        <v>4.99</v>
      </c>
      <c r="F1130" s="2">
        <v>70.7</v>
      </c>
      <c r="G1130" s="2" t="s">
        <v>983</v>
      </c>
      <c r="H1130" s="2" t="s">
        <v>984</v>
      </c>
      <c r="I1130" s="2"/>
      <c r="J1130" s="2" t="s">
        <v>28</v>
      </c>
    </row>
    <row r="1131" spans="1:10" ht="21" customHeight="1">
      <c r="A1131" s="2" t="s">
        <v>2121</v>
      </c>
      <c r="B1131" s="2" t="s">
        <v>28</v>
      </c>
      <c r="C1131" s="4">
        <v>45692.25</v>
      </c>
      <c r="D1131" s="4">
        <v>45692.250018749997</v>
      </c>
      <c r="E1131" s="2">
        <v>4.6900000000000004</v>
      </c>
      <c r="F1131" s="2">
        <v>69.7</v>
      </c>
      <c r="G1131" s="2" t="s">
        <v>983</v>
      </c>
      <c r="H1131" s="2" t="s">
        <v>984</v>
      </c>
      <c r="I1131" s="2" t="s">
        <v>1053</v>
      </c>
      <c r="J1131" s="2" t="s">
        <v>28</v>
      </c>
    </row>
    <row r="1132" spans="1:10" ht="21" customHeight="1">
      <c r="A1132" s="2" t="s">
        <v>2122</v>
      </c>
      <c r="B1132" s="2" t="s">
        <v>28</v>
      </c>
      <c r="C1132" s="4">
        <v>45693.25</v>
      </c>
      <c r="D1132" s="4">
        <v>45693.250573055557</v>
      </c>
      <c r="E1132" s="2">
        <v>5.61</v>
      </c>
      <c r="F1132" s="2">
        <v>69.5</v>
      </c>
      <c r="G1132" s="2" t="s">
        <v>983</v>
      </c>
      <c r="H1132" s="2" t="s">
        <v>984</v>
      </c>
      <c r="I1132" s="2"/>
      <c r="J1132" s="2" t="s">
        <v>28</v>
      </c>
    </row>
    <row r="1133" spans="1:10" ht="21" customHeight="1">
      <c r="A1133" s="2" t="s">
        <v>2123</v>
      </c>
      <c r="B1133" s="2" t="s">
        <v>28</v>
      </c>
      <c r="C1133" s="4">
        <v>45694.25</v>
      </c>
      <c r="D1133" s="4">
        <v>45694.250581736109</v>
      </c>
      <c r="E1133" s="2">
        <v>0</v>
      </c>
      <c r="F1133" s="2">
        <v>60.3</v>
      </c>
      <c r="G1133" s="2" t="s">
        <v>1175</v>
      </c>
      <c r="H1133" s="2" t="s">
        <v>984</v>
      </c>
      <c r="I1133" s="2"/>
      <c r="J1133" s="2" t="s">
        <v>28</v>
      </c>
    </row>
    <row r="1134" spans="1:10" ht="21" customHeight="1">
      <c r="A1134" s="2" t="s">
        <v>2124</v>
      </c>
      <c r="B1134" s="2" t="s">
        <v>28</v>
      </c>
      <c r="C1134" s="4">
        <v>45695.25</v>
      </c>
      <c r="D1134" s="4">
        <v>45695.250010914351</v>
      </c>
      <c r="E1134" s="2">
        <v>2.31</v>
      </c>
      <c r="F1134" s="2">
        <v>63.1</v>
      </c>
      <c r="G1134" s="2" t="s">
        <v>983</v>
      </c>
      <c r="H1134" s="2" t="s">
        <v>984</v>
      </c>
      <c r="I1134" s="2"/>
      <c r="J1134" s="2" t="s">
        <v>28</v>
      </c>
    </row>
    <row r="1135" spans="1:10" ht="21" customHeight="1">
      <c r="A1135" s="2" t="s">
        <v>2125</v>
      </c>
      <c r="B1135" s="2" t="s">
        <v>28</v>
      </c>
      <c r="C1135" s="4">
        <v>45696.25</v>
      </c>
      <c r="D1135" s="4">
        <v>45696.250259780092</v>
      </c>
      <c r="E1135" s="2">
        <v>2.41</v>
      </c>
      <c r="F1135" s="2">
        <v>63.6</v>
      </c>
      <c r="G1135" s="2" t="s">
        <v>983</v>
      </c>
      <c r="H1135" s="2" t="s">
        <v>984</v>
      </c>
      <c r="I1135" s="2"/>
      <c r="J1135" s="2" t="s">
        <v>28</v>
      </c>
    </row>
    <row r="1136" spans="1:10" ht="21" customHeight="1">
      <c r="A1136" s="2" t="s">
        <v>2126</v>
      </c>
      <c r="B1136" s="2" t="s">
        <v>28</v>
      </c>
      <c r="C1136" s="4">
        <v>45697.25</v>
      </c>
      <c r="D1136" s="4">
        <v>45697.25021662037</v>
      </c>
      <c r="E1136" s="2">
        <v>2.73</v>
      </c>
      <c r="F1136" s="2">
        <v>65.3</v>
      </c>
      <c r="G1136" s="2" t="s">
        <v>983</v>
      </c>
      <c r="H1136" s="2" t="s">
        <v>984</v>
      </c>
      <c r="I1136" s="2"/>
      <c r="J1136" s="2" t="s">
        <v>28</v>
      </c>
    </row>
    <row r="1137" spans="1:10" ht="21" customHeight="1">
      <c r="A1137" s="2" t="s">
        <v>2127</v>
      </c>
      <c r="B1137" s="2" t="s">
        <v>28</v>
      </c>
      <c r="C1137" s="4">
        <v>45698.25</v>
      </c>
      <c r="D1137" s="4">
        <v>45698.250634965283</v>
      </c>
      <c r="E1137" s="2">
        <v>3.09</v>
      </c>
      <c r="F1137" s="2">
        <v>61.8</v>
      </c>
      <c r="G1137" s="2" t="s">
        <v>983</v>
      </c>
      <c r="H1137" s="2" t="s">
        <v>984</v>
      </c>
      <c r="I1137" s="2"/>
      <c r="J1137" s="2" t="s">
        <v>28</v>
      </c>
    </row>
    <row r="1138" spans="1:10" ht="21" customHeight="1">
      <c r="A1138" s="2" t="s">
        <v>2128</v>
      </c>
      <c r="B1138" s="2" t="s">
        <v>28</v>
      </c>
      <c r="C1138" s="4">
        <v>45699.25</v>
      </c>
      <c r="D1138" s="4">
        <v>45699.250688842592</v>
      </c>
      <c r="E1138" s="2">
        <v>2.44</v>
      </c>
      <c r="F1138" s="2">
        <v>63.4</v>
      </c>
      <c r="G1138" s="2" t="s">
        <v>983</v>
      </c>
      <c r="H1138" s="2" t="s">
        <v>984</v>
      </c>
      <c r="I1138" s="2"/>
      <c r="J1138" s="2" t="s">
        <v>28</v>
      </c>
    </row>
    <row r="1139" spans="1:10" ht="21" customHeight="1">
      <c r="A1139" s="2" t="s">
        <v>2129</v>
      </c>
      <c r="B1139" s="2" t="s">
        <v>28</v>
      </c>
      <c r="C1139" s="4">
        <v>45700.25</v>
      </c>
      <c r="D1139" s="4">
        <v>45700.25035037037</v>
      </c>
      <c r="E1139" s="2">
        <v>3.2</v>
      </c>
      <c r="F1139" s="2">
        <v>65.8</v>
      </c>
      <c r="G1139" s="2" t="s">
        <v>983</v>
      </c>
      <c r="H1139" s="2" t="s">
        <v>984</v>
      </c>
      <c r="I1139" s="2"/>
      <c r="J1139" s="2" t="s">
        <v>28</v>
      </c>
    </row>
    <row r="1140" spans="1:10" ht="21" customHeight="1">
      <c r="A1140" s="2" t="s">
        <v>2130</v>
      </c>
      <c r="B1140" s="2" t="s">
        <v>28</v>
      </c>
      <c r="C1140" s="4">
        <v>45701.25</v>
      </c>
      <c r="D1140" s="4">
        <v>45701.250345682871</v>
      </c>
      <c r="E1140" s="2">
        <v>3.09</v>
      </c>
      <c r="F1140" s="2">
        <v>63.9</v>
      </c>
      <c r="G1140" s="2" t="s">
        <v>983</v>
      </c>
      <c r="H1140" s="2" t="s">
        <v>984</v>
      </c>
      <c r="I1140" s="2"/>
      <c r="J1140" s="2" t="s">
        <v>28</v>
      </c>
    </row>
    <row r="1141" spans="1:10" ht="21" customHeight="1">
      <c r="A1141" s="2" t="s">
        <v>2131</v>
      </c>
      <c r="B1141" s="2" t="s">
        <v>28</v>
      </c>
      <c r="C1141" s="4">
        <v>45702.25</v>
      </c>
      <c r="D1141" s="4">
        <v>45702.250495787041</v>
      </c>
      <c r="E1141" s="2">
        <v>2.29</v>
      </c>
      <c r="F1141" s="2">
        <v>65.7</v>
      </c>
      <c r="G1141" s="2" t="s">
        <v>983</v>
      </c>
      <c r="H1141" s="2" t="s">
        <v>984</v>
      </c>
      <c r="I1141" s="2"/>
      <c r="J1141" s="2" t="s">
        <v>28</v>
      </c>
    </row>
    <row r="1142" spans="1:10" ht="21" customHeight="1">
      <c r="A1142" s="2" t="s">
        <v>2132</v>
      </c>
      <c r="B1142" s="2" t="s">
        <v>28</v>
      </c>
      <c r="C1142" s="4">
        <v>45703.25</v>
      </c>
      <c r="D1142" s="4">
        <v>45703.250283692134</v>
      </c>
      <c r="E1142" s="2">
        <v>3.1</v>
      </c>
      <c r="F1142" s="2">
        <v>62.1</v>
      </c>
      <c r="G1142" s="2" t="s">
        <v>983</v>
      </c>
      <c r="H1142" s="2" t="s">
        <v>984</v>
      </c>
      <c r="I1142" s="2"/>
      <c r="J1142" s="2" t="s">
        <v>28</v>
      </c>
    </row>
    <row r="1143" spans="1:10" ht="21" customHeight="1">
      <c r="A1143" s="2" t="s">
        <v>2133</v>
      </c>
      <c r="B1143" s="2" t="s">
        <v>28</v>
      </c>
      <c r="C1143" s="4">
        <v>45704.25</v>
      </c>
      <c r="D1143" s="4">
        <v>45704.250024386572</v>
      </c>
      <c r="E1143" s="2">
        <v>2.54</v>
      </c>
      <c r="F1143" s="2">
        <v>62</v>
      </c>
      <c r="G1143" s="2" t="s">
        <v>983</v>
      </c>
      <c r="H1143" s="2" t="s">
        <v>984</v>
      </c>
      <c r="I1143" s="2"/>
      <c r="J1143" s="2" t="s">
        <v>28</v>
      </c>
    </row>
    <row r="1144" spans="1:10" ht="21" customHeight="1">
      <c r="A1144" s="2" t="s">
        <v>2134</v>
      </c>
      <c r="B1144" s="2" t="s">
        <v>28</v>
      </c>
      <c r="C1144" s="4">
        <v>45705.25</v>
      </c>
      <c r="D1144" s="4">
        <v>45705.250197951391</v>
      </c>
      <c r="E1144" s="2">
        <v>3.02</v>
      </c>
      <c r="F1144" s="2">
        <v>59.2</v>
      </c>
      <c r="G1144" s="2" t="s">
        <v>983</v>
      </c>
      <c r="H1144" s="2" t="s">
        <v>984</v>
      </c>
      <c r="I1144" s="2"/>
      <c r="J1144" s="2" t="s">
        <v>28</v>
      </c>
    </row>
    <row r="1145" spans="1:10" ht="21" customHeight="1">
      <c r="A1145" s="2" t="s">
        <v>2135</v>
      </c>
      <c r="B1145" s="2" t="s">
        <v>28</v>
      </c>
      <c r="C1145" s="4">
        <v>45706.25</v>
      </c>
      <c r="D1145" s="4">
        <v>45706.250275243059</v>
      </c>
      <c r="E1145" s="2">
        <v>2.37</v>
      </c>
      <c r="F1145" s="2">
        <v>64.7</v>
      </c>
      <c r="G1145" s="2" t="s">
        <v>983</v>
      </c>
      <c r="H1145" s="2" t="s">
        <v>984</v>
      </c>
      <c r="I1145" s="2"/>
      <c r="J1145" s="2" t="s">
        <v>28</v>
      </c>
    </row>
    <row r="1146" spans="1:10" ht="21" customHeight="1">
      <c r="A1146" s="2" t="s">
        <v>2136</v>
      </c>
      <c r="B1146" s="2" t="s">
        <v>28</v>
      </c>
      <c r="C1146" s="4">
        <v>45707.25</v>
      </c>
      <c r="D1146" s="4">
        <v>45707.250613842596</v>
      </c>
      <c r="E1146" s="2">
        <v>2.1</v>
      </c>
      <c r="F1146" s="2">
        <v>63.1</v>
      </c>
      <c r="G1146" s="2" t="s">
        <v>983</v>
      </c>
      <c r="H1146" s="2" t="s">
        <v>984</v>
      </c>
      <c r="I1146" s="2"/>
      <c r="J1146" s="2" t="s">
        <v>28</v>
      </c>
    </row>
    <row r="1147" spans="1:10" ht="21" customHeight="1">
      <c r="A1147" s="2" t="s">
        <v>2137</v>
      </c>
      <c r="B1147" s="2" t="s">
        <v>28</v>
      </c>
      <c r="C1147" s="4">
        <v>45708.25</v>
      </c>
      <c r="D1147" s="4">
        <v>45708.250512245373</v>
      </c>
      <c r="E1147" s="2">
        <v>6.89</v>
      </c>
      <c r="F1147" s="2">
        <v>65.7</v>
      </c>
      <c r="G1147" s="2" t="s">
        <v>983</v>
      </c>
      <c r="H1147" s="2" t="s">
        <v>984</v>
      </c>
      <c r="I1147" s="2" t="s">
        <v>1053</v>
      </c>
      <c r="J1147" s="2" t="s">
        <v>28</v>
      </c>
    </row>
    <row r="1148" spans="1:10" ht="21" customHeight="1">
      <c r="A1148" s="2" t="s">
        <v>2138</v>
      </c>
      <c r="B1148" s="2" t="s">
        <v>28</v>
      </c>
      <c r="C1148" s="4">
        <v>45709.25</v>
      </c>
      <c r="D1148" s="4">
        <v>45709.250573206024</v>
      </c>
      <c r="E1148" s="2">
        <v>5.98</v>
      </c>
      <c r="F1148" s="2">
        <v>65.8</v>
      </c>
      <c r="G1148" s="2" t="s">
        <v>983</v>
      </c>
      <c r="H1148" s="2" t="s">
        <v>984</v>
      </c>
      <c r="I1148" s="2" t="s">
        <v>985</v>
      </c>
      <c r="J1148" s="2" t="s">
        <v>28</v>
      </c>
    </row>
    <row r="1149" spans="1:10" ht="21" customHeight="1">
      <c r="A1149" s="2" t="s">
        <v>2139</v>
      </c>
      <c r="B1149" s="2" t="s">
        <v>28</v>
      </c>
      <c r="C1149" s="4">
        <v>45710.25</v>
      </c>
      <c r="D1149" s="4">
        <v>45710.250078657409</v>
      </c>
      <c r="E1149" s="2">
        <v>6.17</v>
      </c>
      <c r="F1149" s="2">
        <v>71.2</v>
      </c>
      <c r="G1149" s="2" t="s">
        <v>983</v>
      </c>
      <c r="H1149" s="2" t="s">
        <v>984</v>
      </c>
      <c r="I1149" s="2" t="s">
        <v>1053</v>
      </c>
      <c r="J1149" s="2" t="s">
        <v>28</v>
      </c>
    </row>
    <row r="1150" spans="1:10" ht="21" customHeight="1">
      <c r="A1150" s="2" t="s">
        <v>2140</v>
      </c>
      <c r="B1150" s="2" t="s">
        <v>2099</v>
      </c>
      <c r="C1150" s="4">
        <v>45711.25</v>
      </c>
      <c r="D1150" s="4">
        <v>45711.250334189812</v>
      </c>
      <c r="E1150" s="2">
        <v>0</v>
      </c>
      <c r="F1150" s="2">
        <v>64.5</v>
      </c>
      <c r="G1150" s="2" t="s">
        <v>1175</v>
      </c>
      <c r="H1150" s="2" t="s">
        <v>984</v>
      </c>
      <c r="I1150" s="2"/>
      <c r="J1150" s="2" t="s">
        <v>28</v>
      </c>
    </row>
    <row r="1151" spans="1:10" ht="21" customHeight="1">
      <c r="A1151" s="2" t="s">
        <v>2141</v>
      </c>
      <c r="B1151" s="2" t="s">
        <v>28</v>
      </c>
      <c r="C1151" s="4">
        <v>45712.25</v>
      </c>
      <c r="D1151" s="4">
        <v>45712.250005150461</v>
      </c>
      <c r="E1151" s="2">
        <v>2.89</v>
      </c>
      <c r="F1151" s="2">
        <v>59.7</v>
      </c>
      <c r="G1151" s="2" t="s">
        <v>983</v>
      </c>
      <c r="H1151" s="2" t="s">
        <v>984</v>
      </c>
      <c r="I1151" s="2"/>
      <c r="J1151" s="2" t="s">
        <v>28</v>
      </c>
    </row>
    <row r="1152" spans="1:10" ht="21" customHeight="1">
      <c r="A1152" s="2" t="s">
        <v>2142</v>
      </c>
      <c r="B1152" s="2" t="s">
        <v>28</v>
      </c>
      <c r="C1152" s="4">
        <v>45713.25</v>
      </c>
      <c r="D1152" s="4">
        <v>45713.250076249999</v>
      </c>
      <c r="E1152" s="2">
        <v>2.67</v>
      </c>
      <c r="F1152" s="2">
        <v>63.9</v>
      </c>
      <c r="G1152" s="2" t="s">
        <v>983</v>
      </c>
      <c r="H1152" s="2" t="s">
        <v>984</v>
      </c>
      <c r="I1152" s="2"/>
      <c r="J1152" s="2" t="s">
        <v>28</v>
      </c>
    </row>
    <row r="1153" spans="1:10" ht="21" customHeight="1">
      <c r="A1153" s="2" t="s">
        <v>2143</v>
      </c>
      <c r="B1153" s="2" t="s">
        <v>28</v>
      </c>
      <c r="C1153" s="4">
        <v>45714.25</v>
      </c>
      <c r="D1153" s="4">
        <v>45714.250177650465</v>
      </c>
      <c r="E1153" s="2">
        <v>2.84</v>
      </c>
      <c r="F1153" s="2">
        <v>61.9</v>
      </c>
      <c r="G1153" s="2" t="s">
        <v>983</v>
      </c>
      <c r="H1153" s="2" t="s">
        <v>984</v>
      </c>
      <c r="I1153" s="2"/>
      <c r="J1153" s="2" t="s">
        <v>28</v>
      </c>
    </row>
    <row r="1154" spans="1:10" ht="21" customHeight="1">
      <c r="A1154" s="2" t="s">
        <v>2144</v>
      </c>
      <c r="B1154" s="2" t="s">
        <v>28</v>
      </c>
      <c r="C1154" s="4">
        <v>45715.25</v>
      </c>
      <c r="D1154" s="4">
        <v>45715.250664097221</v>
      </c>
      <c r="E1154" s="2">
        <v>2.17</v>
      </c>
      <c r="F1154" s="2">
        <v>61.3</v>
      </c>
      <c r="G1154" s="2" t="s">
        <v>983</v>
      </c>
      <c r="H1154" s="2" t="s">
        <v>984</v>
      </c>
      <c r="I1154" s="2"/>
      <c r="J1154" s="2" t="s">
        <v>28</v>
      </c>
    </row>
    <row r="1155" spans="1:10" ht="21" customHeight="1">
      <c r="A1155" s="2" t="s">
        <v>2145</v>
      </c>
      <c r="B1155" s="2" t="s">
        <v>28</v>
      </c>
      <c r="C1155" s="4">
        <v>45716.25</v>
      </c>
      <c r="D1155" s="4">
        <v>45716.250410034721</v>
      </c>
      <c r="E1155" s="2">
        <v>2.97</v>
      </c>
      <c r="F1155" s="2">
        <v>58.3</v>
      </c>
      <c r="G1155" s="2" t="s">
        <v>983</v>
      </c>
      <c r="H1155" s="2" t="s">
        <v>984</v>
      </c>
      <c r="I1155" s="2"/>
      <c r="J1155" s="2" t="s">
        <v>28</v>
      </c>
    </row>
    <row r="1156" spans="1:10" ht="21" customHeight="1">
      <c r="A1156" s="2" t="s">
        <v>2146</v>
      </c>
      <c r="B1156" s="2" t="s">
        <v>28</v>
      </c>
      <c r="C1156" s="4">
        <v>45717.25</v>
      </c>
      <c r="D1156" s="4">
        <v>45717.250482974538</v>
      </c>
      <c r="E1156" s="2"/>
      <c r="F1156" s="2"/>
      <c r="G1156" s="2" t="s">
        <v>983</v>
      </c>
      <c r="H1156" s="2" t="s">
        <v>1066</v>
      </c>
      <c r="I1156" s="2"/>
      <c r="J1156" s="2" t="s">
        <v>28</v>
      </c>
    </row>
    <row r="1157" spans="1:10" ht="21" customHeight="1">
      <c r="A1157" s="2" t="s">
        <v>2147</v>
      </c>
      <c r="B1157" s="2" t="s">
        <v>28</v>
      </c>
      <c r="C1157" s="4">
        <v>45718.25</v>
      </c>
      <c r="D1157" s="4">
        <v>45718.250282361114</v>
      </c>
      <c r="E1157" s="2">
        <v>2.2000000000000002</v>
      </c>
      <c r="F1157" s="2">
        <v>62</v>
      </c>
      <c r="G1157" s="2" t="s">
        <v>983</v>
      </c>
      <c r="H1157" s="2" t="s">
        <v>984</v>
      </c>
      <c r="I1157" s="2"/>
      <c r="J1157" s="2" t="s">
        <v>28</v>
      </c>
    </row>
    <row r="1158" spans="1:10" ht="21" customHeight="1">
      <c r="A1158" s="2" t="s">
        <v>2148</v>
      </c>
      <c r="B1158" s="2" t="s">
        <v>28</v>
      </c>
      <c r="C1158" s="4">
        <v>45719.25</v>
      </c>
      <c r="D1158" s="4">
        <v>45719.250080451384</v>
      </c>
      <c r="E1158" s="2">
        <v>3.28</v>
      </c>
      <c r="F1158" s="2">
        <v>62.2</v>
      </c>
      <c r="G1158" s="2" t="s">
        <v>983</v>
      </c>
      <c r="H1158" s="2" t="s">
        <v>984</v>
      </c>
      <c r="I1158" s="2"/>
      <c r="J1158" s="2" t="s">
        <v>28</v>
      </c>
    </row>
    <row r="1159" spans="1:10" ht="21" customHeight="1">
      <c r="A1159" s="2" t="s">
        <v>2149</v>
      </c>
      <c r="B1159" s="2" t="s">
        <v>28</v>
      </c>
      <c r="C1159" s="4">
        <v>45720.25</v>
      </c>
      <c r="D1159" s="4">
        <v>45720.250098310185</v>
      </c>
      <c r="E1159" s="2">
        <v>2.54</v>
      </c>
      <c r="F1159" s="2">
        <v>65.3</v>
      </c>
      <c r="G1159" s="2" t="s">
        <v>983</v>
      </c>
      <c r="H1159" s="2" t="s">
        <v>984</v>
      </c>
      <c r="I1159" s="2"/>
      <c r="J1159" s="2" t="s">
        <v>28</v>
      </c>
    </row>
    <row r="1160" spans="1:10" ht="21" customHeight="1">
      <c r="A1160" s="2" t="s">
        <v>2150</v>
      </c>
      <c r="B1160" s="2" t="s">
        <v>28</v>
      </c>
      <c r="C1160" s="4">
        <v>45721.25</v>
      </c>
      <c r="D1160" s="4">
        <v>45721.250573518519</v>
      </c>
      <c r="E1160" s="2">
        <v>2.94</v>
      </c>
      <c r="F1160" s="2">
        <v>59.7</v>
      </c>
      <c r="G1160" s="2" t="s">
        <v>983</v>
      </c>
      <c r="H1160" s="2" t="s">
        <v>984</v>
      </c>
      <c r="I1160" s="2"/>
      <c r="J1160" s="2" t="s">
        <v>28</v>
      </c>
    </row>
    <row r="1161" spans="1:10" ht="21" customHeight="1">
      <c r="A1161" s="2" t="s">
        <v>2151</v>
      </c>
      <c r="B1161" s="2" t="s">
        <v>28</v>
      </c>
      <c r="C1161" s="4">
        <v>45722.25</v>
      </c>
      <c r="D1161" s="4">
        <v>45722.250248622688</v>
      </c>
      <c r="E1161" s="2">
        <v>3.05</v>
      </c>
      <c r="F1161" s="2">
        <v>63.8</v>
      </c>
      <c r="G1161" s="2" t="s">
        <v>983</v>
      </c>
      <c r="H1161" s="2" t="s">
        <v>984</v>
      </c>
      <c r="I1161" s="2"/>
      <c r="J1161" s="2" t="s">
        <v>28</v>
      </c>
    </row>
    <row r="1162" spans="1:10" ht="21" customHeight="1">
      <c r="A1162" s="2" t="s">
        <v>2152</v>
      </c>
      <c r="B1162" s="2" t="s">
        <v>28</v>
      </c>
      <c r="C1162" s="4">
        <v>45723.25</v>
      </c>
      <c r="D1162" s="4">
        <v>45723.250104340274</v>
      </c>
      <c r="E1162" s="2">
        <v>2.94</v>
      </c>
      <c r="F1162" s="2">
        <v>58.4</v>
      </c>
      <c r="G1162" s="2" t="s">
        <v>983</v>
      </c>
      <c r="H1162" s="2" t="s">
        <v>984</v>
      </c>
      <c r="I1162" s="2"/>
      <c r="J1162" s="2" t="s">
        <v>28</v>
      </c>
    </row>
    <row r="1163" spans="1:10" ht="21" customHeight="1">
      <c r="A1163" s="2" t="s">
        <v>2153</v>
      </c>
      <c r="B1163" s="2" t="s">
        <v>28</v>
      </c>
      <c r="C1163" s="4">
        <v>45724.25</v>
      </c>
      <c r="D1163" s="4">
        <v>45724.250380046295</v>
      </c>
      <c r="E1163" s="2">
        <v>2.96</v>
      </c>
      <c r="F1163" s="2">
        <v>60</v>
      </c>
      <c r="G1163" s="2" t="s">
        <v>983</v>
      </c>
      <c r="H1163" s="2" t="s">
        <v>984</v>
      </c>
      <c r="I1163" s="2"/>
      <c r="J1163" s="2" t="s">
        <v>28</v>
      </c>
    </row>
    <row r="1164" spans="1:10" ht="21" customHeight="1">
      <c r="A1164" s="2" t="s">
        <v>2154</v>
      </c>
      <c r="B1164" s="2" t="s">
        <v>28</v>
      </c>
      <c r="C1164" s="4">
        <v>45725.25</v>
      </c>
      <c r="D1164" s="4">
        <v>45725.250615069446</v>
      </c>
      <c r="E1164" s="2">
        <v>2.91</v>
      </c>
      <c r="F1164" s="2">
        <v>65.8</v>
      </c>
      <c r="G1164" s="2" t="s">
        <v>983</v>
      </c>
      <c r="H1164" s="2" t="s">
        <v>984</v>
      </c>
      <c r="I1164" s="2"/>
      <c r="J1164" s="2" t="s">
        <v>28</v>
      </c>
    </row>
    <row r="1165" spans="1:10" ht="21" customHeight="1">
      <c r="A1165" s="2" t="s">
        <v>2155</v>
      </c>
      <c r="B1165" s="2" t="s">
        <v>28</v>
      </c>
      <c r="C1165" s="4">
        <v>45726.25</v>
      </c>
      <c r="D1165" s="4">
        <v>45726.250087326393</v>
      </c>
      <c r="E1165" s="2">
        <v>2.14</v>
      </c>
      <c r="F1165" s="2">
        <v>64.400000000000006</v>
      </c>
      <c r="G1165" s="2" t="s">
        <v>983</v>
      </c>
      <c r="H1165" s="2" t="s">
        <v>984</v>
      </c>
      <c r="I1165" s="2" t="s">
        <v>985</v>
      </c>
      <c r="J1165" s="2" t="s">
        <v>28</v>
      </c>
    </row>
    <row r="1166" spans="1:10" ht="21" customHeight="1">
      <c r="A1166" s="2" t="s">
        <v>2156</v>
      </c>
      <c r="B1166" s="2" t="s">
        <v>28</v>
      </c>
      <c r="C1166" s="4">
        <v>45727.25</v>
      </c>
      <c r="D1166" s="4">
        <v>45727.250124652783</v>
      </c>
      <c r="E1166" s="2">
        <v>2.48</v>
      </c>
      <c r="F1166" s="2">
        <v>58</v>
      </c>
      <c r="G1166" s="2" t="s">
        <v>983</v>
      </c>
      <c r="H1166" s="2" t="s">
        <v>984</v>
      </c>
      <c r="I1166" s="2"/>
      <c r="J1166" s="2" t="s">
        <v>28</v>
      </c>
    </row>
    <row r="1167" spans="1:10" ht="21" customHeight="1">
      <c r="A1167" s="2" t="s">
        <v>2157</v>
      </c>
      <c r="B1167" s="2" t="s">
        <v>28</v>
      </c>
      <c r="C1167" s="4">
        <v>45728.25</v>
      </c>
      <c r="D1167" s="4">
        <v>45728.250282986111</v>
      </c>
      <c r="E1167" s="2">
        <v>2.91</v>
      </c>
      <c r="F1167" s="2">
        <v>58.9</v>
      </c>
      <c r="G1167" s="2" t="s">
        <v>983</v>
      </c>
      <c r="H1167" s="2" t="s">
        <v>984</v>
      </c>
      <c r="I1167" s="2"/>
      <c r="J1167" s="2" t="s">
        <v>28</v>
      </c>
    </row>
    <row r="1168" spans="1:10" ht="21" customHeight="1">
      <c r="A1168" s="2" t="s">
        <v>2158</v>
      </c>
      <c r="B1168" s="2" t="s">
        <v>28</v>
      </c>
      <c r="C1168" s="4">
        <v>45729.25</v>
      </c>
      <c r="D1168" s="4">
        <v>45729.25040636574</v>
      </c>
      <c r="E1168" s="2">
        <v>3.26</v>
      </c>
      <c r="F1168" s="2">
        <v>60.8</v>
      </c>
      <c r="G1168" s="2" t="s">
        <v>983</v>
      </c>
      <c r="H1168" s="2" t="s">
        <v>984</v>
      </c>
      <c r="I1168" s="2"/>
      <c r="J1168" s="2" t="s">
        <v>28</v>
      </c>
    </row>
    <row r="1169" spans="1:10" ht="21" customHeight="1">
      <c r="A1169" s="2" t="s">
        <v>2159</v>
      </c>
      <c r="B1169" s="2" t="s">
        <v>28</v>
      </c>
      <c r="C1169" s="4">
        <v>45730.25</v>
      </c>
      <c r="D1169" s="4">
        <v>45730.250561944442</v>
      </c>
      <c r="E1169" s="2">
        <v>2.38</v>
      </c>
      <c r="F1169" s="2">
        <v>59.3</v>
      </c>
      <c r="G1169" s="2" t="s">
        <v>983</v>
      </c>
      <c r="H1169" s="2" t="s">
        <v>984</v>
      </c>
      <c r="I1169" s="2"/>
      <c r="J1169" s="2" t="s">
        <v>28</v>
      </c>
    </row>
    <row r="1170" spans="1:10" ht="21" customHeight="1">
      <c r="A1170" s="2" t="s">
        <v>2160</v>
      </c>
      <c r="B1170" s="2" t="s">
        <v>28</v>
      </c>
      <c r="C1170" s="4">
        <v>45731.25</v>
      </c>
      <c r="D1170" s="4">
        <v>45731.250275416663</v>
      </c>
      <c r="E1170" s="2">
        <v>2.5</v>
      </c>
      <c r="F1170" s="2">
        <v>61.2</v>
      </c>
      <c r="G1170" s="2" t="s">
        <v>983</v>
      </c>
      <c r="H1170" s="2" t="s">
        <v>984</v>
      </c>
      <c r="I1170" s="2"/>
      <c r="J1170" s="2" t="s">
        <v>28</v>
      </c>
    </row>
    <row r="1171" spans="1:10" ht="21" customHeight="1">
      <c r="A1171" s="2" t="s">
        <v>2161</v>
      </c>
      <c r="B1171" s="2" t="s">
        <v>28</v>
      </c>
      <c r="C1171" s="4">
        <v>45732.25</v>
      </c>
      <c r="D1171" s="4">
        <v>45732.250690439818</v>
      </c>
      <c r="E1171" s="2">
        <v>3.08</v>
      </c>
      <c r="F1171" s="2">
        <v>62.1</v>
      </c>
      <c r="G1171" s="2" t="s">
        <v>983</v>
      </c>
      <c r="H1171" s="2" t="s">
        <v>984</v>
      </c>
      <c r="I1171" s="2"/>
      <c r="J1171" s="2" t="s">
        <v>28</v>
      </c>
    </row>
    <row r="1172" spans="1:10" ht="21" customHeight="1">
      <c r="A1172" s="2" t="s">
        <v>2162</v>
      </c>
      <c r="B1172" s="2" t="s">
        <v>28</v>
      </c>
      <c r="C1172" s="4">
        <v>45733.25</v>
      </c>
      <c r="D1172" s="4">
        <v>45733.25016019676</v>
      </c>
      <c r="E1172" s="2">
        <v>2.21</v>
      </c>
      <c r="F1172" s="2">
        <v>65</v>
      </c>
      <c r="G1172" s="2" t="s">
        <v>983</v>
      </c>
      <c r="H1172" s="2" t="s">
        <v>984</v>
      </c>
      <c r="I1172" s="2"/>
      <c r="J1172" s="2" t="s">
        <v>28</v>
      </c>
    </row>
    <row r="1173" spans="1:10" ht="21" customHeight="1">
      <c r="A1173" s="2" t="s">
        <v>2163</v>
      </c>
      <c r="B1173" s="2" t="s">
        <v>28</v>
      </c>
      <c r="C1173" s="4">
        <v>45734.25</v>
      </c>
      <c r="D1173" s="4">
        <v>45734.250279212967</v>
      </c>
      <c r="E1173" s="2">
        <v>3.12</v>
      </c>
      <c r="F1173" s="2">
        <v>63.5</v>
      </c>
      <c r="G1173" s="2" t="s">
        <v>983</v>
      </c>
      <c r="H1173" s="2" t="s">
        <v>984</v>
      </c>
      <c r="I1173" s="2"/>
      <c r="J1173" s="2" t="s">
        <v>28</v>
      </c>
    </row>
    <row r="1174" spans="1:10" ht="21" customHeight="1">
      <c r="A1174" s="2" t="s">
        <v>2164</v>
      </c>
      <c r="B1174" s="2" t="s">
        <v>28</v>
      </c>
      <c r="C1174" s="4">
        <v>45735.25</v>
      </c>
      <c r="D1174" s="4">
        <v>45735.250402152778</v>
      </c>
      <c r="E1174" s="2">
        <v>2.23</v>
      </c>
      <c r="F1174" s="2">
        <v>59.4</v>
      </c>
      <c r="G1174" s="2" t="s">
        <v>983</v>
      </c>
      <c r="H1174" s="2" t="s">
        <v>984</v>
      </c>
      <c r="I1174" s="2"/>
      <c r="J1174" s="2" t="s">
        <v>28</v>
      </c>
    </row>
    <row r="1175" spans="1:10" ht="21" customHeight="1">
      <c r="A1175" s="2" t="s">
        <v>2165</v>
      </c>
      <c r="B1175" s="2" t="s">
        <v>28</v>
      </c>
      <c r="C1175" s="4">
        <v>45736.25</v>
      </c>
      <c r="D1175" s="4">
        <v>45736.250311944445</v>
      </c>
      <c r="E1175" s="2">
        <v>2.74</v>
      </c>
      <c r="F1175" s="2">
        <v>60.2</v>
      </c>
      <c r="G1175" s="2" t="s">
        <v>983</v>
      </c>
      <c r="H1175" s="2" t="s">
        <v>984</v>
      </c>
      <c r="I1175" s="2"/>
      <c r="J1175" s="2" t="s">
        <v>28</v>
      </c>
    </row>
    <row r="1176" spans="1:10" ht="21" customHeight="1">
      <c r="A1176" s="2" t="s">
        <v>2166</v>
      </c>
      <c r="B1176" s="2" t="s">
        <v>28</v>
      </c>
      <c r="C1176" s="4">
        <v>45737.25</v>
      </c>
      <c r="D1176" s="4">
        <v>45737.250171273146</v>
      </c>
      <c r="E1176" s="2">
        <v>2.2599999999999998</v>
      </c>
      <c r="F1176" s="2">
        <v>63.6</v>
      </c>
      <c r="G1176" s="2" t="s">
        <v>983</v>
      </c>
      <c r="H1176" s="2" t="s">
        <v>984</v>
      </c>
      <c r="I1176" s="2"/>
      <c r="J1176" s="2" t="s">
        <v>28</v>
      </c>
    </row>
    <row r="1177" spans="1:10" ht="21" customHeight="1">
      <c r="A1177" s="2" t="s">
        <v>2167</v>
      </c>
      <c r="B1177" s="2" t="s">
        <v>28</v>
      </c>
      <c r="C1177" s="4">
        <v>45738.25</v>
      </c>
      <c r="D1177" s="4">
        <v>45738.250655393524</v>
      </c>
      <c r="E1177" s="2">
        <v>3.08</v>
      </c>
      <c r="F1177" s="2">
        <v>59.6</v>
      </c>
      <c r="G1177" s="2" t="s">
        <v>983</v>
      </c>
      <c r="H1177" s="2" t="s">
        <v>984</v>
      </c>
      <c r="I1177" s="2"/>
      <c r="J1177" s="2" t="s">
        <v>28</v>
      </c>
    </row>
    <row r="1178" spans="1:10" ht="21" customHeight="1">
      <c r="A1178" s="2" t="s">
        <v>2168</v>
      </c>
      <c r="B1178" s="2" t="s">
        <v>28</v>
      </c>
      <c r="C1178" s="4">
        <v>45739.25</v>
      </c>
      <c r="D1178" s="4">
        <v>45739.250206168981</v>
      </c>
      <c r="E1178" s="2">
        <v>3.13</v>
      </c>
      <c r="F1178" s="2">
        <v>61.4</v>
      </c>
      <c r="G1178" s="2" t="s">
        <v>983</v>
      </c>
      <c r="H1178" s="2" t="s">
        <v>984</v>
      </c>
      <c r="I1178" s="2"/>
      <c r="J1178" s="2" t="s">
        <v>28</v>
      </c>
    </row>
    <row r="1179" spans="1:10" ht="21" customHeight="1">
      <c r="A1179" s="2" t="s">
        <v>2169</v>
      </c>
      <c r="B1179" s="2" t="s">
        <v>28</v>
      </c>
      <c r="C1179" s="4">
        <v>45740.25</v>
      </c>
      <c r="D1179" s="4">
        <v>45740.250511527775</v>
      </c>
      <c r="E1179" s="2">
        <v>3.1</v>
      </c>
      <c r="F1179" s="2">
        <v>65.8</v>
      </c>
      <c r="G1179" s="2" t="s">
        <v>983</v>
      </c>
      <c r="H1179" s="2" t="s">
        <v>984</v>
      </c>
      <c r="I1179" s="2"/>
      <c r="J1179" s="2" t="s">
        <v>28</v>
      </c>
    </row>
    <row r="1180" spans="1:10" ht="21" customHeight="1">
      <c r="A1180" s="2" t="s">
        <v>2170</v>
      </c>
      <c r="B1180" s="2" t="s">
        <v>28</v>
      </c>
      <c r="C1180" s="4">
        <v>45741.25</v>
      </c>
      <c r="D1180" s="4">
        <v>45741.2506259375</v>
      </c>
      <c r="E1180" s="2"/>
      <c r="F1180" s="2"/>
      <c r="G1180" s="2" t="s">
        <v>983</v>
      </c>
      <c r="H1180" s="2" t="s">
        <v>1066</v>
      </c>
      <c r="I1180" s="2"/>
      <c r="J1180" s="2" t="s">
        <v>28</v>
      </c>
    </row>
    <row r="1181" spans="1:10" ht="21" customHeight="1">
      <c r="A1181" s="2" t="s">
        <v>2171</v>
      </c>
      <c r="B1181" s="2" t="s">
        <v>28</v>
      </c>
      <c r="C1181" s="4">
        <v>45742.25</v>
      </c>
      <c r="D1181" s="4">
        <v>45742.250453020832</v>
      </c>
      <c r="E1181" s="2">
        <v>2.5299999999999998</v>
      </c>
      <c r="F1181" s="2">
        <v>65.099999999999994</v>
      </c>
      <c r="G1181" s="2" t="s">
        <v>983</v>
      </c>
      <c r="H1181" s="2" t="s">
        <v>984</v>
      </c>
      <c r="I1181" s="2"/>
      <c r="J1181" s="2" t="s">
        <v>28</v>
      </c>
    </row>
    <row r="1182" spans="1:10" ht="21" customHeight="1">
      <c r="A1182" s="2" t="s">
        <v>2172</v>
      </c>
      <c r="B1182" s="2" t="s">
        <v>28</v>
      </c>
      <c r="C1182" s="4">
        <v>45743.25</v>
      </c>
      <c r="D1182" s="4">
        <v>45743.25027394676</v>
      </c>
      <c r="E1182" s="2">
        <v>2.75</v>
      </c>
      <c r="F1182" s="2">
        <v>60.6</v>
      </c>
      <c r="G1182" s="2" t="s">
        <v>983</v>
      </c>
      <c r="H1182" s="2" t="s">
        <v>984</v>
      </c>
      <c r="I1182" s="2" t="s">
        <v>985</v>
      </c>
      <c r="J1182" s="2" t="s">
        <v>28</v>
      </c>
    </row>
    <row r="1183" spans="1:10" ht="21" customHeight="1">
      <c r="A1183" s="2" t="s">
        <v>2173</v>
      </c>
      <c r="B1183" s="2" t="s">
        <v>28</v>
      </c>
      <c r="C1183" s="4">
        <v>45744.25</v>
      </c>
      <c r="D1183" s="4">
        <v>45744.250080844911</v>
      </c>
      <c r="E1183" s="2">
        <v>2.75</v>
      </c>
      <c r="F1183" s="2">
        <v>60.4</v>
      </c>
      <c r="G1183" s="2" t="s">
        <v>983</v>
      </c>
      <c r="H1183" s="2" t="s">
        <v>984</v>
      </c>
      <c r="I1183" s="2"/>
      <c r="J1183" s="2" t="s">
        <v>28</v>
      </c>
    </row>
    <row r="1184" spans="1:10" ht="21" customHeight="1">
      <c r="A1184" s="2" t="s">
        <v>2174</v>
      </c>
      <c r="B1184" s="2" t="s">
        <v>28</v>
      </c>
      <c r="C1184" s="4">
        <v>45745.25</v>
      </c>
      <c r="D1184" s="4">
        <v>45745.250305694441</v>
      </c>
      <c r="E1184" s="2">
        <v>2.74</v>
      </c>
      <c r="F1184" s="2">
        <v>62.2</v>
      </c>
      <c r="G1184" s="2" t="s">
        <v>983</v>
      </c>
      <c r="H1184" s="2" t="s">
        <v>984</v>
      </c>
      <c r="I1184" s="2"/>
      <c r="J1184" s="2" t="s">
        <v>28</v>
      </c>
    </row>
    <row r="1185" spans="1:10" ht="21" customHeight="1">
      <c r="A1185" s="2" t="s">
        <v>2175</v>
      </c>
      <c r="B1185" s="2" t="s">
        <v>28</v>
      </c>
      <c r="C1185" s="4">
        <v>45746.25</v>
      </c>
      <c r="D1185" s="4">
        <v>45746.250645428241</v>
      </c>
      <c r="E1185" s="2">
        <v>2.92</v>
      </c>
      <c r="F1185" s="2">
        <v>65.900000000000006</v>
      </c>
      <c r="G1185" s="2" t="s">
        <v>983</v>
      </c>
      <c r="H1185" s="2" t="s">
        <v>984</v>
      </c>
      <c r="I1185" s="2"/>
      <c r="J1185" s="2" t="s">
        <v>28</v>
      </c>
    </row>
    <row r="1186" spans="1:10" ht="21" customHeight="1">
      <c r="A1186" s="2" t="s">
        <v>2176</v>
      </c>
      <c r="B1186" s="2" t="s">
        <v>28</v>
      </c>
      <c r="C1186" s="4">
        <v>45747.25</v>
      </c>
      <c r="D1186" s="4">
        <v>45747.250399826386</v>
      </c>
      <c r="E1186" s="2">
        <v>2.3199999999999998</v>
      </c>
      <c r="F1186" s="2">
        <v>62.4</v>
      </c>
      <c r="G1186" s="2" t="s">
        <v>983</v>
      </c>
      <c r="H1186" s="2" t="s">
        <v>984</v>
      </c>
      <c r="I1186" s="2"/>
      <c r="J1186" s="2" t="s">
        <v>28</v>
      </c>
    </row>
    <row r="1187" spans="1:10" ht="21" customHeight="1">
      <c r="A1187" s="2" t="s">
        <v>2177</v>
      </c>
      <c r="B1187" s="2" t="s">
        <v>28</v>
      </c>
      <c r="C1187" s="4">
        <v>45748.25</v>
      </c>
      <c r="D1187" s="4">
        <v>45748.250106689811</v>
      </c>
      <c r="E1187" s="2">
        <v>3.08</v>
      </c>
      <c r="F1187" s="2">
        <v>60.3</v>
      </c>
      <c r="G1187" s="2" t="s">
        <v>983</v>
      </c>
      <c r="H1187" s="2" t="s">
        <v>984</v>
      </c>
      <c r="I1187" s="2"/>
      <c r="J1187" s="2" t="s">
        <v>28</v>
      </c>
    </row>
    <row r="1188" spans="1:10" ht="21" customHeight="1">
      <c r="A1188" s="2" t="s">
        <v>2178</v>
      </c>
      <c r="B1188" s="2" t="s">
        <v>28</v>
      </c>
      <c r="C1188" s="4">
        <v>45749.25</v>
      </c>
      <c r="D1188" s="4">
        <v>45749.250054861113</v>
      </c>
      <c r="E1188" s="2">
        <v>2.93</v>
      </c>
      <c r="F1188" s="2">
        <v>64.3</v>
      </c>
      <c r="G1188" s="2" t="s">
        <v>983</v>
      </c>
      <c r="H1188" s="2" t="s">
        <v>984</v>
      </c>
      <c r="I1188" s="2"/>
      <c r="J1188" s="2" t="s">
        <v>28</v>
      </c>
    </row>
    <row r="1189" spans="1:10" ht="21" customHeight="1">
      <c r="A1189" s="2" t="s">
        <v>2179</v>
      </c>
      <c r="B1189" s="2" t="s">
        <v>28</v>
      </c>
      <c r="C1189" s="4">
        <v>45750.25</v>
      </c>
      <c r="D1189" s="4">
        <v>45750.250262314818</v>
      </c>
      <c r="E1189" s="2">
        <v>2.1800000000000002</v>
      </c>
      <c r="F1189" s="2">
        <v>58.2</v>
      </c>
      <c r="G1189" s="2" t="s">
        <v>983</v>
      </c>
      <c r="H1189" s="2" t="s">
        <v>984</v>
      </c>
      <c r="I1189" s="2"/>
      <c r="J1189" s="2" t="s">
        <v>28</v>
      </c>
    </row>
    <row r="1190" spans="1:10" ht="21" customHeight="1">
      <c r="A1190" s="2" t="s">
        <v>2180</v>
      </c>
      <c r="B1190" s="2" t="s">
        <v>28</v>
      </c>
      <c r="C1190" s="4">
        <v>45751.25</v>
      </c>
      <c r="D1190" s="4">
        <v>45751.250117627314</v>
      </c>
      <c r="E1190" s="2">
        <v>2.37</v>
      </c>
      <c r="F1190" s="2">
        <v>58.4</v>
      </c>
      <c r="G1190" s="2" t="s">
        <v>983</v>
      </c>
      <c r="H1190" s="2" t="s">
        <v>984</v>
      </c>
      <c r="I1190" s="2"/>
      <c r="J1190" s="2" t="s">
        <v>28</v>
      </c>
    </row>
    <row r="1191" spans="1:10" ht="21" customHeight="1">
      <c r="A1191" s="2" t="s">
        <v>2181</v>
      </c>
      <c r="B1191" s="2" t="s">
        <v>2099</v>
      </c>
      <c r="C1191" s="4">
        <v>45752.25</v>
      </c>
      <c r="D1191" s="4">
        <v>45752.250367592591</v>
      </c>
      <c r="E1191" s="2">
        <v>2.29</v>
      </c>
      <c r="F1191" s="2">
        <v>64.599999999999994</v>
      </c>
      <c r="G1191" s="2" t="s">
        <v>983</v>
      </c>
      <c r="H1191" s="2" t="s">
        <v>984</v>
      </c>
      <c r="I1191" s="2"/>
      <c r="J1191" s="2" t="s">
        <v>28</v>
      </c>
    </row>
    <row r="1192" spans="1:10" ht="21" customHeight="1">
      <c r="A1192" s="2" t="s">
        <v>2182</v>
      </c>
      <c r="B1192" s="2" t="s">
        <v>28</v>
      </c>
      <c r="C1192" s="4">
        <v>45753.25</v>
      </c>
      <c r="D1192" s="4">
        <v>45753.250132199071</v>
      </c>
      <c r="E1192" s="2">
        <v>5.72</v>
      </c>
      <c r="F1192" s="2">
        <v>73.7</v>
      </c>
      <c r="G1192" s="2" t="s">
        <v>983</v>
      </c>
      <c r="H1192" s="2" t="s">
        <v>984</v>
      </c>
      <c r="I1192" s="2"/>
      <c r="J1192" s="2" t="s">
        <v>28</v>
      </c>
    </row>
    <row r="1193" spans="1:10" ht="21" customHeight="1">
      <c r="A1193" s="2" t="s">
        <v>2183</v>
      </c>
      <c r="B1193" s="2" t="s">
        <v>28</v>
      </c>
      <c r="C1193" s="4">
        <v>45754.25</v>
      </c>
      <c r="D1193" s="4">
        <v>45754.250505995369</v>
      </c>
      <c r="E1193" s="2">
        <v>4.3499999999999996</v>
      </c>
      <c r="F1193" s="2">
        <v>70.3</v>
      </c>
      <c r="G1193" s="2" t="s">
        <v>983</v>
      </c>
      <c r="H1193" s="2" t="s">
        <v>984</v>
      </c>
      <c r="I1193" s="2" t="s">
        <v>1053</v>
      </c>
      <c r="J1193" s="2" t="s">
        <v>28</v>
      </c>
    </row>
    <row r="1194" spans="1:10" ht="21" customHeight="1">
      <c r="A1194" s="2" t="s">
        <v>2184</v>
      </c>
      <c r="B1194" s="2" t="s">
        <v>28</v>
      </c>
      <c r="C1194" s="4">
        <v>45755.25</v>
      </c>
      <c r="D1194" s="4">
        <v>45755.250169027779</v>
      </c>
      <c r="E1194" s="2">
        <v>5.47</v>
      </c>
      <c r="F1194" s="2">
        <v>71.400000000000006</v>
      </c>
      <c r="G1194" s="2" t="s">
        <v>983</v>
      </c>
      <c r="H1194" s="2" t="s">
        <v>984</v>
      </c>
      <c r="I1194" s="2"/>
      <c r="J1194" s="2" t="s">
        <v>28</v>
      </c>
    </row>
    <row r="1195" spans="1:10" ht="21" customHeight="1">
      <c r="A1195" s="2" t="s">
        <v>2185</v>
      </c>
      <c r="B1195" s="2" t="s">
        <v>28</v>
      </c>
      <c r="C1195" s="4">
        <v>45756.25</v>
      </c>
      <c r="D1195" s="4">
        <v>45756.250427245366</v>
      </c>
      <c r="E1195" s="2">
        <v>0</v>
      </c>
      <c r="F1195" s="2">
        <v>62.9</v>
      </c>
      <c r="G1195" s="2" t="s">
        <v>1175</v>
      </c>
      <c r="H1195" s="2" t="s">
        <v>984</v>
      </c>
      <c r="I1195" s="2"/>
      <c r="J1195" s="2" t="s">
        <v>28</v>
      </c>
    </row>
    <row r="1196" spans="1:10" ht="21" customHeight="1">
      <c r="A1196" s="2" t="s">
        <v>2186</v>
      </c>
      <c r="B1196" s="2" t="s">
        <v>28</v>
      </c>
      <c r="C1196" s="4">
        <v>45757.25</v>
      </c>
      <c r="D1196" s="4">
        <v>45757.25037228009</v>
      </c>
      <c r="E1196" s="2">
        <v>2.95</v>
      </c>
      <c r="F1196" s="2">
        <v>65.8</v>
      </c>
      <c r="G1196" s="2" t="s">
        <v>983</v>
      </c>
      <c r="H1196" s="2" t="s">
        <v>984</v>
      </c>
      <c r="I1196" s="2"/>
      <c r="J1196" s="2" t="s">
        <v>28</v>
      </c>
    </row>
    <row r="1197" spans="1:10" ht="21" customHeight="1">
      <c r="A1197" s="2" t="s">
        <v>2187</v>
      </c>
      <c r="B1197" s="2" t="s">
        <v>28</v>
      </c>
      <c r="C1197" s="4">
        <v>45758.25</v>
      </c>
      <c r="D1197" s="4">
        <v>45758.250529803241</v>
      </c>
      <c r="E1197" s="2">
        <v>2.57</v>
      </c>
      <c r="F1197" s="2">
        <v>60.4</v>
      </c>
      <c r="G1197" s="2" t="s">
        <v>983</v>
      </c>
      <c r="H1197" s="2" t="s">
        <v>984</v>
      </c>
      <c r="I1197" s="2"/>
      <c r="J1197" s="2" t="s">
        <v>28</v>
      </c>
    </row>
    <row r="1198" spans="1:10" ht="21" customHeight="1">
      <c r="A1198" s="2" t="s">
        <v>2188</v>
      </c>
      <c r="B1198" s="2" t="s">
        <v>28</v>
      </c>
      <c r="C1198" s="4">
        <v>45759.25</v>
      </c>
      <c r="D1198" s="4">
        <v>45759.250086921296</v>
      </c>
      <c r="E1198" s="2">
        <v>2.68</v>
      </c>
      <c r="F1198" s="2">
        <v>64.2</v>
      </c>
      <c r="G1198" s="2" t="s">
        <v>983</v>
      </c>
      <c r="H1198" s="2" t="s">
        <v>984</v>
      </c>
      <c r="I1198" s="2"/>
      <c r="J1198" s="2" t="s">
        <v>28</v>
      </c>
    </row>
    <row r="1199" spans="1:10" ht="21" customHeight="1">
      <c r="A1199" s="2" t="s">
        <v>2189</v>
      </c>
      <c r="B1199" s="2" t="s">
        <v>28</v>
      </c>
      <c r="C1199" s="4">
        <v>45760.25</v>
      </c>
      <c r="D1199" s="4">
        <v>45760.25030728009</v>
      </c>
      <c r="E1199" s="2">
        <v>2.52</v>
      </c>
      <c r="F1199" s="2">
        <v>60.3</v>
      </c>
      <c r="G1199" s="2" t="s">
        <v>983</v>
      </c>
      <c r="H1199" s="2" t="s">
        <v>984</v>
      </c>
      <c r="I1199" s="2" t="s">
        <v>985</v>
      </c>
      <c r="J1199" s="2" t="s">
        <v>28</v>
      </c>
    </row>
    <row r="1200" spans="1:10" ht="21" customHeight="1">
      <c r="A1200" s="2" t="s">
        <v>2190</v>
      </c>
      <c r="B1200" s="2" t="s">
        <v>28</v>
      </c>
      <c r="C1200" s="4">
        <v>45761.25</v>
      </c>
      <c r="D1200" s="4">
        <v>45761.250354178235</v>
      </c>
      <c r="E1200" s="2">
        <v>2.75</v>
      </c>
      <c r="F1200" s="2">
        <v>64.400000000000006</v>
      </c>
      <c r="G1200" s="2" t="s">
        <v>983</v>
      </c>
      <c r="H1200" s="2" t="s">
        <v>984</v>
      </c>
      <c r="I1200" s="2"/>
      <c r="J1200" s="2" t="s">
        <v>28</v>
      </c>
    </row>
    <row r="1201" spans="1:10" ht="21" customHeight="1">
      <c r="A1201" s="2" t="s">
        <v>2191</v>
      </c>
      <c r="B1201" s="2" t="s">
        <v>28</v>
      </c>
      <c r="C1201" s="4">
        <v>45762.25</v>
      </c>
      <c r="D1201" s="4">
        <v>45762.250219513888</v>
      </c>
      <c r="E1201" s="2">
        <v>3.14</v>
      </c>
      <c r="F1201" s="2">
        <v>62</v>
      </c>
      <c r="G1201" s="2" t="s">
        <v>983</v>
      </c>
      <c r="H1201" s="2" t="s">
        <v>984</v>
      </c>
      <c r="I1201" s="2"/>
      <c r="J1201" s="2" t="s">
        <v>28</v>
      </c>
    </row>
    <row r="1202" spans="1:10" ht="21" customHeight="1">
      <c r="A1202" s="2" t="s">
        <v>2192</v>
      </c>
      <c r="B1202" s="2" t="s">
        <v>28</v>
      </c>
      <c r="C1202" s="4">
        <v>45763.25</v>
      </c>
      <c r="D1202" s="4">
        <v>45763.250645833337</v>
      </c>
      <c r="E1202" s="2">
        <v>2.73</v>
      </c>
      <c r="F1202" s="2">
        <v>60.2</v>
      </c>
      <c r="G1202" s="2" t="s">
        <v>983</v>
      </c>
      <c r="H1202" s="2" t="s">
        <v>984</v>
      </c>
      <c r="I1202" s="2"/>
      <c r="J1202" s="2" t="s">
        <v>28</v>
      </c>
    </row>
    <row r="1203" spans="1:10" ht="21" customHeight="1">
      <c r="A1203" s="2" t="s">
        <v>2193</v>
      </c>
      <c r="B1203" s="2" t="s">
        <v>28</v>
      </c>
      <c r="C1203" s="4">
        <v>45764.25</v>
      </c>
      <c r="D1203" s="4">
        <v>45764.250197511574</v>
      </c>
      <c r="E1203" s="2">
        <v>3.02</v>
      </c>
      <c r="F1203" s="2">
        <v>60.1</v>
      </c>
      <c r="G1203" s="2" t="s">
        <v>983</v>
      </c>
      <c r="H1203" s="2" t="s">
        <v>984</v>
      </c>
      <c r="I1203" s="2"/>
      <c r="J1203" s="2" t="s">
        <v>28</v>
      </c>
    </row>
    <row r="1204" spans="1:10" ht="21" customHeight="1">
      <c r="A1204" s="2" t="s">
        <v>2194</v>
      </c>
      <c r="B1204" s="2" t="s">
        <v>28</v>
      </c>
      <c r="C1204" s="4">
        <v>45765.25</v>
      </c>
      <c r="D1204" s="4">
        <v>45765.250498310183</v>
      </c>
      <c r="E1204" s="2">
        <v>3.17</v>
      </c>
      <c r="F1204" s="2">
        <v>62.9</v>
      </c>
      <c r="G1204" s="2" t="s">
        <v>983</v>
      </c>
      <c r="H1204" s="2" t="s">
        <v>984</v>
      </c>
      <c r="I1204" s="2"/>
      <c r="J1204" s="2" t="s">
        <v>28</v>
      </c>
    </row>
    <row r="1205" spans="1:10" ht="21" customHeight="1">
      <c r="A1205" s="2" t="s">
        <v>2195</v>
      </c>
      <c r="B1205" s="2" t="s">
        <v>28</v>
      </c>
      <c r="C1205" s="4">
        <v>45766.25</v>
      </c>
      <c r="D1205" s="4">
        <v>45766.250097453703</v>
      </c>
      <c r="E1205" s="2">
        <v>3.25</v>
      </c>
      <c r="F1205" s="2">
        <v>65.7</v>
      </c>
      <c r="G1205" s="2" t="s">
        <v>983</v>
      </c>
      <c r="H1205" s="2" t="s">
        <v>984</v>
      </c>
      <c r="I1205" s="2"/>
      <c r="J1205" s="2" t="s">
        <v>28</v>
      </c>
    </row>
    <row r="1206" spans="1:10" ht="21" customHeight="1">
      <c r="A1206" s="2" t="s">
        <v>2196</v>
      </c>
      <c r="B1206" s="2" t="s">
        <v>28</v>
      </c>
      <c r="C1206" s="4">
        <v>45767.25</v>
      </c>
      <c r="D1206" s="4">
        <v>45767.250019270832</v>
      </c>
      <c r="E1206" s="2">
        <v>3.09</v>
      </c>
      <c r="F1206" s="2">
        <v>59.2</v>
      </c>
      <c r="G1206" s="2" t="s">
        <v>983</v>
      </c>
      <c r="H1206" s="2" t="s">
        <v>984</v>
      </c>
      <c r="I1206" s="2"/>
      <c r="J1206" s="2" t="s">
        <v>28</v>
      </c>
    </row>
    <row r="1207" spans="1:10" ht="21" customHeight="1">
      <c r="A1207" s="2" t="s">
        <v>2197</v>
      </c>
      <c r="B1207" s="2" t="s">
        <v>28</v>
      </c>
      <c r="C1207" s="4">
        <v>45768.25</v>
      </c>
      <c r="D1207" s="4">
        <v>45768.250350960647</v>
      </c>
      <c r="E1207" s="2">
        <v>2.88</v>
      </c>
      <c r="F1207" s="2">
        <v>60.3</v>
      </c>
      <c r="G1207" s="2" t="s">
        <v>983</v>
      </c>
      <c r="H1207" s="2" t="s">
        <v>984</v>
      </c>
      <c r="I1207" s="2"/>
      <c r="J1207" s="2" t="s">
        <v>28</v>
      </c>
    </row>
    <row r="1208" spans="1:10" ht="21" customHeight="1">
      <c r="A1208" s="2" t="s">
        <v>2198</v>
      </c>
      <c r="B1208" s="2" t="s">
        <v>28</v>
      </c>
      <c r="C1208" s="4">
        <v>45769.25</v>
      </c>
      <c r="D1208" s="4">
        <v>45769.250000428241</v>
      </c>
      <c r="E1208" s="2">
        <v>2.5</v>
      </c>
      <c r="F1208" s="2">
        <v>61.5</v>
      </c>
      <c r="G1208" s="2" t="s">
        <v>983</v>
      </c>
      <c r="H1208" s="2" t="s">
        <v>984</v>
      </c>
      <c r="I1208" s="2"/>
      <c r="J1208" s="2" t="s">
        <v>28</v>
      </c>
    </row>
    <row r="1209" spans="1:10" ht="21" customHeight="1">
      <c r="A1209" s="2" t="s">
        <v>2199</v>
      </c>
      <c r="B1209" s="2" t="s">
        <v>28</v>
      </c>
      <c r="C1209" s="4">
        <v>45770.25</v>
      </c>
      <c r="D1209" s="4">
        <v>45770.250401041667</v>
      </c>
      <c r="E1209" s="2">
        <v>2.92</v>
      </c>
      <c r="F1209" s="2">
        <v>63.7</v>
      </c>
      <c r="G1209" s="2" t="s">
        <v>983</v>
      </c>
      <c r="H1209" s="2" t="s">
        <v>984</v>
      </c>
      <c r="I1209" s="2"/>
      <c r="J1209" s="2" t="s">
        <v>28</v>
      </c>
    </row>
    <row r="1210" spans="1:10" ht="21" customHeight="1">
      <c r="A1210" s="2" t="s">
        <v>2200</v>
      </c>
      <c r="B1210" s="2" t="s">
        <v>28</v>
      </c>
      <c r="C1210" s="4">
        <v>45771.25</v>
      </c>
      <c r="D1210" s="4">
        <v>45771.250553923615</v>
      </c>
      <c r="E1210" s="2">
        <v>2.68</v>
      </c>
      <c r="F1210" s="2">
        <v>63</v>
      </c>
      <c r="G1210" s="2" t="s">
        <v>983</v>
      </c>
      <c r="H1210" s="2" t="s">
        <v>984</v>
      </c>
      <c r="I1210" s="2"/>
      <c r="J1210" s="2" t="s">
        <v>28</v>
      </c>
    </row>
    <row r="1211" spans="1:10" ht="21" customHeight="1">
      <c r="A1211" s="2" t="s">
        <v>2201</v>
      </c>
      <c r="B1211" s="2" t="s">
        <v>28</v>
      </c>
      <c r="C1211" s="4">
        <v>45772.25</v>
      </c>
      <c r="D1211" s="4">
        <v>45772.250633125004</v>
      </c>
      <c r="E1211" s="2">
        <v>2.31</v>
      </c>
      <c r="F1211" s="2">
        <v>64.5</v>
      </c>
      <c r="G1211" s="2" t="s">
        <v>983</v>
      </c>
      <c r="H1211" s="2" t="s">
        <v>984</v>
      </c>
      <c r="I1211" s="2"/>
      <c r="J1211" s="2" t="s">
        <v>28</v>
      </c>
    </row>
    <row r="1212" spans="1:10" ht="21" customHeight="1">
      <c r="A1212" s="2" t="s">
        <v>2202</v>
      </c>
      <c r="B1212" s="2" t="s">
        <v>28</v>
      </c>
      <c r="C1212" s="4">
        <v>45773.25</v>
      </c>
      <c r="D1212" s="4">
        <v>45773.250238692126</v>
      </c>
      <c r="E1212" s="2"/>
      <c r="F1212" s="2"/>
      <c r="G1212" s="2" t="s">
        <v>983</v>
      </c>
      <c r="H1212" s="2" t="s">
        <v>1066</v>
      </c>
      <c r="I1212" s="2"/>
      <c r="J1212" s="2" t="s">
        <v>28</v>
      </c>
    </row>
    <row r="1213" spans="1:10" ht="21" customHeight="1">
      <c r="A1213" s="2" t="s">
        <v>2203</v>
      </c>
      <c r="B1213" s="2" t="s">
        <v>28</v>
      </c>
      <c r="C1213" s="4">
        <v>45774.25</v>
      </c>
      <c r="D1213" s="4">
        <v>45774.250606759262</v>
      </c>
      <c r="E1213" s="2">
        <v>2.2799999999999998</v>
      </c>
      <c r="F1213" s="2">
        <v>63.1</v>
      </c>
      <c r="G1213" s="2" t="s">
        <v>983</v>
      </c>
      <c r="H1213" s="2" t="s">
        <v>984</v>
      </c>
      <c r="I1213" s="2"/>
      <c r="J1213" s="2" t="s">
        <v>28</v>
      </c>
    </row>
    <row r="1214" spans="1:10" ht="21" customHeight="1">
      <c r="A1214" s="2" t="s">
        <v>2204</v>
      </c>
      <c r="B1214" s="2" t="s">
        <v>28</v>
      </c>
      <c r="C1214" s="4">
        <v>45775.25</v>
      </c>
      <c r="D1214" s="4">
        <v>45775.250395185183</v>
      </c>
      <c r="E1214" s="2">
        <v>2.2799999999999998</v>
      </c>
      <c r="F1214" s="2">
        <v>65.2</v>
      </c>
      <c r="G1214" s="2" t="s">
        <v>983</v>
      </c>
      <c r="H1214" s="2" t="s">
        <v>984</v>
      </c>
      <c r="I1214" s="2"/>
      <c r="J1214" s="2" t="s">
        <v>28</v>
      </c>
    </row>
    <row r="1215" spans="1:10" ht="21" customHeight="1">
      <c r="A1215" s="2" t="s">
        <v>2205</v>
      </c>
      <c r="B1215" s="2" t="s">
        <v>28</v>
      </c>
      <c r="C1215" s="4">
        <v>45776.25</v>
      </c>
      <c r="D1215" s="4">
        <v>45776.250600706015</v>
      </c>
      <c r="E1215" s="2">
        <v>2.13</v>
      </c>
      <c r="F1215" s="2">
        <v>60.7</v>
      </c>
      <c r="G1215" s="2" t="s">
        <v>983</v>
      </c>
      <c r="H1215" s="2" t="s">
        <v>984</v>
      </c>
      <c r="I1215" s="2"/>
      <c r="J1215" s="2" t="s">
        <v>28</v>
      </c>
    </row>
    <row r="1216" spans="1:10" ht="21" customHeight="1">
      <c r="A1216" s="2" t="s">
        <v>2206</v>
      </c>
      <c r="B1216" s="2" t="s">
        <v>28</v>
      </c>
      <c r="C1216" s="4">
        <v>45777.25</v>
      </c>
      <c r="D1216" s="4">
        <v>45777.250374965282</v>
      </c>
      <c r="E1216" s="2">
        <v>2.95</v>
      </c>
      <c r="F1216" s="2">
        <v>59</v>
      </c>
      <c r="G1216" s="2" t="s">
        <v>983</v>
      </c>
      <c r="H1216" s="2" t="s">
        <v>984</v>
      </c>
      <c r="I1216" s="2" t="s">
        <v>985</v>
      </c>
      <c r="J1216" s="2" t="s">
        <v>28</v>
      </c>
    </row>
    <row r="1217" spans="1:10" ht="21" customHeight="1">
      <c r="A1217" s="2" t="s">
        <v>2207</v>
      </c>
      <c r="B1217" s="2" t="s">
        <v>28</v>
      </c>
      <c r="C1217" s="4">
        <v>45778.25</v>
      </c>
      <c r="D1217" s="4">
        <v>45778.250504768519</v>
      </c>
      <c r="E1217" s="2">
        <v>3.01</v>
      </c>
      <c r="F1217" s="2">
        <v>59.5</v>
      </c>
      <c r="G1217" s="2" t="s">
        <v>983</v>
      </c>
      <c r="H1217" s="2" t="s">
        <v>984</v>
      </c>
      <c r="I1217" s="2"/>
      <c r="J1217" s="2" t="s">
        <v>28</v>
      </c>
    </row>
    <row r="1218" spans="1:10" ht="21" customHeight="1">
      <c r="A1218" s="2" t="s">
        <v>2208</v>
      </c>
      <c r="B1218" s="2" t="s">
        <v>28</v>
      </c>
      <c r="C1218" s="4">
        <v>45779.25</v>
      </c>
      <c r="D1218" s="4">
        <v>45779.250386539352</v>
      </c>
      <c r="E1218" s="2">
        <v>4.5599999999999996</v>
      </c>
      <c r="F1218" s="2">
        <v>69.400000000000006</v>
      </c>
      <c r="G1218" s="2" t="s">
        <v>983</v>
      </c>
      <c r="H1218" s="2" t="s">
        <v>984</v>
      </c>
      <c r="I1218" s="2"/>
      <c r="J1218" s="2" t="s">
        <v>28</v>
      </c>
    </row>
    <row r="1219" spans="1:10" ht="21" customHeight="1">
      <c r="A1219" s="2" t="s">
        <v>2209</v>
      </c>
      <c r="B1219" s="2" t="s">
        <v>28</v>
      </c>
      <c r="C1219" s="4">
        <v>45780.25</v>
      </c>
      <c r="D1219" s="4">
        <v>45780.250685127314</v>
      </c>
      <c r="E1219" s="2">
        <v>4.2699999999999996</v>
      </c>
      <c r="F1219" s="2">
        <v>65.2</v>
      </c>
      <c r="G1219" s="2" t="s">
        <v>983</v>
      </c>
      <c r="H1219" s="2" t="s">
        <v>984</v>
      </c>
      <c r="I1219" s="2" t="s">
        <v>1053</v>
      </c>
      <c r="J1219" s="2" t="s">
        <v>28</v>
      </c>
    </row>
    <row r="1220" spans="1:10" ht="21" customHeight="1">
      <c r="A1220" s="2" t="s">
        <v>2210</v>
      </c>
      <c r="B1220" s="2" t="s">
        <v>28</v>
      </c>
      <c r="C1220" s="4">
        <v>45781.25</v>
      </c>
      <c r="D1220" s="4">
        <v>45781.250327222224</v>
      </c>
      <c r="E1220" s="2">
        <v>4.8099999999999996</v>
      </c>
      <c r="F1220" s="2">
        <v>72.2</v>
      </c>
      <c r="G1220" s="2" t="s">
        <v>983</v>
      </c>
      <c r="H1220" s="2" t="s">
        <v>984</v>
      </c>
      <c r="I1220" s="2"/>
      <c r="J1220" s="2" t="s">
        <v>28</v>
      </c>
    </row>
    <row r="1221" spans="1:10" ht="21" customHeight="1">
      <c r="A1221" s="2" t="s">
        <v>2211</v>
      </c>
      <c r="B1221" s="2" t="s">
        <v>28</v>
      </c>
      <c r="C1221" s="4">
        <v>45782.25</v>
      </c>
      <c r="D1221" s="4">
        <v>45782.250032847223</v>
      </c>
      <c r="E1221" s="2">
        <v>0</v>
      </c>
      <c r="F1221" s="2">
        <v>60.9</v>
      </c>
      <c r="G1221" s="2" t="s">
        <v>1175</v>
      </c>
      <c r="H1221" s="2" t="s">
        <v>984</v>
      </c>
      <c r="I1221" s="2"/>
      <c r="J1221" s="2" t="s">
        <v>28</v>
      </c>
    </row>
    <row r="1222" spans="1:10" ht="21" customHeight="1">
      <c r="A1222" s="2" t="s">
        <v>2212</v>
      </c>
      <c r="B1222" s="2" t="s">
        <v>28</v>
      </c>
      <c r="C1222" s="4">
        <v>45783.25</v>
      </c>
      <c r="D1222" s="4">
        <v>45783.250068657406</v>
      </c>
      <c r="E1222" s="2">
        <v>2.61</v>
      </c>
      <c r="F1222" s="2">
        <v>65.400000000000006</v>
      </c>
      <c r="G1222" s="2" t="s">
        <v>983</v>
      </c>
      <c r="H1222" s="2" t="s">
        <v>984</v>
      </c>
      <c r="I1222" s="2"/>
      <c r="J1222" s="2" t="s">
        <v>28</v>
      </c>
    </row>
    <row r="1223" spans="1:10" ht="21" customHeight="1">
      <c r="A1223" s="2" t="s">
        <v>2213</v>
      </c>
      <c r="B1223" s="2" t="s">
        <v>28</v>
      </c>
      <c r="C1223" s="4">
        <v>45784.25</v>
      </c>
      <c r="D1223" s="4">
        <v>45784.250635312499</v>
      </c>
      <c r="E1223" s="2">
        <v>3.23</v>
      </c>
      <c r="F1223" s="2">
        <v>61.3</v>
      </c>
      <c r="G1223" s="2" t="s">
        <v>983</v>
      </c>
      <c r="H1223" s="2" t="s">
        <v>984</v>
      </c>
      <c r="I1223" s="2"/>
      <c r="J1223" s="2" t="s">
        <v>28</v>
      </c>
    </row>
    <row r="1224" spans="1:10" ht="21" customHeight="1">
      <c r="A1224" s="2" t="s">
        <v>2214</v>
      </c>
      <c r="B1224" s="2" t="s">
        <v>28</v>
      </c>
      <c r="C1224" s="4">
        <v>45785.25</v>
      </c>
      <c r="D1224" s="4">
        <v>45785.250261620371</v>
      </c>
      <c r="E1224" s="2">
        <v>3.16</v>
      </c>
      <c r="F1224" s="2">
        <v>61.9</v>
      </c>
      <c r="G1224" s="2" t="s">
        <v>983</v>
      </c>
      <c r="H1224" s="2" t="s">
        <v>984</v>
      </c>
      <c r="I1224" s="2"/>
      <c r="J1224" s="2" t="s">
        <v>28</v>
      </c>
    </row>
    <row r="1225" spans="1:10" ht="21" customHeight="1">
      <c r="A1225" s="2" t="s">
        <v>2215</v>
      </c>
      <c r="B1225" s="2" t="s">
        <v>28</v>
      </c>
      <c r="C1225" s="4">
        <v>45786.25</v>
      </c>
      <c r="D1225" s="4">
        <v>45786.25026976852</v>
      </c>
      <c r="E1225" s="2">
        <v>3.06</v>
      </c>
      <c r="F1225" s="2">
        <v>61</v>
      </c>
      <c r="G1225" s="2" t="s">
        <v>983</v>
      </c>
      <c r="H1225" s="2" t="s">
        <v>984</v>
      </c>
      <c r="I1225" s="2"/>
      <c r="J1225" s="2" t="s">
        <v>28</v>
      </c>
    </row>
    <row r="1226" spans="1:10" ht="21" customHeight="1">
      <c r="A1226" s="2" t="s">
        <v>2216</v>
      </c>
      <c r="B1226" s="2" t="s">
        <v>28</v>
      </c>
      <c r="C1226" s="4">
        <v>45787.25</v>
      </c>
      <c r="D1226" s="4">
        <v>45787.250468518519</v>
      </c>
      <c r="E1226" s="2">
        <v>2.67</v>
      </c>
      <c r="F1226" s="2">
        <v>62.7</v>
      </c>
      <c r="G1226" s="2" t="s">
        <v>983</v>
      </c>
      <c r="H1226" s="2" t="s">
        <v>984</v>
      </c>
      <c r="I1226" s="2"/>
      <c r="J1226" s="2" t="s">
        <v>28</v>
      </c>
    </row>
    <row r="1227" spans="1:10" ht="21" customHeight="1">
      <c r="A1227" s="2" t="s">
        <v>2217</v>
      </c>
      <c r="B1227" s="2" t="s">
        <v>28</v>
      </c>
      <c r="C1227" s="4">
        <v>45788.25</v>
      </c>
      <c r="D1227" s="4">
        <v>45788.250472951389</v>
      </c>
      <c r="E1227" s="2">
        <v>2.17</v>
      </c>
      <c r="F1227" s="2">
        <v>64.8</v>
      </c>
      <c r="G1227" s="2" t="s">
        <v>983</v>
      </c>
      <c r="H1227" s="2" t="s">
        <v>984</v>
      </c>
      <c r="I1227" s="2"/>
      <c r="J1227" s="2" t="s">
        <v>28</v>
      </c>
    </row>
    <row r="1228" spans="1:10" ht="21" customHeight="1">
      <c r="A1228" s="2" t="s">
        <v>2218</v>
      </c>
      <c r="B1228" s="2" t="s">
        <v>28</v>
      </c>
      <c r="C1228" s="4">
        <v>45789.25</v>
      </c>
      <c r="D1228" s="4">
        <v>45789.250591643518</v>
      </c>
      <c r="E1228" s="2">
        <v>2.83</v>
      </c>
      <c r="F1228" s="2">
        <v>63.9</v>
      </c>
      <c r="G1228" s="2" t="s">
        <v>983</v>
      </c>
      <c r="H1228" s="2" t="s">
        <v>984</v>
      </c>
      <c r="I1228" s="2"/>
      <c r="J1228" s="2" t="s">
        <v>28</v>
      </c>
    </row>
    <row r="1229" spans="1:10" ht="21" customHeight="1">
      <c r="A1229" s="2" t="s">
        <v>2219</v>
      </c>
      <c r="B1229" s="2" t="s">
        <v>28</v>
      </c>
      <c r="C1229" s="4">
        <v>45790.25</v>
      </c>
      <c r="D1229" s="4">
        <v>45790.250405752318</v>
      </c>
      <c r="E1229" s="2">
        <v>2.94</v>
      </c>
      <c r="F1229" s="2">
        <v>63.2</v>
      </c>
      <c r="G1229" s="2" t="s">
        <v>983</v>
      </c>
      <c r="H1229" s="2" t="s">
        <v>984</v>
      </c>
      <c r="I1229" s="2"/>
      <c r="J1229" s="2" t="s">
        <v>28</v>
      </c>
    </row>
    <row r="1230" spans="1:10" ht="21" customHeight="1">
      <c r="A1230" s="2" t="s">
        <v>2220</v>
      </c>
      <c r="B1230" s="2" t="s">
        <v>28</v>
      </c>
      <c r="C1230" s="4">
        <v>45791.25</v>
      </c>
      <c r="D1230" s="4">
        <v>45791.250057106481</v>
      </c>
      <c r="E1230" s="2">
        <v>2.8</v>
      </c>
      <c r="F1230" s="2">
        <v>64.8</v>
      </c>
      <c r="G1230" s="2" t="s">
        <v>983</v>
      </c>
      <c r="H1230" s="2" t="s">
        <v>984</v>
      </c>
      <c r="I1230" s="2"/>
      <c r="J1230" s="2" t="s">
        <v>28</v>
      </c>
    </row>
    <row r="1231" spans="1:10" ht="21" customHeight="1">
      <c r="A1231" s="2" t="s">
        <v>2221</v>
      </c>
      <c r="B1231" s="2" t="s">
        <v>28</v>
      </c>
      <c r="C1231" s="4">
        <v>45792.25</v>
      </c>
      <c r="D1231" s="4">
        <v>45792.250082754632</v>
      </c>
      <c r="E1231" s="2">
        <v>3.13</v>
      </c>
      <c r="F1231" s="2">
        <v>61.3</v>
      </c>
      <c r="G1231" s="2" t="s">
        <v>983</v>
      </c>
      <c r="H1231" s="2" t="s">
        <v>984</v>
      </c>
      <c r="I1231" s="2"/>
      <c r="J1231" s="2" t="s">
        <v>28</v>
      </c>
    </row>
    <row r="1232" spans="1:10" ht="21" customHeight="1">
      <c r="A1232" s="2" t="s">
        <v>2222</v>
      </c>
      <c r="B1232" s="2" t="s">
        <v>2099</v>
      </c>
      <c r="C1232" s="4">
        <v>45793.25</v>
      </c>
      <c r="D1232" s="4">
        <v>45793.250637719902</v>
      </c>
      <c r="E1232" s="2">
        <v>2.77</v>
      </c>
      <c r="F1232" s="2">
        <v>63</v>
      </c>
      <c r="G1232" s="2" t="s">
        <v>983</v>
      </c>
      <c r="H1232" s="2" t="s">
        <v>984</v>
      </c>
      <c r="I1232" s="2"/>
      <c r="J1232" s="2" t="s">
        <v>28</v>
      </c>
    </row>
    <row r="1233" spans="1:10" ht="21" customHeight="1">
      <c r="A1233" s="2" t="s">
        <v>2223</v>
      </c>
      <c r="B1233" s="2" t="s">
        <v>28</v>
      </c>
      <c r="C1233" s="4">
        <v>45794.25</v>
      </c>
      <c r="D1233" s="4">
        <v>45794.250555509258</v>
      </c>
      <c r="E1233" s="2">
        <v>2.91</v>
      </c>
      <c r="F1233" s="2">
        <v>63.1</v>
      </c>
      <c r="G1233" s="2" t="s">
        <v>983</v>
      </c>
      <c r="H1233" s="2" t="s">
        <v>984</v>
      </c>
      <c r="I1233" s="2" t="s">
        <v>985</v>
      </c>
      <c r="J1233" s="2" t="s">
        <v>28</v>
      </c>
    </row>
    <row r="1234" spans="1:10" ht="21" customHeight="1">
      <c r="A1234" s="2" t="s">
        <v>2224</v>
      </c>
      <c r="B1234" s="2" t="s">
        <v>28</v>
      </c>
      <c r="C1234" s="4">
        <v>45795.25</v>
      </c>
      <c r="D1234" s="4">
        <v>45795.250370196758</v>
      </c>
      <c r="E1234" s="2"/>
      <c r="F1234" s="2"/>
      <c r="G1234" s="2" t="s">
        <v>983</v>
      </c>
      <c r="H1234" s="2" t="s">
        <v>1066</v>
      </c>
      <c r="I1234" s="2"/>
      <c r="J1234" s="2" t="s">
        <v>28</v>
      </c>
    </row>
    <row r="1235" spans="1:10" ht="21" customHeight="1">
      <c r="A1235" s="2" t="s">
        <v>2225</v>
      </c>
      <c r="B1235" s="2" t="s">
        <v>28</v>
      </c>
      <c r="C1235" s="4">
        <v>45796.25</v>
      </c>
      <c r="D1235" s="4">
        <v>45796.25054040509</v>
      </c>
      <c r="E1235" s="2">
        <v>2.4</v>
      </c>
      <c r="F1235" s="2">
        <v>58.5</v>
      </c>
      <c r="G1235" s="2" t="s">
        <v>983</v>
      </c>
      <c r="H1235" s="2" t="s">
        <v>984</v>
      </c>
      <c r="I1235" s="2"/>
      <c r="J1235" s="2" t="s">
        <v>28</v>
      </c>
    </row>
    <row r="1236" spans="1:10" ht="21" customHeight="1">
      <c r="A1236" s="2" t="s">
        <v>2226</v>
      </c>
      <c r="B1236" s="2" t="s">
        <v>28</v>
      </c>
      <c r="C1236" s="4">
        <v>45797.25</v>
      </c>
      <c r="D1236" s="4">
        <v>45797.250164328703</v>
      </c>
      <c r="E1236" s="2">
        <v>3.19</v>
      </c>
      <c r="F1236" s="2">
        <v>58.7</v>
      </c>
      <c r="G1236" s="2" t="s">
        <v>983</v>
      </c>
      <c r="H1236" s="2" t="s">
        <v>984</v>
      </c>
      <c r="I1236" s="2"/>
      <c r="J1236" s="2" t="s">
        <v>28</v>
      </c>
    </row>
    <row r="1237" spans="1:10" ht="21" customHeight="1">
      <c r="A1237" s="2" t="s">
        <v>2227</v>
      </c>
      <c r="B1237" s="2" t="s">
        <v>28</v>
      </c>
      <c r="C1237" s="4">
        <v>45798.25</v>
      </c>
      <c r="D1237" s="4">
        <v>45798.250335474542</v>
      </c>
      <c r="E1237" s="2">
        <v>2.79</v>
      </c>
      <c r="F1237" s="2">
        <v>58.6</v>
      </c>
      <c r="G1237" s="2" t="s">
        <v>983</v>
      </c>
      <c r="H1237" s="2" t="s">
        <v>984</v>
      </c>
      <c r="I1237" s="2"/>
      <c r="J1237" s="2" t="s">
        <v>28</v>
      </c>
    </row>
    <row r="1238" spans="1:10" ht="21" customHeight="1">
      <c r="A1238" s="2" t="s">
        <v>2228</v>
      </c>
      <c r="B1238" s="2" t="s">
        <v>28</v>
      </c>
      <c r="C1238" s="4">
        <v>45799.25</v>
      </c>
      <c r="D1238" s="4">
        <v>45799.250551168981</v>
      </c>
      <c r="E1238" s="2">
        <v>2.8</v>
      </c>
      <c r="F1238" s="2">
        <v>63.6</v>
      </c>
      <c r="G1238" s="2" t="s">
        <v>983</v>
      </c>
      <c r="H1238" s="2" t="s">
        <v>984</v>
      </c>
      <c r="I1238" s="2"/>
      <c r="J1238" s="2" t="s">
        <v>28</v>
      </c>
    </row>
    <row r="1239" spans="1:10" ht="21" customHeight="1">
      <c r="A1239" s="2" t="s">
        <v>2229</v>
      </c>
      <c r="B1239" s="2" t="s">
        <v>28</v>
      </c>
      <c r="C1239" s="4">
        <v>45800.25</v>
      </c>
      <c r="D1239" s="4">
        <v>45800.250485381941</v>
      </c>
      <c r="E1239" s="2">
        <v>3</v>
      </c>
      <c r="F1239" s="2">
        <v>60.9</v>
      </c>
      <c r="G1239" s="2" t="s">
        <v>983</v>
      </c>
      <c r="H1239" s="2" t="s">
        <v>984</v>
      </c>
      <c r="I1239" s="2"/>
      <c r="J1239" s="2" t="s">
        <v>28</v>
      </c>
    </row>
    <row r="1240" spans="1:10" ht="21" customHeight="1">
      <c r="A1240" s="2" t="s">
        <v>2230</v>
      </c>
      <c r="B1240" s="2" t="s">
        <v>28</v>
      </c>
      <c r="C1240" s="4">
        <v>45801.25</v>
      </c>
      <c r="D1240" s="4">
        <v>45801.250213622683</v>
      </c>
      <c r="E1240" s="2">
        <v>2.12</v>
      </c>
      <c r="F1240" s="2">
        <v>62.9</v>
      </c>
      <c r="G1240" s="2" t="s">
        <v>983</v>
      </c>
      <c r="H1240" s="2" t="s">
        <v>984</v>
      </c>
      <c r="I1240" s="2"/>
      <c r="J1240" s="2" t="s">
        <v>28</v>
      </c>
    </row>
    <row r="1241" spans="1:10" ht="21" customHeight="1">
      <c r="A1241" s="2" t="s">
        <v>2231</v>
      </c>
      <c r="B1241" s="2" t="s">
        <v>28</v>
      </c>
      <c r="C1241" s="4">
        <v>45802.25</v>
      </c>
      <c r="D1241" s="4">
        <v>45802.250441168981</v>
      </c>
      <c r="E1241" s="2">
        <v>3.3</v>
      </c>
      <c r="F1241" s="2">
        <v>59.7</v>
      </c>
      <c r="G1241" s="2" t="s">
        <v>983</v>
      </c>
      <c r="H1241" s="2" t="s">
        <v>984</v>
      </c>
      <c r="I1241" s="2"/>
      <c r="J1241" s="2" t="s">
        <v>28</v>
      </c>
    </row>
    <row r="1242" spans="1:10" ht="21" customHeight="1">
      <c r="A1242" s="2" t="s">
        <v>2232</v>
      </c>
      <c r="B1242" s="2" t="s">
        <v>28</v>
      </c>
      <c r="C1242" s="4">
        <v>45803.25</v>
      </c>
      <c r="D1242" s="4">
        <v>45803.250391770838</v>
      </c>
      <c r="E1242" s="2">
        <v>2.5099999999999998</v>
      </c>
      <c r="F1242" s="2">
        <v>58.1</v>
      </c>
      <c r="G1242" s="2" t="s">
        <v>983</v>
      </c>
      <c r="H1242" s="2" t="s">
        <v>984</v>
      </c>
      <c r="I1242" s="2"/>
      <c r="J1242" s="2" t="s">
        <v>28</v>
      </c>
    </row>
    <row r="1243" spans="1:10" ht="21" customHeight="1">
      <c r="A1243" s="2" t="s">
        <v>2233</v>
      </c>
      <c r="B1243" s="2" t="s">
        <v>28</v>
      </c>
      <c r="C1243" s="4">
        <v>45804.25</v>
      </c>
      <c r="D1243" s="4">
        <v>45804.250180798612</v>
      </c>
      <c r="E1243" s="2">
        <v>2.3199999999999998</v>
      </c>
      <c r="F1243" s="2">
        <v>60.9</v>
      </c>
      <c r="G1243" s="2" t="s">
        <v>983</v>
      </c>
      <c r="H1243" s="2" t="s">
        <v>984</v>
      </c>
      <c r="I1243" s="2"/>
      <c r="J1243" s="2" t="s">
        <v>28</v>
      </c>
    </row>
    <row r="1244" spans="1:10" ht="21" customHeight="1">
      <c r="A1244" s="2" t="s">
        <v>2234</v>
      </c>
      <c r="B1244" s="2" t="s">
        <v>28</v>
      </c>
      <c r="C1244" s="4">
        <v>45805.25</v>
      </c>
      <c r="D1244" s="4">
        <v>45805.250207175923</v>
      </c>
      <c r="E1244" s="2">
        <v>2.65</v>
      </c>
      <c r="F1244" s="2">
        <v>64.099999999999994</v>
      </c>
      <c r="G1244" s="2" t="s">
        <v>983</v>
      </c>
      <c r="H1244" s="2" t="s">
        <v>984</v>
      </c>
      <c r="I1244" s="2"/>
      <c r="J1244" s="2" t="s">
        <v>28</v>
      </c>
    </row>
    <row r="1245" spans="1:10" ht="21" customHeight="1">
      <c r="A1245" s="2" t="s">
        <v>2235</v>
      </c>
      <c r="B1245" s="2" t="s">
        <v>28</v>
      </c>
      <c r="C1245" s="4">
        <v>45806.25</v>
      </c>
      <c r="D1245" s="4">
        <v>45806.250207986115</v>
      </c>
      <c r="E1245" s="2">
        <v>2.2799999999999998</v>
      </c>
      <c r="F1245" s="2">
        <v>63.5</v>
      </c>
      <c r="G1245" s="2" t="s">
        <v>983</v>
      </c>
      <c r="H1245" s="2" t="s">
        <v>984</v>
      </c>
      <c r="I1245" s="2"/>
      <c r="J1245" s="2" t="s">
        <v>28</v>
      </c>
    </row>
    <row r="1246" spans="1:10" ht="21" customHeight="1">
      <c r="A1246" s="2" t="s">
        <v>2236</v>
      </c>
      <c r="B1246" s="2" t="s">
        <v>28</v>
      </c>
      <c r="C1246" s="4">
        <v>45807.25</v>
      </c>
      <c r="D1246" s="4">
        <v>45807.250644618056</v>
      </c>
      <c r="E1246" s="2">
        <v>2.12</v>
      </c>
      <c r="F1246" s="2">
        <v>60.4</v>
      </c>
      <c r="G1246" s="2" t="s">
        <v>983</v>
      </c>
      <c r="H1246" s="2" t="s">
        <v>984</v>
      </c>
      <c r="I1246" s="2"/>
      <c r="J1246" s="2" t="s">
        <v>28</v>
      </c>
    </row>
    <row r="1247" spans="1:10" ht="21" customHeight="1">
      <c r="A1247" s="2" t="s">
        <v>2237</v>
      </c>
      <c r="B1247" s="2" t="s">
        <v>28</v>
      </c>
      <c r="C1247" s="4">
        <v>45808.25</v>
      </c>
      <c r="D1247" s="4">
        <v>45808.250455196758</v>
      </c>
      <c r="E1247" s="2">
        <v>2.65</v>
      </c>
      <c r="F1247" s="2">
        <v>63.9</v>
      </c>
      <c r="G1247" s="2" t="s">
        <v>983</v>
      </c>
      <c r="H1247" s="2" t="s">
        <v>984</v>
      </c>
      <c r="I1247" s="2"/>
      <c r="J1247" s="2" t="s">
        <v>28</v>
      </c>
    </row>
    <row r="1248" spans="1:10" ht="21" customHeight="1">
      <c r="A1248" s="2" t="s">
        <v>2238</v>
      </c>
      <c r="B1248" s="2" t="s">
        <v>28</v>
      </c>
      <c r="C1248" s="4">
        <v>45809.25</v>
      </c>
      <c r="D1248" s="4">
        <v>45809.250310937496</v>
      </c>
      <c r="E1248" s="2">
        <v>2.5299999999999998</v>
      </c>
      <c r="F1248" s="2">
        <v>58</v>
      </c>
      <c r="G1248" s="2" t="s">
        <v>983</v>
      </c>
      <c r="H1248" s="2" t="s">
        <v>984</v>
      </c>
      <c r="I1248" s="2"/>
      <c r="J1248" s="2" t="s">
        <v>28</v>
      </c>
    </row>
    <row r="1249" spans="1:10" ht="21" customHeight="1">
      <c r="A1249" s="2" t="s">
        <v>2239</v>
      </c>
      <c r="B1249" s="2" t="s">
        <v>28</v>
      </c>
      <c r="C1249" s="4">
        <v>45810.25</v>
      </c>
      <c r="D1249" s="4">
        <v>45810.250627662041</v>
      </c>
      <c r="E1249" s="2">
        <v>2.8</v>
      </c>
      <c r="F1249" s="2">
        <v>60.1</v>
      </c>
      <c r="G1249" s="2" t="s">
        <v>983</v>
      </c>
      <c r="H1249" s="2" t="s">
        <v>984</v>
      </c>
      <c r="I1249" s="2"/>
      <c r="J1249" s="2" t="s">
        <v>28</v>
      </c>
    </row>
    <row r="1250" spans="1:10" ht="21" customHeight="1">
      <c r="A1250" s="2" t="s">
        <v>2240</v>
      </c>
      <c r="B1250" s="2" t="s">
        <v>28</v>
      </c>
      <c r="C1250" s="4">
        <v>45811.25</v>
      </c>
      <c r="D1250" s="4">
        <v>45811.250314513891</v>
      </c>
      <c r="E1250" s="2">
        <v>2.37</v>
      </c>
      <c r="F1250" s="2">
        <v>64.099999999999994</v>
      </c>
      <c r="G1250" s="2" t="s">
        <v>983</v>
      </c>
      <c r="H1250" s="2" t="s">
        <v>984</v>
      </c>
      <c r="I1250" s="2" t="s">
        <v>985</v>
      </c>
      <c r="J1250" s="2" t="s">
        <v>28</v>
      </c>
    </row>
    <row r="1251" spans="1:10" ht="21" customHeight="1">
      <c r="A1251" s="2" t="s">
        <v>2241</v>
      </c>
      <c r="B1251" s="2" t="s">
        <v>28</v>
      </c>
      <c r="C1251" s="4">
        <v>45812.25</v>
      </c>
      <c r="D1251" s="4">
        <v>45812.250530046294</v>
      </c>
      <c r="E1251" s="2">
        <v>3.3</v>
      </c>
      <c r="F1251" s="2">
        <v>59.2</v>
      </c>
      <c r="G1251" s="2" t="s">
        <v>983</v>
      </c>
      <c r="H1251" s="2" t="s">
        <v>984</v>
      </c>
      <c r="I1251" s="2"/>
      <c r="J1251" s="2" t="s">
        <v>28</v>
      </c>
    </row>
    <row r="1252" spans="1:10" ht="21" customHeight="1">
      <c r="A1252" s="2" t="s">
        <v>2242</v>
      </c>
      <c r="B1252" s="2" t="s">
        <v>28</v>
      </c>
      <c r="C1252" s="4">
        <v>45813.25</v>
      </c>
      <c r="D1252" s="4">
        <v>45813.250176828704</v>
      </c>
      <c r="E1252" s="2">
        <v>2.9</v>
      </c>
      <c r="F1252" s="2">
        <v>65.900000000000006</v>
      </c>
      <c r="G1252" s="2" t="s">
        <v>983</v>
      </c>
      <c r="H1252" s="2" t="s">
        <v>984</v>
      </c>
      <c r="I1252" s="2"/>
      <c r="J1252" s="2" t="s">
        <v>28</v>
      </c>
    </row>
    <row r="1253" spans="1:10" ht="21" customHeight="1">
      <c r="A1253" s="2" t="s">
        <v>2243</v>
      </c>
      <c r="B1253" s="2" t="s">
        <v>28</v>
      </c>
      <c r="C1253" s="4">
        <v>45814.25</v>
      </c>
      <c r="D1253" s="4">
        <v>45814.250244710653</v>
      </c>
      <c r="E1253" s="2">
        <v>2.23</v>
      </c>
      <c r="F1253" s="2">
        <v>62.8</v>
      </c>
      <c r="G1253" s="2" t="s">
        <v>983</v>
      </c>
      <c r="H1253" s="2" t="s">
        <v>984</v>
      </c>
      <c r="I1253" s="2"/>
      <c r="J1253" s="2" t="s">
        <v>28</v>
      </c>
    </row>
    <row r="1254" spans="1:10" ht="21" customHeight="1">
      <c r="A1254" s="2" t="s">
        <v>2244</v>
      </c>
      <c r="B1254" s="2" t="s">
        <v>28</v>
      </c>
      <c r="C1254" s="4">
        <v>45815.25</v>
      </c>
      <c r="D1254" s="4">
        <v>45815.250531273152</v>
      </c>
      <c r="E1254" s="2">
        <v>2.78</v>
      </c>
      <c r="F1254" s="2">
        <v>61.6</v>
      </c>
      <c r="G1254" s="2" t="s">
        <v>983</v>
      </c>
      <c r="H1254" s="2" t="s">
        <v>984</v>
      </c>
      <c r="I1254" s="2"/>
      <c r="J1254" s="2" t="s">
        <v>28</v>
      </c>
    </row>
    <row r="1255" spans="1:10" ht="21" customHeight="1">
      <c r="A1255" s="2" t="s">
        <v>2245</v>
      </c>
      <c r="B1255" s="2" t="s">
        <v>28</v>
      </c>
      <c r="C1255" s="4">
        <v>45816.25</v>
      </c>
      <c r="D1255" s="4">
        <v>45816.250299479172</v>
      </c>
      <c r="E1255" s="2">
        <v>3.29</v>
      </c>
      <c r="F1255" s="2">
        <v>59.6</v>
      </c>
      <c r="G1255" s="2" t="s">
        <v>983</v>
      </c>
      <c r="H1255" s="2" t="s">
        <v>984</v>
      </c>
      <c r="I1255" s="2"/>
      <c r="J1255" s="2" t="s">
        <v>28</v>
      </c>
    </row>
    <row r="1256" spans="1:10" ht="21" customHeight="1">
      <c r="A1256" s="2" t="s">
        <v>2246</v>
      </c>
      <c r="B1256" s="2" t="s">
        <v>28</v>
      </c>
      <c r="C1256" s="4">
        <v>45817.25</v>
      </c>
      <c r="D1256" s="4">
        <v>45817.250625416666</v>
      </c>
      <c r="E1256" s="2">
        <v>3.19</v>
      </c>
      <c r="F1256" s="2">
        <v>63</v>
      </c>
      <c r="G1256" s="2" t="s">
        <v>983</v>
      </c>
      <c r="H1256" s="2" t="s">
        <v>984</v>
      </c>
      <c r="I1256" s="2"/>
      <c r="J1256" s="2" t="s">
        <v>28</v>
      </c>
    </row>
    <row r="1257" spans="1:10" ht="21" customHeight="1">
      <c r="A1257" s="2" t="s">
        <v>2247</v>
      </c>
      <c r="B1257" s="2" t="s">
        <v>28</v>
      </c>
      <c r="C1257" s="4">
        <v>45818.25</v>
      </c>
      <c r="D1257" s="4">
        <v>45818.250002696761</v>
      </c>
      <c r="E1257" s="2">
        <v>2.72</v>
      </c>
      <c r="F1257" s="2">
        <v>62.3</v>
      </c>
      <c r="G1257" s="2" t="s">
        <v>983</v>
      </c>
      <c r="H1257" s="2" t="s">
        <v>984</v>
      </c>
      <c r="I1257" s="2"/>
      <c r="J1257" s="2" t="s">
        <v>28</v>
      </c>
    </row>
    <row r="1258" spans="1:10" ht="21" customHeight="1">
      <c r="A1258" s="2" t="s">
        <v>2248</v>
      </c>
      <c r="B1258" s="2" t="s">
        <v>28</v>
      </c>
      <c r="C1258" s="4">
        <v>45819.25</v>
      </c>
      <c r="D1258" s="4">
        <v>45819.250475196764</v>
      </c>
      <c r="E1258" s="2">
        <v>2.6</v>
      </c>
      <c r="F1258" s="2">
        <v>59.4</v>
      </c>
      <c r="G1258" s="2" t="s">
        <v>983</v>
      </c>
      <c r="H1258" s="2" t="s">
        <v>984</v>
      </c>
      <c r="I1258" s="2"/>
      <c r="J1258" s="2" t="s">
        <v>28</v>
      </c>
    </row>
    <row r="1259" spans="1:10" ht="21" customHeight="1">
      <c r="A1259" s="2" t="s">
        <v>2249</v>
      </c>
      <c r="B1259" s="2" t="s">
        <v>28</v>
      </c>
      <c r="C1259" s="4">
        <v>45820.25</v>
      </c>
      <c r="D1259" s="4">
        <v>45820.250302175926</v>
      </c>
      <c r="E1259" s="2"/>
      <c r="F1259" s="2"/>
      <c r="G1259" s="2" t="s">
        <v>983</v>
      </c>
      <c r="H1259" s="2" t="s">
        <v>1066</v>
      </c>
      <c r="I1259" s="2"/>
      <c r="J1259" s="2" t="s">
        <v>28</v>
      </c>
    </row>
    <row r="1260" spans="1:10" ht="21" customHeight="1">
      <c r="A1260" s="2" t="s">
        <v>2250</v>
      </c>
      <c r="B1260" s="2" t="s">
        <v>28</v>
      </c>
      <c r="C1260" s="4">
        <v>45821.25</v>
      </c>
      <c r="D1260" s="4">
        <v>45821.250424861108</v>
      </c>
      <c r="E1260" s="2">
        <v>2.38</v>
      </c>
      <c r="F1260" s="2">
        <v>61.3</v>
      </c>
      <c r="G1260" s="2" t="s">
        <v>983</v>
      </c>
      <c r="H1260" s="2" t="s">
        <v>984</v>
      </c>
      <c r="I1260" s="2"/>
      <c r="J1260" s="2" t="s">
        <v>28</v>
      </c>
    </row>
    <row r="1261" spans="1:10" ht="21" customHeight="1">
      <c r="A1261" s="2" t="s">
        <v>2251</v>
      </c>
      <c r="B1261" s="2" t="s">
        <v>28</v>
      </c>
      <c r="C1261" s="4">
        <v>45822.25</v>
      </c>
      <c r="D1261" s="4">
        <v>45822.250644861109</v>
      </c>
      <c r="E1261" s="2">
        <v>3.13</v>
      </c>
      <c r="F1261" s="2">
        <v>64.599999999999994</v>
      </c>
      <c r="G1261" s="2" t="s">
        <v>983</v>
      </c>
      <c r="H1261" s="2" t="s">
        <v>984</v>
      </c>
      <c r="I1261" s="2"/>
      <c r="J1261" s="2" t="s">
        <v>28</v>
      </c>
    </row>
    <row r="1262" spans="1:10" ht="21" customHeight="1">
      <c r="A1262" s="2" t="s">
        <v>2252</v>
      </c>
      <c r="B1262" s="2" t="s">
        <v>28</v>
      </c>
      <c r="C1262" s="4">
        <v>45823.25</v>
      </c>
      <c r="D1262" s="4">
        <v>45823.25016625</v>
      </c>
      <c r="E1262" s="2">
        <v>3.01</v>
      </c>
      <c r="F1262" s="2">
        <v>62</v>
      </c>
      <c r="G1262" s="2" t="s">
        <v>983</v>
      </c>
      <c r="H1262" s="2" t="s">
        <v>984</v>
      </c>
      <c r="I1262" s="2"/>
      <c r="J1262" s="2" t="s">
        <v>28</v>
      </c>
    </row>
    <row r="1263" spans="1:10" ht="21" customHeight="1">
      <c r="A1263" s="2" t="s">
        <v>2253</v>
      </c>
      <c r="B1263" s="2" t="s">
        <v>28</v>
      </c>
      <c r="C1263" s="4">
        <v>45824.25</v>
      </c>
      <c r="D1263" s="4">
        <v>45824.250437974537</v>
      </c>
      <c r="E1263" s="2">
        <v>2.93</v>
      </c>
      <c r="F1263" s="2">
        <v>60.5</v>
      </c>
      <c r="G1263" s="2" t="s">
        <v>983</v>
      </c>
      <c r="H1263" s="2" t="s">
        <v>984</v>
      </c>
      <c r="I1263" s="2"/>
      <c r="J1263" s="2" t="s">
        <v>28</v>
      </c>
    </row>
    <row r="1264" spans="1:10" ht="21" customHeight="1">
      <c r="A1264" s="2" t="s">
        <v>2254</v>
      </c>
      <c r="B1264" s="2" t="s">
        <v>28</v>
      </c>
      <c r="C1264" s="4">
        <v>45825.25</v>
      </c>
      <c r="D1264" s="4">
        <v>45825.250633437499</v>
      </c>
      <c r="E1264" s="2">
        <v>2.1800000000000002</v>
      </c>
      <c r="F1264" s="2">
        <v>65.900000000000006</v>
      </c>
      <c r="G1264" s="2" t="s">
        <v>983</v>
      </c>
      <c r="H1264" s="2" t="s">
        <v>984</v>
      </c>
      <c r="I1264" s="2"/>
      <c r="J1264" s="2" t="s">
        <v>28</v>
      </c>
    </row>
    <row r="1265" spans="1:10" ht="21" customHeight="1">
      <c r="A1265" s="2" t="s">
        <v>2255</v>
      </c>
      <c r="B1265" s="2" t="s">
        <v>28</v>
      </c>
      <c r="C1265" s="4">
        <v>45826.25</v>
      </c>
      <c r="D1265" s="4">
        <v>45826.250058391204</v>
      </c>
      <c r="E1265" s="2">
        <v>2.64</v>
      </c>
      <c r="F1265" s="2">
        <v>58.7</v>
      </c>
      <c r="G1265" s="2" t="s">
        <v>983</v>
      </c>
      <c r="H1265" s="2" t="s">
        <v>984</v>
      </c>
      <c r="I1265" s="2"/>
      <c r="J1265" s="2" t="s">
        <v>28</v>
      </c>
    </row>
    <row r="1266" spans="1:10" ht="21" customHeight="1">
      <c r="A1266" s="2" t="s">
        <v>2256</v>
      </c>
      <c r="B1266" s="2" t="s">
        <v>28</v>
      </c>
      <c r="C1266" s="4">
        <v>45827.25</v>
      </c>
      <c r="D1266" s="4">
        <v>45827.250613761571</v>
      </c>
      <c r="E1266" s="2">
        <v>4.28</v>
      </c>
      <c r="F1266" s="2">
        <v>64.900000000000006</v>
      </c>
      <c r="G1266" s="2" t="s">
        <v>983</v>
      </c>
      <c r="H1266" s="2" t="s">
        <v>984</v>
      </c>
      <c r="I1266" s="2"/>
      <c r="J1266" s="2" t="s">
        <v>28</v>
      </c>
    </row>
    <row r="1267" spans="1:10" ht="21" customHeight="1">
      <c r="A1267" s="2" t="s">
        <v>2257</v>
      </c>
      <c r="B1267" s="2" t="s">
        <v>28</v>
      </c>
      <c r="C1267" s="4">
        <v>45828.25</v>
      </c>
      <c r="D1267" s="4">
        <v>45828.250599594903</v>
      </c>
      <c r="E1267" s="2">
        <v>4.33</v>
      </c>
      <c r="F1267" s="2">
        <v>70.099999999999994</v>
      </c>
      <c r="G1267" s="2" t="s">
        <v>983</v>
      </c>
      <c r="H1267" s="2" t="s">
        <v>984</v>
      </c>
      <c r="I1267" s="2" t="s">
        <v>1053</v>
      </c>
      <c r="J1267" s="2" t="s">
        <v>28</v>
      </c>
    </row>
    <row r="1268" spans="1:10" ht="21" customHeight="1">
      <c r="A1268" s="2" t="s">
        <v>2258</v>
      </c>
      <c r="B1268" s="2" t="s">
        <v>28</v>
      </c>
      <c r="C1268" s="4">
        <v>45829.25</v>
      </c>
      <c r="D1268" s="4">
        <v>45829.250421307872</v>
      </c>
      <c r="E1268" s="2">
        <v>6.13</v>
      </c>
      <c r="F1268" s="2">
        <v>66.599999999999994</v>
      </c>
      <c r="G1268" s="2" t="s">
        <v>983</v>
      </c>
      <c r="H1268" s="2" t="s">
        <v>984</v>
      </c>
      <c r="I1268" s="2"/>
      <c r="J1268" s="2" t="s">
        <v>28</v>
      </c>
    </row>
    <row r="1269" spans="1:10" ht="21" customHeight="1">
      <c r="A1269" s="2" t="s">
        <v>2259</v>
      </c>
      <c r="B1269" s="2" t="s">
        <v>28</v>
      </c>
      <c r="C1269" s="4">
        <v>45830.25</v>
      </c>
      <c r="D1269" s="4">
        <v>45830.25047042824</v>
      </c>
      <c r="E1269" s="2">
        <v>0</v>
      </c>
      <c r="F1269" s="2">
        <v>62.1</v>
      </c>
      <c r="G1269" s="2" t="s">
        <v>1175</v>
      </c>
      <c r="H1269" s="2" t="s">
        <v>984</v>
      </c>
      <c r="I1269" s="2"/>
      <c r="J1269" s="2" t="s">
        <v>28</v>
      </c>
    </row>
    <row r="1270" spans="1:10" ht="21" customHeight="1">
      <c r="A1270" s="2" t="s">
        <v>2260</v>
      </c>
      <c r="B1270" s="2" t="s">
        <v>28</v>
      </c>
      <c r="C1270" s="4">
        <v>45831.25</v>
      </c>
      <c r="D1270" s="4">
        <v>45831.250627407411</v>
      </c>
      <c r="E1270" s="2">
        <v>2.35</v>
      </c>
      <c r="F1270" s="2">
        <v>62.6</v>
      </c>
      <c r="G1270" s="2" t="s">
        <v>983</v>
      </c>
      <c r="H1270" s="2" t="s">
        <v>984</v>
      </c>
      <c r="I1270" s="2"/>
      <c r="J1270" s="2" t="s">
        <v>28</v>
      </c>
    </row>
    <row r="1271" spans="1:10" ht="21" customHeight="1">
      <c r="A1271" s="2" t="s">
        <v>2261</v>
      </c>
      <c r="B1271" s="2" t="s">
        <v>28</v>
      </c>
      <c r="C1271" s="4">
        <v>45832.25</v>
      </c>
      <c r="D1271" s="4">
        <v>45832.250553136575</v>
      </c>
      <c r="E1271" s="2">
        <v>2.3199999999999998</v>
      </c>
      <c r="F1271" s="2">
        <v>64.099999999999994</v>
      </c>
      <c r="G1271" s="2" t="s">
        <v>983</v>
      </c>
      <c r="H1271" s="2" t="s">
        <v>984</v>
      </c>
      <c r="I1271" s="2"/>
      <c r="J1271" s="2" t="s">
        <v>28</v>
      </c>
    </row>
    <row r="1272" spans="1:10" ht="21" customHeight="1">
      <c r="A1272" s="2" t="s">
        <v>2262</v>
      </c>
      <c r="B1272" s="2" t="s">
        <v>28</v>
      </c>
      <c r="C1272" s="4">
        <v>45833.25</v>
      </c>
      <c r="D1272" s="4">
        <v>45833.25068646991</v>
      </c>
      <c r="E1272" s="2">
        <v>2.62</v>
      </c>
      <c r="F1272" s="2">
        <v>64.5</v>
      </c>
      <c r="G1272" s="2" t="s">
        <v>983</v>
      </c>
      <c r="H1272" s="2" t="s">
        <v>984</v>
      </c>
      <c r="I1272" s="2"/>
      <c r="J1272" s="2" t="s">
        <v>28</v>
      </c>
    </row>
    <row r="1273" spans="1:10" ht="21" customHeight="1">
      <c r="A1273" s="2" t="s">
        <v>2263</v>
      </c>
      <c r="B1273" s="2" t="s">
        <v>2099</v>
      </c>
      <c r="C1273" s="4">
        <v>45834.25</v>
      </c>
      <c r="D1273" s="4">
        <v>45834.2503999537</v>
      </c>
      <c r="E1273" s="2">
        <v>2.66</v>
      </c>
      <c r="F1273" s="2">
        <v>63</v>
      </c>
      <c r="G1273" s="2" t="s">
        <v>983</v>
      </c>
      <c r="H1273" s="2" t="s">
        <v>984</v>
      </c>
      <c r="I1273" s="2"/>
      <c r="J1273" s="2" t="s">
        <v>28</v>
      </c>
    </row>
    <row r="1274" spans="1:10" ht="21" customHeight="1">
      <c r="A1274" s="2" t="s">
        <v>2264</v>
      </c>
      <c r="B1274" s="2" t="s">
        <v>28</v>
      </c>
      <c r="C1274" s="4">
        <v>45835.25</v>
      </c>
      <c r="D1274" s="4">
        <v>45835.250024189816</v>
      </c>
      <c r="E1274" s="2">
        <v>3.04</v>
      </c>
      <c r="F1274" s="2">
        <v>60</v>
      </c>
      <c r="G1274" s="2" t="s">
        <v>983</v>
      </c>
      <c r="H1274" s="2" t="s">
        <v>984</v>
      </c>
      <c r="I1274" s="2"/>
      <c r="J1274" s="2" t="s">
        <v>28</v>
      </c>
    </row>
    <row r="1275" spans="1:10" ht="21" customHeight="1">
      <c r="A1275" s="2" t="s">
        <v>2265</v>
      </c>
      <c r="B1275" s="2" t="s">
        <v>28</v>
      </c>
      <c r="C1275" s="4">
        <v>45836.25</v>
      </c>
      <c r="D1275" s="4">
        <v>45836.250233460647</v>
      </c>
      <c r="E1275" s="2">
        <v>2.52</v>
      </c>
      <c r="F1275" s="2">
        <v>60.7</v>
      </c>
      <c r="G1275" s="2" t="s">
        <v>983</v>
      </c>
      <c r="H1275" s="2" t="s">
        <v>984</v>
      </c>
      <c r="I1275" s="2"/>
      <c r="J1275" s="2" t="s">
        <v>28</v>
      </c>
    </row>
    <row r="1276" spans="1:10" ht="21" customHeight="1">
      <c r="A1276" s="2" t="s">
        <v>2266</v>
      </c>
      <c r="B1276" s="2" t="s">
        <v>28</v>
      </c>
      <c r="C1276" s="4">
        <v>45837.25</v>
      </c>
      <c r="D1276" s="4">
        <v>45837.250256481479</v>
      </c>
      <c r="E1276" s="2">
        <v>2.4500000000000002</v>
      </c>
      <c r="F1276" s="2">
        <v>64</v>
      </c>
      <c r="G1276" s="2" t="s">
        <v>983</v>
      </c>
      <c r="H1276" s="2" t="s">
        <v>984</v>
      </c>
      <c r="I1276" s="2"/>
      <c r="J1276" s="2" t="s">
        <v>28</v>
      </c>
    </row>
    <row r="1277" spans="1:10" ht="21" customHeight="1">
      <c r="A1277" s="2" t="s">
        <v>2267</v>
      </c>
      <c r="B1277" s="2" t="s">
        <v>28</v>
      </c>
      <c r="C1277" s="4">
        <v>45838.25</v>
      </c>
      <c r="D1277" s="4">
        <v>45838.250249594908</v>
      </c>
      <c r="E1277" s="2">
        <v>3.26</v>
      </c>
      <c r="F1277" s="2">
        <v>59.4</v>
      </c>
      <c r="G1277" s="2" t="s">
        <v>983</v>
      </c>
      <c r="H1277" s="2" t="s">
        <v>984</v>
      </c>
      <c r="I1277" s="2"/>
      <c r="J1277" s="2" t="s">
        <v>28</v>
      </c>
    </row>
    <row r="1278" spans="1:10" ht="21" customHeight="1">
      <c r="A1278" s="2" t="s">
        <v>2268</v>
      </c>
      <c r="B1278" s="2" t="s">
        <v>28</v>
      </c>
      <c r="C1278" s="4">
        <v>45839.25</v>
      </c>
      <c r="D1278" s="4">
        <v>45839.250071921299</v>
      </c>
      <c r="E1278" s="2">
        <v>3.22</v>
      </c>
      <c r="F1278" s="2">
        <v>61.1</v>
      </c>
      <c r="G1278" s="2" t="s">
        <v>983</v>
      </c>
      <c r="H1278" s="2" t="s">
        <v>984</v>
      </c>
      <c r="I1278" s="2"/>
      <c r="J1278" s="2" t="s">
        <v>28</v>
      </c>
    </row>
    <row r="1279" spans="1:10" ht="21" customHeight="1">
      <c r="A1279" s="2" t="s">
        <v>2269</v>
      </c>
      <c r="B1279" s="2" t="s">
        <v>28</v>
      </c>
      <c r="C1279" s="4">
        <v>45840.25</v>
      </c>
      <c r="D1279" s="4">
        <v>45840.250317361111</v>
      </c>
      <c r="E1279" s="2">
        <v>2.6</v>
      </c>
      <c r="F1279" s="2">
        <v>60</v>
      </c>
      <c r="G1279" s="2" t="s">
        <v>983</v>
      </c>
      <c r="H1279" s="2" t="s">
        <v>984</v>
      </c>
      <c r="I1279" s="2"/>
      <c r="J1279" s="2" t="s">
        <v>28</v>
      </c>
    </row>
    <row r="1280" spans="1:10" ht="21" customHeight="1">
      <c r="A1280" s="2" t="s">
        <v>2270</v>
      </c>
      <c r="B1280" s="2" t="s">
        <v>28</v>
      </c>
      <c r="C1280" s="4">
        <v>45841.25</v>
      </c>
      <c r="D1280" s="4">
        <v>45841.250384872685</v>
      </c>
      <c r="E1280" s="2">
        <v>3.21</v>
      </c>
      <c r="F1280" s="2">
        <v>61.3</v>
      </c>
      <c r="G1280" s="2" t="s">
        <v>983</v>
      </c>
      <c r="H1280" s="2" t="s">
        <v>984</v>
      </c>
      <c r="I1280" s="2"/>
      <c r="J1280" s="2" t="s">
        <v>28</v>
      </c>
    </row>
    <row r="1281" spans="1:10" ht="21" customHeight="1">
      <c r="A1281" s="2" t="s">
        <v>2271</v>
      </c>
      <c r="B1281" s="2" t="s">
        <v>28</v>
      </c>
      <c r="C1281" s="4">
        <v>45842.25</v>
      </c>
      <c r="D1281" s="4">
        <v>45842.250014201389</v>
      </c>
      <c r="E1281" s="2">
        <v>2.36</v>
      </c>
      <c r="F1281" s="2">
        <v>64.599999999999994</v>
      </c>
      <c r="G1281" s="2" t="s">
        <v>983</v>
      </c>
      <c r="H1281" s="2" t="s">
        <v>984</v>
      </c>
      <c r="I1281" s="2"/>
      <c r="J1281" s="2" t="s">
        <v>28</v>
      </c>
    </row>
    <row r="1282" spans="1:10" ht="21" customHeight="1">
      <c r="A1282" s="2" t="s">
        <v>2272</v>
      </c>
      <c r="B1282" s="2" t="s">
        <v>28</v>
      </c>
      <c r="C1282" s="4">
        <v>45843.25</v>
      </c>
      <c r="D1282" s="4">
        <v>45843.250378090277</v>
      </c>
      <c r="E1282" s="2">
        <v>2.5499999999999998</v>
      </c>
      <c r="F1282" s="2">
        <v>59.9</v>
      </c>
      <c r="G1282" s="2" t="s">
        <v>983</v>
      </c>
      <c r="H1282" s="2" t="s">
        <v>984</v>
      </c>
      <c r="I1282" s="2"/>
      <c r="J1282" s="2" t="s">
        <v>28</v>
      </c>
    </row>
    <row r="1283" spans="1:10" ht="21" customHeight="1">
      <c r="A1283" s="2" t="s">
        <v>2273</v>
      </c>
      <c r="B1283" s="2" t="s">
        <v>28</v>
      </c>
      <c r="C1283" s="4">
        <v>45844.25</v>
      </c>
      <c r="D1283" s="4">
        <v>45844.250183252312</v>
      </c>
      <c r="E1283" s="2">
        <v>2.29</v>
      </c>
      <c r="F1283" s="2">
        <v>63.2</v>
      </c>
      <c r="G1283" s="2" t="s">
        <v>983</v>
      </c>
      <c r="H1283" s="2" t="s">
        <v>984</v>
      </c>
      <c r="I1283" s="2"/>
      <c r="J1283" s="2" t="s">
        <v>28</v>
      </c>
    </row>
    <row r="1284" spans="1:10" ht="21" customHeight="1">
      <c r="A1284" s="2" t="s">
        <v>2274</v>
      </c>
      <c r="B1284" s="2" t="s">
        <v>28</v>
      </c>
      <c r="C1284" s="4">
        <v>45845.25</v>
      </c>
      <c r="D1284" s="4">
        <v>45845.250397928241</v>
      </c>
      <c r="E1284" s="2">
        <v>5.37</v>
      </c>
      <c r="F1284" s="2">
        <v>68.5</v>
      </c>
      <c r="G1284" s="2" t="s">
        <v>983</v>
      </c>
      <c r="H1284" s="2" t="s">
        <v>984</v>
      </c>
      <c r="I1284" s="2" t="s">
        <v>985</v>
      </c>
      <c r="J1284" s="2" t="s">
        <v>28</v>
      </c>
    </row>
    <row r="1285" spans="1:10" ht="21" customHeight="1">
      <c r="A1285" s="2" t="s">
        <v>2275</v>
      </c>
      <c r="B1285" s="2" t="s">
        <v>28</v>
      </c>
      <c r="C1285" s="4">
        <v>45846.25</v>
      </c>
      <c r="D1285" s="4">
        <v>45846.250089386573</v>
      </c>
      <c r="E1285" s="2">
        <v>6.15</v>
      </c>
      <c r="F1285" s="2">
        <v>73.7</v>
      </c>
      <c r="G1285" s="2" t="s">
        <v>983</v>
      </c>
      <c r="H1285" s="2" t="s">
        <v>984</v>
      </c>
      <c r="I1285" s="2" t="s">
        <v>1053</v>
      </c>
      <c r="J1285" s="2" t="s">
        <v>28</v>
      </c>
    </row>
    <row r="1286" spans="1:10" ht="21" customHeight="1">
      <c r="A1286" s="2" t="s">
        <v>2276</v>
      </c>
      <c r="B1286" s="2" t="s">
        <v>28</v>
      </c>
      <c r="C1286" s="4">
        <v>45847.25</v>
      </c>
      <c r="D1286" s="4">
        <v>45847.250613541662</v>
      </c>
      <c r="E1286" s="2">
        <v>4.58</v>
      </c>
      <c r="F1286" s="2">
        <v>71</v>
      </c>
      <c r="G1286" s="2" t="s">
        <v>983</v>
      </c>
      <c r="H1286" s="2" t="s">
        <v>984</v>
      </c>
      <c r="I1286" s="2"/>
      <c r="J1286" s="2" t="s">
        <v>28</v>
      </c>
    </row>
    <row r="1287" spans="1:10" ht="21" customHeight="1">
      <c r="A1287" s="2" t="s">
        <v>2277</v>
      </c>
      <c r="B1287" s="2" t="s">
        <v>28</v>
      </c>
      <c r="C1287" s="4">
        <v>45848.25</v>
      </c>
      <c r="D1287" s="4">
        <v>45848.250449340281</v>
      </c>
      <c r="E1287" s="2">
        <v>2.46</v>
      </c>
      <c r="F1287" s="2">
        <v>60.3</v>
      </c>
      <c r="G1287" s="2" t="s">
        <v>983</v>
      </c>
      <c r="H1287" s="2" t="s">
        <v>984</v>
      </c>
      <c r="I1287" s="2"/>
      <c r="J1287" s="2" t="s">
        <v>28</v>
      </c>
    </row>
    <row r="1288" spans="1:10" ht="21" customHeight="1">
      <c r="A1288" s="2" t="s">
        <v>2278</v>
      </c>
      <c r="B1288" s="2" t="s">
        <v>28</v>
      </c>
      <c r="C1288" s="4">
        <v>45849.25</v>
      </c>
      <c r="D1288" s="4">
        <v>45849.250393043985</v>
      </c>
      <c r="E1288" s="2">
        <v>2.62</v>
      </c>
      <c r="F1288" s="2">
        <v>60.2</v>
      </c>
      <c r="G1288" s="2" t="s">
        <v>983</v>
      </c>
      <c r="H1288" s="2" t="s">
        <v>984</v>
      </c>
      <c r="I1288" s="2"/>
      <c r="J1288" s="2" t="s">
        <v>28</v>
      </c>
    </row>
    <row r="1289" spans="1:10" ht="21" customHeight="1">
      <c r="A1289" s="2" t="s">
        <v>2279</v>
      </c>
      <c r="B1289" s="2" t="s">
        <v>28</v>
      </c>
      <c r="C1289" s="4">
        <v>45850.25</v>
      </c>
      <c r="D1289" s="4">
        <v>45850.250618472222</v>
      </c>
      <c r="E1289" s="2">
        <v>2.64</v>
      </c>
      <c r="F1289" s="2">
        <v>62.6</v>
      </c>
      <c r="G1289" s="2" t="s">
        <v>983</v>
      </c>
      <c r="H1289" s="2" t="s">
        <v>984</v>
      </c>
      <c r="I1289" s="2"/>
      <c r="J1289" s="2" t="s">
        <v>28</v>
      </c>
    </row>
    <row r="1290" spans="1:10" ht="21" customHeight="1">
      <c r="A1290" s="2" t="s">
        <v>2280</v>
      </c>
      <c r="B1290" s="2" t="s">
        <v>28</v>
      </c>
      <c r="C1290" s="4">
        <v>45851.25</v>
      </c>
      <c r="D1290" s="4">
        <v>45851.250495509259</v>
      </c>
      <c r="E1290" s="2">
        <v>2.27</v>
      </c>
      <c r="F1290" s="2">
        <v>59.6</v>
      </c>
      <c r="G1290" s="2" t="s">
        <v>983</v>
      </c>
      <c r="H1290" s="2" t="s">
        <v>984</v>
      </c>
      <c r="I1290" s="2"/>
      <c r="J1290" s="2" t="s">
        <v>28</v>
      </c>
    </row>
    <row r="1291" spans="1:10" ht="21" customHeight="1">
      <c r="A1291" s="2" t="s">
        <v>2281</v>
      </c>
      <c r="B1291" s="2" t="s">
        <v>28</v>
      </c>
      <c r="C1291" s="4">
        <v>45852.25</v>
      </c>
      <c r="D1291" s="4">
        <v>45852.2504391088</v>
      </c>
      <c r="E1291" s="2">
        <v>2.95</v>
      </c>
      <c r="F1291" s="2">
        <v>64.599999999999994</v>
      </c>
      <c r="G1291" s="2" t="s">
        <v>983</v>
      </c>
      <c r="H1291" s="2" t="s">
        <v>984</v>
      </c>
      <c r="I1291" s="2"/>
      <c r="J1291" s="2" t="s">
        <v>28</v>
      </c>
    </row>
    <row r="1292" spans="1:10" ht="21" customHeight="1">
      <c r="A1292" s="2" t="s">
        <v>2282</v>
      </c>
      <c r="B1292" s="2" t="s">
        <v>28</v>
      </c>
      <c r="C1292" s="4">
        <v>45853.25</v>
      </c>
      <c r="D1292" s="4">
        <v>45853.250584803245</v>
      </c>
      <c r="E1292" s="2">
        <v>2.88</v>
      </c>
      <c r="F1292" s="2">
        <v>61.9</v>
      </c>
      <c r="G1292" s="2" t="s">
        <v>983</v>
      </c>
      <c r="H1292" s="2" t="s">
        <v>984</v>
      </c>
      <c r="I1292" s="2"/>
      <c r="J1292" s="2" t="s">
        <v>28</v>
      </c>
    </row>
    <row r="1293" spans="1:10" ht="21" customHeight="1">
      <c r="A1293" s="2" t="s">
        <v>2283</v>
      </c>
      <c r="B1293" s="2" t="s">
        <v>28</v>
      </c>
      <c r="C1293" s="4">
        <v>45854.25</v>
      </c>
      <c r="D1293" s="4">
        <v>45854.250379733799</v>
      </c>
      <c r="E1293" s="2">
        <v>2.68</v>
      </c>
      <c r="F1293" s="2">
        <v>58.2</v>
      </c>
      <c r="G1293" s="2" t="s">
        <v>983</v>
      </c>
      <c r="H1293" s="2" t="s">
        <v>984</v>
      </c>
      <c r="I1293" s="2"/>
      <c r="J1293" s="2" t="s">
        <v>28</v>
      </c>
    </row>
    <row r="1294" spans="1:10" ht="21" customHeight="1">
      <c r="A1294" s="2" t="s">
        <v>2284</v>
      </c>
      <c r="B1294" s="2" t="s">
        <v>28</v>
      </c>
      <c r="C1294" s="4">
        <v>45855.25</v>
      </c>
      <c r="D1294" s="4">
        <v>45855.250054999997</v>
      </c>
      <c r="E1294" s="2">
        <v>2.23</v>
      </c>
      <c r="F1294" s="2">
        <v>58.7</v>
      </c>
      <c r="G1294" s="2" t="s">
        <v>983</v>
      </c>
      <c r="H1294" s="2" t="s">
        <v>984</v>
      </c>
      <c r="I1294" s="2"/>
      <c r="J1294" s="2" t="s">
        <v>28</v>
      </c>
    </row>
    <row r="1295" spans="1:10" ht="21" customHeight="1">
      <c r="A1295" s="2" t="s">
        <v>2285</v>
      </c>
      <c r="B1295" s="2" t="s">
        <v>28</v>
      </c>
      <c r="C1295" s="4">
        <v>45856.25</v>
      </c>
      <c r="D1295" s="4">
        <v>45856.250010925927</v>
      </c>
      <c r="E1295" s="2">
        <v>2.98</v>
      </c>
      <c r="F1295" s="2">
        <v>65.400000000000006</v>
      </c>
      <c r="G1295" s="2" t="s">
        <v>983</v>
      </c>
      <c r="H1295" s="2" t="s">
        <v>984</v>
      </c>
      <c r="I1295" s="2"/>
      <c r="J1295" s="2" t="s">
        <v>28</v>
      </c>
    </row>
    <row r="1296" spans="1:10" ht="21" customHeight="1">
      <c r="A1296" s="2" t="s">
        <v>2286</v>
      </c>
      <c r="B1296" s="2" t="s">
        <v>28</v>
      </c>
      <c r="C1296" s="4">
        <v>45857.25</v>
      </c>
      <c r="D1296" s="4">
        <v>45857.25006259259</v>
      </c>
      <c r="E1296" s="2">
        <v>2.85</v>
      </c>
      <c r="F1296" s="2">
        <v>59.9</v>
      </c>
      <c r="G1296" s="2" t="s">
        <v>983</v>
      </c>
      <c r="H1296" s="2" t="s">
        <v>984</v>
      </c>
      <c r="I1296" s="2"/>
      <c r="J1296" s="2" t="s">
        <v>28</v>
      </c>
    </row>
    <row r="1297" spans="1:10" ht="21" customHeight="1">
      <c r="A1297" s="2" t="s">
        <v>2287</v>
      </c>
      <c r="B1297" s="2" t="s">
        <v>28</v>
      </c>
      <c r="C1297" s="4">
        <v>45858.25</v>
      </c>
      <c r="D1297" s="4">
        <v>45858.250479884256</v>
      </c>
      <c r="E1297" s="2">
        <v>2.78</v>
      </c>
      <c r="F1297" s="2">
        <v>63.1</v>
      </c>
      <c r="G1297" s="2" t="s">
        <v>983</v>
      </c>
      <c r="H1297" s="2" t="s">
        <v>984</v>
      </c>
      <c r="I1297" s="2"/>
      <c r="J1297" s="2" t="s">
        <v>28</v>
      </c>
    </row>
    <row r="1298" spans="1:10" ht="21" customHeight="1">
      <c r="A1298" s="2" t="s">
        <v>2288</v>
      </c>
      <c r="B1298" s="2" t="s">
        <v>28</v>
      </c>
      <c r="C1298" s="4">
        <v>45859.25</v>
      </c>
      <c r="D1298" s="4">
        <v>45859.250425486112</v>
      </c>
      <c r="E1298" s="2">
        <v>2.1800000000000002</v>
      </c>
      <c r="F1298" s="2">
        <v>59.8</v>
      </c>
      <c r="G1298" s="2" t="s">
        <v>983</v>
      </c>
      <c r="H1298" s="2" t="s">
        <v>984</v>
      </c>
      <c r="I1298" s="2"/>
      <c r="J1298" s="2" t="s">
        <v>28</v>
      </c>
    </row>
    <row r="1299" spans="1:10" ht="21" customHeight="1">
      <c r="A1299" s="2" t="s">
        <v>2289</v>
      </c>
      <c r="B1299" s="2" t="s">
        <v>28</v>
      </c>
      <c r="C1299" s="4">
        <v>45860.25</v>
      </c>
      <c r="D1299" s="4">
        <v>45860.250450937499</v>
      </c>
      <c r="E1299" s="2">
        <v>2.41</v>
      </c>
      <c r="F1299" s="2">
        <v>65.5</v>
      </c>
      <c r="G1299" s="2" t="s">
        <v>983</v>
      </c>
      <c r="H1299" s="2" t="s">
        <v>984</v>
      </c>
      <c r="I1299" s="2"/>
      <c r="J1299" s="2" t="s">
        <v>28</v>
      </c>
    </row>
    <row r="1300" spans="1:10" ht="21" customHeight="1">
      <c r="A1300" s="2" t="s">
        <v>2290</v>
      </c>
      <c r="B1300" s="2" t="s">
        <v>28</v>
      </c>
      <c r="C1300" s="4">
        <v>45861.25</v>
      </c>
      <c r="D1300" s="4">
        <v>45861.250599074076</v>
      </c>
      <c r="E1300" s="2">
        <v>2.67</v>
      </c>
      <c r="F1300" s="2">
        <v>58.7</v>
      </c>
      <c r="G1300" s="2" t="s">
        <v>983</v>
      </c>
      <c r="H1300" s="2" t="s">
        <v>984</v>
      </c>
      <c r="I1300" s="2"/>
      <c r="J1300" s="2" t="s">
        <v>28</v>
      </c>
    </row>
    <row r="1301" spans="1:10" ht="21" customHeight="1">
      <c r="A1301" s="2" t="s">
        <v>2291</v>
      </c>
      <c r="B1301" s="2" t="s">
        <v>28</v>
      </c>
      <c r="C1301" s="4">
        <v>45862.25</v>
      </c>
      <c r="D1301" s="4">
        <v>45862.250575949074</v>
      </c>
      <c r="E1301" s="2">
        <v>3.22</v>
      </c>
      <c r="F1301" s="2">
        <v>65.2</v>
      </c>
      <c r="G1301" s="2" t="s">
        <v>983</v>
      </c>
      <c r="H1301" s="2" t="s">
        <v>984</v>
      </c>
      <c r="I1301" s="2" t="s">
        <v>985</v>
      </c>
      <c r="J1301" s="2" t="s">
        <v>28</v>
      </c>
    </row>
    <row r="1302" spans="1:10" ht="21" customHeight="1">
      <c r="A1302" s="2" t="s">
        <v>2292</v>
      </c>
      <c r="B1302" s="2" t="s">
        <v>28</v>
      </c>
      <c r="C1302" s="4">
        <v>45863.25</v>
      </c>
      <c r="D1302" s="4">
        <v>45863.250290173615</v>
      </c>
      <c r="E1302" s="2">
        <v>2.48</v>
      </c>
      <c r="F1302" s="2">
        <v>59.4</v>
      </c>
      <c r="G1302" s="2" t="s">
        <v>983</v>
      </c>
      <c r="H1302" s="2" t="s">
        <v>984</v>
      </c>
      <c r="I1302" s="2"/>
      <c r="J1302" s="2" t="s">
        <v>28</v>
      </c>
    </row>
    <row r="1303" spans="1:10" ht="21" customHeight="1">
      <c r="A1303" s="2" t="s">
        <v>2293</v>
      </c>
      <c r="B1303" s="2" t="s">
        <v>28</v>
      </c>
      <c r="C1303" s="4">
        <v>45864.25</v>
      </c>
      <c r="D1303" s="4">
        <v>45864.250349918977</v>
      </c>
      <c r="E1303" s="2">
        <v>2.7</v>
      </c>
      <c r="F1303" s="2">
        <v>58.5</v>
      </c>
      <c r="G1303" s="2" t="s">
        <v>983</v>
      </c>
      <c r="H1303" s="2" t="s">
        <v>984</v>
      </c>
      <c r="I1303" s="2"/>
      <c r="J1303" s="2" t="s">
        <v>28</v>
      </c>
    </row>
    <row r="1304" spans="1:10" ht="21" customHeight="1">
      <c r="A1304" s="2" t="s">
        <v>2294</v>
      </c>
      <c r="B1304" s="2" t="s">
        <v>28</v>
      </c>
      <c r="C1304" s="4">
        <v>45865.25</v>
      </c>
      <c r="D1304" s="4">
        <v>45865.250505729171</v>
      </c>
      <c r="E1304" s="2">
        <v>2.14</v>
      </c>
      <c r="F1304" s="2">
        <v>61.3</v>
      </c>
      <c r="G1304" s="2" t="s">
        <v>983</v>
      </c>
      <c r="H1304" s="2" t="s">
        <v>984</v>
      </c>
      <c r="I1304" s="2"/>
      <c r="J1304" s="2" t="s">
        <v>28</v>
      </c>
    </row>
    <row r="1305" spans="1:10" ht="21" customHeight="1">
      <c r="A1305" s="2" t="s">
        <v>2295</v>
      </c>
      <c r="B1305" s="2" t="s">
        <v>28</v>
      </c>
      <c r="C1305" s="4">
        <v>45866.25</v>
      </c>
      <c r="D1305" s="4">
        <v>45866.250528888893</v>
      </c>
      <c r="E1305" s="2">
        <v>2.84</v>
      </c>
      <c r="F1305" s="2">
        <v>62.1</v>
      </c>
      <c r="G1305" s="2" t="s">
        <v>983</v>
      </c>
      <c r="H1305" s="2" t="s">
        <v>984</v>
      </c>
      <c r="I1305" s="2"/>
      <c r="J1305" s="2" t="s">
        <v>28</v>
      </c>
    </row>
    <row r="1306" spans="1:10" ht="21" customHeight="1">
      <c r="A1306" s="2" t="s">
        <v>2296</v>
      </c>
      <c r="B1306" s="2" t="s">
        <v>28</v>
      </c>
      <c r="C1306" s="4">
        <v>45867.25</v>
      </c>
      <c r="D1306" s="4">
        <v>45867.250137395837</v>
      </c>
      <c r="E1306" s="2">
        <v>2.16</v>
      </c>
      <c r="F1306" s="2">
        <v>60.3</v>
      </c>
      <c r="G1306" s="2" t="s">
        <v>983</v>
      </c>
      <c r="H1306" s="2" t="s">
        <v>984</v>
      </c>
      <c r="I1306" s="2"/>
      <c r="J1306" s="2" t="s">
        <v>28</v>
      </c>
    </row>
    <row r="1307" spans="1:10" ht="21" customHeight="1">
      <c r="A1307" s="2" t="s">
        <v>2297</v>
      </c>
      <c r="B1307" s="2" t="s">
        <v>28</v>
      </c>
      <c r="C1307" s="4">
        <v>45868.25</v>
      </c>
      <c r="D1307" s="4">
        <v>45868.25012099537</v>
      </c>
      <c r="E1307" s="2"/>
      <c r="F1307" s="2"/>
      <c r="G1307" s="2" t="s">
        <v>983</v>
      </c>
      <c r="H1307" s="2" t="s">
        <v>1066</v>
      </c>
      <c r="I1307" s="2"/>
      <c r="J1307" s="2" t="s">
        <v>28</v>
      </c>
    </row>
    <row r="1308" spans="1:10" ht="21" customHeight="1">
      <c r="A1308" s="2" t="s">
        <v>2298</v>
      </c>
      <c r="B1308" s="2" t="s">
        <v>28</v>
      </c>
      <c r="C1308" s="4">
        <v>45869.25</v>
      </c>
      <c r="D1308" s="4">
        <v>45869.25027877315</v>
      </c>
      <c r="E1308" s="2">
        <v>2.37</v>
      </c>
      <c r="F1308" s="2">
        <v>63.1</v>
      </c>
      <c r="G1308" s="2" t="s">
        <v>983</v>
      </c>
      <c r="H1308" s="2" t="s">
        <v>984</v>
      </c>
      <c r="I1308" s="2"/>
      <c r="J1308" s="2" t="s">
        <v>28</v>
      </c>
    </row>
    <row r="1309" spans="1:10" ht="21" customHeight="1">
      <c r="A1309" s="2" t="s">
        <v>2299</v>
      </c>
      <c r="B1309" s="2" t="s">
        <v>28</v>
      </c>
      <c r="C1309" s="4">
        <v>45870.25</v>
      </c>
      <c r="D1309" s="4">
        <v>45870.250217789348</v>
      </c>
      <c r="E1309" s="2">
        <v>2.84</v>
      </c>
      <c r="F1309" s="2">
        <v>65.7</v>
      </c>
      <c r="G1309" s="2" t="s">
        <v>983</v>
      </c>
      <c r="H1309" s="2" t="s">
        <v>984</v>
      </c>
      <c r="I1309" s="2"/>
      <c r="J1309" s="2" t="s">
        <v>28</v>
      </c>
    </row>
    <row r="1310" spans="1:10" ht="21" customHeight="1">
      <c r="A1310" s="2" t="s">
        <v>2300</v>
      </c>
      <c r="B1310" s="2" t="s">
        <v>28</v>
      </c>
      <c r="C1310" s="4">
        <v>45871.25</v>
      </c>
      <c r="D1310" s="4">
        <v>45871.250348043977</v>
      </c>
      <c r="E1310" s="2">
        <v>2.77</v>
      </c>
      <c r="F1310" s="2">
        <v>65.7</v>
      </c>
      <c r="G1310" s="2" t="s">
        <v>983</v>
      </c>
      <c r="H1310" s="2" t="s">
        <v>984</v>
      </c>
      <c r="I1310" s="2"/>
      <c r="J1310" s="2" t="s">
        <v>28</v>
      </c>
    </row>
    <row r="1311" spans="1:10" ht="21" customHeight="1">
      <c r="A1311" s="2" t="s">
        <v>2301</v>
      </c>
      <c r="B1311" s="2" t="s">
        <v>28</v>
      </c>
      <c r="C1311" s="4">
        <v>45872.25</v>
      </c>
      <c r="D1311" s="4">
        <v>45872.25040261574</v>
      </c>
      <c r="E1311" s="2">
        <v>5.34</v>
      </c>
      <c r="F1311" s="2">
        <v>71.8</v>
      </c>
      <c r="G1311" s="2" t="s">
        <v>983</v>
      </c>
      <c r="H1311" s="2" t="s">
        <v>984</v>
      </c>
      <c r="I1311" s="2" t="s">
        <v>1053</v>
      </c>
      <c r="J1311" s="2" t="s">
        <v>28</v>
      </c>
    </row>
    <row r="1312" spans="1:10" ht="21" customHeight="1">
      <c r="A1312" s="2" t="s">
        <v>2302</v>
      </c>
      <c r="B1312" s="2" t="s">
        <v>28</v>
      </c>
      <c r="C1312" s="4">
        <v>45873.25</v>
      </c>
      <c r="D1312" s="4">
        <v>45873.250331574076</v>
      </c>
      <c r="E1312" s="2">
        <v>6.48</v>
      </c>
      <c r="F1312" s="2">
        <v>70.099999999999994</v>
      </c>
      <c r="G1312" s="2" t="s">
        <v>983</v>
      </c>
      <c r="H1312" s="2" t="s">
        <v>984</v>
      </c>
      <c r="I1312" s="2"/>
      <c r="J1312" s="2" t="s">
        <v>28</v>
      </c>
    </row>
    <row r="1313" spans="1:10" ht="21" customHeight="1">
      <c r="A1313" s="2" t="s">
        <v>2303</v>
      </c>
      <c r="B1313" s="2" t="s">
        <v>28</v>
      </c>
      <c r="C1313" s="4">
        <v>45874.25</v>
      </c>
      <c r="D1313" s="4">
        <v>45874.250096064818</v>
      </c>
      <c r="E1313" s="2">
        <v>6.11</v>
      </c>
      <c r="F1313" s="2">
        <v>62.8</v>
      </c>
      <c r="G1313" s="2" t="s">
        <v>983</v>
      </c>
      <c r="H1313" s="2" t="s">
        <v>984</v>
      </c>
      <c r="I1313" s="2" t="s">
        <v>1053</v>
      </c>
      <c r="J1313" s="2" t="s">
        <v>28</v>
      </c>
    </row>
    <row r="1314" spans="1:10" ht="21" customHeight="1">
      <c r="A1314" s="2" t="s">
        <v>2304</v>
      </c>
      <c r="B1314" s="2" t="s">
        <v>2099</v>
      </c>
      <c r="C1314" s="4">
        <v>45875.25</v>
      </c>
      <c r="D1314" s="4">
        <v>45875.250421539356</v>
      </c>
      <c r="E1314" s="2">
        <v>0</v>
      </c>
      <c r="F1314" s="2">
        <v>58.5</v>
      </c>
      <c r="G1314" s="2" t="s">
        <v>1175</v>
      </c>
      <c r="H1314" s="2" t="s">
        <v>984</v>
      </c>
      <c r="I1314" s="2"/>
      <c r="J1314" s="2" t="s">
        <v>28</v>
      </c>
    </row>
    <row r="1315" spans="1:10" ht="21" customHeight="1">
      <c r="A1315" s="2" t="s">
        <v>2305</v>
      </c>
      <c r="B1315" s="2" t="s">
        <v>28</v>
      </c>
      <c r="C1315" s="4">
        <v>45876.25</v>
      </c>
      <c r="D1315" s="4">
        <v>45876.250475208333</v>
      </c>
      <c r="E1315" s="2">
        <v>3.24</v>
      </c>
      <c r="F1315" s="2">
        <v>59.8</v>
      </c>
      <c r="G1315" s="2" t="s">
        <v>983</v>
      </c>
      <c r="H1315" s="2" t="s">
        <v>984</v>
      </c>
      <c r="I1315" s="2"/>
      <c r="J1315" s="2" t="s">
        <v>28</v>
      </c>
    </row>
    <row r="1316" spans="1:10" ht="21" customHeight="1">
      <c r="A1316" s="2" t="s">
        <v>2306</v>
      </c>
      <c r="B1316" s="2" t="s">
        <v>28</v>
      </c>
      <c r="C1316" s="4">
        <v>45877.25</v>
      </c>
      <c r="D1316" s="4">
        <v>45877.250103182872</v>
      </c>
      <c r="E1316" s="2"/>
      <c r="F1316" s="2"/>
      <c r="G1316" s="2" t="s">
        <v>983</v>
      </c>
      <c r="H1316" s="2" t="s">
        <v>1066</v>
      </c>
      <c r="I1316" s="2"/>
      <c r="J1316" s="2" t="s">
        <v>28</v>
      </c>
    </row>
    <row r="1317" spans="1:10" ht="21" customHeight="1">
      <c r="A1317" s="2" t="s">
        <v>2307</v>
      </c>
      <c r="B1317" s="2" t="s">
        <v>28</v>
      </c>
      <c r="C1317" s="4">
        <v>45878.25</v>
      </c>
      <c r="D1317" s="4">
        <v>45878.250352418981</v>
      </c>
      <c r="E1317" s="2">
        <v>2.64</v>
      </c>
      <c r="F1317" s="2">
        <v>61.3</v>
      </c>
      <c r="G1317" s="2" t="s">
        <v>983</v>
      </c>
      <c r="H1317" s="2" t="s">
        <v>984</v>
      </c>
      <c r="I1317" s="2"/>
      <c r="J1317" s="2" t="s">
        <v>28</v>
      </c>
    </row>
    <row r="1318" spans="1:10" ht="21" customHeight="1">
      <c r="A1318" s="2" t="s">
        <v>2308</v>
      </c>
      <c r="B1318" s="2" t="s">
        <v>28</v>
      </c>
      <c r="C1318" s="4">
        <v>45879.25</v>
      </c>
      <c r="D1318" s="4">
        <v>45879.250484201388</v>
      </c>
      <c r="E1318" s="2">
        <v>3.09</v>
      </c>
      <c r="F1318" s="2">
        <v>64</v>
      </c>
      <c r="G1318" s="2" t="s">
        <v>983</v>
      </c>
      <c r="H1318" s="2" t="s">
        <v>984</v>
      </c>
      <c r="I1318" s="2" t="s">
        <v>985</v>
      </c>
      <c r="J1318" s="2" t="s">
        <v>28</v>
      </c>
    </row>
    <row r="1319" spans="1:10" ht="21" customHeight="1">
      <c r="A1319" s="2" t="s">
        <v>2309</v>
      </c>
      <c r="B1319" s="2" t="s">
        <v>28</v>
      </c>
      <c r="C1319" s="4">
        <v>45880.25</v>
      </c>
      <c r="D1319" s="4">
        <v>45880.250529097219</v>
      </c>
      <c r="E1319" s="2">
        <v>3</v>
      </c>
      <c r="F1319" s="2">
        <v>62.4</v>
      </c>
      <c r="G1319" s="2" t="s">
        <v>983</v>
      </c>
      <c r="H1319" s="2" t="s">
        <v>984</v>
      </c>
      <c r="I1319" s="2"/>
      <c r="J1319" s="2" t="s">
        <v>28</v>
      </c>
    </row>
    <row r="1320" spans="1:10" ht="21" customHeight="1">
      <c r="A1320" s="2" t="s">
        <v>2310</v>
      </c>
      <c r="B1320" s="2" t="s">
        <v>28</v>
      </c>
      <c r="C1320" s="4">
        <v>45881.25</v>
      </c>
      <c r="D1320" s="4">
        <v>45881.250328831018</v>
      </c>
      <c r="E1320" s="2">
        <v>2.2200000000000002</v>
      </c>
      <c r="F1320" s="2">
        <v>61.7</v>
      </c>
      <c r="G1320" s="2" t="s">
        <v>983</v>
      </c>
      <c r="H1320" s="2" t="s">
        <v>984</v>
      </c>
      <c r="I1320" s="2"/>
      <c r="J1320" s="2" t="s">
        <v>28</v>
      </c>
    </row>
    <row r="1321" spans="1:10" ht="21" customHeight="1">
      <c r="A1321" s="2" t="s">
        <v>2311</v>
      </c>
      <c r="B1321" s="2" t="s">
        <v>28</v>
      </c>
      <c r="C1321" s="4">
        <v>45882.25</v>
      </c>
      <c r="D1321" s="4">
        <v>45882.250618715276</v>
      </c>
      <c r="E1321" s="2">
        <v>2.71</v>
      </c>
      <c r="F1321" s="2">
        <v>66</v>
      </c>
      <c r="G1321" s="2" t="s">
        <v>983</v>
      </c>
      <c r="H1321" s="2" t="s">
        <v>984</v>
      </c>
      <c r="I1321" s="2"/>
      <c r="J1321" s="2" t="s">
        <v>28</v>
      </c>
    </row>
    <row r="1322" spans="1:10" ht="21" customHeight="1">
      <c r="A1322" s="2" t="s">
        <v>2312</v>
      </c>
      <c r="B1322" s="2" t="s">
        <v>28</v>
      </c>
      <c r="C1322" s="4">
        <v>45883.25</v>
      </c>
      <c r="D1322" s="4">
        <v>45883.250590115742</v>
      </c>
      <c r="E1322" s="2">
        <v>3.23</v>
      </c>
      <c r="F1322" s="2">
        <v>58.8</v>
      </c>
      <c r="G1322" s="2" t="s">
        <v>983</v>
      </c>
      <c r="H1322" s="2" t="s">
        <v>984</v>
      </c>
      <c r="I1322" s="2"/>
      <c r="J1322" s="2" t="s">
        <v>28</v>
      </c>
    </row>
    <row r="1323" spans="1:10" ht="21" customHeight="1">
      <c r="A1323" s="2" t="s">
        <v>2313</v>
      </c>
      <c r="B1323" s="2" t="s">
        <v>28</v>
      </c>
      <c r="C1323" s="4">
        <v>45884.25</v>
      </c>
      <c r="D1323" s="4">
        <v>45884.250588402778</v>
      </c>
      <c r="E1323" s="2">
        <v>2.46</v>
      </c>
      <c r="F1323" s="2">
        <v>60</v>
      </c>
      <c r="G1323" s="2" t="s">
        <v>983</v>
      </c>
      <c r="H1323" s="2" t="s">
        <v>984</v>
      </c>
      <c r="I1323" s="2"/>
      <c r="J1323" s="2" t="s">
        <v>28</v>
      </c>
    </row>
    <row r="1324" spans="1:10" ht="21" customHeight="1">
      <c r="A1324" s="2" t="s">
        <v>2314</v>
      </c>
      <c r="B1324" s="2" t="s">
        <v>28</v>
      </c>
      <c r="C1324" s="4">
        <v>45885.25</v>
      </c>
      <c r="D1324" s="4">
        <v>45885.250395393523</v>
      </c>
      <c r="E1324" s="2">
        <v>2.69</v>
      </c>
      <c r="F1324" s="2">
        <v>60.8</v>
      </c>
      <c r="G1324" s="2" t="s">
        <v>983</v>
      </c>
      <c r="H1324" s="2" t="s">
        <v>984</v>
      </c>
      <c r="I1324" s="2"/>
      <c r="J1324" s="2" t="s">
        <v>28</v>
      </c>
    </row>
    <row r="1325" spans="1:10" ht="21" customHeight="1">
      <c r="A1325" s="2" t="s">
        <v>2315</v>
      </c>
      <c r="B1325" s="2" t="s">
        <v>28</v>
      </c>
      <c r="C1325" s="4">
        <v>45886.25</v>
      </c>
      <c r="D1325" s="4">
        <v>45886.25002979167</v>
      </c>
      <c r="E1325" s="2">
        <v>3.02</v>
      </c>
      <c r="F1325" s="2">
        <v>64.400000000000006</v>
      </c>
      <c r="G1325" s="2" t="s">
        <v>983</v>
      </c>
      <c r="H1325" s="2" t="s">
        <v>984</v>
      </c>
      <c r="I1325" s="2"/>
      <c r="J1325" s="2" t="s">
        <v>28</v>
      </c>
    </row>
    <row r="1326" spans="1:10" ht="21" customHeight="1">
      <c r="A1326" s="2" t="s">
        <v>2316</v>
      </c>
      <c r="B1326" s="2" t="s">
        <v>28</v>
      </c>
      <c r="C1326" s="4">
        <v>45887.25</v>
      </c>
      <c r="D1326" s="4">
        <v>45887.250540856483</v>
      </c>
      <c r="E1326" s="2">
        <v>3.14</v>
      </c>
      <c r="F1326" s="2">
        <v>65.900000000000006</v>
      </c>
      <c r="G1326" s="2" t="s">
        <v>983</v>
      </c>
      <c r="H1326" s="2" t="s">
        <v>984</v>
      </c>
      <c r="I1326" s="2"/>
      <c r="J1326" s="2" t="s">
        <v>28</v>
      </c>
    </row>
    <row r="1327" spans="1:10" ht="21" customHeight="1">
      <c r="A1327" s="2" t="s">
        <v>2317</v>
      </c>
      <c r="B1327" s="2" t="s">
        <v>28</v>
      </c>
      <c r="C1327" s="4">
        <v>45888.25</v>
      </c>
      <c r="D1327" s="4">
        <v>45888.250605439811</v>
      </c>
      <c r="E1327" s="2">
        <v>4.2</v>
      </c>
      <c r="F1327" s="2">
        <v>66</v>
      </c>
      <c r="G1327" s="2" t="s">
        <v>983</v>
      </c>
      <c r="H1327" s="2" t="s">
        <v>984</v>
      </c>
      <c r="I1327" s="2" t="s">
        <v>1053</v>
      </c>
      <c r="J1327" s="2" t="s">
        <v>28</v>
      </c>
    </row>
    <row r="1328" spans="1:10" ht="21" customHeight="1">
      <c r="A1328" s="2" t="s">
        <v>2318</v>
      </c>
      <c r="B1328" s="2" t="s">
        <v>28</v>
      </c>
      <c r="C1328" s="4">
        <v>45889.25</v>
      </c>
      <c r="D1328" s="4">
        <v>45889.250391921298</v>
      </c>
      <c r="E1328" s="2">
        <v>6.68</v>
      </c>
      <c r="F1328" s="2">
        <v>72.400000000000006</v>
      </c>
      <c r="G1328" s="2" t="s">
        <v>983</v>
      </c>
      <c r="H1328" s="2" t="s">
        <v>984</v>
      </c>
      <c r="I1328" s="2"/>
      <c r="J1328" s="2" t="s">
        <v>28</v>
      </c>
    </row>
    <row r="1329" spans="1:10" ht="21" customHeight="1">
      <c r="A1329" s="2" t="s">
        <v>2319</v>
      </c>
      <c r="B1329" s="2" t="s">
        <v>28</v>
      </c>
      <c r="C1329" s="4">
        <v>45890.25</v>
      </c>
      <c r="D1329" s="4">
        <v>45890.250041469902</v>
      </c>
      <c r="E1329" s="2">
        <v>5.1100000000000003</v>
      </c>
      <c r="F1329" s="2">
        <v>70.2</v>
      </c>
      <c r="G1329" s="2" t="s">
        <v>983</v>
      </c>
      <c r="H1329" s="2" t="s">
        <v>984</v>
      </c>
      <c r="I1329" s="2" t="s">
        <v>1053</v>
      </c>
      <c r="J1329" s="2" t="s">
        <v>28</v>
      </c>
    </row>
    <row r="1330" spans="1:10" ht="21" customHeight="1">
      <c r="A1330" s="2" t="s">
        <v>2320</v>
      </c>
      <c r="B1330" s="2" t="s">
        <v>28</v>
      </c>
      <c r="C1330" s="4">
        <v>45891.25</v>
      </c>
      <c r="D1330" s="4">
        <v>45891.250022152773</v>
      </c>
      <c r="E1330" s="2">
        <v>0</v>
      </c>
      <c r="F1330" s="2">
        <v>64.8</v>
      </c>
      <c r="G1330" s="2" t="s">
        <v>1175</v>
      </c>
      <c r="H1330" s="2" t="s">
        <v>984</v>
      </c>
      <c r="I1330" s="2"/>
      <c r="J1330" s="2" t="s">
        <v>28</v>
      </c>
    </row>
    <row r="1331" spans="1:10" ht="21" customHeight="1">
      <c r="A1331" s="2" t="s">
        <v>2321</v>
      </c>
      <c r="B1331" s="2" t="s">
        <v>28</v>
      </c>
      <c r="C1331" s="4">
        <v>45892.25</v>
      </c>
      <c r="D1331" s="4">
        <v>45892.250114305556</v>
      </c>
      <c r="E1331" s="2">
        <v>3.27</v>
      </c>
      <c r="F1331" s="2">
        <v>61.1</v>
      </c>
      <c r="G1331" s="2" t="s">
        <v>983</v>
      </c>
      <c r="H1331" s="2" t="s">
        <v>984</v>
      </c>
      <c r="I1331" s="2"/>
      <c r="J1331" s="2" t="s">
        <v>28</v>
      </c>
    </row>
    <row r="1332" spans="1:10" ht="21" customHeight="1">
      <c r="A1332" s="2" t="s">
        <v>2322</v>
      </c>
      <c r="B1332" s="2" t="s">
        <v>28</v>
      </c>
      <c r="C1332" s="4">
        <v>45893.25</v>
      </c>
      <c r="D1332" s="4">
        <v>45893.250055810189</v>
      </c>
      <c r="E1332" s="2">
        <v>2.85</v>
      </c>
      <c r="F1332" s="2">
        <v>63.7</v>
      </c>
      <c r="G1332" s="2" t="s">
        <v>983</v>
      </c>
      <c r="H1332" s="2" t="s">
        <v>984</v>
      </c>
      <c r="I1332" s="2"/>
      <c r="J1332" s="2" t="s">
        <v>28</v>
      </c>
    </row>
    <row r="1333" spans="1:10" ht="21" customHeight="1">
      <c r="A1333" s="2" t="s">
        <v>2323</v>
      </c>
      <c r="B1333" s="2" t="s">
        <v>28</v>
      </c>
      <c r="C1333" s="4">
        <v>45894.25</v>
      </c>
      <c r="D1333" s="4">
        <v>45894.250568414354</v>
      </c>
      <c r="E1333" s="2">
        <v>2.33</v>
      </c>
      <c r="F1333" s="2">
        <v>61.6</v>
      </c>
      <c r="G1333" s="2" t="s">
        <v>983</v>
      </c>
      <c r="H1333" s="2" t="s">
        <v>984</v>
      </c>
      <c r="I1333" s="2"/>
      <c r="J1333" s="2" t="s">
        <v>28</v>
      </c>
    </row>
    <row r="1334" spans="1:10" ht="21" customHeight="1">
      <c r="A1334" s="2" t="s">
        <v>2324</v>
      </c>
      <c r="B1334" s="2" t="s">
        <v>28</v>
      </c>
      <c r="C1334" s="4">
        <v>45895.25</v>
      </c>
      <c r="D1334" s="4">
        <v>45895.250285601855</v>
      </c>
      <c r="E1334" s="2">
        <v>2.69</v>
      </c>
      <c r="F1334" s="2">
        <v>58.7</v>
      </c>
      <c r="G1334" s="2" t="s">
        <v>983</v>
      </c>
      <c r="H1334" s="2" t="s">
        <v>984</v>
      </c>
      <c r="I1334" s="2"/>
      <c r="J1334" s="2" t="s">
        <v>28</v>
      </c>
    </row>
    <row r="1335" spans="1:10" ht="21" customHeight="1">
      <c r="A1335" s="2" t="s">
        <v>2325</v>
      </c>
      <c r="B1335" s="2" t="s">
        <v>28</v>
      </c>
      <c r="C1335" s="4">
        <v>45896.25</v>
      </c>
      <c r="D1335" s="4">
        <v>45896.250373680552</v>
      </c>
      <c r="E1335" s="2">
        <v>2.78</v>
      </c>
      <c r="F1335" s="2">
        <v>64.8</v>
      </c>
      <c r="G1335" s="2" t="s">
        <v>983</v>
      </c>
      <c r="H1335" s="2" t="s">
        <v>984</v>
      </c>
      <c r="I1335" s="2" t="s">
        <v>985</v>
      </c>
      <c r="J1335" s="2" t="s">
        <v>28</v>
      </c>
    </row>
    <row r="1336" spans="1:10" ht="21" customHeight="1">
      <c r="A1336" s="2" t="s">
        <v>2326</v>
      </c>
      <c r="B1336" s="2" t="s">
        <v>28</v>
      </c>
      <c r="C1336" s="4">
        <v>45897.25</v>
      </c>
      <c r="D1336" s="4">
        <v>45897.250360590275</v>
      </c>
      <c r="E1336" s="2">
        <v>3.23</v>
      </c>
      <c r="F1336" s="2">
        <v>61.7</v>
      </c>
      <c r="G1336" s="2" t="s">
        <v>983</v>
      </c>
      <c r="H1336" s="2" t="s">
        <v>984</v>
      </c>
      <c r="I1336" s="2"/>
      <c r="J1336" s="2" t="s">
        <v>28</v>
      </c>
    </row>
    <row r="1337" spans="1:10" ht="21" customHeight="1">
      <c r="A1337" s="2" t="s">
        <v>2327</v>
      </c>
      <c r="B1337" s="2" t="s">
        <v>28</v>
      </c>
      <c r="C1337" s="4">
        <v>45898.25</v>
      </c>
      <c r="D1337" s="4">
        <v>45898.250431192129</v>
      </c>
      <c r="E1337" s="2">
        <v>3.1</v>
      </c>
      <c r="F1337" s="2">
        <v>63.5</v>
      </c>
      <c r="G1337" s="2" t="s">
        <v>983</v>
      </c>
      <c r="H1337" s="2" t="s">
        <v>984</v>
      </c>
      <c r="I1337" s="2"/>
      <c r="J1337" s="2" t="s">
        <v>28</v>
      </c>
    </row>
    <row r="1338" spans="1:10" ht="21" customHeight="1">
      <c r="A1338" s="2" t="s">
        <v>2328</v>
      </c>
      <c r="B1338" s="2" t="s">
        <v>28</v>
      </c>
      <c r="C1338" s="4">
        <v>45899.25</v>
      </c>
      <c r="D1338" s="4">
        <v>45899.250411273148</v>
      </c>
      <c r="E1338" s="2">
        <v>2.61</v>
      </c>
      <c r="F1338" s="2">
        <v>65.099999999999994</v>
      </c>
      <c r="G1338" s="2" t="s">
        <v>983</v>
      </c>
      <c r="H1338" s="2" t="s">
        <v>984</v>
      </c>
      <c r="I1338" s="2"/>
      <c r="J1338" s="2" t="s">
        <v>28</v>
      </c>
    </row>
    <row r="1339" spans="1:10" ht="21" customHeight="1">
      <c r="A1339" s="2" t="s">
        <v>2329</v>
      </c>
      <c r="B1339" s="2" t="s">
        <v>28</v>
      </c>
      <c r="C1339" s="4">
        <v>45900.25</v>
      </c>
      <c r="D1339" s="4">
        <v>45900.25061023148</v>
      </c>
      <c r="E1339" s="2">
        <v>3.07</v>
      </c>
      <c r="F1339" s="2">
        <v>64.5</v>
      </c>
      <c r="G1339" s="2" t="s">
        <v>983</v>
      </c>
      <c r="H1339" s="2" t="s">
        <v>984</v>
      </c>
      <c r="I1339" s="2"/>
      <c r="J1339" s="2" t="s">
        <v>28</v>
      </c>
    </row>
    <row r="1340" spans="1:10" ht="21" customHeight="1">
      <c r="A1340" s="2" t="s">
        <v>2330</v>
      </c>
      <c r="B1340" s="2" t="s">
        <v>28</v>
      </c>
      <c r="C1340" s="4">
        <v>45901.25</v>
      </c>
      <c r="D1340" s="4">
        <v>45901.250219490743</v>
      </c>
      <c r="E1340" s="2">
        <v>3.13</v>
      </c>
      <c r="F1340" s="2">
        <v>65.5</v>
      </c>
      <c r="G1340" s="2" t="s">
        <v>983</v>
      </c>
      <c r="H1340" s="2" t="s">
        <v>984</v>
      </c>
      <c r="I1340" s="2"/>
      <c r="J1340" s="2" t="s">
        <v>28</v>
      </c>
    </row>
    <row r="1341" spans="1:10" ht="21" customHeight="1">
      <c r="A1341" s="2" t="s">
        <v>2331</v>
      </c>
      <c r="B1341" s="2" t="s">
        <v>28</v>
      </c>
      <c r="C1341" s="4">
        <v>45902.25</v>
      </c>
      <c r="D1341" s="4">
        <v>45902.250348402777</v>
      </c>
      <c r="E1341" s="2">
        <v>2.8</v>
      </c>
      <c r="F1341" s="2">
        <v>63</v>
      </c>
      <c r="G1341" s="2" t="s">
        <v>983</v>
      </c>
      <c r="H1341" s="2" t="s">
        <v>984</v>
      </c>
      <c r="I1341" s="2"/>
      <c r="J1341" s="2" t="s">
        <v>28</v>
      </c>
    </row>
    <row r="1342" spans="1:10" ht="21" customHeight="1">
      <c r="A1342" s="2" t="s">
        <v>2332</v>
      </c>
      <c r="B1342" s="2" t="s">
        <v>28</v>
      </c>
      <c r="C1342" s="4">
        <v>45903.25</v>
      </c>
      <c r="D1342" s="4">
        <v>45903.250355787037</v>
      </c>
      <c r="E1342" s="2">
        <v>2.99</v>
      </c>
      <c r="F1342" s="2">
        <v>60.8</v>
      </c>
      <c r="G1342" s="2" t="s">
        <v>983</v>
      </c>
      <c r="H1342" s="2" t="s">
        <v>984</v>
      </c>
      <c r="I1342" s="2"/>
      <c r="J1342" s="2" t="s">
        <v>28</v>
      </c>
    </row>
    <row r="1343" spans="1:10" ht="21" customHeight="1">
      <c r="A1343" s="2" t="s">
        <v>2333</v>
      </c>
      <c r="B1343" s="2" t="s">
        <v>28</v>
      </c>
      <c r="C1343" s="4">
        <v>45904.25</v>
      </c>
      <c r="D1343" s="4">
        <v>45904.250310821764</v>
      </c>
      <c r="E1343" s="2">
        <v>2.96</v>
      </c>
      <c r="F1343" s="2">
        <v>59.6</v>
      </c>
      <c r="G1343" s="2" t="s">
        <v>983</v>
      </c>
      <c r="H1343" s="2" t="s">
        <v>984</v>
      </c>
      <c r="I1343" s="2"/>
      <c r="J1343" s="2" t="s">
        <v>28</v>
      </c>
    </row>
    <row r="1344" spans="1:10" ht="21" customHeight="1">
      <c r="A1344" s="2" t="s">
        <v>2334</v>
      </c>
      <c r="B1344" s="2" t="s">
        <v>28</v>
      </c>
      <c r="C1344" s="4">
        <v>45905.25</v>
      </c>
      <c r="D1344" s="4">
        <v>45905.250358935184</v>
      </c>
      <c r="E1344" s="2">
        <v>2.34</v>
      </c>
      <c r="F1344" s="2">
        <v>60.1</v>
      </c>
      <c r="G1344" s="2" t="s">
        <v>983</v>
      </c>
      <c r="H1344" s="2" t="s">
        <v>984</v>
      </c>
      <c r="I1344" s="2"/>
      <c r="J1344" s="2" t="s">
        <v>28</v>
      </c>
    </row>
    <row r="1345" spans="1:10" ht="21" customHeight="1">
      <c r="A1345" s="2" t="s">
        <v>2335</v>
      </c>
      <c r="B1345" s="2" t="s">
        <v>28</v>
      </c>
      <c r="C1345" s="4">
        <v>45906.25</v>
      </c>
      <c r="D1345" s="4">
        <v>45906.250687233798</v>
      </c>
      <c r="E1345" s="2">
        <v>2.73</v>
      </c>
      <c r="F1345" s="2">
        <v>64.3</v>
      </c>
      <c r="G1345" s="2" t="s">
        <v>983</v>
      </c>
      <c r="H1345" s="2" t="s">
        <v>984</v>
      </c>
      <c r="I1345" s="2"/>
      <c r="J1345" s="2" t="s">
        <v>28</v>
      </c>
    </row>
    <row r="1346" spans="1:10" ht="21" customHeight="1">
      <c r="A1346" s="2" t="s">
        <v>2336</v>
      </c>
      <c r="B1346" s="2" t="s">
        <v>28</v>
      </c>
      <c r="C1346" s="4">
        <v>45907.25</v>
      </c>
      <c r="D1346" s="4">
        <v>45907.250317534723</v>
      </c>
      <c r="E1346" s="2">
        <v>2.5</v>
      </c>
      <c r="F1346" s="2">
        <v>64.400000000000006</v>
      </c>
      <c r="G1346" s="2" t="s">
        <v>983</v>
      </c>
      <c r="H1346" s="2" t="s">
        <v>984</v>
      </c>
      <c r="I1346" s="2"/>
      <c r="J1346" s="2" t="s">
        <v>28</v>
      </c>
    </row>
    <row r="1347" spans="1:10" ht="21" customHeight="1">
      <c r="A1347" s="2" t="s">
        <v>2337</v>
      </c>
      <c r="B1347" s="2" t="s">
        <v>28</v>
      </c>
      <c r="C1347" s="4">
        <v>45908.25</v>
      </c>
      <c r="D1347" s="4">
        <v>45908.250275706014</v>
      </c>
      <c r="E1347" s="2">
        <v>2.3199999999999998</v>
      </c>
      <c r="F1347" s="2">
        <v>61.8</v>
      </c>
      <c r="G1347" s="2" t="s">
        <v>983</v>
      </c>
      <c r="H1347" s="2" t="s">
        <v>984</v>
      </c>
      <c r="I1347" s="2"/>
      <c r="J1347" s="2" t="s">
        <v>28</v>
      </c>
    </row>
    <row r="1348" spans="1:10" ht="21" customHeight="1">
      <c r="A1348" s="2" t="s">
        <v>2338</v>
      </c>
      <c r="B1348" s="2" t="s">
        <v>28</v>
      </c>
      <c r="C1348" s="4">
        <v>45909.25</v>
      </c>
      <c r="D1348" s="4">
        <v>45909.250197037036</v>
      </c>
      <c r="E1348" s="2">
        <v>3.24</v>
      </c>
      <c r="F1348" s="2">
        <v>60.6</v>
      </c>
      <c r="G1348" s="2" t="s">
        <v>983</v>
      </c>
      <c r="H1348" s="2" t="s">
        <v>984</v>
      </c>
      <c r="I1348" s="2"/>
      <c r="J1348" s="2" t="s">
        <v>28</v>
      </c>
    </row>
    <row r="1349" spans="1:10" ht="21" customHeight="1">
      <c r="A1349" s="2" t="s">
        <v>2339</v>
      </c>
      <c r="B1349" s="2" t="s">
        <v>28</v>
      </c>
      <c r="C1349" s="4">
        <v>45910.25</v>
      </c>
      <c r="D1349" s="4">
        <v>45910.250331585645</v>
      </c>
      <c r="E1349" s="2">
        <v>3.16</v>
      </c>
      <c r="F1349" s="2">
        <v>60.6</v>
      </c>
      <c r="G1349" s="2" t="s">
        <v>983</v>
      </c>
      <c r="H1349" s="2" t="s">
        <v>984</v>
      </c>
      <c r="I1349" s="2"/>
      <c r="J1349" s="2" t="s">
        <v>28</v>
      </c>
    </row>
    <row r="1350" spans="1:10" ht="21" customHeight="1">
      <c r="A1350" s="2" t="s">
        <v>2340</v>
      </c>
      <c r="B1350" s="2" t="s">
        <v>28</v>
      </c>
      <c r="C1350" s="4">
        <v>45911.25</v>
      </c>
      <c r="D1350" s="4">
        <v>45911.250425347222</v>
      </c>
      <c r="E1350" s="2">
        <v>2.4</v>
      </c>
      <c r="F1350" s="2">
        <v>63.3</v>
      </c>
      <c r="G1350" s="2" t="s">
        <v>983</v>
      </c>
      <c r="H1350" s="2" t="s">
        <v>984</v>
      </c>
      <c r="I1350" s="2"/>
      <c r="J1350" s="2" t="s">
        <v>28</v>
      </c>
    </row>
    <row r="1351" spans="1:10" ht="21" customHeight="1">
      <c r="A1351" s="2" t="s">
        <v>2341</v>
      </c>
      <c r="B1351" s="2" t="s">
        <v>28</v>
      </c>
      <c r="C1351" s="4">
        <v>45912.25</v>
      </c>
      <c r="D1351" s="4">
        <v>45912.250480636576</v>
      </c>
      <c r="E1351" s="2">
        <v>3.17</v>
      </c>
      <c r="F1351" s="2">
        <v>64.900000000000006</v>
      </c>
      <c r="G1351" s="2" t="s">
        <v>983</v>
      </c>
      <c r="H1351" s="2" t="s">
        <v>984</v>
      </c>
      <c r="I1351" s="2"/>
      <c r="J1351" s="2" t="s">
        <v>28</v>
      </c>
    </row>
    <row r="1352" spans="1:10" ht="21" customHeight="1">
      <c r="A1352" s="2" t="s">
        <v>2342</v>
      </c>
      <c r="B1352" s="2" t="s">
        <v>28</v>
      </c>
      <c r="C1352" s="4">
        <v>45913.25</v>
      </c>
      <c r="D1352" s="4">
        <v>45913.250496134264</v>
      </c>
      <c r="E1352" s="2">
        <v>3.21</v>
      </c>
      <c r="F1352" s="2">
        <v>65.7</v>
      </c>
      <c r="G1352" s="2" t="s">
        <v>983</v>
      </c>
      <c r="H1352" s="2" t="s">
        <v>984</v>
      </c>
      <c r="I1352" s="2" t="s">
        <v>985</v>
      </c>
      <c r="J1352" s="2" t="s">
        <v>28</v>
      </c>
    </row>
    <row r="1353" spans="1:10" ht="21" customHeight="1">
      <c r="A1353" s="2" t="s">
        <v>2343</v>
      </c>
      <c r="B1353" s="2" t="s">
        <v>28</v>
      </c>
      <c r="C1353" s="4">
        <v>45914.25</v>
      </c>
      <c r="D1353" s="4">
        <v>45914.250051284718</v>
      </c>
      <c r="E1353" s="2">
        <v>2.92</v>
      </c>
      <c r="F1353" s="2">
        <v>61.9</v>
      </c>
      <c r="G1353" s="2" t="s">
        <v>983</v>
      </c>
      <c r="H1353" s="2" t="s">
        <v>984</v>
      </c>
      <c r="I1353" s="2"/>
      <c r="J1353" s="2" t="s">
        <v>28</v>
      </c>
    </row>
    <row r="1354" spans="1:10" ht="21" customHeight="1">
      <c r="A1354" s="2" t="s">
        <v>2344</v>
      </c>
      <c r="B1354" s="2" t="s">
        <v>28</v>
      </c>
      <c r="C1354" s="4">
        <v>45915.25</v>
      </c>
      <c r="D1354" s="4">
        <v>45915.250270405093</v>
      </c>
      <c r="E1354" s="2">
        <v>2.2200000000000002</v>
      </c>
      <c r="F1354" s="2">
        <v>62.1</v>
      </c>
      <c r="G1354" s="2" t="s">
        <v>983</v>
      </c>
      <c r="H1354" s="2" t="s">
        <v>984</v>
      </c>
      <c r="I1354" s="2"/>
      <c r="J1354" s="2" t="s">
        <v>28</v>
      </c>
    </row>
    <row r="1355" spans="1:10" ht="21" customHeight="1">
      <c r="A1355" s="2" t="s">
        <v>2345</v>
      </c>
      <c r="B1355" s="2" t="s">
        <v>2099</v>
      </c>
      <c r="C1355" s="4">
        <v>45916.25</v>
      </c>
      <c r="D1355" s="4">
        <v>45916.250036574071</v>
      </c>
      <c r="E1355" s="2">
        <v>2.19</v>
      </c>
      <c r="F1355" s="2">
        <v>61.6</v>
      </c>
      <c r="G1355" s="2" t="s">
        <v>983</v>
      </c>
      <c r="H1355" s="2" t="s">
        <v>984</v>
      </c>
      <c r="I1355" s="2"/>
      <c r="J1355" s="2" t="s">
        <v>28</v>
      </c>
    </row>
    <row r="1356" spans="1:10" ht="21" customHeight="1">
      <c r="A1356" s="2" t="s">
        <v>2346</v>
      </c>
      <c r="B1356" s="2" t="s">
        <v>28</v>
      </c>
      <c r="C1356" s="4">
        <v>45917.25</v>
      </c>
      <c r="D1356" s="4">
        <v>45917.250551736113</v>
      </c>
      <c r="E1356" s="2">
        <v>6.44</v>
      </c>
      <c r="F1356" s="2">
        <v>73.3</v>
      </c>
      <c r="G1356" s="2" t="s">
        <v>983</v>
      </c>
      <c r="H1356" s="2" t="s">
        <v>984</v>
      </c>
      <c r="I1356" s="2"/>
      <c r="J1356" s="2" t="s">
        <v>28</v>
      </c>
    </row>
    <row r="1357" spans="1:10" ht="21" customHeight="1">
      <c r="A1357" s="2" t="s">
        <v>2347</v>
      </c>
      <c r="B1357" s="2" t="s">
        <v>28</v>
      </c>
      <c r="C1357" s="4">
        <v>45918.25</v>
      </c>
      <c r="D1357" s="4">
        <v>45918.250042349537</v>
      </c>
      <c r="E1357" s="2">
        <v>5.81</v>
      </c>
      <c r="F1357" s="2">
        <v>66.2</v>
      </c>
      <c r="G1357" s="2" t="s">
        <v>983</v>
      </c>
      <c r="H1357" s="2" t="s">
        <v>984</v>
      </c>
      <c r="I1357" s="2" t="s">
        <v>1053</v>
      </c>
      <c r="J1357" s="2" t="s">
        <v>28</v>
      </c>
    </row>
    <row r="1358" spans="1:10" ht="21" customHeight="1">
      <c r="A1358" s="2" t="s">
        <v>2348</v>
      </c>
      <c r="B1358" s="2" t="s">
        <v>28</v>
      </c>
      <c r="C1358" s="4">
        <v>45919.25</v>
      </c>
      <c r="D1358" s="4">
        <v>45919.250262187503</v>
      </c>
      <c r="E1358" s="2">
        <v>5.07</v>
      </c>
      <c r="F1358" s="2">
        <v>72.900000000000006</v>
      </c>
      <c r="G1358" s="2" t="s">
        <v>983</v>
      </c>
      <c r="H1358" s="2" t="s">
        <v>984</v>
      </c>
      <c r="I1358" s="2"/>
      <c r="J1358" s="2" t="s">
        <v>28</v>
      </c>
    </row>
    <row r="1359" spans="1:10" ht="21" customHeight="1">
      <c r="A1359" s="2" t="s">
        <v>2349</v>
      </c>
      <c r="B1359" s="2" t="s">
        <v>28</v>
      </c>
      <c r="C1359" s="4">
        <v>45920.25</v>
      </c>
      <c r="D1359" s="4">
        <v>45920.250526990741</v>
      </c>
      <c r="E1359" s="2">
        <v>2.56</v>
      </c>
      <c r="F1359" s="2">
        <v>65.099999999999994</v>
      </c>
      <c r="G1359" s="2" t="s">
        <v>983</v>
      </c>
      <c r="H1359" s="2" t="s">
        <v>984</v>
      </c>
      <c r="I1359" s="2"/>
      <c r="J1359" s="2" t="s">
        <v>28</v>
      </c>
    </row>
    <row r="1360" spans="1:10" ht="21" customHeight="1">
      <c r="A1360" s="2" t="s">
        <v>2350</v>
      </c>
      <c r="B1360" s="2" t="s">
        <v>28</v>
      </c>
      <c r="C1360" s="4">
        <v>45921.25</v>
      </c>
      <c r="D1360" s="4">
        <v>45921.250655613425</v>
      </c>
      <c r="E1360" s="2">
        <v>2.92</v>
      </c>
      <c r="F1360" s="2">
        <v>62.4</v>
      </c>
      <c r="G1360" s="2" t="s">
        <v>983</v>
      </c>
      <c r="H1360" s="2" t="s">
        <v>984</v>
      </c>
      <c r="I1360" s="2"/>
      <c r="J1360" s="2" t="s">
        <v>28</v>
      </c>
    </row>
    <row r="1361" spans="1:10" ht="21" customHeight="1">
      <c r="A1361" s="2" t="s">
        <v>2351</v>
      </c>
      <c r="B1361" s="2" t="s">
        <v>28</v>
      </c>
      <c r="C1361" s="4">
        <v>45922.25</v>
      </c>
      <c r="D1361" s="4">
        <v>45922.250314328703</v>
      </c>
      <c r="E1361" s="2">
        <v>3.09</v>
      </c>
      <c r="F1361" s="2">
        <v>64.5</v>
      </c>
      <c r="G1361" s="2" t="s">
        <v>983</v>
      </c>
      <c r="H1361" s="2" t="s">
        <v>984</v>
      </c>
      <c r="I1361" s="2"/>
      <c r="J1361" s="2" t="s">
        <v>28</v>
      </c>
    </row>
    <row r="1362" spans="1:10" ht="21" customHeight="1">
      <c r="A1362" s="2" t="s">
        <v>2352</v>
      </c>
      <c r="B1362" s="2" t="s">
        <v>28</v>
      </c>
      <c r="C1362" s="4">
        <v>45923.25</v>
      </c>
      <c r="D1362" s="4">
        <v>45923.250241886577</v>
      </c>
      <c r="E1362" s="2">
        <v>2.35</v>
      </c>
      <c r="F1362" s="2">
        <v>63.8</v>
      </c>
      <c r="G1362" s="2" t="s">
        <v>983</v>
      </c>
      <c r="H1362" s="2" t="s">
        <v>984</v>
      </c>
      <c r="I1362" s="2"/>
      <c r="J1362" s="2" t="s">
        <v>28</v>
      </c>
    </row>
    <row r="1363" spans="1:10" ht="21" customHeight="1">
      <c r="A1363" s="2" t="s">
        <v>2353</v>
      </c>
      <c r="B1363" s="2" t="s">
        <v>28</v>
      </c>
      <c r="C1363" s="4">
        <v>45924.25</v>
      </c>
      <c r="D1363" s="4">
        <v>45924.250449097221</v>
      </c>
      <c r="E1363" s="2">
        <v>2.52</v>
      </c>
      <c r="F1363" s="2">
        <v>58.5</v>
      </c>
      <c r="G1363" s="2" t="s">
        <v>983</v>
      </c>
      <c r="H1363" s="2" t="s">
        <v>984</v>
      </c>
      <c r="I1363" s="2"/>
      <c r="J1363" s="2" t="s">
        <v>28</v>
      </c>
    </row>
    <row r="1364" spans="1:10" ht="21" customHeight="1">
      <c r="A1364" s="2" t="s">
        <v>2354</v>
      </c>
      <c r="B1364" s="2" t="s">
        <v>28</v>
      </c>
      <c r="C1364" s="4">
        <v>45925.25</v>
      </c>
      <c r="D1364" s="4">
        <v>45925.250211643521</v>
      </c>
      <c r="E1364" s="2">
        <v>2.15</v>
      </c>
      <c r="F1364" s="2">
        <v>58.7</v>
      </c>
      <c r="G1364" s="2" t="s">
        <v>983</v>
      </c>
      <c r="H1364" s="2" t="s">
        <v>984</v>
      </c>
      <c r="I1364" s="2"/>
      <c r="J1364" s="2" t="s">
        <v>28</v>
      </c>
    </row>
    <row r="1365" spans="1:10" ht="21" customHeight="1">
      <c r="A1365" s="2" t="s">
        <v>2355</v>
      </c>
      <c r="B1365" s="2" t="s">
        <v>28</v>
      </c>
      <c r="C1365" s="4">
        <v>45926.25</v>
      </c>
      <c r="D1365" s="4">
        <v>45926.250238055552</v>
      </c>
      <c r="E1365" s="2">
        <v>2.79</v>
      </c>
      <c r="F1365" s="2">
        <v>61.9</v>
      </c>
      <c r="G1365" s="2" t="s">
        <v>983</v>
      </c>
      <c r="H1365" s="2" t="s">
        <v>984</v>
      </c>
      <c r="I1365" s="2"/>
      <c r="J1365" s="2" t="s">
        <v>28</v>
      </c>
    </row>
    <row r="1366" spans="1:10" ht="21" customHeight="1">
      <c r="A1366" s="2" t="s">
        <v>2356</v>
      </c>
      <c r="B1366" s="2" t="s">
        <v>28</v>
      </c>
      <c r="C1366" s="4">
        <v>45927.25</v>
      </c>
      <c r="D1366" s="4">
        <v>45927.25048037037</v>
      </c>
      <c r="E1366" s="2">
        <v>3.11</v>
      </c>
      <c r="F1366" s="2">
        <v>59.1</v>
      </c>
      <c r="G1366" s="2" t="s">
        <v>983</v>
      </c>
      <c r="H1366" s="2" t="s">
        <v>984</v>
      </c>
      <c r="I1366" s="2"/>
      <c r="J1366" s="2" t="s">
        <v>28</v>
      </c>
    </row>
    <row r="1367" spans="1:10" ht="21" customHeight="1">
      <c r="A1367" s="2" t="s">
        <v>2357</v>
      </c>
      <c r="B1367" s="2" t="s">
        <v>28</v>
      </c>
      <c r="C1367" s="4">
        <v>45928.25</v>
      </c>
      <c r="D1367" s="4">
        <v>45928.250344548607</v>
      </c>
      <c r="E1367" s="2">
        <v>2.98</v>
      </c>
      <c r="F1367" s="2">
        <v>58.4</v>
      </c>
      <c r="G1367" s="2" t="s">
        <v>983</v>
      </c>
      <c r="H1367" s="2" t="s">
        <v>984</v>
      </c>
      <c r="I1367" s="2"/>
      <c r="J1367" s="2" t="s">
        <v>28</v>
      </c>
    </row>
    <row r="1368" spans="1:10" ht="21" customHeight="1">
      <c r="A1368" s="2" t="s">
        <v>2358</v>
      </c>
      <c r="B1368" s="2" t="s">
        <v>28</v>
      </c>
      <c r="C1368" s="4">
        <v>45929.25</v>
      </c>
      <c r="D1368" s="4">
        <v>45929.250407523148</v>
      </c>
      <c r="E1368" s="2">
        <v>2.21</v>
      </c>
      <c r="F1368" s="2">
        <v>58.3</v>
      </c>
      <c r="G1368" s="2" t="s">
        <v>983</v>
      </c>
      <c r="H1368" s="2" t="s">
        <v>984</v>
      </c>
      <c r="I1368" s="2"/>
      <c r="J1368" s="2" t="s">
        <v>28</v>
      </c>
    </row>
    <row r="1369" spans="1:10" ht="21" customHeight="1">
      <c r="A1369" s="2" t="s">
        <v>2359</v>
      </c>
      <c r="B1369" s="2" t="s">
        <v>28</v>
      </c>
      <c r="C1369" s="4">
        <v>45930.25</v>
      </c>
      <c r="D1369" s="4">
        <v>45930.250346701388</v>
      </c>
      <c r="E1369" s="2">
        <v>2.56</v>
      </c>
      <c r="F1369" s="2">
        <v>65.099999999999994</v>
      </c>
      <c r="G1369" s="2" t="s">
        <v>983</v>
      </c>
      <c r="H1369" s="2" t="s">
        <v>984</v>
      </c>
      <c r="I1369" s="2" t="s">
        <v>985</v>
      </c>
      <c r="J1369" s="2" t="s">
        <v>28</v>
      </c>
    </row>
    <row r="1370" spans="1:10" ht="21" customHeight="1">
      <c r="A1370" s="2" t="s">
        <v>2360</v>
      </c>
      <c r="B1370" s="2" t="s">
        <v>28</v>
      </c>
      <c r="C1370" s="4">
        <v>45931.25</v>
      </c>
      <c r="D1370" s="4">
        <v>45931.250043692125</v>
      </c>
      <c r="E1370" s="2">
        <v>3.03</v>
      </c>
      <c r="F1370" s="2">
        <v>65.599999999999994</v>
      </c>
      <c r="G1370" s="2" t="s">
        <v>983</v>
      </c>
      <c r="H1370" s="2" t="s">
        <v>984</v>
      </c>
      <c r="I1370" s="2"/>
      <c r="J1370" s="2" t="s">
        <v>28</v>
      </c>
    </row>
    <row r="1371" spans="1:10" ht="21" customHeight="1">
      <c r="A1371" s="2" t="s">
        <v>2361</v>
      </c>
      <c r="B1371" s="2" t="s">
        <v>28</v>
      </c>
      <c r="C1371" s="4">
        <v>45932.25</v>
      </c>
      <c r="D1371" s="4">
        <v>45932.250476446759</v>
      </c>
      <c r="E1371" s="2">
        <v>2.4500000000000002</v>
      </c>
      <c r="F1371" s="2">
        <v>65.3</v>
      </c>
      <c r="G1371" s="2" t="s">
        <v>983</v>
      </c>
      <c r="H1371" s="2" t="s">
        <v>984</v>
      </c>
      <c r="I1371" s="2"/>
      <c r="J1371" s="2" t="s">
        <v>28</v>
      </c>
    </row>
    <row r="1372" spans="1:10" ht="21" customHeight="1">
      <c r="A1372" s="2" t="s">
        <v>2362</v>
      </c>
      <c r="B1372" s="2" t="s">
        <v>28</v>
      </c>
      <c r="C1372" s="4">
        <v>45933.25</v>
      </c>
      <c r="D1372" s="4">
        <v>45933.250433414352</v>
      </c>
      <c r="E1372" s="2">
        <v>5.22</v>
      </c>
      <c r="F1372" s="2">
        <v>63.4</v>
      </c>
      <c r="G1372" s="2" t="s">
        <v>983</v>
      </c>
      <c r="H1372" s="2" t="s">
        <v>984</v>
      </c>
      <c r="I1372" s="2"/>
      <c r="J1372" s="2" t="s">
        <v>28</v>
      </c>
    </row>
    <row r="1373" spans="1:10" ht="21" customHeight="1">
      <c r="A1373" s="2" t="s">
        <v>2363</v>
      </c>
      <c r="B1373" s="2" t="s">
        <v>28</v>
      </c>
      <c r="C1373" s="4">
        <v>45934.25</v>
      </c>
      <c r="D1373" s="4">
        <v>45934.250178391201</v>
      </c>
      <c r="E1373" s="2"/>
      <c r="F1373" s="2"/>
      <c r="G1373" s="2" t="s">
        <v>983</v>
      </c>
      <c r="H1373" s="2" t="s">
        <v>1066</v>
      </c>
      <c r="I1373" s="2" t="s">
        <v>1053</v>
      </c>
      <c r="J1373" s="2" t="s">
        <v>28</v>
      </c>
    </row>
    <row r="1374" spans="1:10" ht="21" customHeight="1">
      <c r="A1374" s="2" t="s">
        <v>2364</v>
      </c>
      <c r="B1374" s="2" t="s">
        <v>28</v>
      </c>
      <c r="C1374" s="4">
        <v>45935.25</v>
      </c>
      <c r="D1374" s="4">
        <v>45935.250667870372</v>
      </c>
      <c r="E1374" s="2">
        <v>5.92</v>
      </c>
      <c r="F1374" s="2">
        <v>69.7</v>
      </c>
      <c r="G1374" s="2" t="s">
        <v>983</v>
      </c>
      <c r="H1374" s="2" t="s">
        <v>984</v>
      </c>
      <c r="I1374" s="2"/>
      <c r="J1374" s="2" t="s">
        <v>28</v>
      </c>
    </row>
    <row r="1375" spans="1:10" ht="21" customHeight="1">
      <c r="A1375" s="2" t="s">
        <v>2365</v>
      </c>
      <c r="B1375" s="2" t="s">
        <v>28</v>
      </c>
      <c r="C1375" s="4">
        <v>45936.25</v>
      </c>
      <c r="D1375" s="4">
        <v>45936.25023849537</v>
      </c>
      <c r="E1375" s="2">
        <v>2.27</v>
      </c>
      <c r="F1375" s="2">
        <v>60.8</v>
      </c>
      <c r="G1375" s="2" t="s">
        <v>983</v>
      </c>
      <c r="H1375" s="2" t="s">
        <v>984</v>
      </c>
      <c r="I1375" s="2"/>
      <c r="J1375" s="2" t="s">
        <v>28</v>
      </c>
    </row>
    <row r="1376" spans="1:10" ht="21" customHeight="1">
      <c r="A1376" s="2" t="s">
        <v>2366</v>
      </c>
      <c r="B1376" s="2" t="s">
        <v>28</v>
      </c>
      <c r="C1376" s="4">
        <v>45937.25</v>
      </c>
      <c r="D1376" s="4">
        <v>45937.250121666671</v>
      </c>
      <c r="E1376" s="2">
        <v>2.48</v>
      </c>
      <c r="F1376" s="2">
        <v>59.1</v>
      </c>
      <c r="G1376" s="2" t="s">
        <v>983</v>
      </c>
      <c r="H1376" s="2" t="s">
        <v>984</v>
      </c>
      <c r="I1376" s="2"/>
      <c r="J1376" s="2" t="s">
        <v>28</v>
      </c>
    </row>
    <row r="1377" spans="1:10" ht="21" customHeight="1">
      <c r="A1377" s="2" t="s">
        <v>2367</v>
      </c>
      <c r="B1377" s="2" t="s">
        <v>28</v>
      </c>
      <c r="C1377" s="4">
        <v>45938.25</v>
      </c>
      <c r="D1377" s="4">
        <v>45938.250334016207</v>
      </c>
      <c r="E1377" s="2">
        <v>2.31</v>
      </c>
      <c r="F1377" s="2">
        <v>65.7</v>
      </c>
      <c r="G1377" s="2" t="s">
        <v>983</v>
      </c>
      <c r="H1377" s="2" t="s">
        <v>984</v>
      </c>
      <c r="I1377" s="2"/>
      <c r="J1377" s="2" t="s">
        <v>28</v>
      </c>
    </row>
    <row r="1378" spans="1:10" ht="21" customHeight="1">
      <c r="A1378" s="2" t="s">
        <v>2368</v>
      </c>
      <c r="B1378" s="2" t="s">
        <v>28</v>
      </c>
      <c r="C1378" s="4">
        <v>45939.25</v>
      </c>
      <c r="D1378" s="4">
        <v>45939.250553888887</v>
      </c>
      <c r="E1378" s="2">
        <v>2.2799999999999998</v>
      </c>
      <c r="F1378" s="2">
        <v>62.8</v>
      </c>
      <c r="G1378" s="2" t="s">
        <v>983</v>
      </c>
      <c r="H1378" s="2" t="s">
        <v>984</v>
      </c>
      <c r="I1378" s="2"/>
      <c r="J1378" s="2" t="s">
        <v>28</v>
      </c>
    </row>
    <row r="1379" spans="1:10" ht="21" customHeight="1">
      <c r="A1379" s="2" t="s">
        <v>2369</v>
      </c>
      <c r="B1379" s="2" t="s">
        <v>28</v>
      </c>
      <c r="C1379" s="4">
        <v>45940.25</v>
      </c>
      <c r="D1379" s="4">
        <v>45940.25039966435</v>
      </c>
      <c r="E1379" s="2">
        <v>2.59</v>
      </c>
      <c r="F1379" s="2">
        <v>58.6</v>
      </c>
      <c r="G1379" s="2" t="s">
        <v>983</v>
      </c>
      <c r="H1379" s="2" t="s">
        <v>984</v>
      </c>
      <c r="I1379" s="2"/>
      <c r="J1379" s="2" t="s">
        <v>28</v>
      </c>
    </row>
    <row r="1380" spans="1:10" ht="21" customHeight="1">
      <c r="A1380" s="2" t="s">
        <v>2370</v>
      </c>
      <c r="B1380" s="2" t="s">
        <v>28</v>
      </c>
      <c r="C1380" s="4">
        <v>45941.25</v>
      </c>
      <c r="D1380" s="4">
        <v>45941.250101805555</v>
      </c>
      <c r="E1380" s="2">
        <v>2.68</v>
      </c>
      <c r="F1380" s="2">
        <v>59.4</v>
      </c>
      <c r="G1380" s="2" t="s">
        <v>983</v>
      </c>
      <c r="H1380" s="2" t="s">
        <v>984</v>
      </c>
      <c r="I1380" s="2"/>
      <c r="J1380" s="2" t="s">
        <v>28</v>
      </c>
    </row>
    <row r="1381" spans="1:10" ht="21" customHeight="1">
      <c r="A1381" s="2" t="s">
        <v>2371</v>
      </c>
      <c r="B1381" s="2" t="s">
        <v>28</v>
      </c>
      <c r="C1381" s="4">
        <v>45942.25</v>
      </c>
      <c r="D1381" s="4">
        <v>45942.250088217595</v>
      </c>
      <c r="E1381" s="2">
        <v>3.07</v>
      </c>
      <c r="F1381" s="2">
        <v>58.4</v>
      </c>
      <c r="G1381" s="2" t="s">
        <v>983</v>
      </c>
      <c r="H1381" s="2" t="s">
        <v>984</v>
      </c>
      <c r="I1381" s="2"/>
      <c r="J1381" s="2" t="s">
        <v>28</v>
      </c>
    </row>
    <row r="1382" spans="1:10" ht="21" customHeight="1">
      <c r="A1382" s="2" t="s">
        <v>2372</v>
      </c>
      <c r="B1382" s="2" t="s">
        <v>28</v>
      </c>
      <c r="C1382" s="4">
        <v>45943.25</v>
      </c>
      <c r="D1382" s="4">
        <v>45943.25012251157</v>
      </c>
      <c r="E1382" s="2">
        <v>2.4700000000000002</v>
      </c>
      <c r="F1382" s="2">
        <v>64.8</v>
      </c>
      <c r="G1382" s="2" t="s">
        <v>983</v>
      </c>
      <c r="H1382" s="2" t="s">
        <v>984</v>
      </c>
      <c r="I1382" s="2"/>
      <c r="J1382" s="2" t="s">
        <v>28</v>
      </c>
    </row>
    <row r="1383" spans="1:10" ht="21" customHeight="1">
      <c r="A1383" s="2" t="s">
        <v>2373</v>
      </c>
      <c r="B1383" s="2" t="s">
        <v>28</v>
      </c>
      <c r="C1383" s="4">
        <v>45944.25</v>
      </c>
      <c r="D1383" s="4">
        <v>45944.25040498843</v>
      </c>
      <c r="E1383" s="2">
        <v>2.4500000000000002</v>
      </c>
      <c r="F1383" s="2">
        <v>65.900000000000006</v>
      </c>
      <c r="G1383" s="2" t="s">
        <v>983</v>
      </c>
      <c r="H1383" s="2" t="s">
        <v>984</v>
      </c>
      <c r="I1383" s="2"/>
      <c r="J1383" s="2" t="s">
        <v>28</v>
      </c>
    </row>
    <row r="1384" spans="1:10" ht="21" customHeight="1">
      <c r="A1384" s="2" t="s">
        <v>2374</v>
      </c>
      <c r="B1384" s="2" t="s">
        <v>28</v>
      </c>
      <c r="C1384" s="4">
        <v>45945.25</v>
      </c>
      <c r="D1384" s="4">
        <v>45945.25002619213</v>
      </c>
      <c r="E1384" s="2">
        <v>2.37</v>
      </c>
      <c r="F1384" s="2">
        <v>64.3</v>
      </c>
      <c r="G1384" s="2" t="s">
        <v>983</v>
      </c>
      <c r="H1384" s="2" t="s">
        <v>984</v>
      </c>
      <c r="I1384" s="2"/>
      <c r="J1384" s="2" t="s">
        <v>28</v>
      </c>
    </row>
    <row r="1385" spans="1:10" ht="21" customHeight="1">
      <c r="A1385" s="2" t="s">
        <v>2375</v>
      </c>
      <c r="B1385" s="2" t="s">
        <v>28</v>
      </c>
      <c r="C1385" s="4">
        <v>45946.25</v>
      </c>
      <c r="D1385" s="4">
        <v>45946.250042245374</v>
      </c>
      <c r="E1385" s="2">
        <v>3.02</v>
      </c>
      <c r="F1385" s="2">
        <v>60.5</v>
      </c>
      <c r="G1385" s="2" t="s">
        <v>983</v>
      </c>
      <c r="H1385" s="2" t="s">
        <v>984</v>
      </c>
      <c r="I1385" s="2"/>
      <c r="J1385" s="2" t="s">
        <v>28</v>
      </c>
    </row>
    <row r="1386" spans="1:10" ht="21" customHeight="1">
      <c r="A1386" s="2" t="s">
        <v>2376</v>
      </c>
      <c r="B1386" s="2" t="s">
        <v>28</v>
      </c>
      <c r="C1386" s="4">
        <v>45947.25</v>
      </c>
      <c r="D1386" s="4">
        <v>45947.250407187501</v>
      </c>
      <c r="E1386" s="2">
        <v>3.16</v>
      </c>
      <c r="F1386" s="2">
        <v>65.400000000000006</v>
      </c>
      <c r="G1386" s="2" t="s">
        <v>983</v>
      </c>
      <c r="H1386" s="2" t="s">
        <v>984</v>
      </c>
      <c r="I1386" s="2" t="s">
        <v>985</v>
      </c>
      <c r="J1386" s="2" t="s">
        <v>28</v>
      </c>
    </row>
    <row r="1387" spans="1:10" ht="21" customHeight="1">
      <c r="A1387" s="2" t="s">
        <v>2377</v>
      </c>
      <c r="B1387" s="2" t="s">
        <v>28</v>
      </c>
      <c r="C1387" s="4">
        <v>45948.25</v>
      </c>
      <c r="D1387" s="4">
        <v>45948.250246631942</v>
      </c>
      <c r="E1387" s="2">
        <v>2.2999999999999998</v>
      </c>
      <c r="F1387" s="2">
        <v>60</v>
      </c>
      <c r="G1387" s="2" t="s">
        <v>983</v>
      </c>
      <c r="H1387" s="2" t="s">
        <v>984</v>
      </c>
      <c r="I1387" s="2"/>
      <c r="J1387" s="2" t="s">
        <v>28</v>
      </c>
    </row>
    <row r="1388" spans="1:10" ht="21" customHeight="1">
      <c r="A1388" s="2" t="s">
        <v>2378</v>
      </c>
      <c r="B1388" s="2" t="s">
        <v>28</v>
      </c>
      <c r="C1388" s="4">
        <v>45949.25</v>
      </c>
      <c r="D1388" s="4">
        <v>45949.250359745369</v>
      </c>
      <c r="E1388" s="2">
        <v>2.91</v>
      </c>
      <c r="F1388" s="2">
        <v>64.599999999999994</v>
      </c>
      <c r="G1388" s="2" t="s">
        <v>983</v>
      </c>
      <c r="H1388" s="2" t="s">
        <v>984</v>
      </c>
      <c r="I1388" s="2"/>
      <c r="J1388" s="2" t="s">
        <v>28</v>
      </c>
    </row>
    <row r="1389" spans="1:10" ht="21" customHeight="1">
      <c r="A1389" s="2" t="s">
        <v>2379</v>
      </c>
      <c r="B1389" s="2" t="s">
        <v>28</v>
      </c>
      <c r="C1389" s="4">
        <v>45950.25</v>
      </c>
      <c r="D1389" s="4">
        <v>45950.250302476852</v>
      </c>
      <c r="E1389" s="2">
        <v>3.01</v>
      </c>
      <c r="F1389" s="2">
        <v>64</v>
      </c>
      <c r="G1389" s="2" t="s">
        <v>983</v>
      </c>
      <c r="H1389" s="2" t="s">
        <v>984</v>
      </c>
      <c r="I1389" s="2"/>
      <c r="J1389" s="2" t="s">
        <v>28</v>
      </c>
    </row>
    <row r="1390" spans="1:10" ht="21" customHeight="1">
      <c r="A1390" s="2" t="s">
        <v>2380</v>
      </c>
      <c r="B1390" s="2" t="s">
        <v>28</v>
      </c>
      <c r="C1390" s="4">
        <v>45951.25</v>
      </c>
      <c r="D1390" s="4">
        <v>45951.250668761575</v>
      </c>
      <c r="E1390" s="2">
        <v>3.07</v>
      </c>
      <c r="F1390" s="2">
        <v>60.2</v>
      </c>
      <c r="G1390" s="2" t="s">
        <v>983</v>
      </c>
      <c r="H1390" s="2" t="s">
        <v>984</v>
      </c>
      <c r="I1390" s="2"/>
      <c r="J1390" s="2" t="s">
        <v>28</v>
      </c>
    </row>
    <row r="1391" spans="1:10" ht="21" customHeight="1">
      <c r="A1391" s="2" t="s">
        <v>2381</v>
      </c>
      <c r="B1391" s="2" t="s">
        <v>28</v>
      </c>
      <c r="C1391" s="4">
        <v>45952.25</v>
      </c>
      <c r="D1391" s="4">
        <v>45952.250174328699</v>
      </c>
      <c r="E1391" s="2">
        <v>0</v>
      </c>
      <c r="F1391" s="2">
        <v>61.6</v>
      </c>
      <c r="G1391" s="2" t="s">
        <v>1175</v>
      </c>
      <c r="H1391" s="2" t="s">
        <v>984</v>
      </c>
      <c r="I1391" s="2"/>
      <c r="J1391" s="2" t="s">
        <v>28</v>
      </c>
    </row>
    <row r="1392" spans="1:10" ht="21" customHeight="1">
      <c r="A1392" s="2" t="s">
        <v>2382</v>
      </c>
      <c r="B1392" s="2" t="s">
        <v>28</v>
      </c>
      <c r="C1392" s="4">
        <v>45953.25</v>
      </c>
      <c r="D1392" s="4">
        <v>45953.250157824077</v>
      </c>
      <c r="E1392" s="2">
        <v>2.15</v>
      </c>
      <c r="F1392" s="2">
        <v>58.6</v>
      </c>
      <c r="G1392" s="2" t="s">
        <v>983</v>
      </c>
      <c r="H1392" s="2" t="s">
        <v>984</v>
      </c>
      <c r="I1392" s="2"/>
      <c r="J1392" s="2" t="s">
        <v>28</v>
      </c>
    </row>
    <row r="1393" spans="1:10" ht="21" customHeight="1">
      <c r="A1393" s="2" t="s">
        <v>2383</v>
      </c>
      <c r="B1393" s="2" t="s">
        <v>28</v>
      </c>
      <c r="C1393" s="4">
        <v>45954.25</v>
      </c>
      <c r="D1393" s="4">
        <v>45954.250661226848</v>
      </c>
      <c r="E1393" s="2"/>
      <c r="F1393" s="2"/>
      <c r="G1393" s="2" t="s">
        <v>983</v>
      </c>
      <c r="H1393" s="2" t="s">
        <v>1066</v>
      </c>
      <c r="I1393" s="2"/>
      <c r="J1393" s="2" t="s">
        <v>28</v>
      </c>
    </row>
    <row r="1394" spans="1:10" ht="21" customHeight="1">
      <c r="A1394" s="2" t="s">
        <v>2384</v>
      </c>
      <c r="B1394" s="2" t="s">
        <v>28</v>
      </c>
      <c r="C1394" s="4">
        <v>45955.25</v>
      </c>
      <c r="D1394" s="4">
        <v>45955.250678761571</v>
      </c>
      <c r="E1394" s="2">
        <v>2.87</v>
      </c>
      <c r="F1394" s="2">
        <v>62.6</v>
      </c>
      <c r="G1394" s="2" t="s">
        <v>983</v>
      </c>
      <c r="H1394" s="2" t="s">
        <v>984</v>
      </c>
      <c r="I1394" s="2"/>
      <c r="J1394" s="2" t="s">
        <v>28</v>
      </c>
    </row>
    <row r="1395" spans="1:10" ht="21" customHeight="1">
      <c r="A1395" s="2" t="s">
        <v>2385</v>
      </c>
      <c r="B1395" s="2" t="s">
        <v>28</v>
      </c>
      <c r="C1395" s="4">
        <v>45956.25</v>
      </c>
      <c r="D1395" s="4">
        <v>45956.250278680556</v>
      </c>
      <c r="E1395" s="2">
        <v>3.23</v>
      </c>
      <c r="F1395" s="2">
        <v>61.9</v>
      </c>
      <c r="G1395" s="2" t="s">
        <v>983</v>
      </c>
      <c r="H1395" s="2" t="s">
        <v>984</v>
      </c>
      <c r="I1395" s="2"/>
      <c r="J1395" s="2" t="s">
        <v>28</v>
      </c>
    </row>
    <row r="1396" spans="1:10" ht="21" customHeight="1">
      <c r="A1396" s="2" t="s">
        <v>2386</v>
      </c>
      <c r="B1396" s="2" t="s">
        <v>2099</v>
      </c>
      <c r="C1396" s="4">
        <v>45957.25</v>
      </c>
      <c r="D1396" s="4">
        <v>45957.250067280096</v>
      </c>
      <c r="E1396" s="2">
        <v>2.35</v>
      </c>
      <c r="F1396" s="2">
        <v>65.3</v>
      </c>
      <c r="G1396" s="2" t="s">
        <v>983</v>
      </c>
      <c r="H1396" s="2" t="s">
        <v>984</v>
      </c>
      <c r="I1396" s="2"/>
      <c r="J1396" s="2" t="s">
        <v>28</v>
      </c>
    </row>
    <row r="1397" spans="1:10" ht="21" customHeight="1">
      <c r="A1397" s="2" t="s">
        <v>2387</v>
      </c>
      <c r="B1397" s="2" t="s">
        <v>28</v>
      </c>
      <c r="C1397" s="4">
        <v>45958.25</v>
      </c>
      <c r="D1397" s="4">
        <v>45958.250272719903</v>
      </c>
      <c r="E1397" s="2">
        <v>2.57</v>
      </c>
      <c r="F1397" s="2">
        <v>65.5</v>
      </c>
      <c r="G1397" s="2" t="s">
        <v>983</v>
      </c>
      <c r="H1397" s="2" t="s">
        <v>984</v>
      </c>
      <c r="I1397" s="2"/>
      <c r="J1397" s="2" t="s">
        <v>28</v>
      </c>
    </row>
    <row r="1398" spans="1:10" ht="21" customHeight="1">
      <c r="A1398" s="2" t="s">
        <v>2388</v>
      </c>
      <c r="B1398" s="2" t="s">
        <v>28</v>
      </c>
      <c r="C1398" s="4">
        <v>45959.25</v>
      </c>
      <c r="D1398" s="4">
        <v>45959.250523923612</v>
      </c>
      <c r="E1398" s="2"/>
      <c r="F1398" s="2"/>
      <c r="G1398" s="2" t="s">
        <v>983</v>
      </c>
      <c r="H1398" s="2" t="s">
        <v>1066</v>
      </c>
      <c r="I1398" s="2"/>
      <c r="J1398" s="2" t="s">
        <v>28</v>
      </c>
    </row>
    <row r="1399" spans="1:10" ht="21" customHeight="1">
      <c r="A1399" s="2" t="s">
        <v>2389</v>
      </c>
      <c r="B1399" s="2" t="s">
        <v>28</v>
      </c>
      <c r="C1399" s="4">
        <v>45960.25</v>
      </c>
      <c r="D1399" s="4">
        <v>45960.250110428242</v>
      </c>
      <c r="E1399" s="2">
        <v>3.16</v>
      </c>
      <c r="F1399" s="2">
        <v>59.3</v>
      </c>
      <c r="G1399" s="2" t="s">
        <v>983</v>
      </c>
      <c r="H1399" s="2" t="s">
        <v>984</v>
      </c>
      <c r="I1399" s="2"/>
      <c r="J1399" s="2" t="s">
        <v>28</v>
      </c>
    </row>
    <row r="1400" spans="1:10" ht="21" customHeight="1">
      <c r="A1400" s="2" t="s">
        <v>2390</v>
      </c>
      <c r="B1400" s="2" t="s">
        <v>28</v>
      </c>
      <c r="C1400" s="4">
        <v>45961.25</v>
      </c>
      <c r="D1400" s="4">
        <v>45961.250336956015</v>
      </c>
      <c r="E1400" s="2">
        <v>3.2</v>
      </c>
      <c r="F1400" s="2">
        <v>65.2</v>
      </c>
      <c r="G1400" s="2" t="s">
        <v>983</v>
      </c>
      <c r="H1400" s="2" t="s">
        <v>984</v>
      </c>
      <c r="I1400" s="2"/>
      <c r="J1400" s="2" t="s">
        <v>28</v>
      </c>
    </row>
    <row r="1401" spans="1:10" ht="21" customHeight="1">
      <c r="A1401" s="2" t="s">
        <v>2391</v>
      </c>
      <c r="B1401" s="2" t="s">
        <v>28</v>
      </c>
      <c r="C1401" s="4">
        <v>45962.25</v>
      </c>
      <c r="D1401" s="4">
        <v>45962.250560335648</v>
      </c>
      <c r="E1401" s="2">
        <v>2.4</v>
      </c>
      <c r="F1401" s="2">
        <v>63.2</v>
      </c>
      <c r="G1401" s="2" t="s">
        <v>983</v>
      </c>
      <c r="H1401" s="2" t="s">
        <v>984</v>
      </c>
      <c r="I1401" s="2"/>
      <c r="J1401" s="2" t="s">
        <v>28</v>
      </c>
    </row>
    <row r="1402" spans="1:10" ht="21" customHeight="1">
      <c r="A1402" s="2" t="s">
        <v>2392</v>
      </c>
      <c r="B1402" s="2" t="s">
        <v>28</v>
      </c>
      <c r="C1402" s="4">
        <v>45963.25</v>
      </c>
      <c r="D1402" s="4">
        <v>45963.250243275463</v>
      </c>
      <c r="E1402" s="2">
        <v>3.15</v>
      </c>
      <c r="F1402" s="2">
        <v>63.1</v>
      </c>
      <c r="G1402" s="2" t="s">
        <v>983</v>
      </c>
      <c r="H1402" s="2" t="s">
        <v>984</v>
      </c>
      <c r="I1402" s="2"/>
      <c r="J1402" s="2" t="s">
        <v>28</v>
      </c>
    </row>
    <row r="1403" spans="1:10" ht="21" customHeight="1">
      <c r="A1403" s="2" t="s">
        <v>2393</v>
      </c>
      <c r="B1403" s="2" t="s">
        <v>28</v>
      </c>
      <c r="C1403" s="4">
        <v>45964.25</v>
      </c>
      <c r="D1403" s="4">
        <v>45964.250082592596</v>
      </c>
      <c r="E1403" s="2"/>
      <c r="F1403" s="2"/>
      <c r="G1403" s="2" t="s">
        <v>983</v>
      </c>
      <c r="H1403" s="2" t="s">
        <v>1066</v>
      </c>
      <c r="I1403" s="2" t="s">
        <v>985</v>
      </c>
      <c r="J1403" s="2" t="s">
        <v>28</v>
      </c>
    </row>
    <row r="1404" spans="1:10" ht="21" customHeight="1">
      <c r="A1404" s="2" t="s">
        <v>2394</v>
      </c>
      <c r="B1404" s="2" t="s">
        <v>28</v>
      </c>
      <c r="C1404" s="4">
        <v>45965.25</v>
      </c>
      <c r="D1404" s="4">
        <v>45965.250054942131</v>
      </c>
      <c r="E1404" s="2">
        <v>2.13</v>
      </c>
      <c r="F1404" s="2">
        <v>62.8</v>
      </c>
      <c r="G1404" s="2" t="s">
        <v>983</v>
      </c>
      <c r="H1404" s="2" t="s">
        <v>984</v>
      </c>
      <c r="I1404" s="2"/>
      <c r="J1404" s="2" t="s">
        <v>28</v>
      </c>
    </row>
    <row r="1405" spans="1:10" ht="21" customHeight="1">
      <c r="A1405" s="2" t="s">
        <v>2395</v>
      </c>
      <c r="B1405" s="2" t="s">
        <v>28</v>
      </c>
      <c r="C1405" s="4">
        <v>45966.25</v>
      </c>
      <c r="D1405" s="4">
        <v>45966.250689270833</v>
      </c>
      <c r="E1405" s="2">
        <v>2.2799999999999998</v>
      </c>
      <c r="F1405" s="2">
        <v>58.5</v>
      </c>
      <c r="G1405" s="2" t="s">
        <v>983</v>
      </c>
      <c r="H1405" s="2" t="s">
        <v>984</v>
      </c>
      <c r="I1405" s="2"/>
      <c r="J1405" s="2" t="s">
        <v>28</v>
      </c>
    </row>
    <row r="1406" spans="1:10" ht="21" customHeight="1">
      <c r="A1406" s="2" t="s">
        <v>2396</v>
      </c>
      <c r="B1406" s="2" t="s">
        <v>28</v>
      </c>
      <c r="C1406" s="4">
        <v>45967.25</v>
      </c>
      <c r="D1406" s="4">
        <v>45967.250393553244</v>
      </c>
      <c r="E1406" s="2">
        <v>2.9</v>
      </c>
      <c r="F1406" s="2">
        <v>60.4</v>
      </c>
      <c r="G1406" s="2" t="s">
        <v>983</v>
      </c>
      <c r="H1406" s="2" t="s">
        <v>984</v>
      </c>
      <c r="I1406" s="2"/>
      <c r="J1406" s="2" t="s">
        <v>28</v>
      </c>
    </row>
    <row r="1407" spans="1:10" ht="21" customHeight="1">
      <c r="A1407" s="2" t="s">
        <v>2397</v>
      </c>
      <c r="B1407" s="2" t="s">
        <v>28</v>
      </c>
      <c r="C1407" s="4">
        <v>45968.25</v>
      </c>
      <c r="D1407" s="4">
        <v>45968.250326111112</v>
      </c>
      <c r="E1407" s="2">
        <v>0</v>
      </c>
      <c r="F1407" s="2">
        <v>58.3</v>
      </c>
      <c r="G1407" s="2" t="s">
        <v>1175</v>
      </c>
      <c r="H1407" s="2" t="s">
        <v>984</v>
      </c>
      <c r="I1407" s="2"/>
      <c r="J1407" s="2" t="s">
        <v>28</v>
      </c>
    </row>
    <row r="1408" spans="1:10" ht="21" customHeight="1">
      <c r="A1408" s="2" t="s">
        <v>2398</v>
      </c>
      <c r="B1408" s="2" t="s">
        <v>28</v>
      </c>
      <c r="C1408" s="4">
        <v>45969.25</v>
      </c>
      <c r="D1408" s="4">
        <v>45969.25053149306</v>
      </c>
      <c r="E1408" s="2">
        <v>3.16</v>
      </c>
      <c r="F1408" s="2">
        <v>61.3</v>
      </c>
      <c r="G1408" s="2" t="s">
        <v>983</v>
      </c>
      <c r="H1408" s="2" t="s">
        <v>984</v>
      </c>
      <c r="I1408" s="2"/>
      <c r="J1408" s="2" t="s">
        <v>28</v>
      </c>
    </row>
    <row r="1409" spans="1:10" ht="21" customHeight="1">
      <c r="A1409" s="2" t="s">
        <v>2399</v>
      </c>
      <c r="B1409" s="2" t="s">
        <v>28</v>
      </c>
      <c r="C1409" s="4">
        <v>45970.25</v>
      </c>
      <c r="D1409" s="4">
        <v>45970.250111759262</v>
      </c>
      <c r="E1409" s="2"/>
      <c r="F1409" s="2"/>
      <c r="G1409" s="2" t="s">
        <v>983</v>
      </c>
      <c r="H1409" s="2" t="s">
        <v>1066</v>
      </c>
      <c r="I1409" s="2"/>
      <c r="J1409" s="2" t="s">
        <v>28</v>
      </c>
    </row>
    <row r="1410" spans="1:10" ht="21" customHeight="1">
      <c r="A1410" s="2" t="s">
        <v>2400</v>
      </c>
      <c r="B1410" s="2" t="s">
        <v>28</v>
      </c>
      <c r="C1410" s="4">
        <v>45971.25</v>
      </c>
      <c r="D1410" s="4">
        <v>45971.250646018518</v>
      </c>
      <c r="E1410" s="2">
        <v>2.83</v>
      </c>
      <c r="F1410" s="2">
        <v>59.8</v>
      </c>
      <c r="G1410" s="2" t="s">
        <v>983</v>
      </c>
      <c r="H1410" s="2" t="s">
        <v>984</v>
      </c>
      <c r="I1410" s="2"/>
      <c r="J1410" s="2" t="s">
        <v>28</v>
      </c>
    </row>
    <row r="1411" spans="1:10" ht="21" customHeight="1">
      <c r="A1411" s="2" t="s">
        <v>2401</v>
      </c>
      <c r="B1411" s="2" t="s">
        <v>28</v>
      </c>
      <c r="C1411" s="4">
        <v>45972.25</v>
      </c>
      <c r="D1411" s="4">
        <v>45972.250482002317</v>
      </c>
      <c r="E1411" s="2">
        <v>2.73</v>
      </c>
      <c r="F1411" s="2">
        <v>64.5</v>
      </c>
      <c r="G1411" s="2" t="s">
        <v>983</v>
      </c>
      <c r="H1411" s="2" t="s">
        <v>984</v>
      </c>
      <c r="I1411" s="2"/>
      <c r="J1411" s="2" t="s">
        <v>28</v>
      </c>
    </row>
    <row r="1412" spans="1:10" ht="21" customHeight="1">
      <c r="A1412" s="2" t="s">
        <v>2402</v>
      </c>
      <c r="B1412" s="2" t="s">
        <v>28</v>
      </c>
      <c r="C1412" s="4">
        <v>45973.25</v>
      </c>
      <c r="D1412" s="4">
        <v>45973.250642280094</v>
      </c>
      <c r="E1412" s="2">
        <v>2.99</v>
      </c>
      <c r="F1412" s="2">
        <v>65.400000000000006</v>
      </c>
      <c r="G1412" s="2" t="s">
        <v>983</v>
      </c>
      <c r="H1412" s="2" t="s">
        <v>984</v>
      </c>
      <c r="I1412" s="2"/>
      <c r="J1412" s="2" t="s">
        <v>28</v>
      </c>
    </row>
    <row r="1413" spans="1:10" ht="21" customHeight="1">
      <c r="A1413" s="2" t="s">
        <v>2403</v>
      </c>
      <c r="B1413" s="2" t="s">
        <v>28</v>
      </c>
      <c r="C1413" s="4">
        <v>45974.25</v>
      </c>
      <c r="D1413" s="4">
        <v>45974.250643587962</v>
      </c>
      <c r="E1413" s="2">
        <v>2.1800000000000002</v>
      </c>
      <c r="F1413" s="2">
        <v>61.4</v>
      </c>
      <c r="G1413" s="2" t="s">
        <v>983</v>
      </c>
      <c r="H1413" s="2" t="s">
        <v>984</v>
      </c>
      <c r="I1413" s="2"/>
      <c r="J1413" s="2" t="s">
        <v>28</v>
      </c>
    </row>
    <row r="1414" spans="1:10" ht="21" customHeight="1">
      <c r="A1414" s="2" t="s">
        <v>2404</v>
      </c>
      <c r="B1414" s="2" t="s">
        <v>28</v>
      </c>
      <c r="C1414" s="4">
        <v>45975.25</v>
      </c>
      <c r="D1414" s="4">
        <v>45975.250635335644</v>
      </c>
      <c r="E1414" s="2">
        <v>2.46</v>
      </c>
      <c r="F1414" s="2">
        <v>64.400000000000006</v>
      </c>
      <c r="G1414" s="2" t="s">
        <v>983</v>
      </c>
      <c r="H1414" s="2" t="s">
        <v>984</v>
      </c>
      <c r="I1414" s="2"/>
      <c r="J1414" s="2" t="s">
        <v>28</v>
      </c>
    </row>
    <row r="1415" spans="1:10" ht="21" customHeight="1">
      <c r="A1415" s="2" t="s">
        <v>2405</v>
      </c>
      <c r="B1415" s="2" t="s">
        <v>28</v>
      </c>
      <c r="C1415" s="4">
        <v>45976.25</v>
      </c>
      <c r="D1415" s="4">
        <v>45976.250614606484</v>
      </c>
      <c r="E1415" s="2">
        <v>3.3</v>
      </c>
      <c r="F1415" s="2">
        <v>58.2</v>
      </c>
      <c r="G1415" s="2" t="s">
        <v>983</v>
      </c>
      <c r="H1415" s="2" t="s">
        <v>984</v>
      </c>
      <c r="I1415" s="2"/>
      <c r="J1415" s="2" t="s">
        <v>28</v>
      </c>
    </row>
    <row r="1416" spans="1:10" ht="21" customHeight="1">
      <c r="A1416" s="2" t="s">
        <v>2406</v>
      </c>
      <c r="B1416" s="2" t="s">
        <v>28</v>
      </c>
      <c r="C1416" s="4">
        <v>45977.25</v>
      </c>
      <c r="D1416" s="4">
        <v>45977.250592418983</v>
      </c>
      <c r="E1416" s="2">
        <v>3.19</v>
      </c>
      <c r="F1416" s="2">
        <v>59.9</v>
      </c>
      <c r="G1416" s="2" t="s">
        <v>983</v>
      </c>
      <c r="H1416" s="2" t="s">
        <v>984</v>
      </c>
      <c r="I1416" s="2"/>
      <c r="J1416" s="2" t="s">
        <v>28</v>
      </c>
    </row>
    <row r="1417" spans="1:10" ht="21" customHeight="1">
      <c r="A1417" s="2" t="s">
        <v>2407</v>
      </c>
      <c r="B1417" s="2" t="s">
        <v>28</v>
      </c>
      <c r="C1417" s="4">
        <v>45978.25</v>
      </c>
      <c r="D1417" s="4">
        <v>45978.250010069445</v>
      </c>
      <c r="E1417" s="2">
        <v>2.8</v>
      </c>
      <c r="F1417" s="2">
        <v>61.2</v>
      </c>
      <c r="G1417" s="2" t="s">
        <v>983</v>
      </c>
      <c r="H1417" s="2" t="s">
        <v>984</v>
      </c>
      <c r="I1417" s="2"/>
      <c r="J1417" s="2" t="s">
        <v>28</v>
      </c>
    </row>
    <row r="1418" spans="1:10" ht="21" customHeight="1">
      <c r="A1418" s="2" t="s">
        <v>2408</v>
      </c>
      <c r="B1418" s="2" t="s">
        <v>28</v>
      </c>
      <c r="C1418" s="4">
        <v>45979.25</v>
      </c>
      <c r="D1418" s="4">
        <v>45979.25051081019</v>
      </c>
      <c r="E1418" s="2">
        <v>2.71</v>
      </c>
      <c r="F1418" s="2">
        <v>64.900000000000006</v>
      </c>
      <c r="G1418" s="2" t="s">
        <v>983</v>
      </c>
      <c r="H1418" s="2" t="s">
        <v>984</v>
      </c>
      <c r="I1418" s="2"/>
      <c r="J1418" s="2" t="s">
        <v>28</v>
      </c>
    </row>
    <row r="1419" spans="1:10" ht="21" customHeight="1">
      <c r="A1419" s="2" t="s">
        <v>2409</v>
      </c>
      <c r="B1419" s="2" t="s">
        <v>28</v>
      </c>
      <c r="C1419" s="4">
        <v>45980.25</v>
      </c>
      <c r="D1419" s="4">
        <v>45980.250131608795</v>
      </c>
      <c r="E1419" s="2">
        <v>3.11</v>
      </c>
      <c r="F1419" s="2">
        <v>64.900000000000006</v>
      </c>
      <c r="G1419" s="2" t="s">
        <v>983</v>
      </c>
      <c r="H1419" s="2" t="s">
        <v>984</v>
      </c>
      <c r="I1419" s="2"/>
      <c r="J1419" s="2" t="s">
        <v>28</v>
      </c>
    </row>
    <row r="1420" spans="1:10" ht="21" customHeight="1">
      <c r="A1420" s="2" t="s">
        <v>2410</v>
      </c>
      <c r="B1420" s="2" t="s">
        <v>28</v>
      </c>
      <c r="C1420" s="4">
        <v>45981.25</v>
      </c>
      <c r="D1420" s="4">
        <v>45981.250179872688</v>
      </c>
      <c r="E1420" s="2">
        <v>3.13</v>
      </c>
      <c r="F1420" s="2">
        <v>59.1</v>
      </c>
      <c r="G1420" s="2" t="s">
        <v>983</v>
      </c>
      <c r="H1420" s="2" t="s">
        <v>984</v>
      </c>
      <c r="I1420" s="2" t="s">
        <v>985</v>
      </c>
      <c r="J1420" s="2" t="s">
        <v>28</v>
      </c>
    </row>
    <row r="1421" spans="1:10" ht="21" customHeight="1">
      <c r="A1421" s="2" t="s">
        <v>2411</v>
      </c>
      <c r="B1421" s="2" t="s">
        <v>28</v>
      </c>
      <c r="C1421" s="4">
        <v>45982.25</v>
      </c>
      <c r="D1421" s="4">
        <v>45982.250222824077</v>
      </c>
      <c r="E1421" s="2">
        <v>3.2</v>
      </c>
      <c r="F1421" s="2">
        <v>59.7</v>
      </c>
      <c r="G1421" s="2" t="s">
        <v>983</v>
      </c>
      <c r="H1421" s="2" t="s">
        <v>984</v>
      </c>
      <c r="I1421" s="2"/>
      <c r="J1421" s="2" t="s">
        <v>28</v>
      </c>
    </row>
    <row r="1422" spans="1:10" ht="21" customHeight="1">
      <c r="A1422" s="2" t="s">
        <v>2412</v>
      </c>
      <c r="B1422" s="2" t="s">
        <v>28</v>
      </c>
      <c r="C1422" s="4">
        <v>45983.25</v>
      </c>
      <c r="D1422" s="4">
        <v>45983.250202499999</v>
      </c>
      <c r="E1422" s="2">
        <v>2.3199999999999998</v>
      </c>
      <c r="F1422" s="2">
        <v>59.1</v>
      </c>
      <c r="G1422" s="2" t="s">
        <v>983</v>
      </c>
      <c r="H1422" s="2" t="s">
        <v>984</v>
      </c>
      <c r="I1422" s="2"/>
      <c r="J1422" s="2" t="s">
        <v>28</v>
      </c>
    </row>
    <row r="1423" spans="1:10" ht="21" customHeight="1">
      <c r="A1423" s="2" t="s">
        <v>2413</v>
      </c>
      <c r="B1423" s="2" t="s">
        <v>28</v>
      </c>
      <c r="C1423" s="4">
        <v>45984.25</v>
      </c>
      <c r="D1423" s="4">
        <v>45984.250103773149</v>
      </c>
      <c r="E1423" s="2">
        <v>2.4500000000000002</v>
      </c>
      <c r="F1423" s="2">
        <v>61.2</v>
      </c>
      <c r="G1423" s="2" t="s">
        <v>983</v>
      </c>
      <c r="H1423" s="2" t="s">
        <v>984</v>
      </c>
      <c r="I1423" s="2"/>
      <c r="J1423" s="2" t="s">
        <v>28</v>
      </c>
    </row>
    <row r="1424" spans="1:10" ht="21" customHeight="1">
      <c r="A1424" s="2" t="s">
        <v>2414</v>
      </c>
      <c r="B1424" s="2" t="s">
        <v>28</v>
      </c>
      <c r="C1424" s="4">
        <v>45985.25</v>
      </c>
      <c r="D1424" s="4">
        <v>45985.250032685188</v>
      </c>
      <c r="E1424" s="2">
        <v>2.96</v>
      </c>
      <c r="F1424" s="2">
        <v>60.1</v>
      </c>
      <c r="G1424" s="2" t="s">
        <v>983</v>
      </c>
      <c r="H1424" s="2" t="s">
        <v>984</v>
      </c>
      <c r="I1424" s="2"/>
      <c r="J1424" s="2" t="s">
        <v>28</v>
      </c>
    </row>
    <row r="1425" spans="1:10" ht="21" customHeight="1">
      <c r="A1425" s="2" t="s">
        <v>2415</v>
      </c>
      <c r="B1425" s="2" t="s">
        <v>28</v>
      </c>
      <c r="C1425" s="4">
        <v>45986.25</v>
      </c>
      <c r="D1425" s="4">
        <v>45986.250155891204</v>
      </c>
      <c r="E1425" s="2">
        <v>2.2000000000000002</v>
      </c>
      <c r="F1425" s="2">
        <v>61</v>
      </c>
      <c r="G1425" s="2" t="s">
        <v>983</v>
      </c>
      <c r="H1425" s="2" t="s">
        <v>984</v>
      </c>
      <c r="I1425" s="2"/>
      <c r="J1425" s="2" t="s">
        <v>28</v>
      </c>
    </row>
    <row r="1426" spans="1:10" ht="21" customHeight="1">
      <c r="A1426" s="2" t="s">
        <v>2416</v>
      </c>
      <c r="B1426" s="2" t="s">
        <v>28</v>
      </c>
      <c r="C1426" s="4">
        <v>45987.25</v>
      </c>
      <c r="D1426" s="4">
        <v>45987.250060601851</v>
      </c>
      <c r="E1426" s="2"/>
      <c r="F1426" s="2"/>
      <c r="G1426" s="2" t="s">
        <v>983</v>
      </c>
      <c r="H1426" s="2" t="s">
        <v>1066</v>
      </c>
      <c r="I1426" s="2"/>
      <c r="J1426" s="2" t="s">
        <v>28</v>
      </c>
    </row>
    <row r="1427" spans="1:10" ht="21" customHeight="1">
      <c r="A1427" s="2" t="s">
        <v>2417</v>
      </c>
      <c r="B1427" s="2" t="s">
        <v>28</v>
      </c>
      <c r="C1427" s="4">
        <v>45988.25</v>
      </c>
      <c r="D1427" s="4">
        <v>45988.250661817132</v>
      </c>
      <c r="E1427" s="2">
        <v>2.62</v>
      </c>
      <c r="F1427" s="2">
        <v>65.5</v>
      </c>
      <c r="G1427" s="2" t="s">
        <v>983</v>
      </c>
      <c r="H1427" s="2" t="s">
        <v>984</v>
      </c>
      <c r="I1427" s="2"/>
      <c r="J1427" s="2" t="s">
        <v>28</v>
      </c>
    </row>
    <row r="1428" spans="1:10" ht="21" customHeight="1">
      <c r="A1428" s="2" t="s">
        <v>2418</v>
      </c>
      <c r="B1428" s="2" t="s">
        <v>28</v>
      </c>
      <c r="C1428" s="4">
        <v>45989.25</v>
      </c>
      <c r="D1428" s="4">
        <v>45989.250579027779</v>
      </c>
      <c r="E1428" s="2">
        <v>2.93</v>
      </c>
      <c r="F1428" s="2">
        <v>61.6</v>
      </c>
      <c r="G1428" s="2" t="s">
        <v>983</v>
      </c>
      <c r="H1428" s="2" t="s">
        <v>984</v>
      </c>
      <c r="I1428" s="2"/>
      <c r="J1428" s="2" t="s">
        <v>28</v>
      </c>
    </row>
    <row r="1429" spans="1:10" ht="21" customHeight="1">
      <c r="A1429" s="2" t="s">
        <v>2419</v>
      </c>
      <c r="B1429" s="2" t="s">
        <v>28</v>
      </c>
      <c r="C1429" s="4">
        <v>45990.25</v>
      </c>
      <c r="D1429" s="4">
        <v>45990.25019663194</v>
      </c>
      <c r="E1429" s="2">
        <v>3.27</v>
      </c>
      <c r="F1429" s="2">
        <v>58.1</v>
      </c>
      <c r="G1429" s="2" t="s">
        <v>983</v>
      </c>
      <c r="H1429" s="2" t="s">
        <v>984</v>
      </c>
      <c r="I1429" s="2"/>
      <c r="J1429" s="2" t="s">
        <v>28</v>
      </c>
    </row>
    <row r="1430" spans="1:10" ht="21" customHeight="1">
      <c r="A1430" s="2" t="s">
        <v>2420</v>
      </c>
      <c r="B1430" s="2" t="s">
        <v>28</v>
      </c>
      <c r="C1430" s="4">
        <v>45991.25</v>
      </c>
      <c r="D1430" s="4">
        <v>45991.250144571764</v>
      </c>
      <c r="E1430" s="2">
        <v>3.02</v>
      </c>
      <c r="F1430" s="2">
        <v>64.2</v>
      </c>
      <c r="G1430" s="2" t="s">
        <v>983</v>
      </c>
      <c r="H1430" s="2" t="s">
        <v>984</v>
      </c>
      <c r="I1430" s="2"/>
      <c r="J1430" s="2" t="s">
        <v>28</v>
      </c>
    </row>
    <row r="1431" spans="1:10" ht="21" customHeight="1">
      <c r="A1431" s="2" t="s">
        <v>2421</v>
      </c>
      <c r="B1431" s="2" t="s">
        <v>28</v>
      </c>
      <c r="C1431" s="4">
        <v>45992.25</v>
      </c>
      <c r="D1431" s="4">
        <v>45992.250599398147</v>
      </c>
      <c r="E1431" s="2">
        <v>3.11</v>
      </c>
      <c r="F1431" s="2">
        <v>64.900000000000006</v>
      </c>
      <c r="G1431" s="2" t="s">
        <v>983</v>
      </c>
      <c r="H1431" s="2" t="s">
        <v>984</v>
      </c>
      <c r="I1431" s="2"/>
      <c r="J1431" s="2" t="s">
        <v>28</v>
      </c>
    </row>
    <row r="1432" spans="1:10" ht="21" customHeight="1">
      <c r="A1432" s="2" t="s">
        <v>2422</v>
      </c>
      <c r="B1432" s="2" t="s">
        <v>28</v>
      </c>
      <c r="C1432" s="4">
        <v>45993.25</v>
      </c>
      <c r="D1432" s="4">
        <v>45993.250627326386</v>
      </c>
      <c r="E1432" s="2">
        <v>2.6</v>
      </c>
      <c r="F1432" s="2">
        <v>65.8</v>
      </c>
      <c r="G1432" s="2" t="s">
        <v>983</v>
      </c>
      <c r="H1432" s="2" t="s">
        <v>984</v>
      </c>
      <c r="I1432" s="2"/>
      <c r="J1432" s="2" t="s">
        <v>28</v>
      </c>
    </row>
    <row r="1433" spans="1:10" ht="21" customHeight="1">
      <c r="A1433" s="2" t="s">
        <v>2423</v>
      </c>
      <c r="B1433" s="2" t="s">
        <v>28</v>
      </c>
      <c r="C1433" s="4">
        <v>45994.25</v>
      </c>
      <c r="D1433" s="4">
        <v>45994.250492777777</v>
      </c>
      <c r="E1433" s="2">
        <v>2.2000000000000002</v>
      </c>
      <c r="F1433" s="2">
        <v>65.400000000000006</v>
      </c>
      <c r="G1433" s="2" t="s">
        <v>983</v>
      </c>
      <c r="H1433" s="2" t="s">
        <v>984</v>
      </c>
      <c r="I1433" s="2"/>
      <c r="J1433" s="2" t="s">
        <v>28</v>
      </c>
    </row>
    <row r="1434" spans="1:10" ht="21" customHeight="1">
      <c r="A1434" s="2" t="s">
        <v>2424</v>
      </c>
      <c r="B1434" s="2" t="s">
        <v>28</v>
      </c>
      <c r="C1434" s="4">
        <v>45995.25</v>
      </c>
      <c r="D1434" s="4">
        <v>45995.250473263892</v>
      </c>
      <c r="E1434" s="2">
        <v>2.12</v>
      </c>
      <c r="F1434" s="2">
        <v>64</v>
      </c>
      <c r="G1434" s="2" t="s">
        <v>983</v>
      </c>
      <c r="H1434" s="2" t="s">
        <v>984</v>
      </c>
      <c r="I1434" s="2"/>
      <c r="J1434" s="2" t="s">
        <v>28</v>
      </c>
    </row>
    <row r="1435" spans="1:10" ht="21" customHeight="1">
      <c r="A1435" s="2" t="s">
        <v>2425</v>
      </c>
      <c r="B1435" s="2" t="s">
        <v>28</v>
      </c>
      <c r="C1435" s="4">
        <v>45996.25</v>
      </c>
      <c r="D1435" s="4">
        <v>45996.250234722218</v>
      </c>
      <c r="E1435" s="2">
        <v>2.35</v>
      </c>
      <c r="F1435" s="2">
        <v>61.8</v>
      </c>
      <c r="G1435" s="2" t="s">
        <v>983</v>
      </c>
      <c r="H1435" s="2" t="s">
        <v>984</v>
      </c>
      <c r="I1435" s="2"/>
      <c r="J1435" s="2" t="s">
        <v>28</v>
      </c>
    </row>
    <row r="1436" spans="1:10" ht="21" customHeight="1">
      <c r="A1436" s="2" t="s">
        <v>2426</v>
      </c>
      <c r="B1436" s="2" t="s">
        <v>28</v>
      </c>
      <c r="C1436" s="4">
        <v>45997.25</v>
      </c>
      <c r="D1436" s="4">
        <v>45997.250385023144</v>
      </c>
      <c r="E1436" s="2">
        <v>2.38</v>
      </c>
      <c r="F1436" s="2">
        <v>61.6</v>
      </c>
      <c r="G1436" s="2" t="s">
        <v>983</v>
      </c>
      <c r="H1436" s="2" t="s">
        <v>984</v>
      </c>
      <c r="I1436" s="2"/>
      <c r="J1436" s="2" t="s">
        <v>28</v>
      </c>
    </row>
    <row r="1437" spans="1:10" ht="21" customHeight="1">
      <c r="A1437" s="2" t="s">
        <v>2427</v>
      </c>
      <c r="B1437" s="2" t="s">
        <v>2099</v>
      </c>
      <c r="C1437" s="4">
        <v>45998.25</v>
      </c>
      <c r="D1437" s="4">
        <v>45998.250184699078</v>
      </c>
      <c r="E1437" s="2">
        <v>0</v>
      </c>
      <c r="F1437" s="2">
        <v>63</v>
      </c>
      <c r="G1437" s="2" t="s">
        <v>1175</v>
      </c>
      <c r="H1437" s="2" t="s">
        <v>984</v>
      </c>
      <c r="I1437" s="2" t="s">
        <v>985</v>
      </c>
      <c r="J1437" s="2" t="s">
        <v>28</v>
      </c>
    </row>
    <row r="1438" spans="1:10" ht="21" customHeight="1">
      <c r="A1438" s="2" t="s">
        <v>2428</v>
      </c>
      <c r="B1438" s="2" t="s">
        <v>28</v>
      </c>
      <c r="C1438" s="4">
        <v>45999.25</v>
      </c>
      <c r="D1438" s="4">
        <v>45999.250554178245</v>
      </c>
      <c r="E1438" s="2"/>
      <c r="F1438" s="2"/>
      <c r="G1438" s="2" t="s">
        <v>983</v>
      </c>
      <c r="H1438" s="2" t="s">
        <v>1066</v>
      </c>
      <c r="I1438" s="2"/>
      <c r="J1438" s="2" t="s">
        <v>28</v>
      </c>
    </row>
    <row r="1439" spans="1:10" ht="21" customHeight="1">
      <c r="A1439" s="2" t="s">
        <v>2429</v>
      </c>
      <c r="B1439" s="2" t="s">
        <v>28</v>
      </c>
      <c r="C1439" s="4">
        <v>46000.25</v>
      </c>
      <c r="D1439" s="4">
        <v>46000.250423437501</v>
      </c>
      <c r="E1439" s="2">
        <v>2.6</v>
      </c>
      <c r="F1439" s="2">
        <v>61.6</v>
      </c>
      <c r="G1439" s="2" t="s">
        <v>983</v>
      </c>
      <c r="H1439" s="2" t="s">
        <v>984</v>
      </c>
      <c r="I1439" s="2"/>
      <c r="J1439" s="2" t="s">
        <v>28</v>
      </c>
    </row>
    <row r="1440" spans="1:10" ht="21" customHeight="1">
      <c r="A1440" s="2" t="s">
        <v>2430</v>
      </c>
      <c r="B1440" s="2" t="s">
        <v>28</v>
      </c>
      <c r="C1440" s="4">
        <v>46001.25</v>
      </c>
      <c r="D1440" s="4">
        <v>46001.250029166666</v>
      </c>
      <c r="E1440" s="2">
        <v>3.27</v>
      </c>
      <c r="F1440" s="2">
        <v>61.3</v>
      </c>
      <c r="G1440" s="2" t="s">
        <v>983</v>
      </c>
      <c r="H1440" s="2" t="s">
        <v>984</v>
      </c>
      <c r="I1440" s="2"/>
      <c r="J1440" s="2" t="s">
        <v>28</v>
      </c>
    </row>
    <row r="1441" spans="1:10" ht="21" customHeight="1">
      <c r="A1441" s="2" t="s">
        <v>2431</v>
      </c>
      <c r="B1441" s="2" t="s">
        <v>28</v>
      </c>
      <c r="C1441" s="4">
        <v>46002.25</v>
      </c>
      <c r="D1441" s="4">
        <v>46002.25032501157</v>
      </c>
      <c r="E1441" s="2">
        <v>2.31</v>
      </c>
      <c r="F1441" s="2">
        <v>61.3</v>
      </c>
      <c r="G1441" s="2" t="s">
        <v>983</v>
      </c>
      <c r="H1441" s="2" t="s">
        <v>984</v>
      </c>
      <c r="I1441" s="2"/>
      <c r="J1441" s="2" t="s">
        <v>28</v>
      </c>
    </row>
    <row r="1442" spans="1:10" ht="21" customHeight="1">
      <c r="A1442" s="2" t="s">
        <v>2432</v>
      </c>
      <c r="B1442" s="2" t="s">
        <v>28</v>
      </c>
      <c r="C1442" s="4">
        <v>46003.25</v>
      </c>
      <c r="D1442" s="4">
        <v>46003.250155717593</v>
      </c>
      <c r="E1442" s="2">
        <v>3.06</v>
      </c>
      <c r="F1442" s="2">
        <v>58.5</v>
      </c>
      <c r="G1442" s="2" t="s">
        <v>983</v>
      </c>
      <c r="H1442" s="2" t="s">
        <v>984</v>
      </c>
      <c r="I1442" s="2"/>
      <c r="J1442" s="2" t="s">
        <v>28</v>
      </c>
    </row>
    <row r="1443" spans="1:10" ht="21" customHeight="1">
      <c r="A1443" s="2" t="s">
        <v>2433</v>
      </c>
      <c r="B1443" s="2" t="s">
        <v>28</v>
      </c>
      <c r="C1443" s="4">
        <v>46004.25</v>
      </c>
      <c r="D1443" s="4">
        <v>46004.250511678241</v>
      </c>
      <c r="E1443" s="2">
        <v>2.33</v>
      </c>
      <c r="F1443" s="2">
        <v>62.5</v>
      </c>
      <c r="G1443" s="2" t="s">
        <v>983</v>
      </c>
      <c r="H1443" s="2" t="s">
        <v>984</v>
      </c>
      <c r="I1443" s="2"/>
      <c r="J1443" s="2" t="s">
        <v>28</v>
      </c>
    </row>
    <row r="1444" spans="1:10" ht="21" customHeight="1">
      <c r="A1444" s="2" t="s">
        <v>2434</v>
      </c>
      <c r="B1444" s="2" t="s">
        <v>28</v>
      </c>
      <c r="C1444" s="4">
        <v>46005.25</v>
      </c>
      <c r="D1444" s="4">
        <v>46005.250393657407</v>
      </c>
      <c r="E1444" s="2">
        <v>2.95</v>
      </c>
      <c r="F1444" s="2">
        <v>58.6</v>
      </c>
      <c r="G1444" s="2" t="s">
        <v>983</v>
      </c>
      <c r="H1444" s="2" t="s">
        <v>984</v>
      </c>
      <c r="I1444" s="2"/>
      <c r="J1444" s="2" t="s">
        <v>28</v>
      </c>
    </row>
    <row r="1445" spans="1:10" ht="21" customHeight="1">
      <c r="A1445" s="2" t="s">
        <v>2435</v>
      </c>
      <c r="B1445" s="2" t="s">
        <v>28</v>
      </c>
      <c r="C1445" s="4">
        <v>46006.25</v>
      </c>
      <c r="D1445" s="4">
        <v>46006.250166319442</v>
      </c>
      <c r="E1445" s="2"/>
      <c r="F1445" s="2"/>
      <c r="G1445" s="2" t="s">
        <v>983</v>
      </c>
      <c r="H1445" s="2" t="s">
        <v>1066</v>
      </c>
      <c r="I1445" s="2"/>
      <c r="J1445" s="2" t="s">
        <v>28</v>
      </c>
    </row>
    <row r="1446" spans="1:10" ht="21" customHeight="1">
      <c r="A1446" s="2" t="s">
        <v>2436</v>
      </c>
      <c r="B1446" s="2" t="s">
        <v>28</v>
      </c>
      <c r="C1446" s="4">
        <v>46007.25</v>
      </c>
      <c r="D1446" s="4">
        <v>46007.250682418977</v>
      </c>
      <c r="E1446" s="2">
        <v>3.27</v>
      </c>
      <c r="F1446" s="2">
        <v>64.599999999999994</v>
      </c>
      <c r="G1446" s="2" t="s">
        <v>983</v>
      </c>
      <c r="H1446" s="2" t="s">
        <v>984</v>
      </c>
      <c r="I1446" s="2"/>
      <c r="J1446" s="2" t="s">
        <v>28</v>
      </c>
    </row>
    <row r="1447" spans="1:10" ht="21" customHeight="1">
      <c r="A1447" s="2" t="s">
        <v>2437</v>
      </c>
      <c r="B1447" s="2" t="s">
        <v>28</v>
      </c>
      <c r="C1447" s="4">
        <v>46008.25</v>
      </c>
      <c r="D1447" s="4">
        <v>46008.250274652775</v>
      </c>
      <c r="E1447" s="2">
        <v>2.65</v>
      </c>
      <c r="F1447" s="2">
        <v>60.6</v>
      </c>
      <c r="G1447" s="2" t="s">
        <v>983</v>
      </c>
      <c r="H1447" s="2" t="s">
        <v>984</v>
      </c>
      <c r="I1447" s="2"/>
      <c r="J1447" s="2" t="s">
        <v>28</v>
      </c>
    </row>
    <row r="1448" spans="1:10" ht="21" customHeight="1">
      <c r="A1448" s="2" t="s">
        <v>2438</v>
      </c>
      <c r="B1448" s="2" t="s">
        <v>28</v>
      </c>
      <c r="C1448" s="4">
        <v>46009.25</v>
      </c>
      <c r="D1448" s="4">
        <v>46009.25001127315</v>
      </c>
      <c r="E1448" s="2">
        <v>2.67</v>
      </c>
      <c r="F1448" s="2">
        <v>62.9</v>
      </c>
      <c r="G1448" s="2" t="s">
        <v>983</v>
      </c>
      <c r="H1448" s="2" t="s">
        <v>984</v>
      </c>
      <c r="I1448" s="2"/>
      <c r="J1448" s="2" t="s">
        <v>28</v>
      </c>
    </row>
    <row r="1449" spans="1:10" ht="21" customHeight="1">
      <c r="A1449" s="2" t="s">
        <v>2439</v>
      </c>
      <c r="B1449" s="2" t="s">
        <v>28</v>
      </c>
      <c r="C1449" s="4">
        <v>46010.25</v>
      </c>
      <c r="D1449" s="4">
        <v>46010.250282870373</v>
      </c>
      <c r="E1449" s="2">
        <v>2.78</v>
      </c>
      <c r="F1449" s="2">
        <v>59.5</v>
      </c>
      <c r="G1449" s="2" t="s">
        <v>983</v>
      </c>
      <c r="H1449" s="2" t="s">
        <v>984</v>
      </c>
      <c r="I1449" s="2"/>
      <c r="J1449" s="2" t="s">
        <v>28</v>
      </c>
    </row>
    <row r="1450" spans="1:10" ht="21" customHeight="1">
      <c r="A1450" s="2" t="s">
        <v>2440</v>
      </c>
      <c r="B1450" s="2" t="s">
        <v>28</v>
      </c>
      <c r="C1450" s="4">
        <v>46011.25</v>
      </c>
      <c r="D1450" s="4">
        <v>46011.250436458329</v>
      </c>
      <c r="E1450" s="2">
        <v>2.4900000000000002</v>
      </c>
      <c r="F1450" s="2">
        <v>64.8</v>
      </c>
      <c r="G1450" s="2" t="s">
        <v>983</v>
      </c>
      <c r="H1450" s="2" t="s">
        <v>984</v>
      </c>
      <c r="I1450" s="2"/>
      <c r="J1450" s="2" t="s">
        <v>28</v>
      </c>
    </row>
    <row r="1451" spans="1:10" ht="21" customHeight="1">
      <c r="A1451" s="2" t="s">
        <v>2441</v>
      </c>
      <c r="B1451" s="2" t="s">
        <v>28</v>
      </c>
      <c r="C1451" s="4">
        <v>46012.25</v>
      </c>
      <c r="D1451" s="4">
        <v>46012.250643298612</v>
      </c>
      <c r="E1451" s="2">
        <v>3.11</v>
      </c>
      <c r="F1451" s="2">
        <v>60.1</v>
      </c>
      <c r="G1451" s="2" t="s">
        <v>983</v>
      </c>
      <c r="H1451" s="2" t="s">
        <v>984</v>
      </c>
      <c r="I1451" s="2"/>
      <c r="J1451" s="2" t="s">
        <v>28</v>
      </c>
    </row>
    <row r="1452" spans="1:10" ht="21" customHeight="1">
      <c r="A1452" s="2" t="s">
        <v>2442</v>
      </c>
      <c r="B1452" s="2" t="s">
        <v>28</v>
      </c>
      <c r="C1452" s="4">
        <v>46013.25</v>
      </c>
      <c r="D1452" s="4">
        <v>46013.250283530091</v>
      </c>
      <c r="E1452" s="2">
        <v>2.16</v>
      </c>
      <c r="F1452" s="2">
        <v>58.5</v>
      </c>
      <c r="G1452" s="2" t="s">
        <v>983</v>
      </c>
      <c r="H1452" s="2" t="s">
        <v>984</v>
      </c>
      <c r="I1452" s="2"/>
      <c r="J1452" s="2" t="s">
        <v>28</v>
      </c>
    </row>
    <row r="1453" spans="1:10" ht="21" customHeight="1">
      <c r="A1453" s="2" t="s">
        <v>2443</v>
      </c>
      <c r="B1453" s="2" t="s">
        <v>28</v>
      </c>
      <c r="C1453" s="4">
        <v>46014.25</v>
      </c>
      <c r="D1453" s="4">
        <v>46014.250470972227</v>
      </c>
      <c r="E1453" s="2">
        <v>2.58</v>
      </c>
      <c r="F1453" s="2">
        <v>60</v>
      </c>
      <c r="G1453" s="2" t="s">
        <v>983</v>
      </c>
      <c r="H1453" s="2" t="s">
        <v>984</v>
      </c>
      <c r="I1453" s="2"/>
      <c r="J1453" s="2" t="s">
        <v>28</v>
      </c>
    </row>
    <row r="1454" spans="1:10" ht="21" customHeight="1">
      <c r="A1454" s="2" t="s">
        <v>2444</v>
      </c>
      <c r="B1454" s="2" t="s">
        <v>28</v>
      </c>
      <c r="C1454" s="4">
        <v>46015.25</v>
      </c>
      <c r="D1454" s="4">
        <v>46015.250139178243</v>
      </c>
      <c r="E1454" s="2">
        <v>2.13</v>
      </c>
      <c r="F1454" s="2">
        <v>58.4</v>
      </c>
      <c r="G1454" s="2" t="s">
        <v>983</v>
      </c>
      <c r="H1454" s="2" t="s">
        <v>984</v>
      </c>
      <c r="I1454" s="2" t="s">
        <v>985</v>
      </c>
      <c r="J1454" s="2" t="s">
        <v>28</v>
      </c>
    </row>
    <row r="1455" spans="1:10" ht="21" customHeight="1">
      <c r="A1455" s="2" t="s">
        <v>2445</v>
      </c>
      <c r="B1455" s="2" t="s">
        <v>28</v>
      </c>
      <c r="C1455" s="4">
        <v>46016.25</v>
      </c>
      <c r="D1455" s="4">
        <v>46016.250278634259</v>
      </c>
      <c r="E1455" s="2">
        <v>2.25</v>
      </c>
      <c r="F1455" s="2">
        <v>60</v>
      </c>
      <c r="G1455" s="2" t="s">
        <v>983</v>
      </c>
      <c r="H1455" s="2" t="s">
        <v>984</v>
      </c>
      <c r="I1455" s="2"/>
      <c r="J1455" s="2" t="s">
        <v>28</v>
      </c>
    </row>
    <row r="1456" spans="1:10" ht="21" customHeight="1">
      <c r="A1456" s="2" t="s">
        <v>2446</v>
      </c>
      <c r="B1456" s="2" t="s">
        <v>28</v>
      </c>
      <c r="C1456" s="4">
        <v>46017.25</v>
      </c>
      <c r="D1456" s="4">
        <v>46017.250169513893</v>
      </c>
      <c r="E1456" s="2">
        <v>2.35</v>
      </c>
      <c r="F1456" s="2">
        <v>63.3</v>
      </c>
      <c r="G1456" s="2" t="s">
        <v>983</v>
      </c>
      <c r="H1456" s="2" t="s">
        <v>984</v>
      </c>
      <c r="I1456" s="2"/>
      <c r="J1456" s="2" t="s">
        <v>28</v>
      </c>
    </row>
    <row r="1457" spans="1:10" ht="21" customHeight="1">
      <c r="A1457" s="2" t="s">
        <v>2447</v>
      </c>
      <c r="B1457" s="2" t="s">
        <v>28</v>
      </c>
      <c r="C1457" s="4">
        <v>46018.25</v>
      </c>
      <c r="D1457" s="4">
        <v>46018.250685590276</v>
      </c>
      <c r="E1457" s="2">
        <v>2.79</v>
      </c>
      <c r="F1457" s="2">
        <v>60.7</v>
      </c>
      <c r="G1457" s="2" t="s">
        <v>983</v>
      </c>
      <c r="H1457" s="2" t="s">
        <v>984</v>
      </c>
      <c r="I1457" s="2"/>
      <c r="J1457" s="2" t="s">
        <v>28</v>
      </c>
    </row>
    <row r="1458" spans="1:10" ht="21" customHeight="1">
      <c r="A1458" s="2" t="s">
        <v>2448</v>
      </c>
      <c r="B1458" s="2" t="s">
        <v>28</v>
      </c>
      <c r="C1458" s="4">
        <v>46019.25</v>
      </c>
      <c r="D1458" s="4">
        <v>46019.250537662039</v>
      </c>
      <c r="E1458" s="2">
        <v>3.15</v>
      </c>
      <c r="F1458" s="2">
        <v>62.3</v>
      </c>
      <c r="G1458" s="2" t="s">
        <v>983</v>
      </c>
      <c r="H1458" s="2" t="s">
        <v>984</v>
      </c>
      <c r="I1458" s="2"/>
      <c r="J1458" s="2" t="s">
        <v>28</v>
      </c>
    </row>
    <row r="1459" spans="1:10" ht="21" customHeight="1">
      <c r="A1459" s="2" t="s">
        <v>2449</v>
      </c>
      <c r="B1459" s="2" t="s">
        <v>28</v>
      </c>
      <c r="C1459" s="4">
        <v>46020.25</v>
      </c>
      <c r="D1459" s="4">
        <v>46020.250504374999</v>
      </c>
      <c r="E1459" s="2">
        <v>2.62</v>
      </c>
      <c r="F1459" s="2">
        <v>65</v>
      </c>
      <c r="G1459" s="2" t="s">
        <v>983</v>
      </c>
      <c r="H1459" s="2" t="s">
        <v>984</v>
      </c>
      <c r="I1459" s="2"/>
      <c r="J1459" s="2" t="s">
        <v>28</v>
      </c>
    </row>
    <row r="1460" spans="1:10" ht="21" customHeight="1">
      <c r="A1460" s="2" t="s">
        <v>2450</v>
      </c>
      <c r="B1460" s="2" t="s">
        <v>28</v>
      </c>
      <c r="C1460" s="4">
        <v>46021.25</v>
      </c>
      <c r="D1460" s="4">
        <v>46021.250152685185</v>
      </c>
      <c r="E1460" s="2">
        <v>2.2000000000000002</v>
      </c>
      <c r="F1460" s="2">
        <v>58.8</v>
      </c>
      <c r="G1460" s="2" t="s">
        <v>983</v>
      </c>
      <c r="H1460" s="2" t="s">
        <v>984</v>
      </c>
      <c r="I1460" s="2"/>
      <c r="J1460" s="2" t="s">
        <v>28</v>
      </c>
    </row>
    <row r="1461" spans="1:10" ht="21" customHeight="1">
      <c r="A1461" s="2" t="s">
        <v>2451</v>
      </c>
      <c r="B1461" s="2" t="s">
        <v>28</v>
      </c>
      <c r="C1461" s="4">
        <v>46022.25</v>
      </c>
      <c r="D1461" s="4">
        <v>46022.250249675926</v>
      </c>
      <c r="E1461" s="2">
        <v>2.92</v>
      </c>
      <c r="F1461" s="2">
        <v>59.7</v>
      </c>
      <c r="G1461" s="2" t="s">
        <v>983</v>
      </c>
      <c r="H1461" s="2" t="s">
        <v>984</v>
      </c>
      <c r="I1461" s="2"/>
      <c r="J1461" s="2" t="s">
        <v>28</v>
      </c>
    </row>
    <row r="1462" spans="1:10" ht="21" customHeight="1">
      <c r="A1462" s="2" t="s">
        <v>2452</v>
      </c>
      <c r="B1462" s="2" t="s">
        <v>31</v>
      </c>
      <c r="C1462" s="4">
        <v>45658.25</v>
      </c>
      <c r="D1462" s="4">
        <v>45658.250484097225</v>
      </c>
      <c r="E1462" s="2">
        <v>2.4700000000000002</v>
      </c>
      <c r="F1462" s="2">
        <v>59.1</v>
      </c>
      <c r="G1462" s="2" t="s">
        <v>983</v>
      </c>
      <c r="H1462" s="2" t="s">
        <v>984</v>
      </c>
      <c r="I1462" s="2" t="s">
        <v>985</v>
      </c>
      <c r="J1462" s="2" t="s">
        <v>31</v>
      </c>
    </row>
    <row r="1463" spans="1:10" ht="21" customHeight="1">
      <c r="A1463" s="2" t="s">
        <v>2453</v>
      </c>
      <c r="B1463" s="2" t="s">
        <v>31</v>
      </c>
      <c r="C1463" s="4">
        <v>45659.25</v>
      </c>
      <c r="D1463" s="4">
        <v>45659.250374236115</v>
      </c>
      <c r="E1463" s="2">
        <v>4.46</v>
      </c>
      <c r="F1463" s="2">
        <v>63</v>
      </c>
      <c r="G1463" s="2" t="s">
        <v>983</v>
      </c>
      <c r="H1463" s="2" t="s">
        <v>984</v>
      </c>
      <c r="I1463" s="2"/>
      <c r="J1463" s="2" t="s">
        <v>31</v>
      </c>
    </row>
    <row r="1464" spans="1:10" ht="21" customHeight="1">
      <c r="A1464" s="2" t="s">
        <v>2454</v>
      </c>
      <c r="B1464" s="2" t="s">
        <v>31</v>
      </c>
      <c r="C1464" s="4">
        <v>45660.25</v>
      </c>
      <c r="D1464" s="4">
        <v>45660.250150567124</v>
      </c>
      <c r="E1464" s="2">
        <v>4.8099999999999996</v>
      </c>
      <c r="F1464" s="2">
        <v>68.599999999999994</v>
      </c>
      <c r="G1464" s="2" t="s">
        <v>983</v>
      </c>
      <c r="H1464" s="2" t="s">
        <v>984</v>
      </c>
      <c r="I1464" s="2" t="s">
        <v>1053</v>
      </c>
      <c r="J1464" s="2" t="s">
        <v>31</v>
      </c>
    </row>
    <row r="1465" spans="1:10" ht="21" customHeight="1">
      <c r="A1465" s="2" t="s">
        <v>2455</v>
      </c>
      <c r="B1465" s="2" t="s">
        <v>31</v>
      </c>
      <c r="C1465" s="4">
        <v>45661.25</v>
      </c>
      <c r="D1465" s="4">
        <v>45661.250174513887</v>
      </c>
      <c r="E1465" s="2">
        <v>5.08</v>
      </c>
      <c r="F1465" s="2">
        <v>71.5</v>
      </c>
      <c r="G1465" s="2" t="s">
        <v>983</v>
      </c>
      <c r="H1465" s="2" t="s">
        <v>984</v>
      </c>
      <c r="I1465" s="2"/>
      <c r="J1465" s="2" t="s">
        <v>31</v>
      </c>
    </row>
    <row r="1466" spans="1:10" ht="21" customHeight="1">
      <c r="A1466" s="2" t="s">
        <v>2456</v>
      </c>
      <c r="B1466" s="2" t="s">
        <v>31</v>
      </c>
      <c r="C1466" s="4">
        <v>45662.25</v>
      </c>
      <c r="D1466" s="4">
        <v>45662.250190798615</v>
      </c>
      <c r="E1466" s="2">
        <v>3.21</v>
      </c>
      <c r="F1466" s="2">
        <v>63.3</v>
      </c>
      <c r="G1466" s="2" t="s">
        <v>983</v>
      </c>
      <c r="H1466" s="2" t="s">
        <v>984</v>
      </c>
      <c r="I1466" s="2"/>
      <c r="J1466" s="2" t="s">
        <v>31</v>
      </c>
    </row>
    <row r="1467" spans="1:10" ht="21" customHeight="1">
      <c r="A1467" s="2" t="s">
        <v>2457</v>
      </c>
      <c r="B1467" s="2" t="s">
        <v>31</v>
      </c>
      <c r="C1467" s="4">
        <v>45663.25</v>
      </c>
      <c r="D1467" s="4">
        <v>45663.250602175925</v>
      </c>
      <c r="E1467" s="2">
        <v>2.5299999999999998</v>
      </c>
      <c r="F1467" s="2">
        <v>65.5</v>
      </c>
      <c r="G1467" s="2" t="s">
        <v>983</v>
      </c>
      <c r="H1467" s="2" t="s">
        <v>984</v>
      </c>
      <c r="I1467" s="2"/>
      <c r="J1467" s="2" t="s">
        <v>31</v>
      </c>
    </row>
    <row r="1468" spans="1:10" ht="21" customHeight="1">
      <c r="A1468" s="2" t="s">
        <v>2458</v>
      </c>
      <c r="B1468" s="2" t="s">
        <v>31</v>
      </c>
      <c r="C1468" s="4">
        <v>45664.25</v>
      </c>
      <c r="D1468" s="4">
        <v>45664.250415439819</v>
      </c>
      <c r="E1468" s="2">
        <v>2.83</v>
      </c>
      <c r="F1468" s="2">
        <v>60.3</v>
      </c>
      <c r="G1468" s="2" t="s">
        <v>983</v>
      </c>
      <c r="H1468" s="2" t="s">
        <v>984</v>
      </c>
      <c r="I1468" s="2"/>
      <c r="J1468" s="2" t="s">
        <v>31</v>
      </c>
    </row>
    <row r="1469" spans="1:10" ht="21" customHeight="1">
      <c r="A1469" s="2" t="s">
        <v>2459</v>
      </c>
      <c r="B1469" s="2" t="s">
        <v>31</v>
      </c>
      <c r="C1469" s="4">
        <v>45665.25</v>
      </c>
      <c r="D1469" s="4">
        <v>45665.250277847226</v>
      </c>
      <c r="E1469" s="2">
        <v>2.56</v>
      </c>
      <c r="F1469" s="2">
        <v>64.900000000000006</v>
      </c>
      <c r="G1469" s="2" t="s">
        <v>983</v>
      </c>
      <c r="H1469" s="2" t="s">
        <v>984</v>
      </c>
      <c r="I1469" s="2"/>
      <c r="J1469" s="2" t="s">
        <v>31</v>
      </c>
    </row>
    <row r="1470" spans="1:10" ht="21" customHeight="1">
      <c r="A1470" s="2" t="s">
        <v>2460</v>
      </c>
      <c r="B1470" s="2" t="s">
        <v>31</v>
      </c>
      <c r="C1470" s="4">
        <v>45666.25</v>
      </c>
      <c r="D1470" s="4">
        <v>45666.250326608795</v>
      </c>
      <c r="E1470" s="2">
        <v>2.78</v>
      </c>
      <c r="F1470" s="2">
        <v>65.099999999999994</v>
      </c>
      <c r="G1470" s="2" t="s">
        <v>983</v>
      </c>
      <c r="H1470" s="2" t="s">
        <v>984</v>
      </c>
      <c r="I1470" s="2"/>
      <c r="J1470" s="2" t="s">
        <v>31</v>
      </c>
    </row>
    <row r="1471" spans="1:10" ht="21" customHeight="1">
      <c r="A1471" s="2" t="s">
        <v>2461</v>
      </c>
      <c r="B1471" s="2" t="s">
        <v>31</v>
      </c>
      <c r="C1471" s="4">
        <v>45667.25</v>
      </c>
      <c r="D1471" s="4">
        <v>45667.250343078704</v>
      </c>
      <c r="E1471" s="2">
        <v>2.17</v>
      </c>
      <c r="F1471" s="2">
        <v>63.4</v>
      </c>
      <c r="G1471" s="2" t="s">
        <v>983</v>
      </c>
      <c r="H1471" s="2" t="s">
        <v>984</v>
      </c>
      <c r="I1471" s="2"/>
      <c r="J1471" s="2" t="s">
        <v>31</v>
      </c>
    </row>
    <row r="1472" spans="1:10" ht="21" customHeight="1">
      <c r="A1472" s="2" t="s">
        <v>2462</v>
      </c>
      <c r="B1472" s="2" t="s">
        <v>31</v>
      </c>
      <c r="C1472" s="4">
        <v>45668.25</v>
      </c>
      <c r="D1472" s="4">
        <v>45668.250171180553</v>
      </c>
      <c r="E1472" s="2">
        <v>2.11</v>
      </c>
      <c r="F1472" s="2">
        <v>61.5</v>
      </c>
      <c r="G1472" s="2" t="s">
        <v>983</v>
      </c>
      <c r="H1472" s="2" t="s">
        <v>984</v>
      </c>
      <c r="I1472" s="2"/>
      <c r="J1472" s="2" t="s">
        <v>31</v>
      </c>
    </row>
    <row r="1473" spans="1:10" ht="21" customHeight="1">
      <c r="A1473" s="2" t="s">
        <v>2463</v>
      </c>
      <c r="B1473" s="2" t="s">
        <v>31</v>
      </c>
      <c r="C1473" s="4">
        <v>45669.25</v>
      </c>
      <c r="D1473" s="4">
        <v>45669.250190613428</v>
      </c>
      <c r="E1473" s="2">
        <v>3.21</v>
      </c>
      <c r="F1473" s="2">
        <v>62.4</v>
      </c>
      <c r="G1473" s="2" t="s">
        <v>983</v>
      </c>
      <c r="H1473" s="2" t="s">
        <v>984</v>
      </c>
      <c r="I1473" s="2"/>
      <c r="J1473" s="2" t="s">
        <v>31</v>
      </c>
    </row>
    <row r="1474" spans="1:10" ht="21" customHeight="1">
      <c r="A1474" s="2" t="s">
        <v>2464</v>
      </c>
      <c r="B1474" s="2" t="s">
        <v>31</v>
      </c>
      <c r="C1474" s="4">
        <v>45670.25</v>
      </c>
      <c r="D1474" s="4">
        <v>45670.250505347227</v>
      </c>
      <c r="E1474" s="2">
        <v>2.12</v>
      </c>
      <c r="F1474" s="2">
        <v>61</v>
      </c>
      <c r="G1474" s="2" t="s">
        <v>983</v>
      </c>
      <c r="H1474" s="2" t="s">
        <v>984</v>
      </c>
      <c r="I1474" s="2"/>
      <c r="J1474" s="2" t="s">
        <v>31</v>
      </c>
    </row>
    <row r="1475" spans="1:10" ht="21" customHeight="1">
      <c r="A1475" s="2" t="s">
        <v>2465</v>
      </c>
      <c r="B1475" s="2" t="s">
        <v>31</v>
      </c>
      <c r="C1475" s="4">
        <v>45671.25</v>
      </c>
      <c r="D1475" s="4">
        <v>45671.25032068287</v>
      </c>
      <c r="E1475" s="2">
        <v>3.06</v>
      </c>
      <c r="F1475" s="2">
        <v>58.7</v>
      </c>
      <c r="G1475" s="2" t="s">
        <v>983</v>
      </c>
      <c r="H1475" s="2" t="s">
        <v>984</v>
      </c>
      <c r="I1475" s="2"/>
      <c r="J1475" s="2" t="s">
        <v>31</v>
      </c>
    </row>
    <row r="1476" spans="1:10" ht="21" customHeight="1">
      <c r="A1476" s="2" t="s">
        <v>2466</v>
      </c>
      <c r="B1476" s="2" t="s">
        <v>31</v>
      </c>
      <c r="C1476" s="4">
        <v>45672.25</v>
      </c>
      <c r="D1476" s="4">
        <v>45672.250483356482</v>
      </c>
      <c r="E1476" s="2">
        <v>3.13</v>
      </c>
      <c r="F1476" s="2">
        <v>63.1</v>
      </c>
      <c r="G1476" s="2" t="s">
        <v>983</v>
      </c>
      <c r="H1476" s="2" t="s">
        <v>984</v>
      </c>
      <c r="I1476" s="2"/>
      <c r="J1476" s="2" t="s">
        <v>31</v>
      </c>
    </row>
    <row r="1477" spans="1:10" ht="21" customHeight="1">
      <c r="A1477" s="2" t="s">
        <v>2467</v>
      </c>
      <c r="B1477" s="2" t="s">
        <v>31</v>
      </c>
      <c r="C1477" s="4">
        <v>45673.25</v>
      </c>
      <c r="D1477" s="4">
        <v>45673.250005717593</v>
      </c>
      <c r="E1477" s="2">
        <v>2.4500000000000002</v>
      </c>
      <c r="F1477" s="2">
        <v>64</v>
      </c>
      <c r="G1477" s="2" t="s">
        <v>983</v>
      </c>
      <c r="H1477" s="2" t="s">
        <v>984</v>
      </c>
      <c r="I1477" s="2"/>
      <c r="J1477" s="2" t="s">
        <v>31</v>
      </c>
    </row>
    <row r="1478" spans="1:10" ht="21" customHeight="1">
      <c r="A1478" s="2" t="s">
        <v>2468</v>
      </c>
      <c r="B1478" s="2" t="s">
        <v>2469</v>
      </c>
      <c r="C1478" s="4">
        <v>45674.25</v>
      </c>
      <c r="D1478" s="4">
        <v>45674.250069606482</v>
      </c>
      <c r="E1478" s="2">
        <v>2.14</v>
      </c>
      <c r="F1478" s="2">
        <v>61.6</v>
      </c>
      <c r="G1478" s="2" t="s">
        <v>983</v>
      </c>
      <c r="H1478" s="2" t="s">
        <v>984</v>
      </c>
      <c r="I1478" s="2"/>
      <c r="J1478" s="2" t="s">
        <v>31</v>
      </c>
    </row>
    <row r="1479" spans="1:10" ht="21" customHeight="1">
      <c r="A1479" s="2" t="s">
        <v>2470</v>
      </c>
      <c r="B1479" s="2" t="s">
        <v>31</v>
      </c>
      <c r="C1479" s="4">
        <v>45675.25</v>
      </c>
      <c r="D1479" s="4">
        <v>45675.250310821764</v>
      </c>
      <c r="E1479" s="2"/>
      <c r="F1479" s="2"/>
      <c r="G1479" s="2" t="s">
        <v>983</v>
      </c>
      <c r="H1479" s="2" t="s">
        <v>1066</v>
      </c>
      <c r="I1479" s="2" t="s">
        <v>985</v>
      </c>
      <c r="J1479" s="2" t="s">
        <v>31</v>
      </c>
    </row>
    <row r="1480" spans="1:10" ht="21" customHeight="1">
      <c r="A1480" s="2" t="s">
        <v>2471</v>
      </c>
      <c r="B1480" s="2" t="s">
        <v>31</v>
      </c>
      <c r="C1480" s="4">
        <v>45676.25</v>
      </c>
      <c r="D1480" s="4">
        <v>45676.250441157405</v>
      </c>
      <c r="E1480" s="2">
        <v>2.38</v>
      </c>
      <c r="F1480" s="2">
        <v>62</v>
      </c>
      <c r="G1480" s="2" t="s">
        <v>983</v>
      </c>
      <c r="H1480" s="2" t="s">
        <v>984</v>
      </c>
      <c r="I1480" s="2"/>
      <c r="J1480" s="2" t="s">
        <v>31</v>
      </c>
    </row>
    <row r="1481" spans="1:10" ht="21" customHeight="1">
      <c r="A1481" s="2" t="s">
        <v>2472</v>
      </c>
      <c r="B1481" s="2" t="s">
        <v>31</v>
      </c>
      <c r="C1481" s="4">
        <v>45677.25</v>
      </c>
      <c r="D1481" s="4">
        <v>45677.2502937963</v>
      </c>
      <c r="E1481" s="2">
        <v>2.96</v>
      </c>
      <c r="F1481" s="2">
        <v>64.7</v>
      </c>
      <c r="G1481" s="2" t="s">
        <v>983</v>
      </c>
      <c r="H1481" s="2" t="s">
        <v>984</v>
      </c>
      <c r="I1481" s="2"/>
      <c r="J1481" s="2" t="s">
        <v>31</v>
      </c>
    </row>
    <row r="1482" spans="1:10" ht="21" customHeight="1">
      <c r="A1482" s="2" t="s">
        <v>2473</v>
      </c>
      <c r="B1482" s="2" t="s">
        <v>31</v>
      </c>
      <c r="C1482" s="4">
        <v>45678.25</v>
      </c>
      <c r="D1482" s="4">
        <v>45678.250238877314</v>
      </c>
      <c r="E1482" s="2">
        <v>2.63</v>
      </c>
      <c r="F1482" s="2">
        <v>60.4</v>
      </c>
      <c r="G1482" s="2" t="s">
        <v>983</v>
      </c>
      <c r="H1482" s="2" t="s">
        <v>984</v>
      </c>
      <c r="I1482" s="2"/>
      <c r="J1482" s="2" t="s">
        <v>31</v>
      </c>
    </row>
    <row r="1483" spans="1:10" ht="21" customHeight="1">
      <c r="A1483" s="2" t="s">
        <v>2474</v>
      </c>
      <c r="B1483" s="2" t="s">
        <v>31</v>
      </c>
      <c r="C1483" s="4">
        <v>45679.25</v>
      </c>
      <c r="D1483" s="4">
        <v>45679.250036851852</v>
      </c>
      <c r="E1483" s="2">
        <v>3.14</v>
      </c>
      <c r="F1483" s="2">
        <v>58.9</v>
      </c>
      <c r="G1483" s="2" t="s">
        <v>983</v>
      </c>
      <c r="H1483" s="2" t="s">
        <v>984</v>
      </c>
      <c r="I1483" s="2"/>
      <c r="J1483" s="2" t="s">
        <v>31</v>
      </c>
    </row>
    <row r="1484" spans="1:10" ht="21" customHeight="1">
      <c r="A1484" s="2" t="s">
        <v>2475</v>
      </c>
      <c r="B1484" s="2" t="s">
        <v>31</v>
      </c>
      <c r="C1484" s="4">
        <v>45680.25</v>
      </c>
      <c r="D1484" s="4">
        <v>45680.250528159726</v>
      </c>
      <c r="E1484" s="2"/>
      <c r="F1484" s="2"/>
      <c r="G1484" s="2" t="s">
        <v>983</v>
      </c>
      <c r="H1484" s="2" t="s">
        <v>1066</v>
      </c>
      <c r="I1484" s="2"/>
      <c r="J1484" s="2" t="s">
        <v>31</v>
      </c>
    </row>
    <row r="1485" spans="1:10" ht="21" customHeight="1">
      <c r="A1485" s="2" t="s">
        <v>2476</v>
      </c>
      <c r="B1485" s="2" t="s">
        <v>31</v>
      </c>
      <c r="C1485" s="4">
        <v>45681.25</v>
      </c>
      <c r="D1485" s="4">
        <v>45681.250494305554</v>
      </c>
      <c r="E1485" s="2">
        <v>2.95</v>
      </c>
      <c r="F1485" s="2">
        <v>65.400000000000006</v>
      </c>
      <c r="G1485" s="2" t="s">
        <v>983</v>
      </c>
      <c r="H1485" s="2" t="s">
        <v>984</v>
      </c>
      <c r="I1485" s="2"/>
      <c r="J1485" s="2" t="s">
        <v>31</v>
      </c>
    </row>
    <row r="1486" spans="1:10" ht="21" customHeight="1">
      <c r="A1486" s="2" t="s">
        <v>2477</v>
      </c>
      <c r="B1486" s="2" t="s">
        <v>31</v>
      </c>
      <c r="C1486" s="4">
        <v>45682.25</v>
      </c>
      <c r="D1486" s="4">
        <v>45682.250400856487</v>
      </c>
      <c r="E1486" s="2">
        <v>2.69</v>
      </c>
      <c r="F1486" s="2">
        <v>62.8</v>
      </c>
      <c r="G1486" s="2" t="s">
        <v>983</v>
      </c>
      <c r="H1486" s="2" t="s">
        <v>984</v>
      </c>
      <c r="I1486" s="2"/>
      <c r="J1486" s="2" t="s">
        <v>31</v>
      </c>
    </row>
    <row r="1487" spans="1:10" ht="21" customHeight="1">
      <c r="A1487" s="2" t="s">
        <v>2478</v>
      </c>
      <c r="B1487" s="2" t="s">
        <v>31</v>
      </c>
      <c r="C1487" s="4">
        <v>45683.25</v>
      </c>
      <c r="D1487" s="4">
        <v>45683.250528680554</v>
      </c>
      <c r="E1487" s="2">
        <v>2.46</v>
      </c>
      <c r="F1487" s="2">
        <v>63.8</v>
      </c>
      <c r="G1487" s="2" t="s">
        <v>983</v>
      </c>
      <c r="H1487" s="2" t="s">
        <v>984</v>
      </c>
      <c r="I1487" s="2"/>
      <c r="J1487" s="2" t="s">
        <v>31</v>
      </c>
    </row>
    <row r="1488" spans="1:10" ht="21" customHeight="1">
      <c r="A1488" s="2" t="s">
        <v>2479</v>
      </c>
      <c r="B1488" s="2" t="s">
        <v>31</v>
      </c>
      <c r="C1488" s="4">
        <v>45684.25</v>
      </c>
      <c r="D1488" s="4">
        <v>45684.250632476847</v>
      </c>
      <c r="E1488" s="2">
        <v>2.1800000000000002</v>
      </c>
      <c r="F1488" s="2">
        <v>62</v>
      </c>
      <c r="G1488" s="2" t="s">
        <v>983</v>
      </c>
      <c r="H1488" s="2" t="s">
        <v>984</v>
      </c>
      <c r="I1488" s="2"/>
      <c r="J1488" s="2" t="s">
        <v>31</v>
      </c>
    </row>
    <row r="1489" spans="1:10" ht="21" customHeight="1">
      <c r="A1489" s="2" t="s">
        <v>2480</v>
      </c>
      <c r="B1489" s="2" t="s">
        <v>31</v>
      </c>
      <c r="C1489" s="4">
        <v>45685.25</v>
      </c>
      <c r="D1489" s="4">
        <v>45685.25068380787</v>
      </c>
      <c r="E1489" s="2">
        <v>22.95</v>
      </c>
      <c r="F1489" s="2">
        <v>61.8</v>
      </c>
      <c r="G1489" s="2" t="s">
        <v>983</v>
      </c>
      <c r="H1489" s="2" t="s">
        <v>1022</v>
      </c>
      <c r="I1489" s="2"/>
      <c r="J1489" s="2" t="s">
        <v>31</v>
      </c>
    </row>
    <row r="1490" spans="1:10" ht="21" customHeight="1">
      <c r="A1490" s="2" t="s">
        <v>2481</v>
      </c>
      <c r="B1490" s="2" t="s">
        <v>31</v>
      </c>
      <c r="C1490" s="4">
        <v>45686.25</v>
      </c>
      <c r="D1490" s="4">
        <v>45686.250414930561</v>
      </c>
      <c r="E1490" s="2">
        <v>3.28</v>
      </c>
      <c r="F1490" s="2">
        <v>58.2</v>
      </c>
      <c r="G1490" s="2" t="s">
        <v>983</v>
      </c>
      <c r="H1490" s="2" t="s">
        <v>984</v>
      </c>
      <c r="I1490" s="2"/>
      <c r="J1490" s="2" t="s">
        <v>31</v>
      </c>
    </row>
    <row r="1491" spans="1:10" ht="21" customHeight="1">
      <c r="A1491" s="2" t="s">
        <v>2482</v>
      </c>
      <c r="B1491" s="2" t="s">
        <v>31</v>
      </c>
      <c r="C1491" s="4">
        <v>45687.25</v>
      </c>
      <c r="D1491" s="4">
        <v>45687.250393831018</v>
      </c>
      <c r="E1491" s="2">
        <v>2.4</v>
      </c>
      <c r="F1491" s="2">
        <v>60.5</v>
      </c>
      <c r="G1491" s="2" t="s">
        <v>983</v>
      </c>
      <c r="H1491" s="2" t="s">
        <v>984</v>
      </c>
      <c r="I1491" s="2"/>
      <c r="J1491" s="2" t="s">
        <v>31</v>
      </c>
    </row>
    <row r="1492" spans="1:10" ht="21" customHeight="1">
      <c r="A1492" s="2" t="s">
        <v>2483</v>
      </c>
      <c r="B1492" s="2" t="s">
        <v>31</v>
      </c>
      <c r="C1492" s="4">
        <v>45688.25</v>
      </c>
      <c r="D1492" s="4">
        <v>45688.250376192125</v>
      </c>
      <c r="E1492" s="2">
        <v>2.94</v>
      </c>
      <c r="F1492" s="2">
        <v>63.2</v>
      </c>
      <c r="G1492" s="2" t="s">
        <v>983</v>
      </c>
      <c r="H1492" s="2" t="s">
        <v>984</v>
      </c>
      <c r="I1492" s="2"/>
      <c r="J1492" s="2" t="s">
        <v>31</v>
      </c>
    </row>
    <row r="1493" spans="1:10" ht="21" customHeight="1">
      <c r="A1493" s="2" t="s">
        <v>2484</v>
      </c>
      <c r="B1493" s="2" t="s">
        <v>31</v>
      </c>
      <c r="C1493" s="4">
        <v>45689.25</v>
      </c>
      <c r="D1493" s="4">
        <v>45689.250663599538</v>
      </c>
      <c r="E1493" s="2">
        <v>2.19</v>
      </c>
      <c r="F1493" s="2">
        <v>59.7</v>
      </c>
      <c r="G1493" s="2" t="s">
        <v>983</v>
      </c>
      <c r="H1493" s="2" t="s">
        <v>984</v>
      </c>
      <c r="I1493" s="2"/>
      <c r="J1493" s="2" t="s">
        <v>31</v>
      </c>
    </row>
    <row r="1494" spans="1:10" ht="21" customHeight="1">
      <c r="A1494" s="2" t="s">
        <v>2485</v>
      </c>
      <c r="B1494" s="2" t="s">
        <v>31</v>
      </c>
      <c r="C1494" s="4">
        <v>45690.25</v>
      </c>
      <c r="D1494" s="4">
        <v>45690.250542488429</v>
      </c>
      <c r="E1494" s="2">
        <v>2.78</v>
      </c>
      <c r="F1494" s="2">
        <v>63.2</v>
      </c>
      <c r="G1494" s="2" t="s">
        <v>983</v>
      </c>
      <c r="H1494" s="2" t="s">
        <v>984</v>
      </c>
      <c r="I1494" s="2"/>
      <c r="J1494" s="2" t="s">
        <v>31</v>
      </c>
    </row>
    <row r="1495" spans="1:10" ht="21" customHeight="1">
      <c r="A1495" s="2" t="s">
        <v>2486</v>
      </c>
      <c r="B1495" s="2" t="s">
        <v>31</v>
      </c>
      <c r="C1495" s="4">
        <v>45691.25</v>
      </c>
      <c r="D1495" s="4">
        <v>45691.250346793982</v>
      </c>
      <c r="E1495" s="2">
        <v>2.12</v>
      </c>
      <c r="F1495" s="2">
        <v>64.900000000000006</v>
      </c>
      <c r="G1495" s="2" t="s">
        <v>983</v>
      </c>
      <c r="H1495" s="2" t="s">
        <v>984</v>
      </c>
      <c r="I1495" s="2"/>
      <c r="J1495" s="2" t="s">
        <v>31</v>
      </c>
    </row>
    <row r="1496" spans="1:10" ht="21" customHeight="1">
      <c r="A1496" s="2" t="s">
        <v>2487</v>
      </c>
      <c r="B1496" s="2" t="s">
        <v>31</v>
      </c>
      <c r="C1496" s="4">
        <v>45692.25</v>
      </c>
      <c r="D1496" s="4">
        <v>45692.250550219906</v>
      </c>
      <c r="E1496" s="2">
        <v>2.11</v>
      </c>
      <c r="F1496" s="2">
        <v>64.599999999999994</v>
      </c>
      <c r="G1496" s="2" t="s">
        <v>983</v>
      </c>
      <c r="H1496" s="2" t="s">
        <v>984</v>
      </c>
      <c r="I1496" s="2" t="s">
        <v>985</v>
      </c>
      <c r="J1496" s="2" t="s">
        <v>31</v>
      </c>
    </row>
    <row r="1497" spans="1:10" ht="21" customHeight="1">
      <c r="A1497" s="2" t="s">
        <v>2488</v>
      </c>
      <c r="B1497" s="2" t="s">
        <v>31</v>
      </c>
      <c r="C1497" s="4">
        <v>45693.25</v>
      </c>
      <c r="D1497" s="4">
        <v>45693.250566597228</v>
      </c>
      <c r="E1497" s="2">
        <v>2.2599999999999998</v>
      </c>
      <c r="F1497" s="2">
        <v>65.7</v>
      </c>
      <c r="G1497" s="2" t="s">
        <v>983</v>
      </c>
      <c r="H1497" s="2" t="s">
        <v>984</v>
      </c>
      <c r="I1497" s="2"/>
      <c r="J1497" s="2" t="s">
        <v>31</v>
      </c>
    </row>
    <row r="1498" spans="1:10" ht="21" customHeight="1">
      <c r="A1498" s="2" t="s">
        <v>2489</v>
      </c>
      <c r="B1498" s="2" t="s">
        <v>31</v>
      </c>
      <c r="C1498" s="4">
        <v>45694.25</v>
      </c>
      <c r="D1498" s="4">
        <v>45694.25052188657</v>
      </c>
      <c r="E1498" s="2">
        <v>2.1800000000000002</v>
      </c>
      <c r="F1498" s="2">
        <v>59</v>
      </c>
      <c r="G1498" s="2" t="s">
        <v>983</v>
      </c>
      <c r="H1498" s="2" t="s">
        <v>984</v>
      </c>
      <c r="I1498" s="2"/>
      <c r="J1498" s="2" t="s">
        <v>31</v>
      </c>
    </row>
    <row r="1499" spans="1:10" ht="21" customHeight="1">
      <c r="A1499" s="2" t="s">
        <v>2490</v>
      </c>
      <c r="B1499" s="2" t="s">
        <v>31</v>
      </c>
      <c r="C1499" s="4">
        <v>45695.25</v>
      </c>
      <c r="D1499" s="4">
        <v>45695.250091793976</v>
      </c>
      <c r="E1499" s="2">
        <v>4.43</v>
      </c>
      <c r="F1499" s="2">
        <v>69.2</v>
      </c>
      <c r="G1499" s="2" t="s">
        <v>983</v>
      </c>
      <c r="H1499" s="2" t="s">
        <v>984</v>
      </c>
      <c r="I1499" s="2"/>
      <c r="J1499" s="2" t="s">
        <v>31</v>
      </c>
    </row>
    <row r="1500" spans="1:10" ht="21" customHeight="1">
      <c r="A1500" s="2" t="s">
        <v>2491</v>
      </c>
      <c r="B1500" s="2" t="s">
        <v>31</v>
      </c>
      <c r="C1500" s="4">
        <v>45696.25</v>
      </c>
      <c r="D1500" s="4">
        <v>45696.250688842592</v>
      </c>
      <c r="E1500" s="2">
        <v>5.45</v>
      </c>
      <c r="F1500" s="2">
        <v>65.099999999999994</v>
      </c>
      <c r="G1500" s="2" t="s">
        <v>983</v>
      </c>
      <c r="H1500" s="2" t="s">
        <v>984</v>
      </c>
      <c r="I1500" s="2" t="s">
        <v>1053</v>
      </c>
      <c r="J1500" s="2" t="s">
        <v>31</v>
      </c>
    </row>
    <row r="1501" spans="1:10" ht="21" customHeight="1">
      <c r="A1501" s="2" t="s">
        <v>2492</v>
      </c>
      <c r="B1501" s="2" t="s">
        <v>31</v>
      </c>
      <c r="C1501" s="4">
        <v>45697.25</v>
      </c>
      <c r="D1501" s="4">
        <v>45697.250686319443</v>
      </c>
      <c r="E1501" s="2"/>
      <c r="F1501" s="2"/>
      <c r="G1501" s="2" t="s">
        <v>983</v>
      </c>
      <c r="H1501" s="2" t="s">
        <v>1066</v>
      </c>
      <c r="I1501" s="2"/>
      <c r="J1501" s="2" t="s">
        <v>31</v>
      </c>
    </row>
    <row r="1502" spans="1:10" ht="21" customHeight="1">
      <c r="A1502" s="2" t="s">
        <v>2493</v>
      </c>
      <c r="B1502" s="2" t="s">
        <v>31</v>
      </c>
      <c r="C1502" s="4">
        <v>45698.25</v>
      </c>
      <c r="D1502" s="4">
        <v>45698.250678761571</v>
      </c>
      <c r="E1502" s="2">
        <v>3.25</v>
      </c>
      <c r="F1502" s="2">
        <v>58.4</v>
      </c>
      <c r="G1502" s="2" t="s">
        <v>983</v>
      </c>
      <c r="H1502" s="2" t="s">
        <v>984</v>
      </c>
      <c r="I1502" s="2"/>
      <c r="J1502" s="2" t="s">
        <v>31</v>
      </c>
    </row>
    <row r="1503" spans="1:10" ht="21" customHeight="1">
      <c r="A1503" s="2" t="s">
        <v>2494</v>
      </c>
      <c r="B1503" s="2" t="s">
        <v>31</v>
      </c>
      <c r="C1503" s="4">
        <v>45699.25</v>
      </c>
      <c r="D1503" s="4">
        <v>45699.250298391205</v>
      </c>
      <c r="E1503" s="2">
        <v>22.17</v>
      </c>
      <c r="F1503" s="2">
        <v>61.9</v>
      </c>
      <c r="G1503" s="2" t="s">
        <v>983</v>
      </c>
      <c r="H1503" s="2" t="s">
        <v>1022</v>
      </c>
      <c r="I1503" s="2"/>
      <c r="J1503" s="2" t="s">
        <v>31</v>
      </c>
    </row>
    <row r="1504" spans="1:10" ht="21" customHeight="1">
      <c r="A1504" s="2" t="s">
        <v>2495</v>
      </c>
      <c r="B1504" s="2" t="s">
        <v>31</v>
      </c>
      <c r="C1504" s="4">
        <v>45700.25</v>
      </c>
      <c r="D1504" s="4">
        <v>45700.250189861108</v>
      </c>
      <c r="E1504" s="2">
        <v>2.5499999999999998</v>
      </c>
      <c r="F1504" s="2">
        <v>59.5</v>
      </c>
      <c r="G1504" s="2" t="s">
        <v>983</v>
      </c>
      <c r="H1504" s="2" t="s">
        <v>984</v>
      </c>
      <c r="I1504" s="2"/>
      <c r="J1504" s="2" t="s">
        <v>31</v>
      </c>
    </row>
    <row r="1505" spans="1:10" ht="21" customHeight="1">
      <c r="A1505" s="2" t="s">
        <v>2496</v>
      </c>
      <c r="B1505" s="2" t="s">
        <v>31</v>
      </c>
      <c r="C1505" s="4">
        <v>45701.25</v>
      </c>
      <c r="D1505" s="4">
        <v>45701.250337627316</v>
      </c>
      <c r="E1505" s="2">
        <v>2.93</v>
      </c>
      <c r="F1505" s="2">
        <v>62.2</v>
      </c>
      <c r="G1505" s="2" t="s">
        <v>983</v>
      </c>
      <c r="H1505" s="2" t="s">
        <v>984</v>
      </c>
      <c r="I1505" s="2"/>
      <c r="J1505" s="2" t="s">
        <v>31</v>
      </c>
    </row>
    <row r="1506" spans="1:10" ht="21" customHeight="1">
      <c r="A1506" s="2" t="s">
        <v>2497</v>
      </c>
      <c r="B1506" s="2" t="s">
        <v>31</v>
      </c>
      <c r="C1506" s="4">
        <v>45702.25</v>
      </c>
      <c r="D1506" s="4">
        <v>45702.250003599533</v>
      </c>
      <c r="E1506" s="2"/>
      <c r="F1506" s="2"/>
      <c r="G1506" s="2" t="s">
        <v>983</v>
      </c>
      <c r="H1506" s="2" t="s">
        <v>1066</v>
      </c>
      <c r="I1506" s="2"/>
      <c r="J1506" s="2" t="s">
        <v>31</v>
      </c>
    </row>
    <row r="1507" spans="1:10" ht="21" customHeight="1">
      <c r="A1507" s="2" t="s">
        <v>2498</v>
      </c>
      <c r="B1507" s="2" t="s">
        <v>31</v>
      </c>
      <c r="C1507" s="4">
        <v>45703.25</v>
      </c>
      <c r="D1507" s="4">
        <v>45703.250623946762</v>
      </c>
      <c r="E1507" s="2">
        <v>3.14</v>
      </c>
      <c r="F1507" s="2">
        <v>58.3</v>
      </c>
      <c r="G1507" s="2" t="s">
        <v>983</v>
      </c>
      <c r="H1507" s="2" t="s">
        <v>984</v>
      </c>
      <c r="I1507" s="2"/>
      <c r="J1507" s="2" t="s">
        <v>31</v>
      </c>
    </row>
    <row r="1508" spans="1:10" ht="21" customHeight="1">
      <c r="A1508" s="2" t="s">
        <v>2499</v>
      </c>
      <c r="B1508" s="2" t="s">
        <v>31</v>
      </c>
      <c r="C1508" s="4">
        <v>45704.25</v>
      </c>
      <c r="D1508" s="4">
        <v>45704.250304456014</v>
      </c>
      <c r="E1508" s="2">
        <v>2.72</v>
      </c>
      <c r="F1508" s="2">
        <v>60</v>
      </c>
      <c r="G1508" s="2" t="s">
        <v>983</v>
      </c>
      <c r="H1508" s="2" t="s">
        <v>984</v>
      </c>
      <c r="I1508" s="2"/>
      <c r="J1508" s="2" t="s">
        <v>31</v>
      </c>
    </row>
    <row r="1509" spans="1:10" ht="21" customHeight="1">
      <c r="A1509" s="2" t="s">
        <v>2500</v>
      </c>
      <c r="B1509" s="2" t="s">
        <v>31</v>
      </c>
      <c r="C1509" s="4">
        <v>45705.25</v>
      </c>
      <c r="D1509" s="4">
        <v>45705.250215370368</v>
      </c>
      <c r="E1509" s="2">
        <v>3.01</v>
      </c>
      <c r="F1509" s="2">
        <v>65.099999999999994</v>
      </c>
      <c r="G1509" s="2" t="s">
        <v>983</v>
      </c>
      <c r="H1509" s="2" t="s">
        <v>984</v>
      </c>
      <c r="I1509" s="2"/>
      <c r="J1509" s="2" t="s">
        <v>31</v>
      </c>
    </row>
    <row r="1510" spans="1:10" ht="21" customHeight="1">
      <c r="A1510" s="2" t="s">
        <v>2501</v>
      </c>
      <c r="B1510" s="2" t="s">
        <v>31</v>
      </c>
      <c r="C1510" s="4">
        <v>45706.25</v>
      </c>
      <c r="D1510" s="4">
        <v>45706.250146550927</v>
      </c>
      <c r="E1510" s="2">
        <v>2.29</v>
      </c>
      <c r="F1510" s="2">
        <v>59.9</v>
      </c>
      <c r="G1510" s="2" t="s">
        <v>983</v>
      </c>
      <c r="H1510" s="2" t="s">
        <v>984</v>
      </c>
      <c r="I1510" s="2"/>
      <c r="J1510" s="2" t="s">
        <v>31</v>
      </c>
    </row>
    <row r="1511" spans="1:10" ht="21" customHeight="1">
      <c r="A1511" s="2" t="s">
        <v>2502</v>
      </c>
      <c r="B1511" s="2" t="s">
        <v>31</v>
      </c>
      <c r="C1511" s="4">
        <v>45707.25</v>
      </c>
      <c r="D1511" s="4">
        <v>45707.250217986111</v>
      </c>
      <c r="E1511" s="2">
        <v>2.36</v>
      </c>
      <c r="F1511" s="2">
        <v>60.9</v>
      </c>
      <c r="G1511" s="2" t="s">
        <v>983</v>
      </c>
      <c r="H1511" s="2" t="s">
        <v>984</v>
      </c>
      <c r="I1511" s="2"/>
      <c r="J1511" s="2" t="s">
        <v>31</v>
      </c>
    </row>
    <row r="1512" spans="1:10" ht="21" customHeight="1">
      <c r="A1512" s="2" t="s">
        <v>2503</v>
      </c>
      <c r="B1512" s="2" t="s">
        <v>31</v>
      </c>
      <c r="C1512" s="4">
        <v>45708.25</v>
      </c>
      <c r="D1512" s="4">
        <v>45708.250041273146</v>
      </c>
      <c r="E1512" s="2">
        <v>2.4300000000000002</v>
      </c>
      <c r="F1512" s="2">
        <v>63.6</v>
      </c>
      <c r="G1512" s="2" t="s">
        <v>983</v>
      </c>
      <c r="H1512" s="2" t="s">
        <v>984</v>
      </c>
      <c r="I1512" s="2"/>
      <c r="J1512" s="2" t="s">
        <v>31</v>
      </c>
    </row>
    <row r="1513" spans="1:10" ht="21" customHeight="1">
      <c r="A1513" s="2" t="s">
        <v>2504</v>
      </c>
      <c r="B1513" s="2" t="s">
        <v>31</v>
      </c>
      <c r="C1513" s="4">
        <v>45709.25</v>
      </c>
      <c r="D1513" s="4">
        <v>45709.250309629628</v>
      </c>
      <c r="E1513" s="2">
        <v>3</v>
      </c>
      <c r="F1513" s="2">
        <v>58.4</v>
      </c>
      <c r="G1513" s="2" t="s">
        <v>983</v>
      </c>
      <c r="H1513" s="2" t="s">
        <v>984</v>
      </c>
      <c r="I1513" s="2" t="s">
        <v>985</v>
      </c>
      <c r="J1513" s="2" t="s">
        <v>31</v>
      </c>
    </row>
    <row r="1514" spans="1:10" ht="21" customHeight="1">
      <c r="A1514" s="2" t="s">
        <v>2505</v>
      </c>
      <c r="B1514" s="2" t="s">
        <v>31</v>
      </c>
      <c r="C1514" s="4">
        <v>45710.25</v>
      </c>
      <c r="D1514" s="4">
        <v>45710.250605601846</v>
      </c>
      <c r="E1514" s="2">
        <v>2.86</v>
      </c>
      <c r="F1514" s="2">
        <v>60.5</v>
      </c>
      <c r="G1514" s="2" t="s">
        <v>983</v>
      </c>
      <c r="H1514" s="2" t="s">
        <v>984</v>
      </c>
      <c r="I1514" s="2"/>
      <c r="J1514" s="2" t="s">
        <v>31</v>
      </c>
    </row>
    <row r="1515" spans="1:10" ht="21" customHeight="1">
      <c r="A1515" s="2" t="s">
        <v>2506</v>
      </c>
      <c r="B1515" s="2" t="s">
        <v>31</v>
      </c>
      <c r="C1515" s="4">
        <v>45711.25</v>
      </c>
      <c r="D1515" s="4">
        <v>45711.25014491898</v>
      </c>
      <c r="E1515" s="2">
        <v>3.12</v>
      </c>
      <c r="F1515" s="2">
        <v>60</v>
      </c>
      <c r="G1515" s="2" t="s">
        <v>983</v>
      </c>
      <c r="H1515" s="2" t="s">
        <v>984</v>
      </c>
      <c r="I1515" s="2"/>
      <c r="J1515" s="2" t="s">
        <v>31</v>
      </c>
    </row>
    <row r="1516" spans="1:10" ht="21" customHeight="1">
      <c r="A1516" s="2" t="s">
        <v>2507</v>
      </c>
      <c r="B1516" s="2" t="s">
        <v>31</v>
      </c>
      <c r="C1516" s="4">
        <v>45712.25</v>
      </c>
      <c r="D1516" s="4">
        <v>45712.250090972222</v>
      </c>
      <c r="E1516" s="2">
        <v>2.88</v>
      </c>
      <c r="F1516" s="2">
        <v>62.2</v>
      </c>
      <c r="G1516" s="2" t="s">
        <v>983</v>
      </c>
      <c r="H1516" s="2" t="s">
        <v>984</v>
      </c>
      <c r="I1516" s="2"/>
      <c r="J1516" s="2" t="s">
        <v>31</v>
      </c>
    </row>
    <row r="1517" spans="1:10" ht="21" customHeight="1">
      <c r="A1517" s="2" t="s">
        <v>2508</v>
      </c>
      <c r="B1517" s="2" t="s">
        <v>31</v>
      </c>
      <c r="C1517" s="4">
        <v>45713.25</v>
      </c>
      <c r="D1517" s="4">
        <v>45713.250143101854</v>
      </c>
      <c r="E1517" s="2">
        <v>3.26</v>
      </c>
      <c r="F1517" s="2">
        <v>60.9</v>
      </c>
      <c r="G1517" s="2" t="s">
        <v>983</v>
      </c>
      <c r="H1517" s="2" t="s">
        <v>984</v>
      </c>
      <c r="I1517" s="2"/>
      <c r="J1517" s="2" t="s">
        <v>31</v>
      </c>
    </row>
    <row r="1518" spans="1:10" ht="21" customHeight="1">
      <c r="A1518" s="2" t="s">
        <v>2509</v>
      </c>
      <c r="B1518" s="2" t="s">
        <v>31</v>
      </c>
      <c r="C1518" s="4">
        <v>45714.25</v>
      </c>
      <c r="D1518" s="4">
        <v>45714.250407222222</v>
      </c>
      <c r="E1518" s="2">
        <v>2.4500000000000002</v>
      </c>
      <c r="F1518" s="2">
        <v>59.9</v>
      </c>
      <c r="G1518" s="2" t="s">
        <v>983</v>
      </c>
      <c r="H1518" s="2" t="s">
        <v>984</v>
      </c>
      <c r="I1518" s="2"/>
      <c r="J1518" s="2" t="s">
        <v>31</v>
      </c>
    </row>
    <row r="1519" spans="1:10" ht="21" customHeight="1">
      <c r="A1519" s="2" t="s">
        <v>2510</v>
      </c>
      <c r="B1519" s="2" t="s">
        <v>2469</v>
      </c>
      <c r="C1519" s="4">
        <v>45715.25</v>
      </c>
      <c r="D1519" s="4">
        <v>45715.250145196755</v>
      </c>
      <c r="E1519" s="2">
        <v>3.08</v>
      </c>
      <c r="F1519" s="2">
        <v>65.5</v>
      </c>
      <c r="G1519" s="2" t="s">
        <v>983</v>
      </c>
      <c r="H1519" s="2" t="s">
        <v>984</v>
      </c>
      <c r="I1519" s="2"/>
      <c r="J1519" s="2" t="s">
        <v>31</v>
      </c>
    </row>
    <row r="1520" spans="1:10" ht="21" customHeight="1">
      <c r="A1520" s="2" t="s">
        <v>2511</v>
      </c>
      <c r="B1520" s="2" t="s">
        <v>31</v>
      </c>
      <c r="C1520" s="4">
        <v>45716.25</v>
      </c>
      <c r="D1520" s="4">
        <v>45716.250527418983</v>
      </c>
      <c r="E1520" s="2">
        <v>2.27</v>
      </c>
      <c r="F1520" s="2">
        <v>60.1</v>
      </c>
      <c r="G1520" s="2" t="s">
        <v>983</v>
      </c>
      <c r="H1520" s="2" t="s">
        <v>984</v>
      </c>
      <c r="I1520" s="2"/>
      <c r="J1520" s="2" t="s">
        <v>31</v>
      </c>
    </row>
    <row r="1521" spans="1:10" ht="21" customHeight="1">
      <c r="A1521" s="2" t="s">
        <v>2512</v>
      </c>
      <c r="B1521" s="2" t="s">
        <v>31</v>
      </c>
      <c r="C1521" s="4">
        <v>45717.25</v>
      </c>
      <c r="D1521" s="4">
        <v>45717.250566828705</v>
      </c>
      <c r="E1521" s="2">
        <v>2.84</v>
      </c>
      <c r="F1521" s="2">
        <v>62.1</v>
      </c>
      <c r="G1521" s="2" t="s">
        <v>983</v>
      </c>
      <c r="H1521" s="2" t="s">
        <v>984</v>
      </c>
      <c r="I1521" s="2"/>
      <c r="J1521" s="2" t="s">
        <v>31</v>
      </c>
    </row>
    <row r="1522" spans="1:10" ht="21" customHeight="1">
      <c r="A1522" s="2" t="s">
        <v>2513</v>
      </c>
      <c r="B1522" s="2" t="s">
        <v>31</v>
      </c>
      <c r="C1522" s="4">
        <v>45718.25</v>
      </c>
      <c r="D1522" s="4">
        <v>45718.250635902776</v>
      </c>
      <c r="E1522" s="2">
        <v>6.63</v>
      </c>
      <c r="F1522" s="2">
        <v>65.099999999999994</v>
      </c>
      <c r="G1522" s="2" t="s">
        <v>983</v>
      </c>
      <c r="H1522" s="2" t="s">
        <v>984</v>
      </c>
      <c r="I1522" s="2" t="s">
        <v>1053</v>
      </c>
      <c r="J1522" s="2" t="s">
        <v>31</v>
      </c>
    </row>
    <row r="1523" spans="1:10" ht="21" customHeight="1">
      <c r="A1523" s="2" t="s">
        <v>2514</v>
      </c>
      <c r="B1523" s="2" t="s">
        <v>31</v>
      </c>
      <c r="C1523" s="4">
        <v>45719.25</v>
      </c>
      <c r="D1523" s="4">
        <v>45719.250420416662</v>
      </c>
      <c r="E1523" s="2"/>
      <c r="F1523" s="2"/>
      <c r="G1523" s="2" t="s">
        <v>983</v>
      </c>
      <c r="H1523" s="2" t="s">
        <v>1066</v>
      </c>
      <c r="I1523" s="2"/>
      <c r="J1523" s="2" t="s">
        <v>31</v>
      </c>
    </row>
    <row r="1524" spans="1:10" ht="21" customHeight="1">
      <c r="A1524" s="2" t="s">
        <v>2515</v>
      </c>
      <c r="B1524" s="2" t="s">
        <v>31</v>
      </c>
      <c r="C1524" s="4">
        <v>45720.25</v>
      </c>
      <c r="D1524" s="4">
        <v>45720.250328703703</v>
      </c>
      <c r="E1524" s="2"/>
      <c r="F1524" s="2"/>
      <c r="G1524" s="2" t="s">
        <v>983</v>
      </c>
      <c r="H1524" s="2" t="s">
        <v>1066</v>
      </c>
      <c r="I1524" s="2" t="s">
        <v>1053</v>
      </c>
      <c r="J1524" s="2" t="s">
        <v>31</v>
      </c>
    </row>
    <row r="1525" spans="1:10" ht="21" customHeight="1">
      <c r="A1525" s="2" t="s">
        <v>2516</v>
      </c>
      <c r="B1525" s="2" t="s">
        <v>31</v>
      </c>
      <c r="C1525" s="4">
        <v>45721.25</v>
      </c>
      <c r="D1525" s="4">
        <v>45721.250061689818</v>
      </c>
      <c r="E1525" s="2">
        <v>0</v>
      </c>
      <c r="F1525" s="2">
        <v>65.7</v>
      </c>
      <c r="G1525" s="2" t="s">
        <v>1175</v>
      </c>
      <c r="H1525" s="2" t="s">
        <v>984</v>
      </c>
      <c r="I1525" s="2"/>
      <c r="J1525" s="2" t="s">
        <v>31</v>
      </c>
    </row>
    <row r="1526" spans="1:10" ht="21" customHeight="1">
      <c r="A1526" s="2" t="s">
        <v>2517</v>
      </c>
      <c r="B1526" s="2" t="s">
        <v>31</v>
      </c>
      <c r="C1526" s="4">
        <v>45722.25</v>
      </c>
      <c r="D1526" s="4">
        <v>45722.250164155092</v>
      </c>
      <c r="E1526" s="2">
        <v>3.03</v>
      </c>
      <c r="F1526" s="2">
        <v>65.099999999999994</v>
      </c>
      <c r="G1526" s="2" t="s">
        <v>983</v>
      </c>
      <c r="H1526" s="2" t="s">
        <v>984</v>
      </c>
      <c r="I1526" s="2"/>
      <c r="J1526" s="2" t="s">
        <v>31</v>
      </c>
    </row>
    <row r="1527" spans="1:10" ht="21" customHeight="1">
      <c r="A1527" s="2" t="s">
        <v>2518</v>
      </c>
      <c r="B1527" s="2" t="s">
        <v>31</v>
      </c>
      <c r="C1527" s="4">
        <v>45723.25</v>
      </c>
      <c r="D1527" s="4">
        <v>45723.250254803235</v>
      </c>
      <c r="E1527" s="2">
        <v>2.1</v>
      </c>
      <c r="F1527" s="2">
        <v>63.9</v>
      </c>
      <c r="G1527" s="2" t="s">
        <v>983</v>
      </c>
      <c r="H1527" s="2" t="s">
        <v>984</v>
      </c>
      <c r="I1527" s="2"/>
      <c r="J1527" s="2" t="s">
        <v>31</v>
      </c>
    </row>
    <row r="1528" spans="1:10" ht="21" customHeight="1">
      <c r="A1528" s="2" t="s">
        <v>2519</v>
      </c>
      <c r="B1528" s="2" t="s">
        <v>31</v>
      </c>
      <c r="C1528" s="4">
        <v>45724.25</v>
      </c>
      <c r="D1528" s="4">
        <v>45724.250119872682</v>
      </c>
      <c r="E1528" s="2">
        <v>2.98</v>
      </c>
      <c r="F1528" s="2">
        <v>65.400000000000006</v>
      </c>
      <c r="G1528" s="2" t="s">
        <v>983</v>
      </c>
      <c r="H1528" s="2" t="s">
        <v>984</v>
      </c>
      <c r="I1528" s="2"/>
      <c r="J1528" s="2" t="s">
        <v>31</v>
      </c>
    </row>
    <row r="1529" spans="1:10" ht="21" customHeight="1">
      <c r="A1529" s="2" t="s">
        <v>2520</v>
      </c>
      <c r="B1529" s="2" t="s">
        <v>31</v>
      </c>
      <c r="C1529" s="4">
        <v>45725.25</v>
      </c>
      <c r="D1529" s="4">
        <v>45725.250504050928</v>
      </c>
      <c r="E1529" s="2">
        <v>2.95</v>
      </c>
      <c r="F1529" s="2">
        <v>61.4</v>
      </c>
      <c r="G1529" s="2" t="s">
        <v>983</v>
      </c>
      <c r="H1529" s="2" t="s">
        <v>984</v>
      </c>
      <c r="I1529" s="2"/>
      <c r="J1529" s="2" t="s">
        <v>31</v>
      </c>
    </row>
    <row r="1530" spans="1:10" ht="21" customHeight="1">
      <c r="A1530" s="2" t="s">
        <v>2521</v>
      </c>
      <c r="B1530" s="2" t="s">
        <v>31</v>
      </c>
      <c r="C1530" s="4">
        <v>45726.25</v>
      </c>
      <c r="D1530" s="4">
        <v>45726.250569641204</v>
      </c>
      <c r="E1530" s="2">
        <v>3.15</v>
      </c>
      <c r="F1530" s="2">
        <v>62.4</v>
      </c>
      <c r="G1530" s="2" t="s">
        <v>983</v>
      </c>
      <c r="H1530" s="2" t="s">
        <v>984</v>
      </c>
      <c r="I1530" s="2" t="s">
        <v>985</v>
      </c>
      <c r="J1530" s="2" t="s">
        <v>31</v>
      </c>
    </row>
    <row r="1531" spans="1:10" ht="21" customHeight="1">
      <c r="A1531" s="2" t="s">
        <v>2522</v>
      </c>
      <c r="B1531" s="2" t="s">
        <v>31</v>
      </c>
      <c r="C1531" s="4">
        <v>45727.25</v>
      </c>
      <c r="D1531" s="4">
        <v>45727.250469409722</v>
      </c>
      <c r="E1531" s="2">
        <v>2.36</v>
      </c>
      <c r="F1531" s="2">
        <v>63.4</v>
      </c>
      <c r="G1531" s="2" t="s">
        <v>983</v>
      </c>
      <c r="H1531" s="2" t="s">
        <v>984</v>
      </c>
      <c r="I1531" s="2"/>
      <c r="J1531" s="2" t="s">
        <v>31</v>
      </c>
    </row>
    <row r="1532" spans="1:10" ht="21" customHeight="1">
      <c r="A1532" s="2" t="s">
        <v>2523</v>
      </c>
      <c r="B1532" s="2" t="s">
        <v>31</v>
      </c>
      <c r="C1532" s="4">
        <v>45728.25</v>
      </c>
      <c r="D1532" s="4">
        <v>45728.250510613427</v>
      </c>
      <c r="E1532" s="2">
        <v>2.19</v>
      </c>
      <c r="F1532" s="2">
        <v>63.2</v>
      </c>
      <c r="G1532" s="2" t="s">
        <v>983</v>
      </c>
      <c r="H1532" s="2" t="s">
        <v>984</v>
      </c>
      <c r="I1532" s="2"/>
      <c r="J1532" s="2" t="s">
        <v>31</v>
      </c>
    </row>
    <row r="1533" spans="1:10" ht="21" customHeight="1">
      <c r="A1533" s="2" t="s">
        <v>2524</v>
      </c>
      <c r="B1533" s="2" t="s">
        <v>31</v>
      </c>
      <c r="C1533" s="4">
        <v>45729.25</v>
      </c>
      <c r="D1533" s="4">
        <v>45729.250610995368</v>
      </c>
      <c r="E1533" s="2">
        <v>3.16</v>
      </c>
      <c r="F1533" s="2">
        <v>63.5</v>
      </c>
      <c r="G1533" s="2" t="s">
        <v>983</v>
      </c>
      <c r="H1533" s="2" t="s">
        <v>984</v>
      </c>
      <c r="I1533" s="2"/>
      <c r="J1533" s="2" t="s">
        <v>31</v>
      </c>
    </row>
    <row r="1534" spans="1:10" ht="21" customHeight="1">
      <c r="A1534" s="2" t="s">
        <v>2525</v>
      </c>
      <c r="B1534" s="2" t="s">
        <v>31</v>
      </c>
      <c r="C1534" s="4">
        <v>45730.25</v>
      </c>
      <c r="D1534" s="4">
        <v>45730.250178969909</v>
      </c>
      <c r="E1534" s="2">
        <v>2.68</v>
      </c>
      <c r="F1534" s="2">
        <v>61.4</v>
      </c>
      <c r="G1534" s="2" t="s">
        <v>983</v>
      </c>
      <c r="H1534" s="2" t="s">
        <v>984</v>
      </c>
      <c r="I1534" s="2"/>
      <c r="J1534" s="2" t="s">
        <v>31</v>
      </c>
    </row>
    <row r="1535" spans="1:10" ht="21" customHeight="1">
      <c r="A1535" s="2" t="s">
        <v>2526</v>
      </c>
      <c r="B1535" s="2" t="s">
        <v>31</v>
      </c>
      <c r="C1535" s="4">
        <v>45731.25</v>
      </c>
      <c r="D1535" s="4">
        <v>45731.250004837959</v>
      </c>
      <c r="E1535" s="2">
        <v>2.52</v>
      </c>
      <c r="F1535" s="2">
        <v>65.099999999999994</v>
      </c>
      <c r="G1535" s="2" t="s">
        <v>983</v>
      </c>
      <c r="H1535" s="2" t="s">
        <v>984</v>
      </c>
      <c r="I1535" s="2"/>
      <c r="J1535" s="2" t="s">
        <v>31</v>
      </c>
    </row>
    <row r="1536" spans="1:10" ht="21" customHeight="1">
      <c r="A1536" s="2" t="s">
        <v>2527</v>
      </c>
      <c r="B1536" s="2" t="s">
        <v>31</v>
      </c>
      <c r="C1536" s="4">
        <v>45732.25</v>
      </c>
      <c r="D1536" s="4">
        <v>45732.250478402777</v>
      </c>
      <c r="E1536" s="2">
        <v>2.65</v>
      </c>
      <c r="F1536" s="2">
        <v>65.099999999999994</v>
      </c>
      <c r="G1536" s="2" t="s">
        <v>983</v>
      </c>
      <c r="H1536" s="2" t="s">
        <v>984</v>
      </c>
      <c r="I1536" s="2"/>
      <c r="J1536" s="2" t="s">
        <v>31</v>
      </c>
    </row>
    <row r="1537" spans="1:10" ht="21" customHeight="1">
      <c r="A1537" s="2" t="s">
        <v>2528</v>
      </c>
      <c r="B1537" s="2" t="s">
        <v>31</v>
      </c>
      <c r="C1537" s="4">
        <v>45733.25</v>
      </c>
      <c r="D1537" s="4">
        <v>45733.250024548615</v>
      </c>
      <c r="E1537" s="2">
        <v>5.56</v>
      </c>
      <c r="F1537" s="2">
        <v>64.8</v>
      </c>
      <c r="G1537" s="2" t="s">
        <v>983</v>
      </c>
      <c r="H1537" s="2" t="s">
        <v>984</v>
      </c>
      <c r="I1537" s="2"/>
      <c r="J1537" s="2" t="s">
        <v>31</v>
      </c>
    </row>
    <row r="1538" spans="1:10" ht="21" customHeight="1">
      <c r="A1538" s="2" t="s">
        <v>2529</v>
      </c>
      <c r="B1538" s="2" t="s">
        <v>31</v>
      </c>
      <c r="C1538" s="4">
        <v>45734.25</v>
      </c>
      <c r="D1538" s="4">
        <v>45734.250510879632</v>
      </c>
      <c r="E1538" s="2">
        <v>5.21</v>
      </c>
      <c r="F1538" s="2">
        <v>72.099999999999994</v>
      </c>
      <c r="G1538" s="2" t="s">
        <v>983</v>
      </c>
      <c r="H1538" s="2" t="s">
        <v>984</v>
      </c>
      <c r="I1538" s="2" t="s">
        <v>1053</v>
      </c>
      <c r="J1538" s="2" t="s">
        <v>31</v>
      </c>
    </row>
    <row r="1539" spans="1:10" ht="21" customHeight="1">
      <c r="A1539" s="2" t="s">
        <v>2530</v>
      </c>
      <c r="B1539" s="2" t="s">
        <v>31</v>
      </c>
      <c r="C1539" s="4">
        <v>45735.25</v>
      </c>
      <c r="D1539" s="4">
        <v>45735.250616377314</v>
      </c>
      <c r="E1539" s="2">
        <v>5.93</v>
      </c>
      <c r="F1539" s="2">
        <v>64.3</v>
      </c>
      <c r="G1539" s="2" t="s">
        <v>983</v>
      </c>
      <c r="H1539" s="2" t="s">
        <v>984</v>
      </c>
      <c r="I1539" s="2"/>
      <c r="J1539" s="2" t="s">
        <v>31</v>
      </c>
    </row>
    <row r="1540" spans="1:10" ht="21" customHeight="1">
      <c r="A1540" s="2" t="s">
        <v>2531</v>
      </c>
      <c r="B1540" s="2" t="s">
        <v>31</v>
      </c>
      <c r="C1540" s="4">
        <v>45736.25</v>
      </c>
      <c r="D1540" s="4">
        <v>45736.250071956019</v>
      </c>
      <c r="E1540" s="2">
        <v>0</v>
      </c>
      <c r="F1540" s="2">
        <v>63.8</v>
      </c>
      <c r="G1540" s="2" t="s">
        <v>1175</v>
      </c>
      <c r="H1540" s="2" t="s">
        <v>984</v>
      </c>
      <c r="I1540" s="2"/>
      <c r="J1540" s="2" t="s">
        <v>31</v>
      </c>
    </row>
    <row r="1541" spans="1:10" ht="21" customHeight="1">
      <c r="A1541" s="2" t="s">
        <v>2532</v>
      </c>
      <c r="B1541" s="2" t="s">
        <v>31</v>
      </c>
      <c r="C1541" s="4">
        <v>45737.25</v>
      </c>
      <c r="D1541" s="4">
        <v>45737.250359212965</v>
      </c>
      <c r="E1541" s="2">
        <v>2.63</v>
      </c>
      <c r="F1541" s="2">
        <v>65.400000000000006</v>
      </c>
      <c r="G1541" s="2" t="s">
        <v>983</v>
      </c>
      <c r="H1541" s="2" t="s">
        <v>984</v>
      </c>
      <c r="I1541" s="2"/>
      <c r="J1541" s="2" t="s">
        <v>31</v>
      </c>
    </row>
    <row r="1542" spans="1:10" ht="21" customHeight="1">
      <c r="A1542" s="2" t="s">
        <v>2533</v>
      </c>
      <c r="B1542" s="2" t="s">
        <v>31</v>
      </c>
      <c r="C1542" s="4">
        <v>45738.25</v>
      </c>
      <c r="D1542" s="4">
        <v>45738.250328055554</v>
      </c>
      <c r="E1542" s="2">
        <v>2.75</v>
      </c>
      <c r="F1542" s="2">
        <v>59.2</v>
      </c>
      <c r="G1542" s="2" t="s">
        <v>983</v>
      </c>
      <c r="H1542" s="2" t="s">
        <v>984</v>
      </c>
      <c r="I1542" s="2"/>
      <c r="J1542" s="2" t="s">
        <v>31</v>
      </c>
    </row>
    <row r="1543" spans="1:10" ht="21" customHeight="1">
      <c r="A1543" s="2" t="s">
        <v>2534</v>
      </c>
      <c r="B1543" s="2" t="s">
        <v>31</v>
      </c>
      <c r="C1543" s="4">
        <v>45739.25</v>
      </c>
      <c r="D1543" s="4">
        <v>45739.250239710644</v>
      </c>
      <c r="E1543" s="2">
        <v>2.95</v>
      </c>
      <c r="F1543" s="2">
        <v>63.8</v>
      </c>
      <c r="G1543" s="2" t="s">
        <v>983</v>
      </c>
      <c r="H1543" s="2" t="s">
        <v>984</v>
      </c>
      <c r="I1543" s="2"/>
      <c r="J1543" s="2" t="s">
        <v>31</v>
      </c>
    </row>
    <row r="1544" spans="1:10" ht="21" customHeight="1">
      <c r="A1544" s="2" t="s">
        <v>2535</v>
      </c>
      <c r="B1544" s="2" t="s">
        <v>31</v>
      </c>
      <c r="C1544" s="4">
        <v>45740.25</v>
      </c>
      <c r="D1544" s="4">
        <v>45740.250201874995</v>
      </c>
      <c r="E1544" s="2">
        <v>3.2</v>
      </c>
      <c r="F1544" s="2">
        <v>62.8</v>
      </c>
      <c r="G1544" s="2" t="s">
        <v>983</v>
      </c>
      <c r="H1544" s="2" t="s">
        <v>984</v>
      </c>
      <c r="I1544" s="2"/>
      <c r="J1544" s="2" t="s">
        <v>31</v>
      </c>
    </row>
    <row r="1545" spans="1:10" ht="21" customHeight="1">
      <c r="A1545" s="2" t="s">
        <v>2536</v>
      </c>
      <c r="B1545" s="2" t="s">
        <v>31</v>
      </c>
      <c r="C1545" s="4">
        <v>45741.25</v>
      </c>
      <c r="D1545" s="4">
        <v>45741.250238541666</v>
      </c>
      <c r="E1545" s="2">
        <v>2.59</v>
      </c>
      <c r="F1545" s="2">
        <v>58.7</v>
      </c>
      <c r="G1545" s="2" t="s">
        <v>983</v>
      </c>
      <c r="H1545" s="2" t="s">
        <v>984</v>
      </c>
      <c r="I1545" s="2"/>
      <c r="J1545" s="2" t="s">
        <v>31</v>
      </c>
    </row>
    <row r="1546" spans="1:10" ht="21" customHeight="1">
      <c r="A1546" s="2" t="s">
        <v>2537</v>
      </c>
      <c r="B1546" s="2" t="s">
        <v>31</v>
      </c>
      <c r="C1546" s="4">
        <v>45742.25</v>
      </c>
      <c r="D1546" s="4">
        <v>45742.250084629632</v>
      </c>
      <c r="E1546" s="2">
        <v>2.25</v>
      </c>
      <c r="F1546" s="2">
        <v>59.1</v>
      </c>
      <c r="G1546" s="2" t="s">
        <v>983</v>
      </c>
      <c r="H1546" s="2" t="s">
        <v>984</v>
      </c>
      <c r="I1546" s="2"/>
      <c r="J1546" s="2" t="s">
        <v>31</v>
      </c>
    </row>
    <row r="1547" spans="1:10" ht="21" customHeight="1">
      <c r="A1547" s="2" t="s">
        <v>2538</v>
      </c>
      <c r="B1547" s="2" t="s">
        <v>31</v>
      </c>
      <c r="C1547" s="4">
        <v>45743.25</v>
      </c>
      <c r="D1547" s="4">
        <v>45743.250407604166</v>
      </c>
      <c r="E1547" s="2">
        <v>2.41</v>
      </c>
      <c r="F1547" s="2">
        <v>63.3</v>
      </c>
      <c r="G1547" s="2" t="s">
        <v>983</v>
      </c>
      <c r="H1547" s="2" t="s">
        <v>984</v>
      </c>
      <c r="I1547" s="2" t="s">
        <v>985</v>
      </c>
      <c r="J1547" s="2" t="s">
        <v>31</v>
      </c>
    </row>
    <row r="1548" spans="1:10" ht="21" customHeight="1">
      <c r="A1548" s="2" t="s">
        <v>2539</v>
      </c>
      <c r="B1548" s="2" t="s">
        <v>31</v>
      </c>
      <c r="C1548" s="4">
        <v>45744.25</v>
      </c>
      <c r="D1548" s="4">
        <v>45744.250524826391</v>
      </c>
      <c r="E1548" s="2">
        <v>2.2200000000000002</v>
      </c>
      <c r="F1548" s="2">
        <v>62.5</v>
      </c>
      <c r="G1548" s="2" t="s">
        <v>983</v>
      </c>
      <c r="H1548" s="2" t="s">
        <v>984</v>
      </c>
      <c r="I1548" s="2"/>
      <c r="J1548" s="2" t="s">
        <v>31</v>
      </c>
    </row>
    <row r="1549" spans="1:10" ht="21" customHeight="1">
      <c r="A1549" s="2" t="s">
        <v>2540</v>
      </c>
      <c r="B1549" s="2" t="s">
        <v>31</v>
      </c>
      <c r="C1549" s="4">
        <v>45745.25</v>
      </c>
      <c r="D1549" s="4">
        <v>45745.250265960647</v>
      </c>
      <c r="E1549" s="2">
        <v>2.81</v>
      </c>
      <c r="F1549" s="2">
        <v>61.5</v>
      </c>
      <c r="G1549" s="2" t="s">
        <v>983</v>
      </c>
      <c r="H1549" s="2" t="s">
        <v>984</v>
      </c>
      <c r="I1549" s="2"/>
      <c r="J1549" s="2" t="s">
        <v>31</v>
      </c>
    </row>
    <row r="1550" spans="1:10" ht="21" customHeight="1">
      <c r="A1550" s="2" t="s">
        <v>2541</v>
      </c>
      <c r="B1550" s="2" t="s">
        <v>31</v>
      </c>
      <c r="C1550" s="4">
        <v>45746.25</v>
      </c>
      <c r="D1550" s="4">
        <v>45746.250647118053</v>
      </c>
      <c r="E1550" s="2">
        <v>2.5299999999999998</v>
      </c>
      <c r="F1550" s="2">
        <v>64.400000000000006</v>
      </c>
      <c r="G1550" s="2" t="s">
        <v>983</v>
      </c>
      <c r="H1550" s="2" t="s">
        <v>984</v>
      </c>
      <c r="I1550" s="2"/>
      <c r="J1550" s="2" t="s">
        <v>31</v>
      </c>
    </row>
    <row r="1551" spans="1:10" ht="21" customHeight="1">
      <c r="A1551" s="2" t="s">
        <v>2542</v>
      </c>
      <c r="B1551" s="2" t="s">
        <v>31</v>
      </c>
      <c r="C1551" s="4">
        <v>45747.25</v>
      </c>
      <c r="D1551" s="4">
        <v>45747.250383703707</v>
      </c>
      <c r="E1551" s="2">
        <v>2.48</v>
      </c>
      <c r="F1551" s="2">
        <v>63.4</v>
      </c>
      <c r="G1551" s="2" t="s">
        <v>983</v>
      </c>
      <c r="H1551" s="2" t="s">
        <v>984</v>
      </c>
      <c r="I1551" s="2"/>
      <c r="J1551" s="2" t="s">
        <v>31</v>
      </c>
    </row>
    <row r="1552" spans="1:10" ht="21" customHeight="1">
      <c r="A1552" s="2" t="s">
        <v>2543</v>
      </c>
      <c r="B1552" s="2" t="s">
        <v>31</v>
      </c>
      <c r="C1552" s="4">
        <v>45748.25</v>
      </c>
      <c r="D1552" s="4">
        <v>45748.2504944213</v>
      </c>
      <c r="E1552" s="2">
        <v>2.14</v>
      </c>
      <c r="F1552" s="2">
        <v>65.2</v>
      </c>
      <c r="G1552" s="2" t="s">
        <v>983</v>
      </c>
      <c r="H1552" s="2" t="s">
        <v>984</v>
      </c>
      <c r="I1552" s="2"/>
      <c r="J1552" s="2" t="s">
        <v>31</v>
      </c>
    </row>
    <row r="1553" spans="1:10" ht="21" customHeight="1">
      <c r="A1553" s="2" t="s">
        <v>2544</v>
      </c>
      <c r="B1553" s="2" t="s">
        <v>31</v>
      </c>
      <c r="C1553" s="4">
        <v>45749.25</v>
      </c>
      <c r="D1553" s="4">
        <v>45749.250112164351</v>
      </c>
      <c r="E1553" s="2">
        <v>3.04</v>
      </c>
      <c r="F1553" s="2">
        <v>64.099999999999994</v>
      </c>
      <c r="G1553" s="2" t="s">
        <v>983</v>
      </c>
      <c r="H1553" s="2" t="s">
        <v>984</v>
      </c>
      <c r="I1553" s="2"/>
      <c r="J1553" s="2" t="s">
        <v>31</v>
      </c>
    </row>
    <row r="1554" spans="1:10" ht="21" customHeight="1">
      <c r="A1554" s="2" t="s">
        <v>2545</v>
      </c>
      <c r="B1554" s="2" t="s">
        <v>31</v>
      </c>
      <c r="C1554" s="4">
        <v>45750.25</v>
      </c>
      <c r="D1554" s="4">
        <v>45750.250480092596</v>
      </c>
      <c r="E1554" s="2">
        <v>2.38</v>
      </c>
      <c r="F1554" s="2">
        <v>61.2</v>
      </c>
      <c r="G1554" s="2" t="s">
        <v>983</v>
      </c>
      <c r="H1554" s="2" t="s">
        <v>984</v>
      </c>
      <c r="I1554" s="2"/>
      <c r="J1554" s="2" t="s">
        <v>31</v>
      </c>
    </row>
    <row r="1555" spans="1:10" ht="21" customHeight="1">
      <c r="A1555" s="2" t="s">
        <v>2546</v>
      </c>
      <c r="B1555" s="2" t="s">
        <v>31</v>
      </c>
      <c r="C1555" s="4">
        <v>45751.25</v>
      </c>
      <c r="D1555" s="4">
        <v>45751.250342314815</v>
      </c>
      <c r="E1555" s="2">
        <v>2.39</v>
      </c>
      <c r="F1555" s="2">
        <v>58.2</v>
      </c>
      <c r="G1555" s="2" t="s">
        <v>983</v>
      </c>
      <c r="H1555" s="2" t="s">
        <v>984</v>
      </c>
      <c r="I1555" s="2"/>
      <c r="J1555" s="2" t="s">
        <v>31</v>
      </c>
    </row>
    <row r="1556" spans="1:10" ht="21" customHeight="1">
      <c r="A1556" s="2" t="s">
        <v>2547</v>
      </c>
      <c r="B1556" s="2" t="s">
        <v>31</v>
      </c>
      <c r="C1556" s="4">
        <v>45752.25</v>
      </c>
      <c r="D1556" s="4">
        <v>45752.250321724539</v>
      </c>
      <c r="E1556" s="2">
        <v>5.61</v>
      </c>
      <c r="F1556" s="2">
        <v>69.2</v>
      </c>
      <c r="G1556" s="2" t="s">
        <v>983</v>
      </c>
      <c r="H1556" s="2" t="s">
        <v>984</v>
      </c>
      <c r="I1556" s="2" t="s">
        <v>1053</v>
      </c>
      <c r="J1556" s="2" t="s">
        <v>31</v>
      </c>
    </row>
    <row r="1557" spans="1:10" ht="21" customHeight="1">
      <c r="A1557" s="2" t="s">
        <v>2548</v>
      </c>
      <c r="B1557" s="2" t="s">
        <v>31</v>
      </c>
      <c r="C1557" s="4">
        <v>45753.25</v>
      </c>
      <c r="D1557" s="4">
        <v>45753.250494768523</v>
      </c>
      <c r="E1557" s="2">
        <v>6.24</v>
      </c>
      <c r="F1557" s="2">
        <v>74</v>
      </c>
      <c r="G1557" s="2" t="s">
        <v>983</v>
      </c>
      <c r="H1557" s="2" t="s">
        <v>984</v>
      </c>
      <c r="I1557" s="2"/>
      <c r="J1557" s="2" t="s">
        <v>31</v>
      </c>
    </row>
    <row r="1558" spans="1:10" ht="21" customHeight="1">
      <c r="A1558" s="2" t="s">
        <v>2549</v>
      </c>
      <c r="B1558" s="2" t="s">
        <v>31</v>
      </c>
      <c r="C1558" s="4">
        <v>45754.25</v>
      </c>
      <c r="D1558" s="4">
        <v>45754.250373101851</v>
      </c>
      <c r="E1558" s="2">
        <v>5.61</v>
      </c>
      <c r="F1558" s="2">
        <v>68.599999999999994</v>
      </c>
      <c r="G1558" s="2" t="s">
        <v>983</v>
      </c>
      <c r="H1558" s="2" t="s">
        <v>984</v>
      </c>
      <c r="I1558" s="2" t="s">
        <v>1053</v>
      </c>
      <c r="J1558" s="2" t="s">
        <v>31</v>
      </c>
    </row>
    <row r="1559" spans="1:10" ht="21" customHeight="1">
      <c r="A1559" s="2" t="s">
        <v>2550</v>
      </c>
      <c r="B1559" s="2" t="s">
        <v>31</v>
      </c>
      <c r="C1559" s="4">
        <v>45755.25</v>
      </c>
      <c r="D1559" s="4">
        <v>45755.250447164348</v>
      </c>
      <c r="E1559" s="2">
        <v>0</v>
      </c>
      <c r="F1559" s="2">
        <v>65.8</v>
      </c>
      <c r="G1559" s="2" t="s">
        <v>1175</v>
      </c>
      <c r="H1559" s="2" t="s">
        <v>984</v>
      </c>
      <c r="I1559" s="2"/>
      <c r="J1559" s="2" t="s">
        <v>31</v>
      </c>
    </row>
    <row r="1560" spans="1:10" ht="21" customHeight="1">
      <c r="A1560" s="2" t="s">
        <v>2551</v>
      </c>
      <c r="B1560" s="2" t="s">
        <v>2469</v>
      </c>
      <c r="C1560" s="4">
        <v>45756.25</v>
      </c>
      <c r="D1560" s="4">
        <v>45756.250633969903</v>
      </c>
      <c r="E1560" s="2"/>
      <c r="F1560" s="2"/>
      <c r="G1560" s="2" t="s">
        <v>983</v>
      </c>
      <c r="H1560" s="2" t="s">
        <v>1066</v>
      </c>
      <c r="I1560" s="2"/>
      <c r="J1560" s="2" t="s">
        <v>31</v>
      </c>
    </row>
    <row r="1561" spans="1:10" ht="21" customHeight="1">
      <c r="A1561" s="2" t="s">
        <v>2552</v>
      </c>
      <c r="B1561" s="2" t="s">
        <v>31</v>
      </c>
      <c r="C1561" s="4">
        <v>45757.25</v>
      </c>
      <c r="D1561" s="4">
        <v>45757.250066736116</v>
      </c>
      <c r="E1561" s="2">
        <v>2.93</v>
      </c>
      <c r="F1561" s="2">
        <v>65.599999999999994</v>
      </c>
      <c r="G1561" s="2" t="s">
        <v>983</v>
      </c>
      <c r="H1561" s="2" t="s">
        <v>984</v>
      </c>
      <c r="I1561" s="2"/>
      <c r="J1561" s="2" t="s">
        <v>31</v>
      </c>
    </row>
    <row r="1562" spans="1:10" ht="21" customHeight="1">
      <c r="A1562" s="2" t="s">
        <v>2553</v>
      </c>
      <c r="B1562" s="2" t="s">
        <v>31</v>
      </c>
      <c r="C1562" s="4">
        <v>45758.25</v>
      </c>
      <c r="D1562" s="4">
        <v>45758.250145925922</v>
      </c>
      <c r="E1562" s="2">
        <v>2.7</v>
      </c>
      <c r="F1562" s="2">
        <v>61.6</v>
      </c>
      <c r="G1562" s="2" t="s">
        <v>983</v>
      </c>
      <c r="H1562" s="2" t="s">
        <v>984</v>
      </c>
      <c r="I1562" s="2"/>
      <c r="J1562" s="2" t="s">
        <v>31</v>
      </c>
    </row>
    <row r="1563" spans="1:10" ht="21" customHeight="1">
      <c r="A1563" s="2" t="s">
        <v>2554</v>
      </c>
      <c r="B1563" s="2" t="s">
        <v>31</v>
      </c>
      <c r="C1563" s="4">
        <v>45759.25</v>
      </c>
      <c r="D1563" s="4">
        <v>45759.250420127311</v>
      </c>
      <c r="E1563" s="2">
        <v>2.69</v>
      </c>
      <c r="F1563" s="2">
        <v>58.5</v>
      </c>
      <c r="G1563" s="2" t="s">
        <v>983</v>
      </c>
      <c r="H1563" s="2" t="s">
        <v>984</v>
      </c>
      <c r="I1563" s="2"/>
      <c r="J1563" s="2" t="s">
        <v>31</v>
      </c>
    </row>
    <row r="1564" spans="1:10" ht="21" customHeight="1">
      <c r="A1564" s="2" t="s">
        <v>2555</v>
      </c>
      <c r="B1564" s="2" t="s">
        <v>31</v>
      </c>
      <c r="C1564" s="4">
        <v>45760.25</v>
      </c>
      <c r="D1564" s="4">
        <v>45760.250530717589</v>
      </c>
      <c r="E1564" s="2">
        <v>2.31</v>
      </c>
      <c r="F1564" s="2">
        <v>65.7</v>
      </c>
      <c r="G1564" s="2" t="s">
        <v>983</v>
      </c>
      <c r="H1564" s="2" t="s">
        <v>984</v>
      </c>
      <c r="I1564" s="2" t="s">
        <v>985</v>
      </c>
      <c r="J1564" s="2" t="s">
        <v>31</v>
      </c>
    </row>
    <row r="1565" spans="1:10" ht="21" customHeight="1">
      <c r="A1565" s="2" t="s">
        <v>2556</v>
      </c>
      <c r="B1565" s="2" t="s">
        <v>31</v>
      </c>
      <c r="C1565" s="4">
        <v>45761.25</v>
      </c>
      <c r="D1565" s="4">
        <v>45761.250176087968</v>
      </c>
      <c r="E1565" s="2">
        <v>2.97</v>
      </c>
      <c r="F1565" s="2">
        <v>58.9</v>
      </c>
      <c r="G1565" s="2" t="s">
        <v>983</v>
      </c>
      <c r="H1565" s="2" t="s">
        <v>984</v>
      </c>
      <c r="I1565" s="2"/>
      <c r="J1565" s="2" t="s">
        <v>31</v>
      </c>
    </row>
    <row r="1566" spans="1:10" ht="21" customHeight="1">
      <c r="A1566" s="2" t="s">
        <v>2557</v>
      </c>
      <c r="B1566" s="2" t="s">
        <v>31</v>
      </c>
      <c r="C1566" s="4">
        <v>45762.25</v>
      </c>
      <c r="D1566" s="4">
        <v>45762.250523553244</v>
      </c>
      <c r="E1566" s="2">
        <v>2.46</v>
      </c>
      <c r="F1566" s="2">
        <v>58</v>
      </c>
      <c r="G1566" s="2" t="s">
        <v>983</v>
      </c>
      <c r="H1566" s="2" t="s">
        <v>984</v>
      </c>
      <c r="I1566" s="2"/>
      <c r="J1566" s="2" t="s">
        <v>31</v>
      </c>
    </row>
    <row r="1567" spans="1:10" ht="21" customHeight="1">
      <c r="A1567" s="2" t="s">
        <v>2558</v>
      </c>
      <c r="B1567" s="2" t="s">
        <v>31</v>
      </c>
      <c r="C1567" s="4">
        <v>45763.25</v>
      </c>
      <c r="D1567" s="4">
        <v>45763.250629629634</v>
      </c>
      <c r="E1567" s="2">
        <v>2.79</v>
      </c>
      <c r="F1567" s="2">
        <v>58.8</v>
      </c>
      <c r="G1567" s="2" t="s">
        <v>983</v>
      </c>
      <c r="H1567" s="2" t="s">
        <v>984</v>
      </c>
      <c r="I1567" s="2"/>
      <c r="J1567" s="2" t="s">
        <v>31</v>
      </c>
    </row>
    <row r="1568" spans="1:10" ht="21" customHeight="1">
      <c r="A1568" s="2" t="s">
        <v>2559</v>
      </c>
      <c r="B1568" s="2" t="s">
        <v>31</v>
      </c>
      <c r="C1568" s="4">
        <v>45764.25</v>
      </c>
      <c r="D1568" s="4">
        <v>45764.250559618056</v>
      </c>
      <c r="E1568" s="2">
        <v>2.13</v>
      </c>
      <c r="F1568" s="2">
        <v>58.8</v>
      </c>
      <c r="G1568" s="2" t="s">
        <v>983</v>
      </c>
      <c r="H1568" s="2" t="s">
        <v>984</v>
      </c>
      <c r="I1568" s="2"/>
      <c r="J1568" s="2" t="s">
        <v>31</v>
      </c>
    </row>
    <row r="1569" spans="1:10" ht="21" customHeight="1">
      <c r="A1569" s="2" t="s">
        <v>2560</v>
      </c>
      <c r="B1569" s="2" t="s">
        <v>31</v>
      </c>
      <c r="C1569" s="4">
        <v>45765.25</v>
      </c>
      <c r="D1569" s="4">
        <v>45765.250680300931</v>
      </c>
      <c r="E1569" s="2">
        <v>3.23</v>
      </c>
      <c r="F1569" s="2">
        <v>61.4</v>
      </c>
      <c r="G1569" s="2" t="s">
        <v>983</v>
      </c>
      <c r="H1569" s="2" t="s">
        <v>984</v>
      </c>
      <c r="I1569" s="2"/>
      <c r="J1569" s="2" t="s">
        <v>31</v>
      </c>
    </row>
    <row r="1570" spans="1:10" ht="21" customHeight="1">
      <c r="A1570" s="2" t="s">
        <v>2561</v>
      </c>
      <c r="B1570" s="2" t="s">
        <v>31</v>
      </c>
      <c r="C1570" s="4">
        <v>45766.25</v>
      </c>
      <c r="D1570" s="4">
        <v>45766.250176990739</v>
      </c>
      <c r="E1570" s="2">
        <v>2.88</v>
      </c>
      <c r="F1570" s="2">
        <v>60.3</v>
      </c>
      <c r="G1570" s="2" t="s">
        <v>983</v>
      </c>
      <c r="H1570" s="2" t="s">
        <v>984</v>
      </c>
      <c r="I1570" s="2"/>
      <c r="J1570" s="2" t="s">
        <v>31</v>
      </c>
    </row>
    <row r="1571" spans="1:10" ht="21" customHeight="1">
      <c r="A1571" s="2" t="s">
        <v>2562</v>
      </c>
      <c r="B1571" s="2" t="s">
        <v>31</v>
      </c>
      <c r="C1571" s="4">
        <v>45767.25</v>
      </c>
      <c r="D1571" s="4">
        <v>45767.250140833334</v>
      </c>
      <c r="E1571" s="2">
        <v>2.7</v>
      </c>
      <c r="F1571" s="2">
        <v>64.900000000000006</v>
      </c>
      <c r="G1571" s="2" t="s">
        <v>983</v>
      </c>
      <c r="H1571" s="2" t="s">
        <v>984</v>
      </c>
      <c r="I1571" s="2"/>
      <c r="J1571" s="2" t="s">
        <v>31</v>
      </c>
    </row>
    <row r="1572" spans="1:10" ht="21" customHeight="1">
      <c r="A1572" s="2" t="s">
        <v>2563</v>
      </c>
      <c r="B1572" s="2" t="s">
        <v>31</v>
      </c>
      <c r="C1572" s="4">
        <v>45768.25</v>
      </c>
      <c r="D1572" s="4">
        <v>45768.250639050922</v>
      </c>
      <c r="E1572" s="2">
        <v>3.11</v>
      </c>
      <c r="F1572" s="2">
        <v>65.3</v>
      </c>
      <c r="G1572" s="2" t="s">
        <v>983</v>
      </c>
      <c r="H1572" s="2" t="s">
        <v>984</v>
      </c>
      <c r="I1572" s="2"/>
      <c r="J1572" s="2" t="s">
        <v>31</v>
      </c>
    </row>
    <row r="1573" spans="1:10" ht="21" customHeight="1">
      <c r="A1573" s="2" t="s">
        <v>2564</v>
      </c>
      <c r="B1573" s="2" t="s">
        <v>31</v>
      </c>
      <c r="C1573" s="4">
        <v>45769.25</v>
      </c>
      <c r="D1573" s="4">
        <v>45769.250455532412</v>
      </c>
      <c r="E1573" s="2"/>
      <c r="F1573" s="2"/>
      <c r="G1573" s="2" t="s">
        <v>983</v>
      </c>
      <c r="H1573" s="2" t="s">
        <v>1066</v>
      </c>
      <c r="I1573" s="2"/>
      <c r="J1573" s="2" t="s">
        <v>31</v>
      </c>
    </row>
    <row r="1574" spans="1:10" ht="21" customHeight="1">
      <c r="A1574" s="2" t="s">
        <v>2565</v>
      </c>
      <c r="B1574" s="2" t="s">
        <v>31</v>
      </c>
      <c r="C1574" s="4">
        <v>45770.25</v>
      </c>
      <c r="D1574" s="4">
        <v>45770.250093206021</v>
      </c>
      <c r="E1574" s="2">
        <v>3.22</v>
      </c>
      <c r="F1574" s="2">
        <v>60.2</v>
      </c>
      <c r="G1574" s="2" t="s">
        <v>983</v>
      </c>
      <c r="H1574" s="2" t="s">
        <v>984</v>
      </c>
      <c r="I1574" s="2"/>
      <c r="J1574" s="2" t="s">
        <v>31</v>
      </c>
    </row>
    <row r="1575" spans="1:10" ht="21" customHeight="1">
      <c r="A1575" s="2" t="s">
        <v>2566</v>
      </c>
      <c r="B1575" s="2" t="s">
        <v>31</v>
      </c>
      <c r="C1575" s="4">
        <v>45771.25</v>
      </c>
      <c r="D1575" s="4">
        <v>45771.250564166665</v>
      </c>
      <c r="E1575" s="2">
        <v>2.16</v>
      </c>
      <c r="F1575" s="2">
        <v>65.599999999999994</v>
      </c>
      <c r="G1575" s="2" t="s">
        <v>983</v>
      </c>
      <c r="H1575" s="2" t="s">
        <v>984</v>
      </c>
      <c r="I1575" s="2"/>
      <c r="J1575" s="2" t="s">
        <v>31</v>
      </c>
    </row>
    <row r="1576" spans="1:10" ht="21" customHeight="1">
      <c r="A1576" s="2" t="s">
        <v>2567</v>
      </c>
      <c r="B1576" s="2" t="s">
        <v>31</v>
      </c>
      <c r="C1576" s="4">
        <v>45772.25</v>
      </c>
      <c r="D1576" s="4">
        <v>45772.250056273144</v>
      </c>
      <c r="E1576" s="2">
        <v>3.16</v>
      </c>
      <c r="F1576" s="2">
        <v>64.099999999999994</v>
      </c>
      <c r="G1576" s="2" t="s">
        <v>983</v>
      </c>
      <c r="H1576" s="2" t="s">
        <v>984</v>
      </c>
      <c r="I1576" s="2"/>
      <c r="J1576" s="2" t="s">
        <v>31</v>
      </c>
    </row>
    <row r="1577" spans="1:10" ht="21" customHeight="1">
      <c r="A1577" s="2" t="s">
        <v>2568</v>
      </c>
      <c r="B1577" s="2" t="s">
        <v>31</v>
      </c>
      <c r="C1577" s="4">
        <v>45773.25</v>
      </c>
      <c r="D1577" s="4">
        <v>45773.250147511571</v>
      </c>
      <c r="E1577" s="2">
        <v>2.13</v>
      </c>
      <c r="F1577" s="2">
        <v>62.9</v>
      </c>
      <c r="G1577" s="2" t="s">
        <v>983</v>
      </c>
      <c r="H1577" s="2" t="s">
        <v>984</v>
      </c>
      <c r="I1577" s="2"/>
      <c r="J1577" s="2" t="s">
        <v>31</v>
      </c>
    </row>
    <row r="1578" spans="1:10" ht="21" customHeight="1">
      <c r="A1578" s="2" t="s">
        <v>2569</v>
      </c>
      <c r="B1578" s="2" t="s">
        <v>31</v>
      </c>
      <c r="C1578" s="4">
        <v>45774.25</v>
      </c>
      <c r="D1578" s="4">
        <v>45774.250230995371</v>
      </c>
      <c r="E1578" s="2">
        <v>3.08</v>
      </c>
      <c r="F1578" s="2">
        <v>59.2</v>
      </c>
      <c r="G1578" s="2" t="s">
        <v>983</v>
      </c>
      <c r="H1578" s="2" t="s">
        <v>984</v>
      </c>
      <c r="I1578" s="2"/>
      <c r="J1578" s="2" t="s">
        <v>31</v>
      </c>
    </row>
    <row r="1579" spans="1:10" ht="21" customHeight="1">
      <c r="A1579" s="2" t="s">
        <v>2570</v>
      </c>
      <c r="B1579" s="2" t="s">
        <v>31</v>
      </c>
      <c r="C1579" s="4">
        <v>45775.25</v>
      </c>
      <c r="D1579" s="4">
        <v>45775.250342129628</v>
      </c>
      <c r="E1579" s="2"/>
      <c r="F1579" s="2"/>
      <c r="G1579" s="2" t="s">
        <v>983</v>
      </c>
      <c r="H1579" s="2" t="s">
        <v>1066</v>
      </c>
      <c r="I1579" s="2"/>
      <c r="J1579" s="2" t="s">
        <v>31</v>
      </c>
    </row>
    <row r="1580" spans="1:10" ht="21" customHeight="1">
      <c r="A1580" s="2" t="s">
        <v>2571</v>
      </c>
      <c r="B1580" s="2" t="s">
        <v>31</v>
      </c>
      <c r="C1580" s="4">
        <v>45776.25</v>
      </c>
      <c r="D1580" s="4">
        <v>45776.250255555555</v>
      </c>
      <c r="E1580" s="2">
        <v>2.61</v>
      </c>
      <c r="F1580" s="2">
        <v>61.2</v>
      </c>
      <c r="G1580" s="2" t="s">
        <v>983</v>
      </c>
      <c r="H1580" s="2" t="s">
        <v>984</v>
      </c>
      <c r="I1580" s="2"/>
      <c r="J1580" s="2" t="s">
        <v>31</v>
      </c>
    </row>
    <row r="1581" spans="1:10" ht="21" customHeight="1">
      <c r="A1581" s="2" t="s">
        <v>2572</v>
      </c>
      <c r="B1581" s="2" t="s">
        <v>31</v>
      </c>
      <c r="C1581" s="4">
        <v>45777.25</v>
      </c>
      <c r="D1581" s="4">
        <v>45777.25009908565</v>
      </c>
      <c r="E1581" s="2">
        <v>2.3199999999999998</v>
      </c>
      <c r="F1581" s="2">
        <v>62.2</v>
      </c>
      <c r="G1581" s="2" t="s">
        <v>983</v>
      </c>
      <c r="H1581" s="2" t="s">
        <v>984</v>
      </c>
      <c r="I1581" s="2" t="s">
        <v>985</v>
      </c>
      <c r="J1581" s="2" t="s">
        <v>31</v>
      </c>
    </row>
    <row r="1582" spans="1:10" ht="21" customHeight="1">
      <c r="A1582" s="2" t="s">
        <v>2573</v>
      </c>
      <c r="B1582" s="2" t="s">
        <v>31</v>
      </c>
      <c r="C1582" s="4">
        <v>45778.25</v>
      </c>
      <c r="D1582" s="4">
        <v>45778.250620833336</v>
      </c>
      <c r="E1582" s="2">
        <v>2.48</v>
      </c>
      <c r="F1582" s="2">
        <v>65.099999999999994</v>
      </c>
      <c r="G1582" s="2" t="s">
        <v>983</v>
      </c>
      <c r="H1582" s="2" t="s">
        <v>984</v>
      </c>
      <c r="I1582" s="2"/>
      <c r="J1582" s="2" t="s">
        <v>31</v>
      </c>
    </row>
    <row r="1583" spans="1:10" ht="21" customHeight="1">
      <c r="A1583" s="2" t="s">
        <v>2574</v>
      </c>
      <c r="B1583" s="2" t="s">
        <v>31</v>
      </c>
      <c r="C1583" s="4">
        <v>45779.25</v>
      </c>
      <c r="D1583" s="4">
        <v>45779.250248344906</v>
      </c>
      <c r="E1583" s="2">
        <v>2.6</v>
      </c>
      <c r="F1583" s="2">
        <v>64.3</v>
      </c>
      <c r="G1583" s="2" t="s">
        <v>983</v>
      </c>
      <c r="H1583" s="2" t="s">
        <v>984</v>
      </c>
      <c r="I1583" s="2"/>
      <c r="J1583" s="2" t="s">
        <v>31</v>
      </c>
    </row>
    <row r="1584" spans="1:10" ht="21" customHeight="1">
      <c r="A1584" s="2" t="s">
        <v>2575</v>
      </c>
      <c r="B1584" s="2" t="s">
        <v>31</v>
      </c>
      <c r="C1584" s="4">
        <v>45780.25</v>
      </c>
      <c r="D1584" s="4">
        <v>45780.25035707176</v>
      </c>
      <c r="E1584" s="2">
        <v>3.28</v>
      </c>
      <c r="F1584" s="2">
        <v>59.7</v>
      </c>
      <c r="G1584" s="2" t="s">
        <v>983</v>
      </c>
      <c r="H1584" s="2" t="s">
        <v>984</v>
      </c>
      <c r="I1584" s="2"/>
      <c r="J1584" s="2" t="s">
        <v>31</v>
      </c>
    </row>
    <row r="1585" spans="1:10" ht="21" customHeight="1">
      <c r="A1585" s="2" t="s">
        <v>2576</v>
      </c>
      <c r="B1585" s="2" t="s">
        <v>31</v>
      </c>
      <c r="C1585" s="4">
        <v>45781.25</v>
      </c>
      <c r="D1585" s="4">
        <v>45781.250011863427</v>
      </c>
      <c r="E1585" s="2">
        <v>2.65</v>
      </c>
      <c r="F1585" s="2">
        <v>62.1</v>
      </c>
      <c r="G1585" s="2" t="s">
        <v>983</v>
      </c>
      <c r="H1585" s="2" t="s">
        <v>984</v>
      </c>
      <c r="I1585" s="2"/>
      <c r="J1585" s="2" t="s">
        <v>31</v>
      </c>
    </row>
    <row r="1586" spans="1:10" ht="21" customHeight="1">
      <c r="A1586" s="2" t="s">
        <v>2577</v>
      </c>
      <c r="B1586" s="2" t="s">
        <v>31</v>
      </c>
      <c r="C1586" s="4">
        <v>45782.25</v>
      </c>
      <c r="D1586" s="4">
        <v>45782.250539386572</v>
      </c>
      <c r="E1586" s="2">
        <v>3.22</v>
      </c>
      <c r="F1586" s="2">
        <v>60.1</v>
      </c>
      <c r="G1586" s="2" t="s">
        <v>983</v>
      </c>
      <c r="H1586" s="2" t="s">
        <v>984</v>
      </c>
      <c r="I1586" s="2"/>
      <c r="J1586" s="2" t="s">
        <v>31</v>
      </c>
    </row>
    <row r="1587" spans="1:10" ht="21" customHeight="1">
      <c r="A1587" s="2" t="s">
        <v>2578</v>
      </c>
      <c r="B1587" s="2" t="s">
        <v>31</v>
      </c>
      <c r="C1587" s="4">
        <v>45783.25</v>
      </c>
      <c r="D1587" s="4">
        <v>45783.250665</v>
      </c>
      <c r="E1587" s="2">
        <v>2.83</v>
      </c>
      <c r="F1587" s="2">
        <v>65.400000000000006</v>
      </c>
      <c r="G1587" s="2" t="s">
        <v>983</v>
      </c>
      <c r="H1587" s="2" t="s">
        <v>984</v>
      </c>
      <c r="I1587" s="2"/>
      <c r="J1587" s="2" t="s">
        <v>31</v>
      </c>
    </row>
    <row r="1588" spans="1:10" ht="21" customHeight="1">
      <c r="A1588" s="2" t="s">
        <v>2579</v>
      </c>
      <c r="B1588" s="2" t="s">
        <v>31</v>
      </c>
      <c r="C1588" s="4">
        <v>45784.25</v>
      </c>
      <c r="D1588" s="4">
        <v>45784.250304479167</v>
      </c>
      <c r="E1588" s="2">
        <v>2.86</v>
      </c>
      <c r="F1588" s="2">
        <v>58.3</v>
      </c>
      <c r="G1588" s="2" t="s">
        <v>983</v>
      </c>
      <c r="H1588" s="2" t="s">
        <v>984</v>
      </c>
      <c r="I1588" s="2"/>
      <c r="J1588" s="2" t="s">
        <v>31</v>
      </c>
    </row>
    <row r="1589" spans="1:10" ht="21" customHeight="1">
      <c r="A1589" s="2" t="s">
        <v>2580</v>
      </c>
      <c r="B1589" s="2" t="s">
        <v>31</v>
      </c>
      <c r="C1589" s="4">
        <v>45785.25</v>
      </c>
      <c r="D1589" s="4">
        <v>45785.250439594907</v>
      </c>
      <c r="E1589" s="2">
        <v>3.06</v>
      </c>
      <c r="F1589" s="2">
        <v>63.1</v>
      </c>
      <c r="G1589" s="2" t="s">
        <v>983</v>
      </c>
      <c r="H1589" s="2" t="s">
        <v>984</v>
      </c>
      <c r="I1589" s="2"/>
      <c r="J1589" s="2" t="s">
        <v>31</v>
      </c>
    </row>
    <row r="1590" spans="1:10" ht="21" customHeight="1">
      <c r="A1590" s="2" t="s">
        <v>2581</v>
      </c>
      <c r="B1590" s="2" t="s">
        <v>31</v>
      </c>
      <c r="C1590" s="4">
        <v>45786.25</v>
      </c>
      <c r="D1590" s="4">
        <v>45786.25067415509</v>
      </c>
      <c r="E1590" s="2">
        <v>2.68</v>
      </c>
      <c r="F1590" s="2">
        <v>61.3</v>
      </c>
      <c r="G1590" s="2" t="s">
        <v>983</v>
      </c>
      <c r="H1590" s="2" t="s">
        <v>984</v>
      </c>
      <c r="I1590" s="2"/>
      <c r="J1590" s="2" t="s">
        <v>31</v>
      </c>
    </row>
    <row r="1591" spans="1:10" ht="21" customHeight="1">
      <c r="A1591" s="2" t="s">
        <v>2582</v>
      </c>
      <c r="B1591" s="2" t="s">
        <v>31</v>
      </c>
      <c r="C1591" s="4">
        <v>45787.25</v>
      </c>
      <c r="D1591" s="4">
        <v>45787.250545671297</v>
      </c>
      <c r="E1591" s="2">
        <v>2.6</v>
      </c>
      <c r="F1591" s="2">
        <v>58.6</v>
      </c>
      <c r="G1591" s="2" t="s">
        <v>983</v>
      </c>
      <c r="H1591" s="2" t="s">
        <v>984</v>
      </c>
      <c r="I1591" s="2"/>
      <c r="J1591" s="2" t="s">
        <v>31</v>
      </c>
    </row>
    <row r="1592" spans="1:10" ht="21" customHeight="1">
      <c r="A1592" s="2" t="s">
        <v>2583</v>
      </c>
      <c r="B1592" s="2" t="s">
        <v>31</v>
      </c>
      <c r="C1592" s="4">
        <v>45788.25</v>
      </c>
      <c r="D1592" s="4">
        <v>45788.250323969907</v>
      </c>
      <c r="E1592" s="2">
        <v>2.83</v>
      </c>
      <c r="F1592" s="2">
        <v>66</v>
      </c>
      <c r="G1592" s="2" t="s">
        <v>983</v>
      </c>
      <c r="H1592" s="2" t="s">
        <v>984</v>
      </c>
      <c r="I1592" s="2"/>
      <c r="J1592" s="2" t="s">
        <v>31</v>
      </c>
    </row>
    <row r="1593" spans="1:10" ht="21" customHeight="1">
      <c r="A1593" s="2" t="s">
        <v>2584</v>
      </c>
      <c r="B1593" s="2" t="s">
        <v>31</v>
      </c>
      <c r="C1593" s="4">
        <v>45789.25</v>
      </c>
      <c r="D1593" s="4">
        <v>45789.250134525464</v>
      </c>
      <c r="E1593" s="2">
        <v>2.86</v>
      </c>
      <c r="F1593" s="2">
        <v>60.3</v>
      </c>
      <c r="G1593" s="2" t="s">
        <v>983</v>
      </c>
      <c r="H1593" s="2" t="s">
        <v>984</v>
      </c>
      <c r="I1593" s="2"/>
      <c r="J1593" s="2" t="s">
        <v>31</v>
      </c>
    </row>
    <row r="1594" spans="1:10" ht="21" customHeight="1">
      <c r="A1594" s="2" t="s">
        <v>2585</v>
      </c>
      <c r="B1594" s="2" t="s">
        <v>31</v>
      </c>
      <c r="C1594" s="4">
        <v>45790.25</v>
      </c>
      <c r="D1594" s="4">
        <v>45790.250172615742</v>
      </c>
      <c r="E1594" s="2">
        <v>2.99</v>
      </c>
      <c r="F1594" s="2">
        <v>59.3</v>
      </c>
      <c r="G1594" s="2" t="s">
        <v>983</v>
      </c>
      <c r="H1594" s="2" t="s">
        <v>984</v>
      </c>
      <c r="I1594" s="2"/>
      <c r="J1594" s="2" t="s">
        <v>31</v>
      </c>
    </row>
    <row r="1595" spans="1:10" ht="21" customHeight="1">
      <c r="A1595" s="2" t="s">
        <v>2586</v>
      </c>
      <c r="B1595" s="2" t="s">
        <v>31</v>
      </c>
      <c r="C1595" s="4">
        <v>45791.25</v>
      </c>
      <c r="D1595" s="4">
        <v>45791.250504791664</v>
      </c>
      <c r="E1595" s="2">
        <v>3.2</v>
      </c>
      <c r="F1595" s="2">
        <v>59.6</v>
      </c>
      <c r="G1595" s="2" t="s">
        <v>983</v>
      </c>
      <c r="H1595" s="2" t="s">
        <v>984</v>
      </c>
      <c r="I1595" s="2"/>
      <c r="J1595" s="2" t="s">
        <v>31</v>
      </c>
    </row>
    <row r="1596" spans="1:10" ht="21" customHeight="1">
      <c r="A1596" s="2" t="s">
        <v>2587</v>
      </c>
      <c r="B1596" s="2" t="s">
        <v>31</v>
      </c>
      <c r="C1596" s="4">
        <v>45792.25</v>
      </c>
      <c r="D1596" s="4">
        <v>45792.250134386573</v>
      </c>
      <c r="E1596" s="2"/>
      <c r="F1596" s="2"/>
      <c r="G1596" s="2" t="s">
        <v>983</v>
      </c>
      <c r="H1596" s="2" t="s">
        <v>1066</v>
      </c>
      <c r="I1596" s="2"/>
      <c r="J1596" s="2" t="s">
        <v>31</v>
      </c>
    </row>
    <row r="1597" spans="1:10" ht="21" customHeight="1">
      <c r="A1597" s="2" t="s">
        <v>2588</v>
      </c>
      <c r="B1597" s="2" t="s">
        <v>31</v>
      </c>
      <c r="C1597" s="4">
        <v>45793.25</v>
      </c>
      <c r="D1597" s="4">
        <v>45793.250108310182</v>
      </c>
      <c r="E1597" s="2">
        <v>3.16</v>
      </c>
      <c r="F1597" s="2">
        <v>58.7</v>
      </c>
      <c r="G1597" s="2" t="s">
        <v>983</v>
      </c>
      <c r="H1597" s="2" t="s">
        <v>984</v>
      </c>
      <c r="I1597" s="2"/>
      <c r="J1597" s="2" t="s">
        <v>31</v>
      </c>
    </row>
    <row r="1598" spans="1:10" ht="21" customHeight="1">
      <c r="A1598" s="2" t="s">
        <v>2589</v>
      </c>
      <c r="B1598" s="2" t="s">
        <v>31</v>
      </c>
      <c r="C1598" s="4">
        <v>45794.25</v>
      </c>
      <c r="D1598" s="4">
        <v>45794.25008849537</v>
      </c>
      <c r="E1598" s="2">
        <v>2.3199999999999998</v>
      </c>
      <c r="F1598" s="2">
        <v>61.9</v>
      </c>
      <c r="G1598" s="2" t="s">
        <v>983</v>
      </c>
      <c r="H1598" s="2" t="s">
        <v>984</v>
      </c>
      <c r="I1598" s="2" t="s">
        <v>985</v>
      </c>
      <c r="J1598" s="2" t="s">
        <v>31</v>
      </c>
    </row>
    <row r="1599" spans="1:10" ht="21" customHeight="1">
      <c r="A1599" s="2" t="s">
        <v>2590</v>
      </c>
      <c r="B1599" s="2" t="s">
        <v>31</v>
      </c>
      <c r="C1599" s="4">
        <v>45795.25</v>
      </c>
      <c r="D1599" s="4">
        <v>45795.250148692125</v>
      </c>
      <c r="E1599" s="2">
        <v>2.96</v>
      </c>
      <c r="F1599" s="2">
        <v>65.2</v>
      </c>
      <c r="G1599" s="2" t="s">
        <v>983</v>
      </c>
      <c r="H1599" s="2" t="s">
        <v>984</v>
      </c>
      <c r="I1599" s="2"/>
      <c r="J1599" s="2" t="s">
        <v>31</v>
      </c>
    </row>
    <row r="1600" spans="1:10" ht="21" customHeight="1">
      <c r="A1600" s="2" t="s">
        <v>2591</v>
      </c>
      <c r="B1600" s="2" t="s">
        <v>31</v>
      </c>
      <c r="C1600" s="4">
        <v>45796.25</v>
      </c>
      <c r="D1600" s="4">
        <v>45796.250456574075</v>
      </c>
      <c r="E1600" s="2">
        <v>6.35</v>
      </c>
      <c r="F1600" s="2">
        <v>67.099999999999994</v>
      </c>
      <c r="G1600" s="2" t="s">
        <v>983</v>
      </c>
      <c r="H1600" s="2" t="s">
        <v>984</v>
      </c>
      <c r="I1600" s="2" t="s">
        <v>1053</v>
      </c>
      <c r="J1600" s="2" t="s">
        <v>31</v>
      </c>
    </row>
    <row r="1601" spans="1:10" ht="21" customHeight="1">
      <c r="A1601" s="2" t="s">
        <v>2592</v>
      </c>
      <c r="B1601" s="2" t="s">
        <v>2469</v>
      </c>
      <c r="C1601" s="4">
        <v>45797.25</v>
      </c>
      <c r="D1601" s="4">
        <v>45797.250649687499</v>
      </c>
      <c r="E1601" s="2">
        <v>5.68</v>
      </c>
      <c r="F1601" s="2">
        <v>64.599999999999994</v>
      </c>
      <c r="G1601" s="2" t="s">
        <v>983</v>
      </c>
      <c r="H1601" s="2" t="s">
        <v>984</v>
      </c>
      <c r="I1601" s="2"/>
      <c r="J1601" s="2" t="s">
        <v>31</v>
      </c>
    </row>
    <row r="1602" spans="1:10" ht="21" customHeight="1">
      <c r="A1602" s="2" t="s">
        <v>2593</v>
      </c>
      <c r="B1602" s="2" t="s">
        <v>31</v>
      </c>
      <c r="C1602" s="4">
        <v>45798.25</v>
      </c>
      <c r="D1602" s="4">
        <v>45798.250437141207</v>
      </c>
      <c r="E1602" s="2">
        <v>5.31</v>
      </c>
      <c r="F1602" s="2">
        <v>69.099999999999994</v>
      </c>
      <c r="G1602" s="2" t="s">
        <v>983</v>
      </c>
      <c r="H1602" s="2" t="s">
        <v>984</v>
      </c>
      <c r="I1602" s="2" t="s">
        <v>1053</v>
      </c>
      <c r="J1602" s="2" t="s">
        <v>31</v>
      </c>
    </row>
    <row r="1603" spans="1:10" ht="21" customHeight="1">
      <c r="A1603" s="2" t="s">
        <v>2594</v>
      </c>
      <c r="B1603" s="2" t="s">
        <v>31</v>
      </c>
      <c r="C1603" s="4">
        <v>45799.25</v>
      </c>
      <c r="D1603" s="4">
        <v>45799.250263101851</v>
      </c>
      <c r="E1603" s="2">
        <v>3.14</v>
      </c>
      <c r="F1603" s="2">
        <v>62</v>
      </c>
      <c r="G1603" s="2" t="s">
        <v>983</v>
      </c>
      <c r="H1603" s="2" t="s">
        <v>984</v>
      </c>
      <c r="I1603" s="2"/>
      <c r="J1603" s="2" t="s">
        <v>31</v>
      </c>
    </row>
    <row r="1604" spans="1:10" ht="21" customHeight="1">
      <c r="A1604" s="2" t="s">
        <v>2595</v>
      </c>
      <c r="B1604" s="2" t="s">
        <v>31</v>
      </c>
      <c r="C1604" s="4">
        <v>45800.25</v>
      </c>
      <c r="D1604" s="4">
        <v>45800.250076724536</v>
      </c>
      <c r="E1604" s="2">
        <v>2.33</v>
      </c>
      <c r="F1604" s="2">
        <v>59.2</v>
      </c>
      <c r="G1604" s="2" t="s">
        <v>983</v>
      </c>
      <c r="H1604" s="2" t="s">
        <v>984</v>
      </c>
      <c r="I1604" s="2"/>
      <c r="J1604" s="2" t="s">
        <v>31</v>
      </c>
    </row>
    <row r="1605" spans="1:10" ht="21" customHeight="1">
      <c r="A1605" s="2" t="s">
        <v>2596</v>
      </c>
      <c r="B1605" s="2" t="s">
        <v>31</v>
      </c>
      <c r="C1605" s="4">
        <v>45801.25</v>
      </c>
      <c r="D1605" s="4">
        <v>45801.250642974541</v>
      </c>
      <c r="E1605" s="2">
        <v>2.5</v>
      </c>
      <c r="F1605" s="2">
        <v>60.1</v>
      </c>
      <c r="G1605" s="2" t="s">
        <v>983</v>
      </c>
      <c r="H1605" s="2" t="s">
        <v>984</v>
      </c>
      <c r="I1605" s="2"/>
      <c r="J1605" s="2" t="s">
        <v>31</v>
      </c>
    </row>
    <row r="1606" spans="1:10" ht="21" customHeight="1">
      <c r="A1606" s="2" t="s">
        <v>2597</v>
      </c>
      <c r="B1606" s="2" t="s">
        <v>31</v>
      </c>
      <c r="C1606" s="4">
        <v>45802.25</v>
      </c>
      <c r="D1606" s="4">
        <v>45802.250585775459</v>
      </c>
      <c r="E1606" s="2">
        <v>2.33</v>
      </c>
      <c r="F1606" s="2">
        <v>61.4</v>
      </c>
      <c r="G1606" s="2" t="s">
        <v>983</v>
      </c>
      <c r="H1606" s="2" t="s">
        <v>984</v>
      </c>
      <c r="I1606" s="2"/>
      <c r="J1606" s="2" t="s">
        <v>31</v>
      </c>
    </row>
    <row r="1607" spans="1:10" ht="21" customHeight="1">
      <c r="A1607" s="2" t="s">
        <v>2598</v>
      </c>
      <c r="B1607" s="2" t="s">
        <v>31</v>
      </c>
      <c r="C1607" s="4">
        <v>45803.25</v>
      </c>
      <c r="D1607" s="4">
        <v>45803.250000115746</v>
      </c>
      <c r="E1607" s="2">
        <v>3.29</v>
      </c>
      <c r="F1607" s="2">
        <v>59.9</v>
      </c>
      <c r="G1607" s="2" t="s">
        <v>983</v>
      </c>
      <c r="H1607" s="2" t="s">
        <v>984</v>
      </c>
      <c r="I1607" s="2"/>
      <c r="J1607" s="2" t="s">
        <v>31</v>
      </c>
    </row>
    <row r="1608" spans="1:10" ht="21" customHeight="1">
      <c r="A1608" s="2" t="s">
        <v>2599</v>
      </c>
      <c r="B1608" s="2" t="s">
        <v>31</v>
      </c>
      <c r="C1608" s="4">
        <v>45804.25</v>
      </c>
      <c r="D1608" s="4">
        <v>45804.250506886572</v>
      </c>
      <c r="E1608" s="2">
        <v>2.44</v>
      </c>
      <c r="F1608" s="2">
        <v>58.3</v>
      </c>
      <c r="G1608" s="2" t="s">
        <v>983</v>
      </c>
      <c r="H1608" s="2" t="s">
        <v>984</v>
      </c>
      <c r="I1608" s="2"/>
      <c r="J1608" s="2" t="s">
        <v>31</v>
      </c>
    </row>
    <row r="1609" spans="1:10" ht="21" customHeight="1">
      <c r="A1609" s="2" t="s">
        <v>2600</v>
      </c>
      <c r="B1609" s="2" t="s">
        <v>31</v>
      </c>
      <c r="C1609" s="4">
        <v>45805.25</v>
      </c>
      <c r="D1609" s="4">
        <v>45805.250678680561</v>
      </c>
      <c r="E1609" s="2">
        <v>3.2</v>
      </c>
      <c r="F1609" s="2">
        <v>60.4</v>
      </c>
      <c r="G1609" s="2" t="s">
        <v>983</v>
      </c>
      <c r="H1609" s="2" t="s">
        <v>984</v>
      </c>
      <c r="I1609" s="2"/>
      <c r="J1609" s="2" t="s">
        <v>31</v>
      </c>
    </row>
    <row r="1610" spans="1:10" ht="21" customHeight="1">
      <c r="A1610" s="2" t="s">
        <v>2601</v>
      </c>
      <c r="B1610" s="2" t="s">
        <v>31</v>
      </c>
      <c r="C1610" s="4">
        <v>45806.25</v>
      </c>
      <c r="D1610" s="4">
        <v>45806.250034432873</v>
      </c>
      <c r="E1610" s="2">
        <v>2.63</v>
      </c>
      <c r="F1610" s="2">
        <v>62.3</v>
      </c>
      <c r="G1610" s="2" t="s">
        <v>983</v>
      </c>
      <c r="H1610" s="2" t="s">
        <v>984</v>
      </c>
      <c r="I1610" s="2"/>
      <c r="J1610" s="2" t="s">
        <v>31</v>
      </c>
    </row>
    <row r="1611" spans="1:10" ht="21" customHeight="1">
      <c r="A1611" s="2" t="s">
        <v>2602</v>
      </c>
      <c r="B1611" s="2" t="s">
        <v>31</v>
      </c>
      <c r="C1611" s="4">
        <v>45807.25</v>
      </c>
      <c r="D1611" s="4">
        <v>45807.250258842592</v>
      </c>
      <c r="E1611" s="2"/>
      <c r="F1611" s="2"/>
      <c r="G1611" s="2" t="s">
        <v>983</v>
      </c>
      <c r="H1611" s="2" t="s">
        <v>1066</v>
      </c>
      <c r="I1611" s="2"/>
      <c r="J1611" s="2" t="s">
        <v>31</v>
      </c>
    </row>
    <row r="1612" spans="1:10" ht="21" customHeight="1">
      <c r="A1612" s="2" t="s">
        <v>2603</v>
      </c>
      <c r="B1612" s="2" t="s">
        <v>31</v>
      </c>
      <c r="C1612" s="4">
        <v>45808.25</v>
      </c>
      <c r="D1612" s="4">
        <v>45808.250670138892</v>
      </c>
      <c r="E1612" s="2">
        <v>2.2400000000000002</v>
      </c>
      <c r="F1612" s="2">
        <v>59.8</v>
      </c>
      <c r="G1612" s="2" t="s">
        <v>983</v>
      </c>
      <c r="H1612" s="2" t="s">
        <v>984</v>
      </c>
      <c r="I1612" s="2"/>
      <c r="J1612" s="2" t="s">
        <v>31</v>
      </c>
    </row>
    <row r="1613" spans="1:10" ht="21" customHeight="1">
      <c r="A1613" s="2" t="s">
        <v>2604</v>
      </c>
      <c r="B1613" s="2" t="s">
        <v>31</v>
      </c>
      <c r="C1613" s="4">
        <v>45809.25</v>
      </c>
      <c r="D1613" s="4">
        <v>45809.250457013884</v>
      </c>
      <c r="E1613" s="2">
        <v>2.23</v>
      </c>
      <c r="F1613" s="2">
        <v>64.400000000000006</v>
      </c>
      <c r="G1613" s="2" t="s">
        <v>983</v>
      </c>
      <c r="H1613" s="2" t="s">
        <v>984</v>
      </c>
      <c r="I1613" s="2"/>
      <c r="J1613" s="2" t="s">
        <v>31</v>
      </c>
    </row>
    <row r="1614" spans="1:10" ht="21" customHeight="1">
      <c r="A1614" s="2" t="s">
        <v>2605</v>
      </c>
      <c r="B1614" s="2" t="s">
        <v>31</v>
      </c>
      <c r="C1614" s="4">
        <v>45810.25</v>
      </c>
      <c r="D1614" s="4">
        <v>45810.250680740741</v>
      </c>
      <c r="E1614" s="2">
        <v>3.05</v>
      </c>
      <c r="F1614" s="2">
        <v>65.2</v>
      </c>
      <c r="G1614" s="2" t="s">
        <v>983</v>
      </c>
      <c r="H1614" s="2" t="s">
        <v>984</v>
      </c>
      <c r="I1614" s="2"/>
      <c r="J1614" s="2" t="s">
        <v>31</v>
      </c>
    </row>
    <row r="1615" spans="1:10" ht="21" customHeight="1">
      <c r="A1615" s="2" t="s">
        <v>2606</v>
      </c>
      <c r="B1615" s="2" t="s">
        <v>31</v>
      </c>
      <c r="C1615" s="4">
        <v>45811.25</v>
      </c>
      <c r="D1615" s="4">
        <v>45811.250118738426</v>
      </c>
      <c r="E1615" s="2">
        <v>3.27</v>
      </c>
      <c r="F1615" s="2">
        <v>59.1</v>
      </c>
      <c r="G1615" s="2" t="s">
        <v>983</v>
      </c>
      <c r="H1615" s="2" t="s">
        <v>984</v>
      </c>
      <c r="I1615" s="2" t="s">
        <v>985</v>
      </c>
      <c r="J1615" s="2" t="s">
        <v>31</v>
      </c>
    </row>
    <row r="1616" spans="1:10" ht="21" customHeight="1">
      <c r="A1616" s="2" t="s">
        <v>2607</v>
      </c>
      <c r="B1616" s="2" t="s">
        <v>31</v>
      </c>
      <c r="C1616" s="4">
        <v>45812.25</v>
      </c>
      <c r="D1616" s="4">
        <v>45812.250180138886</v>
      </c>
      <c r="E1616" s="2">
        <v>2.4900000000000002</v>
      </c>
      <c r="F1616" s="2">
        <v>59.6</v>
      </c>
      <c r="G1616" s="2" t="s">
        <v>983</v>
      </c>
      <c r="H1616" s="2" t="s">
        <v>984</v>
      </c>
      <c r="I1616" s="2"/>
      <c r="J1616" s="2" t="s">
        <v>31</v>
      </c>
    </row>
    <row r="1617" spans="1:10" ht="21" customHeight="1">
      <c r="A1617" s="2" t="s">
        <v>2608</v>
      </c>
      <c r="B1617" s="2" t="s">
        <v>31</v>
      </c>
      <c r="C1617" s="4">
        <v>45813.25</v>
      </c>
      <c r="D1617" s="4">
        <v>45813.250363969906</v>
      </c>
      <c r="E1617" s="2">
        <v>6.03</v>
      </c>
      <c r="F1617" s="2">
        <v>66.400000000000006</v>
      </c>
      <c r="G1617" s="2" t="s">
        <v>983</v>
      </c>
      <c r="H1617" s="2" t="s">
        <v>984</v>
      </c>
      <c r="I1617" s="2"/>
      <c r="J1617" s="2" t="s">
        <v>31</v>
      </c>
    </row>
    <row r="1618" spans="1:10" ht="21" customHeight="1">
      <c r="A1618" s="2" t="s">
        <v>2609</v>
      </c>
      <c r="B1618" s="2" t="s">
        <v>31</v>
      </c>
      <c r="C1618" s="4">
        <v>45814.25</v>
      </c>
      <c r="D1618" s="4">
        <v>45814.250648738423</v>
      </c>
      <c r="E1618" s="2">
        <v>5.45</v>
      </c>
      <c r="F1618" s="2">
        <v>71.8</v>
      </c>
      <c r="G1618" s="2" t="s">
        <v>983</v>
      </c>
      <c r="H1618" s="2" t="s">
        <v>984</v>
      </c>
      <c r="I1618" s="2" t="s">
        <v>1053</v>
      </c>
      <c r="J1618" s="2" t="s">
        <v>31</v>
      </c>
    </row>
    <row r="1619" spans="1:10" ht="21" customHeight="1">
      <c r="A1619" s="2" t="s">
        <v>2610</v>
      </c>
      <c r="B1619" s="2" t="s">
        <v>31</v>
      </c>
      <c r="C1619" s="4">
        <v>45815.25</v>
      </c>
      <c r="D1619" s="4">
        <v>45815.250377141201</v>
      </c>
      <c r="E1619" s="2">
        <v>4.99</v>
      </c>
      <c r="F1619" s="2">
        <v>68.099999999999994</v>
      </c>
      <c r="G1619" s="2" t="s">
        <v>983</v>
      </c>
      <c r="H1619" s="2" t="s">
        <v>984</v>
      </c>
      <c r="I1619" s="2"/>
      <c r="J1619" s="2" t="s">
        <v>31</v>
      </c>
    </row>
    <row r="1620" spans="1:10" ht="21" customHeight="1">
      <c r="A1620" s="2" t="s">
        <v>2611</v>
      </c>
      <c r="B1620" s="2" t="s">
        <v>31</v>
      </c>
      <c r="C1620" s="4">
        <v>45816.25</v>
      </c>
      <c r="D1620" s="4">
        <v>45816.250422800927</v>
      </c>
      <c r="E1620" s="2">
        <v>2.13</v>
      </c>
      <c r="F1620" s="2">
        <v>58.1</v>
      </c>
      <c r="G1620" s="2" t="s">
        <v>983</v>
      </c>
      <c r="H1620" s="2" t="s">
        <v>984</v>
      </c>
      <c r="I1620" s="2"/>
      <c r="J1620" s="2" t="s">
        <v>31</v>
      </c>
    </row>
    <row r="1621" spans="1:10" ht="21" customHeight="1">
      <c r="A1621" s="2" t="s">
        <v>2612</v>
      </c>
      <c r="B1621" s="2" t="s">
        <v>31</v>
      </c>
      <c r="C1621" s="4">
        <v>45817.25</v>
      </c>
      <c r="D1621" s="4">
        <v>45817.250675266201</v>
      </c>
      <c r="E1621" s="2">
        <v>2.61</v>
      </c>
      <c r="F1621" s="2">
        <v>63.6</v>
      </c>
      <c r="G1621" s="2" t="s">
        <v>983</v>
      </c>
      <c r="H1621" s="2" t="s">
        <v>984</v>
      </c>
      <c r="I1621" s="2"/>
      <c r="J1621" s="2" t="s">
        <v>31</v>
      </c>
    </row>
    <row r="1622" spans="1:10" ht="21" customHeight="1">
      <c r="A1622" s="2" t="s">
        <v>2613</v>
      </c>
      <c r="B1622" s="2" t="s">
        <v>31</v>
      </c>
      <c r="C1622" s="4">
        <v>45818.25</v>
      </c>
      <c r="D1622" s="4">
        <v>45818.250383344908</v>
      </c>
      <c r="E1622" s="2">
        <v>3.15</v>
      </c>
      <c r="F1622" s="2">
        <v>58.9</v>
      </c>
      <c r="G1622" s="2" t="s">
        <v>983</v>
      </c>
      <c r="H1622" s="2" t="s">
        <v>984</v>
      </c>
      <c r="I1622" s="2"/>
      <c r="J1622" s="2" t="s">
        <v>31</v>
      </c>
    </row>
    <row r="1623" spans="1:10" ht="21" customHeight="1">
      <c r="A1623" s="2" t="s">
        <v>2614</v>
      </c>
      <c r="B1623" s="2" t="s">
        <v>31</v>
      </c>
      <c r="C1623" s="4">
        <v>45819.25</v>
      </c>
      <c r="D1623" s="4">
        <v>45819.250474016204</v>
      </c>
      <c r="E1623" s="2">
        <v>2.72</v>
      </c>
      <c r="F1623" s="2">
        <v>62.5</v>
      </c>
      <c r="G1623" s="2" t="s">
        <v>983</v>
      </c>
      <c r="H1623" s="2" t="s">
        <v>984</v>
      </c>
      <c r="I1623" s="2"/>
      <c r="J1623" s="2" t="s">
        <v>31</v>
      </c>
    </row>
    <row r="1624" spans="1:10" ht="21" customHeight="1">
      <c r="A1624" s="2" t="s">
        <v>2615</v>
      </c>
      <c r="B1624" s="2" t="s">
        <v>31</v>
      </c>
      <c r="C1624" s="4">
        <v>45820.25</v>
      </c>
      <c r="D1624" s="4">
        <v>45820.250663599538</v>
      </c>
      <c r="E1624" s="2">
        <v>2.27</v>
      </c>
      <c r="F1624" s="2">
        <v>61.4</v>
      </c>
      <c r="G1624" s="2" t="s">
        <v>983</v>
      </c>
      <c r="H1624" s="2" t="s">
        <v>984</v>
      </c>
      <c r="I1624" s="2"/>
      <c r="J1624" s="2" t="s">
        <v>31</v>
      </c>
    </row>
    <row r="1625" spans="1:10" ht="21" customHeight="1">
      <c r="A1625" s="2" t="s">
        <v>2616</v>
      </c>
      <c r="B1625" s="2" t="s">
        <v>31</v>
      </c>
      <c r="C1625" s="4">
        <v>45821.25</v>
      </c>
      <c r="D1625" s="4">
        <v>45821.250626168985</v>
      </c>
      <c r="E1625" s="2">
        <v>2.67</v>
      </c>
      <c r="F1625" s="2">
        <v>63.3</v>
      </c>
      <c r="G1625" s="2" t="s">
        <v>983</v>
      </c>
      <c r="H1625" s="2" t="s">
        <v>984</v>
      </c>
      <c r="I1625" s="2"/>
      <c r="J1625" s="2" t="s">
        <v>31</v>
      </c>
    </row>
    <row r="1626" spans="1:10" ht="21" customHeight="1">
      <c r="A1626" s="2" t="s">
        <v>2617</v>
      </c>
      <c r="B1626" s="2" t="s">
        <v>31</v>
      </c>
      <c r="C1626" s="4">
        <v>45822.25</v>
      </c>
      <c r="D1626" s="4">
        <v>45822.250015555561</v>
      </c>
      <c r="E1626" s="2">
        <v>2.2799999999999998</v>
      </c>
      <c r="F1626" s="2">
        <v>62.4</v>
      </c>
      <c r="G1626" s="2" t="s">
        <v>983</v>
      </c>
      <c r="H1626" s="2" t="s">
        <v>984</v>
      </c>
      <c r="I1626" s="2"/>
      <c r="J1626" s="2" t="s">
        <v>31</v>
      </c>
    </row>
    <row r="1627" spans="1:10" ht="21" customHeight="1">
      <c r="A1627" s="2" t="s">
        <v>2618</v>
      </c>
      <c r="B1627" s="2" t="s">
        <v>31</v>
      </c>
      <c r="C1627" s="4">
        <v>45823.25</v>
      </c>
      <c r="D1627" s="4">
        <v>45823.250483009258</v>
      </c>
      <c r="E1627" s="2">
        <v>3.11</v>
      </c>
      <c r="F1627" s="2">
        <v>61.8</v>
      </c>
      <c r="G1627" s="2" t="s">
        <v>983</v>
      </c>
      <c r="H1627" s="2" t="s">
        <v>984</v>
      </c>
      <c r="I1627" s="2"/>
      <c r="J1627" s="2" t="s">
        <v>31</v>
      </c>
    </row>
    <row r="1628" spans="1:10" ht="21" customHeight="1">
      <c r="A1628" s="2" t="s">
        <v>2619</v>
      </c>
      <c r="B1628" s="2" t="s">
        <v>31</v>
      </c>
      <c r="C1628" s="4">
        <v>45824.25</v>
      </c>
      <c r="D1628" s="4">
        <v>45824.250369768517</v>
      </c>
      <c r="E1628" s="2">
        <v>3.06</v>
      </c>
      <c r="F1628" s="2">
        <v>63.9</v>
      </c>
      <c r="G1628" s="2" t="s">
        <v>983</v>
      </c>
      <c r="H1628" s="2" t="s">
        <v>984</v>
      </c>
      <c r="I1628" s="2"/>
      <c r="J1628" s="2" t="s">
        <v>31</v>
      </c>
    </row>
    <row r="1629" spans="1:10" ht="21" customHeight="1">
      <c r="A1629" s="2" t="s">
        <v>2620</v>
      </c>
      <c r="B1629" s="2" t="s">
        <v>31</v>
      </c>
      <c r="C1629" s="4">
        <v>45825.25</v>
      </c>
      <c r="D1629" s="4">
        <v>45825.250295219907</v>
      </c>
      <c r="E1629" s="2">
        <v>2.4300000000000002</v>
      </c>
      <c r="F1629" s="2">
        <v>59.7</v>
      </c>
      <c r="G1629" s="2" t="s">
        <v>983</v>
      </c>
      <c r="H1629" s="2" t="s">
        <v>984</v>
      </c>
      <c r="I1629" s="2"/>
      <c r="J1629" s="2" t="s">
        <v>31</v>
      </c>
    </row>
    <row r="1630" spans="1:10" ht="21" customHeight="1">
      <c r="A1630" s="2" t="s">
        <v>2621</v>
      </c>
      <c r="B1630" s="2" t="s">
        <v>31</v>
      </c>
      <c r="C1630" s="4">
        <v>45826.25</v>
      </c>
      <c r="D1630" s="4">
        <v>45826.250363530096</v>
      </c>
      <c r="E1630" s="2">
        <v>2.1800000000000002</v>
      </c>
      <c r="F1630" s="2">
        <v>62.2</v>
      </c>
      <c r="G1630" s="2" t="s">
        <v>983</v>
      </c>
      <c r="H1630" s="2" t="s">
        <v>984</v>
      </c>
      <c r="I1630" s="2"/>
      <c r="J1630" s="2" t="s">
        <v>31</v>
      </c>
    </row>
    <row r="1631" spans="1:10" ht="21" customHeight="1">
      <c r="A1631" s="2" t="s">
        <v>2622</v>
      </c>
      <c r="B1631" s="2" t="s">
        <v>31</v>
      </c>
      <c r="C1631" s="4">
        <v>45827.25</v>
      </c>
      <c r="D1631" s="4">
        <v>45827.250332349533</v>
      </c>
      <c r="E1631" s="2">
        <v>2.94</v>
      </c>
      <c r="F1631" s="2">
        <v>62.4</v>
      </c>
      <c r="G1631" s="2" t="s">
        <v>983</v>
      </c>
      <c r="H1631" s="2" t="s">
        <v>984</v>
      </c>
      <c r="I1631" s="2"/>
      <c r="J1631" s="2" t="s">
        <v>31</v>
      </c>
    </row>
    <row r="1632" spans="1:10" ht="21" customHeight="1">
      <c r="A1632" s="2" t="s">
        <v>2623</v>
      </c>
      <c r="B1632" s="2" t="s">
        <v>31</v>
      </c>
      <c r="C1632" s="4">
        <v>45828.25</v>
      </c>
      <c r="D1632" s="4">
        <v>45828.25028925926</v>
      </c>
      <c r="E1632" s="2">
        <v>2.64</v>
      </c>
      <c r="F1632" s="2">
        <v>61</v>
      </c>
      <c r="G1632" s="2" t="s">
        <v>983</v>
      </c>
      <c r="H1632" s="2" t="s">
        <v>984</v>
      </c>
      <c r="I1632" s="2" t="s">
        <v>985</v>
      </c>
      <c r="J1632" s="2" t="s">
        <v>31</v>
      </c>
    </row>
    <row r="1633" spans="1:10" ht="21" customHeight="1">
      <c r="A1633" s="2" t="s">
        <v>2624</v>
      </c>
      <c r="B1633" s="2" t="s">
        <v>31</v>
      </c>
      <c r="C1633" s="4">
        <v>45829.25</v>
      </c>
      <c r="D1633" s="4">
        <v>45829.250478217597</v>
      </c>
      <c r="E1633" s="2">
        <v>2.38</v>
      </c>
      <c r="F1633" s="2">
        <v>60.7</v>
      </c>
      <c r="G1633" s="2" t="s">
        <v>983</v>
      </c>
      <c r="H1633" s="2" t="s">
        <v>984</v>
      </c>
      <c r="I1633" s="2"/>
      <c r="J1633" s="2" t="s">
        <v>31</v>
      </c>
    </row>
    <row r="1634" spans="1:10" ht="21" customHeight="1">
      <c r="A1634" s="2" t="s">
        <v>2625</v>
      </c>
      <c r="B1634" s="2" t="s">
        <v>31</v>
      </c>
      <c r="C1634" s="4">
        <v>45830.25</v>
      </c>
      <c r="D1634" s="4">
        <v>45830.250026678244</v>
      </c>
      <c r="E1634" s="2">
        <v>2.56</v>
      </c>
      <c r="F1634" s="2">
        <v>65.2</v>
      </c>
      <c r="G1634" s="2" t="s">
        <v>983</v>
      </c>
      <c r="H1634" s="2" t="s">
        <v>984</v>
      </c>
      <c r="I1634" s="2"/>
      <c r="J1634" s="2" t="s">
        <v>31</v>
      </c>
    </row>
    <row r="1635" spans="1:10" ht="21" customHeight="1">
      <c r="A1635" s="2" t="s">
        <v>2626</v>
      </c>
      <c r="B1635" s="2" t="s">
        <v>31</v>
      </c>
      <c r="C1635" s="4">
        <v>45831.25</v>
      </c>
      <c r="D1635" s="4">
        <v>45831.25045521991</v>
      </c>
      <c r="E1635" s="2">
        <v>3.27</v>
      </c>
      <c r="F1635" s="2">
        <v>58.8</v>
      </c>
      <c r="G1635" s="2" t="s">
        <v>983</v>
      </c>
      <c r="H1635" s="2" t="s">
        <v>984</v>
      </c>
      <c r="I1635" s="2"/>
      <c r="J1635" s="2" t="s">
        <v>31</v>
      </c>
    </row>
    <row r="1636" spans="1:10" ht="21" customHeight="1">
      <c r="A1636" s="2" t="s">
        <v>2627</v>
      </c>
      <c r="B1636" s="2" t="s">
        <v>31</v>
      </c>
      <c r="C1636" s="4">
        <v>45832.25</v>
      </c>
      <c r="D1636" s="4">
        <v>45832.250195613422</v>
      </c>
      <c r="E1636" s="2">
        <v>2.2200000000000002</v>
      </c>
      <c r="F1636" s="2">
        <v>63.9</v>
      </c>
      <c r="G1636" s="2" t="s">
        <v>983</v>
      </c>
      <c r="H1636" s="2" t="s">
        <v>984</v>
      </c>
      <c r="I1636" s="2"/>
      <c r="J1636" s="2" t="s">
        <v>31</v>
      </c>
    </row>
    <row r="1637" spans="1:10" ht="21" customHeight="1">
      <c r="A1637" s="2" t="s">
        <v>2628</v>
      </c>
      <c r="B1637" s="2" t="s">
        <v>31</v>
      </c>
      <c r="C1637" s="4">
        <v>45833.25</v>
      </c>
      <c r="D1637" s="4">
        <v>45833.250117997683</v>
      </c>
      <c r="E1637" s="2">
        <v>3.01</v>
      </c>
      <c r="F1637" s="2">
        <v>60</v>
      </c>
      <c r="G1637" s="2" t="s">
        <v>983</v>
      </c>
      <c r="H1637" s="2" t="s">
        <v>984</v>
      </c>
      <c r="I1637" s="2"/>
      <c r="J1637" s="2" t="s">
        <v>31</v>
      </c>
    </row>
    <row r="1638" spans="1:10" ht="21" customHeight="1">
      <c r="A1638" s="2" t="s">
        <v>2629</v>
      </c>
      <c r="B1638" s="2" t="s">
        <v>31</v>
      </c>
      <c r="C1638" s="4">
        <v>45834.25</v>
      </c>
      <c r="D1638" s="4">
        <v>45834.25048037037</v>
      </c>
      <c r="E1638" s="2">
        <v>2.29</v>
      </c>
      <c r="F1638" s="2">
        <v>61.9</v>
      </c>
      <c r="G1638" s="2" t="s">
        <v>983</v>
      </c>
      <c r="H1638" s="2" t="s">
        <v>984</v>
      </c>
      <c r="I1638" s="2"/>
      <c r="J1638" s="2" t="s">
        <v>31</v>
      </c>
    </row>
    <row r="1639" spans="1:10" ht="21" customHeight="1">
      <c r="A1639" s="2" t="s">
        <v>2630</v>
      </c>
      <c r="B1639" s="2" t="s">
        <v>31</v>
      </c>
      <c r="C1639" s="4">
        <v>45835.25</v>
      </c>
      <c r="D1639" s="4">
        <v>45835.250610752315</v>
      </c>
      <c r="E1639" s="2">
        <v>3.05</v>
      </c>
      <c r="F1639" s="2">
        <v>63.5</v>
      </c>
      <c r="G1639" s="2" t="s">
        <v>983</v>
      </c>
      <c r="H1639" s="2" t="s">
        <v>984</v>
      </c>
      <c r="I1639" s="2"/>
      <c r="J1639" s="2" t="s">
        <v>31</v>
      </c>
    </row>
    <row r="1640" spans="1:10" ht="21" customHeight="1">
      <c r="A1640" s="2" t="s">
        <v>2631</v>
      </c>
      <c r="B1640" s="2" t="s">
        <v>31</v>
      </c>
      <c r="C1640" s="4">
        <v>45836.25</v>
      </c>
      <c r="D1640" s="4">
        <v>45836.250443263889</v>
      </c>
      <c r="E1640" s="2">
        <v>2.5</v>
      </c>
      <c r="F1640" s="2">
        <v>59.1</v>
      </c>
      <c r="G1640" s="2" t="s">
        <v>983</v>
      </c>
      <c r="H1640" s="2" t="s">
        <v>984</v>
      </c>
      <c r="I1640" s="2"/>
      <c r="J1640" s="2" t="s">
        <v>31</v>
      </c>
    </row>
    <row r="1641" spans="1:10" ht="21" customHeight="1">
      <c r="A1641" s="2" t="s">
        <v>2632</v>
      </c>
      <c r="B1641" s="2" t="s">
        <v>31</v>
      </c>
      <c r="C1641" s="4">
        <v>45837.25</v>
      </c>
      <c r="D1641" s="4">
        <v>45837.250404699073</v>
      </c>
      <c r="E1641" s="2">
        <v>3.22</v>
      </c>
      <c r="F1641" s="2">
        <v>61.2</v>
      </c>
      <c r="G1641" s="2" t="s">
        <v>983</v>
      </c>
      <c r="H1641" s="2" t="s">
        <v>984</v>
      </c>
      <c r="I1641" s="2"/>
      <c r="J1641" s="2" t="s">
        <v>31</v>
      </c>
    </row>
    <row r="1642" spans="1:10" ht="21" customHeight="1">
      <c r="A1642" s="2" t="s">
        <v>2633</v>
      </c>
      <c r="B1642" s="2" t="s">
        <v>2469</v>
      </c>
      <c r="C1642" s="4">
        <v>45838.25</v>
      </c>
      <c r="D1642" s="4">
        <v>45838.250680277779</v>
      </c>
      <c r="E1642" s="2">
        <v>2.19</v>
      </c>
      <c r="F1642" s="2">
        <v>65.599999999999994</v>
      </c>
      <c r="G1642" s="2" t="s">
        <v>983</v>
      </c>
      <c r="H1642" s="2" t="s">
        <v>984</v>
      </c>
      <c r="I1642" s="2"/>
      <c r="J1642" s="2" t="s">
        <v>31</v>
      </c>
    </row>
    <row r="1643" spans="1:10" ht="21" customHeight="1">
      <c r="A1643" s="2" t="s">
        <v>2634</v>
      </c>
      <c r="B1643" s="2" t="s">
        <v>31</v>
      </c>
      <c r="C1643" s="4">
        <v>45839.25</v>
      </c>
      <c r="D1643" s="4">
        <v>45839.250607372684</v>
      </c>
      <c r="E1643" s="2">
        <v>2.2599999999999998</v>
      </c>
      <c r="F1643" s="2">
        <v>64.8</v>
      </c>
      <c r="G1643" s="2" t="s">
        <v>983</v>
      </c>
      <c r="H1643" s="2" t="s">
        <v>984</v>
      </c>
      <c r="I1643" s="2"/>
      <c r="J1643" s="2" t="s">
        <v>31</v>
      </c>
    </row>
    <row r="1644" spans="1:10" ht="21" customHeight="1">
      <c r="A1644" s="2" t="s">
        <v>2635</v>
      </c>
      <c r="B1644" s="2" t="s">
        <v>31</v>
      </c>
      <c r="C1644" s="4">
        <v>45840.25</v>
      </c>
      <c r="D1644" s="4">
        <v>45840.250572060184</v>
      </c>
      <c r="E1644" s="2">
        <v>2.4300000000000002</v>
      </c>
      <c r="F1644" s="2">
        <v>61.2</v>
      </c>
      <c r="G1644" s="2" t="s">
        <v>983</v>
      </c>
      <c r="H1644" s="2" t="s">
        <v>984</v>
      </c>
      <c r="I1644" s="2"/>
      <c r="J1644" s="2" t="s">
        <v>31</v>
      </c>
    </row>
    <row r="1645" spans="1:10" ht="21" customHeight="1">
      <c r="A1645" s="2" t="s">
        <v>2636</v>
      </c>
      <c r="B1645" s="2" t="s">
        <v>31</v>
      </c>
      <c r="C1645" s="4">
        <v>45841.25</v>
      </c>
      <c r="D1645" s="4">
        <v>45841.25043211806</v>
      </c>
      <c r="E1645" s="2">
        <v>2.2000000000000002</v>
      </c>
      <c r="F1645" s="2">
        <v>64.599999999999994</v>
      </c>
      <c r="G1645" s="2" t="s">
        <v>983</v>
      </c>
      <c r="H1645" s="2" t="s">
        <v>984</v>
      </c>
      <c r="I1645" s="2"/>
      <c r="J1645" s="2" t="s">
        <v>31</v>
      </c>
    </row>
    <row r="1646" spans="1:10" ht="21" customHeight="1">
      <c r="A1646" s="2" t="s">
        <v>2637</v>
      </c>
      <c r="B1646" s="2" t="s">
        <v>31</v>
      </c>
      <c r="C1646" s="4">
        <v>45842.25</v>
      </c>
      <c r="D1646" s="4">
        <v>45842.250136388888</v>
      </c>
      <c r="E1646" s="2">
        <v>3.01</v>
      </c>
      <c r="F1646" s="2">
        <v>62.1</v>
      </c>
      <c r="G1646" s="2" t="s">
        <v>983</v>
      </c>
      <c r="H1646" s="2" t="s">
        <v>984</v>
      </c>
      <c r="I1646" s="2"/>
      <c r="J1646" s="2" t="s">
        <v>31</v>
      </c>
    </row>
    <row r="1647" spans="1:10" ht="21" customHeight="1">
      <c r="A1647" s="2" t="s">
        <v>2638</v>
      </c>
      <c r="B1647" s="2" t="s">
        <v>31</v>
      </c>
      <c r="C1647" s="4">
        <v>45843.25</v>
      </c>
      <c r="D1647" s="4">
        <v>45843.250419606484</v>
      </c>
      <c r="E1647" s="2">
        <v>6.25</v>
      </c>
      <c r="F1647" s="2">
        <v>71</v>
      </c>
      <c r="G1647" s="2" t="s">
        <v>983</v>
      </c>
      <c r="H1647" s="2" t="s">
        <v>984</v>
      </c>
      <c r="I1647" s="2"/>
      <c r="J1647" s="2" t="s">
        <v>31</v>
      </c>
    </row>
    <row r="1648" spans="1:10" ht="21" customHeight="1">
      <c r="A1648" s="2" t="s">
        <v>2639</v>
      </c>
      <c r="B1648" s="2" t="s">
        <v>31</v>
      </c>
      <c r="C1648" s="4">
        <v>45844.25</v>
      </c>
      <c r="D1648" s="4">
        <v>45844.250210462968</v>
      </c>
      <c r="E1648" s="2">
        <v>5.77</v>
      </c>
      <c r="F1648" s="2">
        <v>67.2</v>
      </c>
      <c r="G1648" s="2" t="s">
        <v>983</v>
      </c>
      <c r="H1648" s="2" t="s">
        <v>984</v>
      </c>
      <c r="I1648" s="2" t="s">
        <v>1053</v>
      </c>
      <c r="J1648" s="2" t="s">
        <v>31</v>
      </c>
    </row>
    <row r="1649" spans="1:10" ht="21" customHeight="1">
      <c r="A1649" s="2" t="s">
        <v>2640</v>
      </c>
      <c r="B1649" s="2" t="s">
        <v>31</v>
      </c>
      <c r="C1649" s="4">
        <v>45845.25</v>
      </c>
      <c r="D1649" s="4">
        <v>45845.250232430553</v>
      </c>
      <c r="E1649" s="2">
        <v>6.18</v>
      </c>
      <c r="F1649" s="2">
        <v>69.400000000000006</v>
      </c>
      <c r="G1649" s="2" t="s">
        <v>983</v>
      </c>
      <c r="H1649" s="2" t="s">
        <v>984</v>
      </c>
      <c r="I1649" s="2" t="s">
        <v>985</v>
      </c>
      <c r="J1649" s="2" t="s">
        <v>31</v>
      </c>
    </row>
    <row r="1650" spans="1:10" ht="21" customHeight="1">
      <c r="A1650" s="2" t="s">
        <v>2641</v>
      </c>
      <c r="B1650" s="2" t="s">
        <v>31</v>
      </c>
      <c r="C1650" s="4">
        <v>45846.25</v>
      </c>
      <c r="D1650" s="4">
        <v>45846.25060003472</v>
      </c>
      <c r="E1650" s="2">
        <v>0</v>
      </c>
      <c r="F1650" s="2">
        <v>59.6</v>
      </c>
      <c r="G1650" s="2" t="s">
        <v>1175</v>
      </c>
      <c r="H1650" s="2" t="s">
        <v>984</v>
      </c>
      <c r="I1650" s="2"/>
      <c r="J1650" s="2" t="s">
        <v>31</v>
      </c>
    </row>
    <row r="1651" spans="1:10" ht="21" customHeight="1">
      <c r="A1651" s="2" t="s">
        <v>2642</v>
      </c>
      <c r="B1651" s="2" t="s">
        <v>31</v>
      </c>
      <c r="C1651" s="4">
        <v>45847.25</v>
      </c>
      <c r="D1651" s="4">
        <v>45847.250067025467</v>
      </c>
      <c r="E1651" s="2">
        <v>2.6</v>
      </c>
      <c r="F1651" s="2">
        <v>62.3</v>
      </c>
      <c r="G1651" s="2" t="s">
        <v>983</v>
      </c>
      <c r="H1651" s="2" t="s">
        <v>984</v>
      </c>
      <c r="I1651" s="2"/>
      <c r="J1651" s="2" t="s">
        <v>31</v>
      </c>
    </row>
    <row r="1652" spans="1:10" ht="21" customHeight="1">
      <c r="A1652" s="2" t="s">
        <v>2643</v>
      </c>
      <c r="B1652" s="2" t="s">
        <v>31</v>
      </c>
      <c r="C1652" s="4">
        <v>45848.25</v>
      </c>
      <c r="D1652" s="4">
        <v>45848.250179722221</v>
      </c>
      <c r="E1652" s="2">
        <v>3.27</v>
      </c>
      <c r="F1652" s="2">
        <v>62.3</v>
      </c>
      <c r="G1652" s="2" t="s">
        <v>983</v>
      </c>
      <c r="H1652" s="2" t="s">
        <v>984</v>
      </c>
      <c r="I1652" s="2"/>
      <c r="J1652" s="2" t="s">
        <v>31</v>
      </c>
    </row>
    <row r="1653" spans="1:10" ht="21" customHeight="1">
      <c r="A1653" s="2" t="s">
        <v>2644</v>
      </c>
      <c r="B1653" s="2" t="s">
        <v>31</v>
      </c>
      <c r="C1653" s="4">
        <v>45849.25</v>
      </c>
      <c r="D1653" s="4">
        <v>45849.250252835649</v>
      </c>
      <c r="E1653" s="2">
        <v>3.24</v>
      </c>
      <c r="F1653" s="2">
        <v>60.8</v>
      </c>
      <c r="G1653" s="2" t="s">
        <v>983</v>
      </c>
      <c r="H1653" s="2" t="s">
        <v>984</v>
      </c>
      <c r="I1653" s="2"/>
      <c r="J1653" s="2" t="s">
        <v>31</v>
      </c>
    </row>
    <row r="1654" spans="1:10" ht="21" customHeight="1">
      <c r="A1654" s="2" t="s">
        <v>2645</v>
      </c>
      <c r="B1654" s="2" t="s">
        <v>31</v>
      </c>
      <c r="C1654" s="4">
        <v>45850.25</v>
      </c>
      <c r="D1654" s="4">
        <v>45850.250462291668</v>
      </c>
      <c r="E1654" s="2">
        <v>2.39</v>
      </c>
      <c r="F1654" s="2">
        <v>65.900000000000006</v>
      </c>
      <c r="G1654" s="2" t="s">
        <v>983</v>
      </c>
      <c r="H1654" s="2" t="s">
        <v>984</v>
      </c>
      <c r="I1654" s="2"/>
      <c r="J1654" s="2" t="s">
        <v>31</v>
      </c>
    </row>
    <row r="1655" spans="1:10" ht="21" customHeight="1">
      <c r="A1655" s="2" t="s">
        <v>2646</v>
      </c>
      <c r="B1655" s="2" t="s">
        <v>31</v>
      </c>
      <c r="C1655" s="4">
        <v>45851.25</v>
      </c>
      <c r="D1655" s="4">
        <v>45851.250314699078</v>
      </c>
      <c r="E1655" s="2">
        <v>2.3199999999999998</v>
      </c>
      <c r="F1655" s="2">
        <v>59.8</v>
      </c>
      <c r="G1655" s="2" t="s">
        <v>983</v>
      </c>
      <c r="H1655" s="2" t="s">
        <v>984</v>
      </c>
      <c r="I1655" s="2"/>
      <c r="J1655" s="2" t="s">
        <v>31</v>
      </c>
    </row>
    <row r="1656" spans="1:10" ht="21" customHeight="1">
      <c r="A1656" s="2" t="s">
        <v>2647</v>
      </c>
      <c r="B1656" s="2" t="s">
        <v>31</v>
      </c>
      <c r="C1656" s="4">
        <v>45852.25</v>
      </c>
      <c r="D1656" s="4">
        <v>45852.250315914353</v>
      </c>
      <c r="E1656" s="2">
        <v>2.92</v>
      </c>
      <c r="F1656" s="2">
        <v>60.6</v>
      </c>
      <c r="G1656" s="2" t="s">
        <v>983</v>
      </c>
      <c r="H1656" s="2" t="s">
        <v>984</v>
      </c>
      <c r="I1656" s="2"/>
      <c r="J1656" s="2" t="s">
        <v>31</v>
      </c>
    </row>
    <row r="1657" spans="1:10" ht="21" customHeight="1">
      <c r="A1657" s="2" t="s">
        <v>2648</v>
      </c>
      <c r="B1657" s="2" t="s">
        <v>31</v>
      </c>
      <c r="C1657" s="4">
        <v>45853.25</v>
      </c>
      <c r="D1657" s="4">
        <v>45853.25068704861</v>
      </c>
      <c r="E1657" s="2">
        <v>3.19</v>
      </c>
      <c r="F1657" s="2">
        <v>59.2</v>
      </c>
      <c r="G1657" s="2" t="s">
        <v>983</v>
      </c>
      <c r="H1657" s="2" t="s">
        <v>984</v>
      </c>
      <c r="I1657" s="2"/>
      <c r="J1657" s="2" t="s">
        <v>31</v>
      </c>
    </row>
    <row r="1658" spans="1:10" ht="21" customHeight="1">
      <c r="A1658" s="2" t="s">
        <v>2649</v>
      </c>
      <c r="B1658" s="2" t="s">
        <v>31</v>
      </c>
      <c r="C1658" s="4">
        <v>45854.25</v>
      </c>
      <c r="D1658" s="4">
        <v>45854.250259432869</v>
      </c>
      <c r="E1658" s="2">
        <v>2.83</v>
      </c>
      <c r="F1658" s="2">
        <v>62.3</v>
      </c>
      <c r="G1658" s="2" t="s">
        <v>983</v>
      </c>
      <c r="H1658" s="2" t="s">
        <v>984</v>
      </c>
      <c r="I1658" s="2"/>
      <c r="J1658" s="2" t="s">
        <v>31</v>
      </c>
    </row>
    <row r="1659" spans="1:10" ht="21" customHeight="1">
      <c r="A1659" s="2" t="s">
        <v>2650</v>
      </c>
      <c r="B1659" s="2" t="s">
        <v>31</v>
      </c>
      <c r="C1659" s="4">
        <v>45855.25</v>
      </c>
      <c r="D1659" s="4">
        <v>45855.250574120371</v>
      </c>
      <c r="E1659" s="2">
        <v>2.5299999999999998</v>
      </c>
      <c r="F1659" s="2">
        <v>59.2</v>
      </c>
      <c r="G1659" s="2" t="s">
        <v>983</v>
      </c>
      <c r="H1659" s="2" t="s">
        <v>984</v>
      </c>
      <c r="I1659" s="2"/>
      <c r="J1659" s="2" t="s">
        <v>31</v>
      </c>
    </row>
    <row r="1660" spans="1:10" ht="21" customHeight="1">
      <c r="A1660" s="2" t="s">
        <v>2651</v>
      </c>
      <c r="B1660" s="2" t="s">
        <v>31</v>
      </c>
      <c r="C1660" s="4">
        <v>45856.25</v>
      </c>
      <c r="D1660" s="4">
        <v>45856.250563969908</v>
      </c>
      <c r="E1660" s="2">
        <v>3.16</v>
      </c>
      <c r="F1660" s="2">
        <v>58.5</v>
      </c>
      <c r="G1660" s="2" t="s">
        <v>983</v>
      </c>
      <c r="H1660" s="2" t="s">
        <v>984</v>
      </c>
      <c r="I1660" s="2"/>
      <c r="J1660" s="2" t="s">
        <v>31</v>
      </c>
    </row>
    <row r="1661" spans="1:10" ht="21" customHeight="1">
      <c r="A1661" s="2" t="s">
        <v>2652</v>
      </c>
      <c r="B1661" s="2" t="s">
        <v>31</v>
      </c>
      <c r="C1661" s="4">
        <v>45857.25</v>
      </c>
      <c r="D1661" s="4">
        <v>45857.250143553239</v>
      </c>
      <c r="E1661" s="2">
        <v>2.97</v>
      </c>
      <c r="F1661" s="2">
        <v>59.9</v>
      </c>
      <c r="G1661" s="2" t="s">
        <v>983</v>
      </c>
      <c r="H1661" s="2" t="s">
        <v>984</v>
      </c>
      <c r="I1661" s="2"/>
      <c r="J1661" s="2" t="s">
        <v>31</v>
      </c>
    </row>
    <row r="1662" spans="1:10" ht="21" customHeight="1">
      <c r="A1662" s="2" t="s">
        <v>2653</v>
      </c>
      <c r="B1662" s="2" t="s">
        <v>31</v>
      </c>
      <c r="C1662" s="4">
        <v>45858.25</v>
      </c>
      <c r="D1662" s="4">
        <v>45858.25056565972</v>
      </c>
      <c r="E1662" s="2">
        <v>3</v>
      </c>
      <c r="F1662" s="2">
        <v>63.7</v>
      </c>
      <c r="G1662" s="2" t="s">
        <v>983</v>
      </c>
      <c r="H1662" s="2" t="s">
        <v>984</v>
      </c>
      <c r="I1662" s="2"/>
      <c r="J1662" s="2" t="s">
        <v>31</v>
      </c>
    </row>
    <row r="1663" spans="1:10" ht="21" customHeight="1">
      <c r="A1663" s="2" t="s">
        <v>2654</v>
      </c>
      <c r="B1663" s="2" t="s">
        <v>31</v>
      </c>
      <c r="C1663" s="4">
        <v>45859.25</v>
      </c>
      <c r="D1663" s="4">
        <v>45859.250604583329</v>
      </c>
      <c r="E1663" s="2">
        <v>0</v>
      </c>
      <c r="F1663" s="2">
        <v>60.4</v>
      </c>
      <c r="G1663" s="2" t="s">
        <v>1175</v>
      </c>
      <c r="H1663" s="2" t="s">
        <v>984</v>
      </c>
      <c r="I1663" s="2"/>
      <c r="J1663" s="2" t="s">
        <v>31</v>
      </c>
    </row>
    <row r="1664" spans="1:10" ht="21" customHeight="1">
      <c r="A1664" s="2" t="s">
        <v>2655</v>
      </c>
      <c r="B1664" s="2" t="s">
        <v>31</v>
      </c>
      <c r="C1664" s="4">
        <v>45860.25</v>
      </c>
      <c r="D1664" s="4">
        <v>45860.250304293979</v>
      </c>
      <c r="E1664" s="2">
        <v>2.2000000000000002</v>
      </c>
      <c r="F1664" s="2">
        <v>58.9</v>
      </c>
      <c r="G1664" s="2" t="s">
        <v>983</v>
      </c>
      <c r="H1664" s="2" t="s">
        <v>984</v>
      </c>
      <c r="I1664" s="2"/>
      <c r="J1664" s="2" t="s">
        <v>31</v>
      </c>
    </row>
    <row r="1665" spans="1:10" ht="21" customHeight="1">
      <c r="A1665" s="2" t="s">
        <v>2656</v>
      </c>
      <c r="B1665" s="2" t="s">
        <v>31</v>
      </c>
      <c r="C1665" s="4">
        <v>45861.25</v>
      </c>
      <c r="D1665" s="4">
        <v>45861.250483124997</v>
      </c>
      <c r="E1665" s="2">
        <v>2.98</v>
      </c>
      <c r="F1665" s="2">
        <v>61.4</v>
      </c>
      <c r="G1665" s="2" t="s">
        <v>983</v>
      </c>
      <c r="H1665" s="2" t="s">
        <v>984</v>
      </c>
      <c r="I1665" s="2"/>
      <c r="J1665" s="2" t="s">
        <v>31</v>
      </c>
    </row>
    <row r="1666" spans="1:10" ht="21" customHeight="1">
      <c r="A1666" s="2" t="s">
        <v>2657</v>
      </c>
      <c r="B1666" s="2" t="s">
        <v>31</v>
      </c>
      <c r="C1666" s="4">
        <v>45862.25</v>
      </c>
      <c r="D1666" s="4">
        <v>45862.25049825231</v>
      </c>
      <c r="E1666" s="2">
        <v>3.15</v>
      </c>
      <c r="F1666" s="2">
        <v>64</v>
      </c>
      <c r="G1666" s="2" t="s">
        <v>983</v>
      </c>
      <c r="H1666" s="2" t="s">
        <v>984</v>
      </c>
      <c r="I1666" s="2" t="s">
        <v>985</v>
      </c>
      <c r="J1666" s="2" t="s">
        <v>31</v>
      </c>
    </row>
    <row r="1667" spans="1:10" ht="21" customHeight="1">
      <c r="A1667" s="2" t="s">
        <v>2658</v>
      </c>
      <c r="B1667" s="2" t="s">
        <v>31</v>
      </c>
      <c r="C1667" s="4">
        <v>45863.25</v>
      </c>
      <c r="D1667" s="4">
        <v>45863.250569872689</v>
      </c>
      <c r="E1667" s="2">
        <v>3.19</v>
      </c>
      <c r="F1667" s="2">
        <v>62.1</v>
      </c>
      <c r="G1667" s="2" t="s">
        <v>983</v>
      </c>
      <c r="H1667" s="2" t="s">
        <v>984</v>
      </c>
      <c r="I1667" s="2"/>
      <c r="J1667" s="2" t="s">
        <v>31</v>
      </c>
    </row>
    <row r="1668" spans="1:10" ht="21" customHeight="1">
      <c r="A1668" s="2" t="s">
        <v>2659</v>
      </c>
      <c r="B1668" s="2" t="s">
        <v>31</v>
      </c>
      <c r="C1668" s="4">
        <v>45864.25</v>
      </c>
      <c r="D1668" s="4">
        <v>45864.250187349535</v>
      </c>
      <c r="E1668" s="2">
        <v>2.46</v>
      </c>
      <c r="F1668" s="2">
        <v>64.8</v>
      </c>
      <c r="G1668" s="2" t="s">
        <v>983</v>
      </c>
      <c r="H1668" s="2" t="s">
        <v>984</v>
      </c>
      <c r="I1668" s="2"/>
      <c r="J1668" s="2" t="s">
        <v>31</v>
      </c>
    </row>
    <row r="1669" spans="1:10" ht="21" customHeight="1">
      <c r="A1669" s="2" t="s">
        <v>2660</v>
      </c>
      <c r="B1669" s="2" t="s">
        <v>31</v>
      </c>
      <c r="C1669" s="4">
        <v>45865.25</v>
      </c>
      <c r="D1669" s="4">
        <v>45865.250675069445</v>
      </c>
      <c r="E1669" s="2">
        <v>2.38</v>
      </c>
      <c r="F1669" s="2">
        <v>58.2</v>
      </c>
      <c r="G1669" s="2" t="s">
        <v>983</v>
      </c>
      <c r="H1669" s="2" t="s">
        <v>984</v>
      </c>
      <c r="I1669" s="2"/>
      <c r="J1669" s="2" t="s">
        <v>31</v>
      </c>
    </row>
    <row r="1670" spans="1:10" ht="21" customHeight="1">
      <c r="A1670" s="2" t="s">
        <v>2661</v>
      </c>
      <c r="B1670" s="2" t="s">
        <v>31</v>
      </c>
      <c r="C1670" s="4">
        <v>45866.25</v>
      </c>
      <c r="D1670" s="4">
        <v>45866.250250219906</v>
      </c>
      <c r="E1670" s="2">
        <v>16.690000000000001</v>
      </c>
      <c r="F1670" s="2">
        <v>62.2</v>
      </c>
      <c r="G1670" s="2" t="s">
        <v>983</v>
      </c>
      <c r="H1670" s="2" t="s">
        <v>1022</v>
      </c>
      <c r="I1670" s="2"/>
      <c r="J1670" s="2" t="s">
        <v>31</v>
      </c>
    </row>
    <row r="1671" spans="1:10" ht="21" customHeight="1">
      <c r="A1671" s="2" t="s">
        <v>2662</v>
      </c>
      <c r="B1671" s="2" t="s">
        <v>31</v>
      </c>
      <c r="C1671" s="4">
        <v>45867.25</v>
      </c>
      <c r="D1671" s="4">
        <v>45867.250333645832</v>
      </c>
      <c r="E1671" s="2">
        <v>2.62</v>
      </c>
      <c r="F1671" s="2">
        <v>59.5</v>
      </c>
      <c r="G1671" s="2" t="s">
        <v>983</v>
      </c>
      <c r="H1671" s="2" t="s">
        <v>984</v>
      </c>
      <c r="I1671" s="2"/>
      <c r="J1671" s="2" t="s">
        <v>31</v>
      </c>
    </row>
    <row r="1672" spans="1:10" ht="21" customHeight="1">
      <c r="A1672" s="2" t="s">
        <v>2663</v>
      </c>
      <c r="B1672" s="2" t="s">
        <v>31</v>
      </c>
      <c r="C1672" s="4">
        <v>45868.25</v>
      </c>
      <c r="D1672" s="4">
        <v>45868.250297893523</v>
      </c>
      <c r="E1672" s="2">
        <v>2.14</v>
      </c>
      <c r="F1672" s="2">
        <v>59.2</v>
      </c>
      <c r="G1672" s="2" t="s">
        <v>983</v>
      </c>
      <c r="H1672" s="2" t="s">
        <v>984</v>
      </c>
      <c r="I1672" s="2"/>
      <c r="J1672" s="2" t="s">
        <v>31</v>
      </c>
    </row>
    <row r="1673" spans="1:10" ht="21" customHeight="1">
      <c r="A1673" s="2" t="s">
        <v>2664</v>
      </c>
      <c r="B1673" s="2" t="s">
        <v>31</v>
      </c>
      <c r="C1673" s="4">
        <v>45869.25</v>
      </c>
      <c r="D1673" s="4">
        <v>45869.25011577546</v>
      </c>
      <c r="E1673" s="2">
        <v>2.5</v>
      </c>
      <c r="F1673" s="2">
        <v>60.7</v>
      </c>
      <c r="G1673" s="2" t="s">
        <v>983</v>
      </c>
      <c r="H1673" s="2" t="s">
        <v>984</v>
      </c>
      <c r="I1673" s="2"/>
      <c r="J1673" s="2" t="s">
        <v>31</v>
      </c>
    </row>
    <row r="1674" spans="1:10" ht="21" customHeight="1">
      <c r="A1674" s="2" t="s">
        <v>2665</v>
      </c>
      <c r="B1674" s="2" t="s">
        <v>31</v>
      </c>
      <c r="C1674" s="4">
        <v>45870.25</v>
      </c>
      <c r="D1674" s="4">
        <v>45870.250431446759</v>
      </c>
      <c r="E1674" s="2">
        <v>3.24</v>
      </c>
      <c r="F1674" s="2">
        <v>64.2</v>
      </c>
      <c r="G1674" s="2" t="s">
        <v>983</v>
      </c>
      <c r="H1674" s="2" t="s">
        <v>984</v>
      </c>
      <c r="I1674" s="2"/>
      <c r="J1674" s="2" t="s">
        <v>31</v>
      </c>
    </row>
    <row r="1675" spans="1:10" ht="21" customHeight="1">
      <c r="A1675" s="2" t="s">
        <v>2666</v>
      </c>
      <c r="B1675" s="2" t="s">
        <v>31</v>
      </c>
      <c r="C1675" s="4">
        <v>45871.25</v>
      </c>
      <c r="D1675" s="4">
        <v>45871.250480983799</v>
      </c>
      <c r="E1675" s="2">
        <v>2.94</v>
      </c>
      <c r="F1675" s="2">
        <v>62.8</v>
      </c>
      <c r="G1675" s="2" t="s">
        <v>983</v>
      </c>
      <c r="H1675" s="2" t="s">
        <v>984</v>
      </c>
      <c r="I1675" s="2"/>
      <c r="J1675" s="2" t="s">
        <v>31</v>
      </c>
    </row>
    <row r="1676" spans="1:10" ht="21" customHeight="1">
      <c r="A1676" s="2" t="s">
        <v>2667</v>
      </c>
      <c r="B1676" s="2" t="s">
        <v>31</v>
      </c>
      <c r="C1676" s="4">
        <v>45872.25</v>
      </c>
      <c r="D1676" s="4">
        <v>45872.250084259256</v>
      </c>
      <c r="E1676" s="2">
        <v>2.58</v>
      </c>
      <c r="F1676" s="2">
        <v>59.1</v>
      </c>
      <c r="G1676" s="2" t="s">
        <v>983</v>
      </c>
      <c r="H1676" s="2" t="s">
        <v>984</v>
      </c>
      <c r="I1676" s="2"/>
      <c r="J1676" s="2" t="s">
        <v>31</v>
      </c>
    </row>
    <row r="1677" spans="1:10" ht="21" customHeight="1">
      <c r="A1677" s="2" t="s">
        <v>2668</v>
      </c>
      <c r="B1677" s="2" t="s">
        <v>31</v>
      </c>
      <c r="C1677" s="4">
        <v>45873.25</v>
      </c>
      <c r="D1677" s="4">
        <v>45873.250121736113</v>
      </c>
      <c r="E1677" s="2">
        <v>3.26</v>
      </c>
      <c r="F1677" s="2">
        <v>63.3</v>
      </c>
      <c r="G1677" s="2" t="s">
        <v>983</v>
      </c>
      <c r="H1677" s="2" t="s">
        <v>984</v>
      </c>
      <c r="I1677" s="2"/>
      <c r="J1677" s="2" t="s">
        <v>31</v>
      </c>
    </row>
    <row r="1678" spans="1:10" ht="21" customHeight="1">
      <c r="A1678" s="2" t="s">
        <v>2669</v>
      </c>
      <c r="B1678" s="2" t="s">
        <v>31</v>
      </c>
      <c r="C1678" s="4">
        <v>45874.25</v>
      </c>
      <c r="D1678" s="4">
        <v>45874.250109444445</v>
      </c>
      <c r="E1678" s="2">
        <v>2.41</v>
      </c>
      <c r="F1678" s="2">
        <v>61.4</v>
      </c>
      <c r="G1678" s="2" t="s">
        <v>983</v>
      </c>
      <c r="H1678" s="2" t="s">
        <v>984</v>
      </c>
      <c r="I1678" s="2"/>
      <c r="J1678" s="2" t="s">
        <v>31</v>
      </c>
    </row>
    <row r="1679" spans="1:10" ht="21" customHeight="1">
      <c r="A1679" s="2" t="s">
        <v>2670</v>
      </c>
      <c r="B1679" s="2" t="s">
        <v>31</v>
      </c>
      <c r="C1679" s="4">
        <v>45875.25</v>
      </c>
      <c r="D1679" s="4">
        <v>45875.250132118061</v>
      </c>
      <c r="E1679" s="2">
        <v>3.08</v>
      </c>
      <c r="F1679" s="2">
        <v>65.5</v>
      </c>
      <c r="G1679" s="2" t="s">
        <v>983</v>
      </c>
      <c r="H1679" s="2" t="s">
        <v>984</v>
      </c>
      <c r="I1679" s="2"/>
      <c r="J1679" s="2" t="s">
        <v>31</v>
      </c>
    </row>
    <row r="1680" spans="1:10" ht="21" customHeight="1">
      <c r="A1680" s="2" t="s">
        <v>2671</v>
      </c>
      <c r="B1680" s="2" t="s">
        <v>31</v>
      </c>
      <c r="C1680" s="4">
        <v>45876.25</v>
      </c>
      <c r="D1680" s="4">
        <v>45876.250230173609</v>
      </c>
      <c r="E1680" s="2">
        <v>3.02</v>
      </c>
      <c r="F1680" s="2">
        <v>64.400000000000006</v>
      </c>
      <c r="G1680" s="2" t="s">
        <v>983</v>
      </c>
      <c r="H1680" s="2" t="s">
        <v>984</v>
      </c>
      <c r="I1680" s="2"/>
      <c r="J1680" s="2" t="s">
        <v>31</v>
      </c>
    </row>
    <row r="1681" spans="1:10" ht="21" customHeight="1">
      <c r="A1681" s="2" t="s">
        <v>2672</v>
      </c>
      <c r="B1681" s="2" t="s">
        <v>31</v>
      </c>
      <c r="C1681" s="4">
        <v>45877.25</v>
      </c>
      <c r="D1681" s="4">
        <v>45877.250042824075</v>
      </c>
      <c r="E1681" s="2">
        <v>3.16</v>
      </c>
      <c r="F1681" s="2">
        <v>58.7</v>
      </c>
      <c r="G1681" s="2" t="s">
        <v>983</v>
      </c>
      <c r="H1681" s="2" t="s">
        <v>984</v>
      </c>
      <c r="I1681" s="2"/>
      <c r="J1681" s="2" t="s">
        <v>31</v>
      </c>
    </row>
    <row r="1682" spans="1:10" ht="21" customHeight="1">
      <c r="A1682" s="2" t="s">
        <v>2673</v>
      </c>
      <c r="B1682" s="2" t="s">
        <v>31</v>
      </c>
      <c r="C1682" s="4">
        <v>45878.25</v>
      </c>
      <c r="D1682" s="4">
        <v>45878.250189166662</v>
      </c>
      <c r="E1682" s="2">
        <v>3.26</v>
      </c>
      <c r="F1682" s="2">
        <v>64</v>
      </c>
      <c r="G1682" s="2" t="s">
        <v>983</v>
      </c>
      <c r="H1682" s="2" t="s">
        <v>984</v>
      </c>
      <c r="I1682" s="2"/>
      <c r="J1682" s="2" t="s">
        <v>31</v>
      </c>
    </row>
    <row r="1683" spans="1:10" ht="21" customHeight="1">
      <c r="A1683" s="2" t="s">
        <v>2674</v>
      </c>
      <c r="B1683" s="2" t="s">
        <v>2469</v>
      </c>
      <c r="C1683" s="4">
        <v>45879.25</v>
      </c>
      <c r="D1683" s="4">
        <v>45879.250135694441</v>
      </c>
      <c r="E1683" s="2">
        <v>2.12</v>
      </c>
      <c r="F1683" s="2">
        <v>63.9</v>
      </c>
      <c r="G1683" s="2" t="s">
        <v>983</v>
      </c>
      <c r="H1683" s="2" t="s">
        <v>984</v>
      </c>
      <c r="I1683" s="2" t="s">
        <v>985</v>
      </c>
      <c r="J1683" s="2" t="s">
        <v>31</v>
      </c>
    </row>
    <row r="1684" spans="1:10" ht="21" customHeight="1">
      <c r="A1684" s="2" t="s">
        <v>2675</v>
      </c>
      <c r="B1684" s="2" t="s">
        <v>31</v>
      </c>
      <c r="C1684" s="4">
        <v>45880.25</v>
      </c>
      <c r="D1684" s="4">
        <v>45880.250207974532</v>
      </c>
      <c r="E1684" s="2">
        <v>2.17</v>
      </c>
      <c r="F1684" s="2">
        <v>61.3</v>
      </c>
      <c r="G1684" s="2" t="s">
        <v>983</v>
      </c>
      <c r="H1684" s="2" t="s">
        <v>984</v>
      </c>
      <c r="I1684" s="2"/>
      <c r="J1684" s="2" t="s">
        <v>31</v>
      </c>
    </row>
    <row r="1685" spans="1:10" ht="21" customHeight="1">
      <c r="A1685" s="2" t="s">
        <v>2676</v>
      </c>
      <c r="B1685" s="2" t="s">
        <v>31</v>
      </c>
      <c r="C1685" s="4">
        <v>45881.25</v>
      </c>
      <c r="D1685" s="4">
        <v>45881.250612222226</v>
      </c>
      <c r="E1685" s="2"/>
      <c r="F1685" s="2"/>
      <c r="G1685" s="2" t="s">
        <v>983</v>
      </c>
      <c r="H1685" s="2" t="s">
        <v>1066</v>
      </c>
      <c r="I1685" s="2"/>
      <c r="J1685" s="2" t="s">
        <v>31</v>
      </c>
    </row>
    <row r="1686" spans="1:10" ht="21" customHeight="1">
      <c r="A1686" s="2" t="s">
        <v>2677</v>
      </c>
      <c r="B1686" s="2" t="s">
        <v>31</v>
      </c>
      <c r="C1686" s="4">
        <v>45882.25</v>
      </c>
      <c r="D1686" s="4">
        <v>45882.250026597219</v>
      </c>
      <c r="E1686" s="2">
        <v>2.76</v>
      </c>
      <c r="F1686" s="2">
        <v>58.3</v>
      </c>
      <c r="G1686" s="2" t="s">
        <v>983</v>
      </c>
      <c r="H1686" s="2" t="s">
        <v>984</v>
      </c>
      <c r="I1686" s="2"/>
      <c r="J1686" s="2" t="s">
        <v>31</v>
      </c>
    </row>
    <row r="1687" spans="1:10" ht="21" customHeight="1">
      <c r="A1687" s="2" t="s">
        <v>2678</v>
      </c>
      <c r="B1687" s="2" t="s">
        <v>31</v>
      </c>
      <c r="C1687" s="4">
        <v>45883.25</v>
      </c>
      <c r="D1687" s="4">
        <v>45883.250104895837</v>
      </c>
      <c r="E1687" s="2">
        <v>2.2599999999999998</v>
      </c>
      <c r="F1687" s="2">
        <v>59.4</v>
      </c>
      <c r="G1687" s="2" t="s">
        <v>983</v>
      </c>
      <c r="H1687" s="2" t="s">
        <v>984</v>
      </c>
      <c r="I1687" s="2"/>
      <c r="J1687" s="2" t="s">
        <v>31</v>
      </c>
    </row>
    <row r="1688" spans="1:10" ht="21" customHeight="1">
      <c r="A1688" s="2" t="s">
        <v>2679</v>
      </c>
      <c r="B1688" s="2" t="s">
        <v>31</v>
      </c>
      <c r="C1688" s="4">
        <v>45884.25</v>
      </c>
      <c r="D1688" s="4">
        <v>45884.250393194445</v>
      </c>
      <c r="E1688" s="2">
        <v>3.2</v>
      </c>
      <c r="F1688" s="2">
        <v>65.2</v>
      </c>
      <c r="G1688" s="2" t="s">
        <v>983</v>
      </c>
      <c r="H1688" s="2" t="s">
        <v>984</v>
      </c>
      <c r="I1688" s="2"/>
      <c r="J1688" s="2" t="s">
        <v>31</v>
      </c>
    </row>
    <row r="1689" spans="1:10" ht="21" customHeight="1">
      <c r="A1689" s="2" t="s">
        <v>2680</v>
      </c>
      <c r="B1689" s="2" t="s">
        <v>31</v>
      </c>
      <c r="C1689" s="4">
        <v>45885.25</v>
      </c>
      <c r="D1689" s="4">
        <v>45885.250084675921</v>
      </c>
      <c r="E1689" s="2">
        <v>2.44</v>
      </c>
      <c r="F1689" s="2">
        <v>64.900000000000006</v>
      </c>
      <c r="G1689" s="2" t="s">
        <v>983</v>
      </c>
      <c r="H1689" s="2" t="s">
        <v>984</v>
      </c>
      <c r="I1689" s="2"/>
      <c r="J1689" s="2" t="s">
        <v>31</v>
      </c>
    </row>
    <row r="1690" spans="1:10" ht="21" customHeight="1">
      <c r="A1690" s="2" t="s">
        <v>2681</v>
      </c>
      <c r="B1690" s="2" t="s">
        <v>31</v>
      </c>
      <c r="C1690" s="4">
        <v>45886.25</v>
      </c>
      <c r="D1690" s="4">
        <v>45886.250093344905</v>
      </c>
      <c r="E1690" s="2"/>
      <c r="F1690" s="2"/>
      <c r="G1690" s="2" t="s">
        <v>983</v>
      </c>
      <c r="H1690" s="2" t="s">
        <v>1066</v>
      </c>
      <c r="I1690" s="2" t="s">
        <v>1053</v>
      </c>
      <c r="J1690" s="2" t="s">
        <v>31</v>
      </c>
    </row>
    <row r="1691" spans="1:10" ht="21" customHeight="1">
      <c r="A1691" s="2" t="s">
        <v>2682</v>
      </c>
      <c r="B1691" s="2" t="s">
        <v>31</v>
      </c>
      <c r="C1691" s="4">
        <v>45887.25</v>
      </c>
      <c r="D1691" s="4">
        <v>45887.250375347227</v>
      </c>
      <c r="E1691" s="2">
        <v>6.3</v>
      </c>
      <c r="F1691" s="2">
        <v>75.599999999999994</v>
      </c>
      <c r="G1691" s="2" t="s">
        <v>983</v>
      </c>
      <c r="H1691" s="2" t="s">
        <v>984</v>
      </c>
      <c r="I1691" s="2"/>
      <c r="J1691" s="2" t="s">
        <v>31</v>
      </c>
    </row>
    <row r="1692" spans="1:10" ht="21" customHeight="1">
      <c r="A1692" s="2" t="s">
        <v>2683</v>
      </c>
      <c r="B1692" s="2" t="s">
        <v>31</v>
      </c>
      <c r="C1692" s="4">
        <v>45888.25</v>
      </c>
      <c r="D1692" s="4">
        <v>45888.25042679398</v>
      </c>
      <c r="E1692" s="2">
        <v>5.12</v>
      </c>
      <c r="F1692" s="2">
        <v>69.8</v>
      </c>
      <c r="G1692" s="2" t="s">
        <v>983</v>
      </c>
      <c r="H1692" s="2" t="s">
        <v>984</v>
      </c>
      <c r="I1692" s="2" t="s">
        <v>1053</v>
      </c>
      <c r="J1692" s="2" t="s">
        <v>31</v>
      </c>
    </row>
    <row r="1693" spans="1:10" ht="21" customHeight="1">
      <c r="A1693" s="2" t="s">
        <v>2684</v>
      </c>
      <c r="B1693" s="2" t="s">
        <v>31</v>
      </c>
      <c r="C1693" s="4">
        <v>45889.25</v>
      </c>
      <c r="D1693" s="4">
        <v>45889.250419050921</v>
      </c>
      <c r="E1693" s="2">
        <v>0</v>
      </c>
      <c r="F1693" s="2">
        <v>62.7</v>
      </c>
      <c r="G1693" s="2" t="s">
        <v>1175</v>
      </c>
      <c r="H1693" s="2" t="s">
        <v>984</v>
      </c>
      <c r="I1693" s="2"/>
      <c r="J1693" s="2" t="s">
        <v>31</v>
      </c>
    </row>
    <row r="1694" spans="1:10" ht="21" customHeight="1">
      <c r="A1694" s="2" t="s">
        <v>2685</v>
      </c>
      <c r="B1694" s="2" t="s">
        <v>31</v>
      </c>
      <c r="C1694" s="4">
        <v>45890.25</v>
      </c>
      <c r="D1694" s="4">
        <v>45890.250344456013</v>
      </c>
      <c r="E1694" s="2">
        <v>0</v>
      </c>
      <c r="F1694" s="2">
        <v>63.2</v>
      </c>
      <c r="G1694" s="2" t="s">
        <v>1175</v>
      </c>
      <c r="H1694" s="2" t="s">
        <v>984</v>
      </c>
      <c r="I1694" s="2"/>
      <c r="J1694" s="2" t="s">
        <v>31</v>
      </c>
    </row>
    <row r="1695" spans="1:10" ht="21" customHeight="1">
      <c r="A1695" s="2" t="s">
        <v>2686</v>
      </c>
      <c r="B1695" s="2" t="s">
        <v>31</v>
      </c>
      <c r="C1695" s="4">
        <v>45891.25</v>
      </c>
      <c r="D1695" s="4">
        <v>45891.250213530089</v>
      </c>
      <c r="E1695" s="2">
        <v>3.07</v>
      </c>
      <c r="F1695" s="2">
        <v>58.5</v>
      </c>
      <c r="G1695" s="2" t="s">
        <v>983</v>
      </c>
      <c r="H1695" s="2" t="s">
        <v>984</v>
      </c>
      <c r="I1695" s="2"/>
      <c r="J1695" s="2" t="s">
        <v>31</v>
      </c>
    </row>
    <row r="1696" spans="1:10" ht="21" customHeight="1">
      <c r="A1696" s="2" t="s">
        <v>2687</v>
      </c>
      <c r="B1696" s="2" t="s">
        <v>31</v>
      </c>
      <c r="C1696" s="4">
        <v>45892.25</v>
      </c>
      <c r="D1696" s="4">
        <v>45892.250611747688</v>
      </c>
      <c r="E1696" s="2">
        <v>3.15</v>
      </c>
      <c r="F1696" s="2">
        <v>62.3</v>
      </c>
      <c r="G1696" s="2" t="s">
        <v>983</v>
      </c>
      <c r="H1696" s="2" t="s">
        <v>984</v>
      </c>
      <c r="I1696" s="2"/>
      <c r="J1696" s="2" t="s">
        <v>31</v>
      </c>
    </row>
    <row r="1697" spans="1:10" ht="21" customHeight="1">
      <c r="A1697" s="2" t="s">
        <v>2688</v>
      </c>
      <c r="B1697" s="2" t="s">
        <v>31</v>
      </c>
      <c r="C1697" s="4">
        <v>45893.25</v>
      </c>
      <c r="D1697" s="4">
        <v>45893.250194050925</v>
      </c>
      <c r="E1697" s="2">
        <v>2.86</v>
      </c>
      <c r="F1697" s="2">
        <v>60.2</v>
      </c>
      <c r="G1697" s="2" t="s">
        <v>983</v>
      </c>
      <c r="H1697" s="2" t="s">
        <v>984</v>
      </c>
      <c r="I1697" s="2"/>
      <c r="J1697" s="2" t="s">
        <v>31</v>
      </c>
    </row>
    <row r="1698" spans="1:10" ht="21" customHeight="1">
      <c r="A1698" s="2" t="s">
        <v>2689</v>
      </c>
      <c r="B1698" s="2" t="s">
        <v>31</v>
      </c>
      <c r="C1698" s="4">
        <v>45894.25</v>
      </c>
      <c r="D1698" s="4">
        <v>45894.250264930553</v>
      </c>
      <c r="E1698" s="2">
        <v>3.1</v>
      </c>
      <c r="F1698" s="2">
        <v>63</v>
      </c>
      <c r="G1698" s="2" t="s">
        <v>983</v>
      </c>
      <c r="H1698" s="2" t="s">
        <v>984</v>
      </c>
      <c r="I1698" s="2"/>
      <c r="J1698" s="2" t="s">
        <v>31</v>
      </c>
    </row>
    <row r="1699" spans="1:10" ht="21" customHeight="1">
      <c r="A1699" s="2" t="s">
        <v>2690</v>
      </c>
      <c r="B1699" s="2" t="s">
        <v>31</v>
      </c>
      <c r="C1699" s="4">
        <v>45895.25</v>
      </c>
      <c r="D1699" s="4">
        <v>45895.250455092595</v>
      </c>
      <c r="E1699" s="2">
        <v>2.38</v>
      </c>
      <c r="F1699" s="2">
        <v>65.900000000000006</v>
      </c>
      <c r="G1699" s="2" t="s">
        <v>983</v>
      </c>
      <c r="H1699" s="2" t="s">
        <v>984</v>
      </c>
      <c r="I1699" s="2"/>
      <c r="J1699" s="2" t="s">
        <v>31</v>
      </c>
    </row>
    <row r="1700" spans="1:10" ht="21" customHeight="1">
      <c r="A1700" s="2" t="s">
        <v>2691</v>
      </c>
      <c r="B1700" s="2" t="s">
        <v>31</v>
      </c>
      <c r="C1700" s="4">
        <v>45896.25</v>
      </c>
      <c r="D1700" s="4">
        <v>45896.250671655092</v>
      </c>
      <c r="E1700" s="2"/>
      <c r="F1700" s="2"/>
      <c r="G1700" s="2" t="s">
        <v>983</v>
      </c>
      <c r="H1700" s="2" t="s">
        <v>1066</v>
      </c>
      <c r="I1700" s="2" t="s">
        <v>985</v>
      </c>
      <c r="J1700" s="2" t="s">
        <v>31</v>
      </c>
    </row>
    <row r="1701" spans="1:10" ht="21" customHeight="1">
      <c r="A1701" s="2" t="s">
        <v>2692</v>
      </c>
      <c r="B1701" s="2" t="s">
        <v>31</v>
      </c>
      <c r="C1701" s="4">
        <v>45897.25</v>
      </c>
      <c r="D1701" s="4">
        <v>45897.250134733797</v>
      </c>
      <c r="E1701" s="2">
        <v>2.41</v>
      </c>
      <c r="F1701" s="2">
        <v>60.9</v>
      </c>
      <c r="G1701" s="2" t="s">
        <v>983</v>
      </c>
      <c r="H1701" s="2" t="s">
        <v>984</v>
      </c>
      <c r="I1701" s="2"/>
      <c r="J1701" s="2" t="s">
        <v>31</v>
      </c>
    </row>
    <row r="1702" spans="1:10" ht="21" customHeight="1">
      <c r="A1702" s="2" t="s">
        <v>2693</v>
      </c>
      <c r="B1702" s="2" t="s">
        <v>31</v>
      </c>
      <c r="C1702" s="4">
        <v>45898.25</v>
      </c>
      <c r="D1702" s="4">
        <v>45898.250560659726</v>
      </c>
      <c r="E1702" s="2">
        <v>3.09</v>
      </c>
      <c r="F1702" s="2">
        <v>61.1</v>
      </c>
      <c r="G1702" s="2" t="s">
        <v>983</v>
      </c>
      <c r="H1702" s="2" t="s">
        <v>984</v>
      </c>
      <c r="I1702" s="2"/>
      <c r="J1702" s="2" t="s">
        <v>31</v>
      </c>
    </row>
    <row r="1703" spans="1:10" ht="21" customHeight="1">
      <c r="A1703" s="2" t="s">
        <v>2694</v>
      </c>
      <c r="B1703" s="2" t="s">
        <v>31</v>
      </c>
      <c r="C1703" s="4">
        <v>45899.25</v>
      </c>
      <c r="D1703" s="4">
        <v>45899.250312210643</v>
      </c>
      <c r="E1703" s="2">
        <v>2.44</v>
      </c>
      <c r="F1703" s="2">
        <v>62.3</v>
      </c>
      <c r="G1703" s="2" t="s">
        <v>983</v>
      </c>
      <c r="H1703" s="2" t="s">
        <v>984</v>
      </c>
      <c r="I1703" s="2"/>
      <c r="J1703" s="2" t="s">
        <v>31</v>
      </c>
    </row>
    <row r="1704" spans="1:10" ht="21" customHeight="1">
      <c r="A1704" s="2" t="s">
        <v>2695</v>
      </c>
      <c r="B1704" s="2" t="s">
        <v>31</v>
      </c>
      <c r="C1704" s="4">
        <v>45900.25</v>
      </c>
      <c r="D1704" s="4">
        <v>45900.250546296294</v>
      </c>
      <c r="E1704" s="2">
        <v>3.2</v>
      </c>
      <c r="F1704" s="2">
        <v>59.7</v>
      </c>
      <c r="G1704" s="2" t="s">
        <v>983</v>
      </c>
      <c r="H1704" s="2" t="s">
        <v>984</v>
      </c>
      <c r="I1704" s="2"/>
      <c r="J1704" s="2" t="s">
        <v>31</v>
      </c>
    </row>
    <row r="1705" spans="1:10" ht="21" customHeight="1">
      <c r="A1705" s="2" t="s">
        <v>2696</v>
      </c>
      <c r="B1705" s="2" t="s">
        <v>31</v>
      </c>
      <c r="C1705" s="4">
        <v>45901.25</v>
      </c>
      <c r="D1705" s="4">
        <v>45901.250458159717</v>
      </c>
      <c r="E1705" s="2">
        <v>2.6</v>
      </c>
      <c r="F1705" s="2">
        <v>61</v>
      </c>
      <c r="G1705" s="2" t="s">
        <v>983</v>
      </c>
      <c r="H1705" s="2" t="s">
        <v>984</v>
      </c>
      <c r="I1705" s="2"/>
      <c r="J1705" s="2" t="s">
        <v>31</v>
      </c>
    </row>
    <row r="1706" spans="1:10" ht="21" customHeight="1">
      <c r="A1706" s="2" t="s">
        <v>2697</v>
      </c>
      <c r="B1706" s="2" t="s">
        <v>31</v>
      </c>
      <c r="C1706" s="4">
        <v>45902.25</v>
      </c>
      <c r="D1706" s="4">
        <v>45902.250086446758</v>
      </c>
      <c r="E1706" s="2">
        <v>3.1</v>
      </c>
      <c r="F1706" s="2">
        <v>62.8</v>
      </c>
      <c r="G1706" s="2" t="s">
        <v>983</v>
      </c>
      <c r="H1706" s="2" t="s">
        <v>984</v>
      </c>
      <c r="I1706" s="2"/>
      <c r="J1706" s="2" t="s">
        <v>31</v>
      </c>
    </row>
    <row r="1707" spans="1:10" ht="21" customHeight="1">
      <c r="A1707" s="2" t="s">
        <v>2698</v>
      </c>
      <c r="B1707" s="2" t="s">
        <v>31</v>
      </c>
      <c r="C1707" s="4">
        <v>45903.25</v>
      </c>
      <c r="D1707" s="4">
        <v>45903.25049204861</v>
      </c>
      <c r="E1707" s="2">
        <v>3.14</v>
      </c>
      <c r="F1707" s="2">
        <v>65.8</v>
      </c>
      <c r="G1707" s="2" t="s">
        <v>983</v>
      </c>
      <c r="H1707" s="2" t="s">
        <v>984</v>
      </c>
      <c r="I1707" s="2"/>
      <c r="J1707" s="2" t="s">
        <v>31</v>
      </c>
    </row>
    <row r="1708" spans="1:10" ht="21" customHeight="1">
      <c r="A1708" s="2" t="s">
        <v>2699</v>
      </c>
      <c r="B1708" s="2" t="s">
        <v>31</v>
      </c>
      <c r="C1708" s="4">
        <v>45904.25</v>
      </c>
      <c r="D1708" s="4">
        <v>45904.250479548617</v>
      </c>
      <c r="E1708" s="2">
        <v>2.61</v>
      </c>
      <c r="F1708" s="2">
        <v>64.2</v>
      </c>
      <c r="G1708" s="2" t="s">
        <v>983</v>
      </c>
      <c r="H1708" s="2" t="s">
        <v>984</v>
      </c>
      <c r="I1708" s="2"/>
      <c r="J1708" s="2" t="s">
        <v>31</v>
      </c>
    </row>
    <row r="1709" spans="1:10" ht="21" customHeight="1">
      <c r="A1709" s="2" t="s">
        <v>2700</v>
      </c>
      <c r="B1709" s="2" t="s">
        <v>31</v>
      </c>
      <c r="C1709" s="4">
        <v>45905.25</v>
      </c>
      <c r="D1709" s="4">
        <v>45905.250352268515</v>
      </c>
      <c r="E1709" s="2">
        <v>3.25</v>
      </c>
      <c r="F1709" s="2">
        <v>62</v>
      </c>
      <c r="G1709" s="2" t="s">
        <v>983</v>
      </c>
      <c r="H1709" s="2" t="s">
        <v>984</v>
      </c>
      <c r="I1709" s="2"/>
      <c r="J1709" s="2" t="s">
        <v>31</v>
      </c>
    </row>
    <row r="1710" spans="1:10" ht="21" customHeight="1">
      <c r="A1710" s="2" t="s">
        <v>2701</v>
      </c>
      <c r="B1710" s="2" t="s">
        <v>31</v>
      </c>
      <c r="C1710" s="4">
        <v>45906.25</v>
      </c>
      <c r="D1710" s="4">
        <v>45906.250171631946</v>
      </c>
      <c r="E1710" s="2">
        <v>2.57</v>
      </c>
      <c r="F1710" s="2">
        <v>63</v>
      </c>
      <c r="G1710" s="2" t="s">
        <v>983</v>
      </c>
      <c r="H1710" s="2" t="s">
        <v>984</v>
      </c>
      <c r="I1710" s="2"/>
      <c r="J1710" s="2" t="s">
        <v>31</v>
      </c>
    </row>
    <row r="1711" spans="1:10" ht="21" customHeight="1">
      <c r="A1711" s="2" t="s">
        <v>2702</v>
      </c>
      <c r="B1711" s="2" t="s">
        <v>31</v>
      </c>
      <c r="C1711" s="4">
        <v>45907.25</v>
      </c>
      <c r="D1711" s="4">
        <v>45907.25043774306</v>
      </c>
      <c r="E1711" s="2">
        <v>6.97</v>
      </c>
      <c r="F1711" s="2">
        <v>72.099999999999994</v>
      </c>
      <c r="G1711" s="2" t="s">
        <v>983</v>
      </c>
      <c r="H1711" s="2" t="s">
        <v>984</v>
      </c>
      <c r="I1711" s="2"/>
      <c r="J1711" s="2" t="s">
        <v>31</v>
      </c>
    </row>
    <row r="1712" spans="1:10" ht="21" customHeight="1">
      <c r="A1712" s="2" t="s">
        <v>2703</v>
      </c>
      <c r="B1712" s="2" t="s">
        <v>31</v>
      </c>
      <c r="C1712" s="4">
        <v>45908.25</v>
      </c>
      <c r="D1712" s="4">
        <v>45908.25005707176</v>
      </c>
      <c r="E1712" s="2">
        <v>5.57</v>
      </c>
      <c r="F1712" s="2">
        <v>72.2</v>
      </c>
      <c r="G1712" s="2" t="s">
        <v>983</v>
      </c>
      <c r="H1712" s="2" t="s">
        <v>984</v>
      </c>
      <c r="I1712" s="2" t="s">
        <v>1053</v>
      </c>
      <c r="J1712" s="2" t="s">
        <v>31</v>
      </c>
    </row>
    <row r="1713" spans="1:10" ht="21" customHeight="1">
      <c r="A1713" s="2" t="s">
        <v>2704</v>
      </c>
      <c r="B1713" s="2" t="s">
        <v>31</v>
      </c>
      <c r="C1713" s="4">
        <v>45909.25</v>
      </c>
      <c r="D1713" s="4">
        <v>45909.25012138889</v>
      </c>
      <c r="E1713" s="2">
        <v>6.78</v>
      </c>
      <c r="F1713" s="2">
        <v>68.7</v>
      </c>
      <c r="G1713" s="2" t="s">
        <v>983</v>
      </c>
      <c r="H1713" s="2" t="s">
        <v>984</v>
      </c>
      <c r="I1713" s="2"/>
      <c r="J1713" s="2" t="s">
        <v>31</v>
      </c>
    </row>
    <row r="1714" spans="1:10" ht="21" customHeight="1">
      <c r="A1714" s="2" t="s">
        <v>2705</v>
      </c>
      <c r="B1714" s="2" t="s">
        <v>31</v>
      </c>
      <c r="C1714" s="4">
        <v>45910.25</v>
      </c>
      <c r="D1714" s="4">
        <v>45910.250264131944</v>
      </c>
      <c r="E1714" s="2">
        <v>0</v>
      </c>
      <c r="F1714" s="2">
        <v>63.6</v>
      </c>
      <c r="G1714" s="2" t="s">
        <v>1175</v>
      </c>
      <c r="H1714" s="2" t="s">
        <v>984</v>
      </c>
      <c r="I1714" s="2"/>
      <c r="J1714" s="2" t="s">
        <v>31</v>
      </c>
    </row>
    <row r="1715" spans="1:10" ht="21" customHeight="1">
      <c r="A1715" s="2" t="s">
        <v>2706</v>
      </c>
      <c r="B1715" s="2" t="s">
        <v>31</v>
      </c>
      <c r="C1715" s="4">
        <v>45911.25</v>
      </c>
      <c r="D1715" s="4">
        <v>45911.250354641204</v>
      </c>
      <c r="E1715" s="2">
        <v>2.4500000000000002</v>
      </c>
      <c r="F1715" s="2">
        <v>61.5</v>
      </c>
      <c r="G1715" s="2" t="s">
        <v>983</v>
      </c>
      <c r="H1715" s="2" t="s">
        <v>984</v>
      </c>
      <c r="I1715" s="2"/>
      <c r="J1715" s="2" t="s">
        <v>31</v>
      </c>
    </row>
    <row r="1716" spans="1:10" ht="21" customHeight="1">
      <c r="A1716" s="2" t="s">
        <v>2707</v>
      </c>
      <c r="B1716" s="2" t="s">
        <v>31</v>
      </c>
      <c r="C1716" s="4">
        <v>45912.25</v>
      </c>
      <c r="D1716" s="4">
        <v>45912.250133819442</v>
      </c>
      <c r="E1716" s="2"/>
      <c r="F1716" s="2"/>
      <c r="G1716" s="2" t="s">
        <v>983</v>
      </c>
      <c r="H1716" s="2" t="s">
        <v>1066</v>
      </c>
      <c r="I1716" s="2"/>
      <c r="J1716" s="2" t="s">
        <v>31</v>
      </c>
    </row>
    <row r="1717" spans="1:10" ht="21" customHeight="1">
      <c r="A1717" s="2" t="s">
        <v>2708</v>
      </c>
      <c r="B1717" s="2" t="s">
        <v>31</v>
      </c>
      <c r="C1717" s="4">
        <v>45913.25</v>
      </c>
      <c r="D1717" s="4">
        <v>45913.250053032403</v>
      </c>
      <c r="E1717" s="2">
        <v>2.31</v>
      </c>
      <c r="F1717" s="2">
        <v>63.1</v>
      </c>
      <c r="G1717" s="2" t="s">
        <v>983</v>
      </c>
      <c r="H1717" s="2" t="s">
        <v>984</v>
      </c>
      <c r="I1717" s="2" t="s">
        <v>985</v>
      </c>
      <c r="J1717" s="2" t="s">
        <v>31</v>
      </c>
    </row>
    <row r="1718" spans="1:10" ht="21" customHeight="1">
      <c r="A1718" s="2" t="s">
        <v>2709</v>
      </c>
      <c r="B1718" s="2" t="s">
        <v>31</v>
      </c>
      <c r="C1718" s="4">
        <v>45914.25</v>
      </c>
      <c r="D1718" s="4">
        <v>45914.250293483798</v>
      </c>
      <c r="E1718" s="2">
        <v>2.4300000000000002</v>
      </c>
      <c r="F1718" s="2">
        <v>60.1</v>
      </c>
      <c r="G1718" s="2" t="s">
        <v>983</v>
      </c>
      <c r="H1718" s="2" t="s">
        <v>984</v>
      </c>
      <c r="I1718" s="2"/>
      <c r="J1718" s="2" t="s">
        <v>31</v>
      </c>
    </row>
    <row r="1719" spans="1:10" ht="21" customHeight="1">
      <c r="A1719" s="2" t="s">
        <v>2710</v>
      </c>
      <c r="B1719" s="2" t="s">
        <v>31</v>
      </c>
      <c r="C1719" s="4">
        <v>45915.25</v>
      </c>
      <c r="D1719" s="4">
        <v>45915.250469166669</v>
      </c>
      <c r="E1719" s="2">
        <v>3.25</v>
      </c>
      <c r="F1719" s="2">
        <v>64.8</v>
      </c>
      <c r="G1719" s="2" t="s">
        <v>983</v>
      </c>
      <c r="H1719" s="2" t="s">
        <v>984</v>
      </c>
      <c r="I1719" s="2"/>
      <c r="J1719" s="2" t="s">
        <v>31</v>
      </c>
    </row>
    <row r="1720" spans="1:10" ht="21" customHeight="1">
      <c r="A1720" s="2" t="s">
        <v>2711</v>
      </c>
      <c r="B1720" s="2" t="s">
        <v>31</v>
      </c>
      <c r="C1720" s="4">
        <v>45916.25</v>
      </c>
      <c r="D1720" s="4">
        <v>45916.250302777778</v>
      </c>
      <c r="E1720" s="2">
        <v>2.69</v>
      </c>
      <c r="F1720" s="2">
        <v>64.2</v>
      </c>
      <c r="G1720" s="2" t="s">
        <v>983</v>
      </c>
      <c r="H1720" s="2" t="s">
        <v>984</v>
      </c>
      <c r="I1720" s="2"/>
      <c r="J1720" s="2" t="s">
        <v>31</v>
      </c>
    </row>
    <row r="1721" spans="1:10" ht="21" customHeight="1">
      <c r="A1721" s="2" t="s">
        <v>2712</v>
      </c>
      <c r="B1721" s="2" t="s">
        <v>31</v>
      </c>
      <c r="C1721" s="4">
        <v>45917.25</v>
      </c>
      <c r="D1721" s="4">
        <v>45917.250223750001</v>
      </c>
      <c r="E1721" s="2">
        <v>3.1</v>
      </c>
      <c r="F1721" s="2">
        <v>61.5</v>
      </c>
      <c r="G1721" s="2" t="s">
        <v>983</v>
      </c>
      <c r="H1721" s="2" t="s">
        <v>984</v>
      </c>
      <c r="I1721" s="2"/>
      <c r="J1721" s="2" t="s">
        <v>31</v>
      </c>
    </row>
    <row r="1722" spans="1:10" ht="21" customHeight="1">
      <c r="A1722" s="2" t="s">
        <v>2713</v>
      </c>
      <c r="B1722" s="2" t="s">
        <v>31</v>
      </c>
      <c r="C1722" s="4">
        <v>45918.25</v>
      </c>
      <c r="D1722" s="4">
        <v>45918.250406990745</v>
      </c>
      <c r="E1722" s="2">
        <v>3.11</v>
      </c>
      <c r="F1722" s="2">
        <v>59.4</v>
      </c>
      <c r="G1722" s="2" t="s">
        <v>983</v>
      </c>
      <c r="H1722" s="2" t="s">
        <v>984</v>
      </c>
      <c r="I1722" s="2"/>
      <c r="J1722" s="2" t="s">
        <v>31</v>
      </c>
    </row>
    <row r="1723" spans="1:10" ht="21" customHeight="1">
      <c r="A1723" s="2" t="s">
        <v>2714</v>
      </c>
      <c r="B1723" s="2" t="s">
        <v>31</v>
      </c>
      <c r="C1723" s="4">
        <v>45919.25</v>
      </c>
      <c r="D1723" s="4">
        <v>45919.250654016199</v>
      </c>
      <c r="E1723" s="2">
        <v>2.38</v>
      </c>
      <c r="F1723" s="2">
        <v>59.6</v>
      </c>
      <c r="G1723" s="2" t="s">
        <v>983</v>
      </c>
      <c r="H1723" s="2" t="s">
        <v>984</v>
      </c>
      <c r="I1723" s="2"/>
      <c r="J1723" s="2" t="s">
        <v>31</v>
      </c>
    </row>
    <row r="1724" spans="1:10" ht="21" customHeight="1">
      <c r="A1724" s="2" t="s">
        <v>2715</v>
      </c>
      <c r="B1724" s="2" t="s">
        <v>2469</v>
      </c>
      <c r="C1724" s="4">
        <v>45920.25</v>
      </c>
      <c r="D1724" s="4">
        <v>45920.250668912035</v>
      </c>
      <c r="E1724" s="2">
        <v>2.4300000000000002</v>
      </c>
      <c r="F1724" s="2">
        <v>60.4</v>
      </c>
      <c r="G1724" s="2" t="s">
        <v>983</v>
      </c>
      <c r="H1724" s="2" t="s">
        <v>984</v>
      </c>
      <c r="I1724" s="2"/>
      <c r="J1724" s="2" t="s">
        <v>31</v>
      </c>
    </row>
    <row r="1725" spans="1:10" ht="21" customHeight="1">
      <c r="A1725" s="2" t="s">
        <v>2716</v>
      </c>
      <c r="B1725" s="2" t="s">
        <v>31</v>
      </c>
      <c r="C1725" s="4">
        <v>45921.25</v>
      </c>
      <c r="D1725" s="4">
        <v>45921.250681666672</v>
      </c>
      <c r="E1725" s="2">
        <v>3.03</v>
      </c>
      <c r="F1725" s="2">
        <v>63.3</v>
      </c>
      <c r="G1725" s="2" t="s">
        <v>983</v>
      </c>
      <c r="H1725" s="2" t="s">
        <v>984</v>
      </c>
      <c r="I1725" s="2"/>
      <c r="J1725" s="2" t="s">
        <v>31</v>
      </c>
    </row>
    <row r="1726" spans="1:10" ht="21" customHeight="1">
      <c r="A1726" s="2" t="s">
        <v>2717</v>
      </c>
      <c r="B1726" s="2" t="s">
        <v>31</v>
      </c>
      <c r="C1726" s="4">
        <v>45922.25</v>
      </c>
      <c r="D1726" s="4">
        <v>45922.250279155094</v>
      </c>
      <c r="E1726" s="2">
        <v>2.84</v>
      </c>
      <c r="F1726" s="2">
        <v>64.599999999999994</v>
      </c>
      <c r="G1726" s="2" t="s">
        <v>983</v>
      </c>
      <c r="H1726" s="2" t="s">
        <v>984</v>
      </c>
      <c r="I1726" s="2"/>
      <c r="J1726" s="2" t="s">
        <v>31</v>
      </c>
    </row>
    <row r="1727" spans="1:10" ht="21" customHeight="1">
      <c r="A1727" s="2" t="s">
        <v>2718</v>
      </c>
      <c r="B1727" s="2" t="s">
        <v>31</v>
      </c>
      <c r="C1727" s="4">
        <v>45923.25</v>
      </c>
      <c r="D1727" s="4">
        <v>45923.250395520838</v>
      </c>
      <c r="E1727" s="2">
        <v>2.4500000000000002</v>
      </c>
      <c r="F1727" s="2">
        <v>60.7</v>
      </c>
      <c r="G1727" s="2" t="s">
        <v>983</v>
      </c>
      <c r="H1727" s="2" t="s">
        <v>984</v>
      </c>
      <c r="I1727" s="2"/>
      <c r="J1727" s="2" t="s">
        <v>31</v>
      </c>
    </row>
    <row r="1728" spans="1:10" ht="21" customHeight="1">
      <c r="A1728" s="2" t="s">
        <v>2719</v>
      </c>
      <c r="B1728" s="2" t="s">
        <v>31</v>
      </c>
      <c r="C1728" s="4">
        <v>45924.25</v>
      </c>
      <c r="D1728" s="4">
        <v>45924.250405706014</v>
      </c>
      <c r="E1728" s="2"/>
      <c r="F1728" s="2"/>
      <c r="G1728" s="2" t="s">
        <v>983</v>
      </c>
      <c r="H1728" s="2" t="s">
        <v>1066</v>
      </c>
      <c r="I1728" s="2"/>
      <c r="J1728" s="2" t="s">
        <v>31</v>
      </c>
    </row>
    <row r="1729" spans="1:10" ht="21" customHeight="1">
      <c r="A1729" s="2" t="s">
        <v>2720</v>
      </c>
      <c r="B1729" s="2" t="s">
        <v>31</v>
      </c>
      <c r="C1729" s="4">
        <v>45925.25</v>
      </c>
      <c r="D1729" s="4">
        <v>45925.250377523145</v>
      </c>
      <c r="E1729" s="2">
        <v>2.68</v>
      </c>
      <c r="F1729" s="2">
        <v>58.8</v>
      </c>
      <c r="G1729" s="2" t="s">
        <v>983</v>
      </c>
      <c r="H1729" s="2" t="s">
        <v>984</v>
      </c>
      <c r="I1729" s="2"/>
      <c r="J1729" s="2" t="s">
        <v>31</v>
      </c>
    </row>
    <row r="1730" spans="1:10" ht="21" customHeight="1">
      <c r="A1730" s="2" t="s">
        <v>2721</v>
      </c>
      <c r="B1730" s="2" t="s">
        <v>31</v>
      </c>
      <c r="C1730" s="4">
        <v>45926.25</v>
      </c>
      <c r="D1730" s="4">
        <v>45926.250263946757</v>
      </c>
      <c r="E1730" s="2">
        <v>2.4700000000000002</v>
      </c>
      <c r="F1730" s="2">
        <v>64.599999999999994</v>
      </c>
      <c r="G1730" s="2" t="s">
        <v>983</v>
      </c>
      <c r="H1730" s="2" t="s">
        <v>984</v>
      </c>
      <c r="I1730" s="2"/>
      <c r="J1730" s="2" t="s">
        <v>31</v>
      </c>
    </row>
    <row r="1731" spans="1:10" ht="21" customHeight="1">
      <c r="A1731" s="2" t="s">
        <v>2722</v>
      </c>
      <c r="B1731" s="2" t="s">
        <v>31</v>
      </c>
      <c r="C1731" s="4">
        <v>45927.25</v>
      </c>
      <c r="D1731" s="4">
        <v>45927.250511747683</v>
      </c>
      <c r="E1731" s="2">
        <v>2.25</v>
      </c>
      <c r="F1731" s="2">
        <v>59.9</v>
      </c>
      <c r="G1731" s="2" t="s">
        <v>983</v>
      </c>
      <c r="H1731" s="2" t="s">
        <v>984</v>
      </c>
      <c r="I1731" s="2"/>
      <c r="J1731" s="2" t="s">
        <v>31</v>
      </c>
    </row>
    <row r="1732" spans="1:10" ht="21" customHeight="1">
      <c r="A1732" s="2" t="s">
        <v>2723</v>
      </c>
      <c r="B1732" s="2" t="s">
        <v>31</v>
      </c>
      <c r="C1732" s="4">
        <v>45928.25</v>
      </c>
      <c r="D1732" s="4">
        <v>45928.25032712963</v>
      </c>
      <c r="E1732" s="2">
        <v>2.62</v>
      </c>
      <c r="F1732" s="2">
        <v>61.7</v>
      </c>
      <c r="G1732" s="2" t="s">
        <v>983</v>
      </c>
      <c r="H1732" s="2" t="s">
        <v>984</v>
      </c>
      <c r="I1732" s="2"/>
      <c r="J1732" s="2" t="s">
        <v>31</v>
      </c>
    </row>
    <row r="1733" spans="1:10" ht="21" customHeight="1">
      <c r="A1733" s="2" t="s">
        <v>2724</v>
      </c>
      <c r="B1733" s="2" t="s">
        <v>31</v>
      </c>
      <c r="C1733" s="4">
        <v>45929.25</v>
      </c>
      <c r="D1733" s="4">
        <v>45929.250632951385</v>
      </c>
      <c r="E1733" s="2">
        <v>3.26</v>
      </c>
      <c r="F1733" s="2">
        <v>58.6</v>
      </c>
      <c r="G1733" s="2" t="s">
        <v>983</v>
      </c>
      <c r="H1733" s="2" t="s">
        <v>984</v>
      </c>
      <c r="I1733" s="2"/>
      <c r="J1733" s="2" t="s">
        <v>31</v>
      </c>
    </row>
    <row r="1734" spans="1:10" ht="21" customHeight="1">
      <c r="A1734" s="2" t="s">
        <v>2725</v>
      </c>
      <c r="B1734" s="2" t="s">
        <v>31</v>
      </c>
      <c r="C1734" s="4">
        <v>45930.25</v>
      </c>
      <c r="D1734" s="4">
        <v>45930.250081365739</v>
      </c>
      <c r="E1734" s="2">
        <v>3.14</v>
      </c>
      <c r="F1734" s="2">
        <v>65.8</v>
      </c>
      <c r="G1734" s="2" t="s">
        <v>983</v>
      </c>
      <c r="H1734" s="2" t="s">
        <v>984</v>
      </c>
      <c r="I1734" s="2" t="s">
        <v>985</v>
      </c>
      <c r="J1734" s="2" t="s">
        <v>31</v>
      </c>
    </row>
    <row r="1735" spans="1:10" ht="21" customHeight="1">
      <c r="A1735" s="2" t="s">
        <v>2726</v>
      </c>
      <c r="B1735" s="2" t="s">
        <v>31</v>
      </c>
      <c r="C1735" s="4">
        <v>45931.25</v>
      </c>
      <c r="D1735" s="4">
        <v>45931.250521875001</v>
      </c>
      <c r="E1735" s="2">
        <v>2.4500000000000002</v>
      </c>
      <c r="F1735" s="2">
        <v>64.400000000000006</v>
      </c>
      <c r="G1735" s="2" t="s">
        <v>983</v>
      </c>
      <c r="H1735" s="2" t="s">
        <v>984</v>
      </c>
      <c r="I1735" s="2"/>
      <c r="J1735" s="2" t="s">
        <v>31</v>
      </c>
    </row>
    <row r="1736" spans="1:10" ht="21" customHeight="1">
      <c r="A1736" s="2" t="s">
        <v>2727</v>
      </c>
      <c r="B1736" s="2" t="s">
        <v>31</v>
      </c>
      <c r="C1736" s="4">
        <v>45932.25</v>
      </c>
      <c r="D1736" s="4">
        <v>45932.250329224538</v>
      </c>
      <c r="E1736" s="2">
        <v>3.05</v>
      </c>
      <c r="F1736" s="2">
        <v>65.2</v>
      </c>
      <c r="G1736" s="2" t="s">
        <v>983</v>
      </c>
      <c r="H1736" s="2" t="s">
        <v>984</v>
      </c>
      <c r="I1736" s="2"/>
      <c r="J1736" s="2" t="s">
        <v>31</v>
      </c>
    </row>
    <row r="1737" spans="1:10" ht="21" customHeight="1">
      <c r="A1737" s="2" t="s">
        <v>2728</v>
      </c>
      <c r="B1737" s="2" t="s">
        <v>31</v>
      </c>
      <c r="C1737" s="4">
        <v>45933.25</v>
      </c>
      <c r="D1737" s="4">
        <v>45933.250634351847</v>
      </c>
      <c r="E1737" s="2">
        <v>2.16</v>
      </c>
      <c r="F1737" s="2">
        <v>61.6</v>
      </c>
      <c r="G1737" s="2" t="s">
        <v>983</v>
      </c>
      <c r="H1737" s="2" t="s">
        <v>984</v>
      </c>
      <c r="I1737" s="2"/>
      <c r="J1737" s="2" t="s">
        <v>31</v>
      </c>
    </row>
    <row r="1738" spans="1:10" ht="21" customHeight="1">
      <c r="A1738" s="2" t="s">
        <v>2729</v>
      </c>
      <c r="B1738" s="2" t="s">
        <v>31</v>
      </c>
      <c r="C1738" s="4">
        <v>45934.25</v>
      </c>
      <c r="D1738" s="4">
        <v>45934.25031206019</v>
      </c>
      <c r="E1738" s="2">
        <v>2.13</v>
      </c>
      <c r="F1738" s="2">
        <v>63.9</v>
      </c>
      <c r="G1738" s="2" t="s">
        <v>983</v>
      </c>
      <c r="H1738" s="2" t="s">
        <v>984</v>
      </c>
      <c r="I1738" s="2"/>
      <c r="J1738" s="2" t="s">
        <v>31</v>
      </c>
    </row>
    <row r="1739" spans="1:10" ht="21" customHeight="1">
      <c r="A1739" s="2" t="s">
        <v>2730</v>
      </c>
      <c r="B1739" s="2" t="s">
        <v>31</v>
      </c>
      <c r="C1739" s="4">
        <v>45935.25</v>
      </c>
      <c r="D1739" s="4">
        <v>45935.250242407405</v>
      </c>
      <c r="E1739" s="2">
        <v>2.2799999999999998</v>
      </c>
      <c r="F1739" s="2">
        <v>63.3</v>
      </c>
      <c r="G1739" s="2" t="s">
        <v>983</v>
      </c>
      <c r="H1739" s="2" t="s">
        <v>984</v>
      </c>
      <c r="I1739" s="2"/>
      <c r="J1739" s="2" t="s">
        <v>31</v>
      </c>
    </row>
    <row r="1740" spans="1:10" ht="21" customHeight="1">
      <c r="A1740" s="2" t="s">
        <v>2731</v>
      </c>
      <c r="B1740" s="2" t="s">
        <v>31</v>
      </c>
      <c r="C1740" s="4">
        <v>45936.25</v>
      </c>
      <c r="D1740" s="4">
        <v>45936.250361643513</v>
      </c>
      <c r="E1740" s="2">
        <v>2.59</v>
      </c>
      <c r="F1740" s="2">
        <v>63.4</v>
      </c>
      <c r="G1740" s="2" t="s">
        <v>983</v>
      </c>
      <c r="H1740" s="2" t="s">
        <v>984</v>
      </c>
      <c r="I1740" s="2"/>
      <c r="J1740" s="2" t="s">
        <v>31</v>
      </c>
    </row>
    <row r="1741" spans="1:10" ht="21" customHeight="1">
      <c r="A1741" s="2" t="s">
        <v>2732</v>
      </c>
      <c r="B1741" s="2" t="s">
        <v>31</v>
      </c>
      <c r="C1741" s="4">
        <v>45937.25</v>
      </c>
      <c r="D1741" s="4">
        <v>45937.25037086806</v>
      </c>
      <c r="E1741" s="2"/>
      <c r="F1741" s="2"/>
      <c r="G1741" s="2" t="s">
        <v>983</v>
      </c>
      <c r="H1741" s="2" t="s">
        <v>1066</v>
      </c>
      <c r="I1741" s="2"/>
      <c r="J1741" s="2" t="s">
        <v>31</v>
      </c>
    </row>
    <row r="1742" spans="1:10" ht="21" customHeight="1">
      <c r="A1742" s="2" t="s">
        <v>2733</v>
      </c>
      <c r="B1742" s="2" t="s">
        <v>31</v>
      </c>
      <c r="C1742" s="4">
        <v>45938.25</v>
      </c>
      <c r="D1742" s="4">
        <v>45938.250374456024</v>
      </c>
      <c r="E1742" s="2">
        <v>2.69</v>
      </c>
      <c r="F1742" s="2">
        <v>60.8</v>
      </c>
      <c r="G1742" s="2" t="s">
        <v>983</v>
      </c>
      <c r="H1742" s="2" t="s">
        <v>984</v>
      </c>
      <c r="I1742" s="2"/>
      <c r="J1742" s="2" t="s">
        <v>31</v>
      </c>
    </row>
    <row r="1743" spans="1:10" ht="21" customHeight="1">
      <c r="A1743" s="2" t="s">
        <v>2734</v>
      </c>
      <c r="B1743" s="2" t="s">
        <v>31</v>
      </c>
      <c r="C1743" s="4">
        <v>45939.25</v>
      </c>
      <c r="D1743" s="4">
        <v>45939.250629988426</v>
      </c>
      <c r="E1743" s="2">
        <v>3.29</v>
      </c>
      <c r="F1743" s="2">
        <v>65.2</v>
      </c>
      <c r="G1743" s="2" t="s">
        <v>983</v>
      </c>
      <c r="H1743" s="2" t="s">
        <v>984</v>
      </c>
      <c r="I1743" s="2"/>
      <c r="J1743" s="2" t="s">
        <v>31</v>
      </c>
    </row>
    <row r="1744" spans="1:10" ht="21" customHeight="1">
      <c r="A1744" s="2" t="s">
        <v>2735</v>
      </c>
      <c r="B1744" s="2" t="s">
        <v>31</v>
      </c>
      <c r="C1744" s="4">
        <v>45940.25</v>
      </c>
      <c r="D1744" s="4">
        <v>45940.250691759255</v>
      </c>
      <c r="E1744" s="2">
        <v>17.36</v>
      </c>
      <c r="F1744" s="2">
        <v>65.3</v>
      </c>
      <c r="G1744" s="2" t="s">
        <v>983</v>
      </c>
      <c r="H1744" s="2" t="s">
        <v>1022</v>
      </c>
      <c r="I1744" s="2"/>
      <c r="J1744" s="2" t="s">
        <v>31</v>
      </c>
    </row>
    <row r="1745" spans="1:10" ht="21" customHeight="1">
      <c r="A1745" s="2" t="s">
        <v>2736</v>
      </c>
      <c r="B1745" s="2" t="s">
        <v>31</v>
      </c>
      <c r="C1745" s="4">
        <v>45941.25</v>
      </c>
      <c r="D1745" s="4">
        <v>45941.250657777782</v>
      </c>
      <c r="E1745" s="2">
        <v>3</v>
      </c>
      <c r="F1745" s="2">
        <v>58.7</v>
      </c>
      <c r="G1745" s="2" t="s">
        <v>983</v>
      </c>
      <c r="H1745" s="2" t="s">
        <v>984</v>
      </c>
      <c r="I1745" s="2"/>
      <c r="J1745" s="2" t="s">
        <v>31</v>
      </c>
    </row>
    <row r="1746" spans="1:10" ht="21" customHeight="1">
      <c r="A1746" s="2" t="s">
        <v>2737</v>
      </c>
      <c r="B1746" s="2" t="s">
        <v>31</v>
      </c>
      <c r="C1746" s="4">
        <v>45942.25</v>
      </c>
      <c r="D1746" s="4">
        <v>45942.250507152778</v>
      </c>
      <c r="E1746" s="2">
        <v>2.4700000000000002</v>
      </c>
      <c r="F1746" s="2">
        <v>59.7</v>
      </c>
      <c r="G1746" s="2" t="s">
        <v>983</v>
      </c>
      <c r="H1746" s="2" t="s">
        <v>984</v>
      </c>
      <c r="I1746" s="2"/>
      <c r="J1746" s="2" t="s">
        <v>31</v>
      </c>
    </row>
    <row r="1747" spans="1:10" ht="21" customHeight="1">
      <c r="A1747" s="2" t="s">
        <v>2738</v>
      </c>
      <c r="B1747" s="2" t="s">
        <v>31</v>
      </c>
      <c r="C1747" s="4">
        <v>45943.25</v>
      </c>
      <c r="D1747" s="4">
        <v>45943.250588124996</v>
      </c>
      <c r="E1747" s="2">
        <v>2.4500000000000002</v>
      </c>
      <c r="F1747" s="2">
        <v>63.6</v>
      </c>
      <c r="G1747" s="2" t="s">
        <v>983</v>
      </c>
      <c r="H1747" s="2" t="s">
        <v>984</v>
      </c>
      <c r="I1747" s="2"/>
      <c r="J1747" s="2" t="s">
        <v>31</v>
      </c>
    </row>
    <row r="1748" spans="1:10" ht="21" customHeight="1">
      <c r="A1748" s="2" t="s">
        <v>2739</v>
      </c>
      <c r="B1748" s="2" t="s">
        <v>31</v>
      </c>
      <c r="C1748" s="4">
        <v>45944.25</v>
      </c>
      <c r="D1748" s="4">
        <v>45944.250077407407</v>
      </c>
      <c r="E1748" s="2">
        <v>2.2200000000000002</v>
      </c>
      <c r="F1748" s="2">
        <v>62.7</v>
      </c>
      <c r="G1748" s="2" t="s">
        <v>983</v>
      </c>
      <c r="H1748" s="2" t="s">
        <v>984</v>
      </c>
      <c r="I1748" s="2"/>
      <c r="J1748" s="2" t="s">
        <v>31</v>
      </c>
    </row>
    <row r="1749" spans="1:10" ht="21" customHeight="1">
      <c r="A1749" s="2" t="s">
        <v>2740</v>
      </c>
      <c r="B1749" s="2" t="s">
        <v>31</v>
      </c>
      <c r="C1749" s="4">
        <v>45945.25</v>
      </c>
      <c r="D1749" s="4">
        <v>45945.250502418981</v>
      </c>
      <c r="E1749" s="2">
        <v>2.41</v>
      </c>
      <c r="F1749" s="2">
        <v>63.6</v>
      </c>
      <c r="G1749" s="2" t="s">
        <v>983</v>
      </c>
      <c r="H1749" s="2" t="s">
        <v>984</v>
      </c>
      <c r="I1749" s="2"/>
      <c r="J1749" s="2" t="s">
        <v>31</v>
      </c>
    </row>
    <row r="1750" spans="1:10" ht="21" customHeight="1">
      <c r="A1750" s="2" t="s">
        <v>2741</v>
      </c>
      <c r="B1750" s="2" t="s">
        <v>31</v>
      </c>
      <c r="C1750" s="4">
        <v>45946.25</v>
      </c>
      <c r="D1750" s="4">
        <v>45946.250145671293</v>
      </c>
      <c r="E1750" s="2">
        <v>2.95</v>
      </c>
      <c r="F1750" s="2">
        <v>62.4</v>
      </c>
      <c r="G1750" s="2" t="s">
        <v>983</v>
      </c>
      <c r="H1750" s="2" t="s">
        <v>984</v>
      </c>
      <c r="I1750" s="2"/>
      <c r="J1750" s="2" t="s">
        <v>31</v>
      </c>
    </row>
    <row r="1751" spans="1:10" ht="21" customHeight="1">
      <c r="A1751" s="2" t="s">
        <v>2742</v>
      </c>
      <c r="B1751" s="2" t="s">
        <v>31</v>
      </c>
      <c r="C1751" s="4">
        <v>45947.25</v>
      </c>
      <c r="D1751" s="4">
        <v>45947.250591226853</v>
      </c>
      <c r="E1751" s="2">
        <v>6.62</v>
      </c>
      <c r="F1751" s="2">
        <v>70.2</v>
      </c>
      <c r="G1751" s="2" t="s">
        <v>983</v>
      </c>
      <c r="H1751" s="2" t="s">
        <v>984</v>
      </c>
      <c r="I1751" s="2" t="s">
        <v>985</v>
      </c>
      <c r="J1751" s="2" t="s">
        <v>31</v>
      </c>
    </row>
    <row r="1752" spans="1:10" ht="21" customHeight="1">
      <c r="A1752" s="2" t="s">
        <v>2743</v>
      </c>
      <c r="B1752" s="2" t="s">
        <v>31</v>
      </c>
      <c r="C1752" s="4">
        <v>45948.25</v>
      </c>
      <c r="D1752" s="4">
        <v>45948.250591516204</v>
      </c>
      <c r="E1752" s="2">
        <v>6.68</v>
      </c>
      <c r="F1752" s="2">
        <v>71.2</v>
      </c>
      <c r="G1752" s="2" t="s">
        <v>983</v>
      </c>
      <c r="H1752" s="2" t="s">
        <v>984</v>
      </c>
      <c r="I1752" s="2" t="s">
        <v>1053</v>
      </c>
      <c r="J1752" s="2" t="s">
        <v>31</v>
      </c>
    </row>
    <row r="1753" spans="1:10" ht="21" customHeight="1">
      <c r="A1753" s="2" t="s">
        <v>2744</v>
      </c>
      <c r="B1753" s="2" t="s">
        <v>31</v>
      </c>
      <c r="C1753" s="4">
        <v>45949.25</v>
      </c>
      <c r="D1753" s="4">
        <v>45949.250664872685</v>
      </c>
      <c r="E1753" s="2">
        <v>6.18</v>
      </c>
      <c r="F1753" s="2">
        <v>65.7</v>
      </c>
      <c r="G1753" s="2" t="s">
        <v>983</v>
      </c>
      <c r="H1753" s="2" t="s">
        <v>984</v>
      </c>
      <c r="I1753" s="2"/>
      <c r="J1753" s="2" t="s">
        <v>31</v>
      </c>
    </row>
    <row r="1754" spans="1:10" ht="21" customHeight="1">
      <c r="A1754" s="2" t="s">
        <v>2745</v>
      </c>
      <c r="B1754" s="2" t="s">
        <v>31</v>
      </c>
      <c r="C1754" s="4">
        <v>45950.25</v>
      </c>
      <c r="D1754" s="4">
        <v>45950.250192395833</v>
      </c>
      <c r="E1754" s="2">
        <v>0</v>
      </c>
      <c r="F1754" s="2">
        <v>65.400000000000006</v>
      </c>
      <c r="G1754" s="2" t="s">
        <v>1175</v>
      </c>
      <c r="H1754" s="2" t="s">
        <v>984</v>
      </c>
      <c r="I1754" s="2"/>
      <c r="J1754" s="2" t="s">
        <v>31</v>
      </c>
    </row>
    <row r="1755" spans="1:10" ht="21" customHeight="1">
      <c r="A1755" s="2" t="s">
        <v>2746</v>
      </c>
      <c r="B1755" s="2" t="s">
        <v>31</v>
      </c>
      <c r="C1755" s="4">
        <v>45951.25</v>
      </c>
      <c r="D1755" s="4">
        <v>45951.250087893517</v>
      </c>
      <c r="E1755" s="2">
        <v>2.31</v>
      </c>
      <c r="F1755" s="2">
        <v>64.7</v>
      </c>
      <c r="G1755" s="2" t="s">
        <v>983</v>
      </c>
      <c r="H1755" s="2" t="s">
        <v>984</v>
      </c>
      <c r="I1755" s="2"/>
      <c r="J1755" s="2" t="s">
        <v>31</v>
      </c>
    </row>
    <row r="1756" spans="1:10" ht="21" customHeight="1">
      <c r="A1756" s="2" t="s">
        <v>2747</v>
      </c>
      <c r="B1756" s="2" t="s">
        <v>31</v>
      </c>
      <c r="C1756" s="4">
        <v>45952.25</v>
      </c>
      <c r="D1756" s="4">
        <v>45952.250438935182</v>
      </c>
      <c r="E1756" s="2">
        <v>2.88</v>
      </c>
      <c r="F1756" s="2">
        <v>60.8</v>
      </c>
      <c r="G1756" s="2" t="s">
        <v>983</v>
      </c>
      <c r="H1756" s="2" t="s">
        <v>984</v>
      </c>
      <c r="I1756" s="2"/>
      <c r="J1756" s="2" t="s">
        <v>31</v>
      </c>
    </row>
    <row r="1757" spans="1:10" ht="21" customHeight="1">
      <c r="A1757" s="2" t="s">
        <v>2748</v>
      </c>
      <c r="B1757" s="2" t="s">
        <v>31</v>
      </c>
      <c r="C1757" s="4">
        <v>45953.25</v>
      </c>
      <c r="D1757" s="4">
        <v>45953.250477754627</v>
      </c>
      <c r="E1757" s="2">
        <v>2.16</v>
      </c>
      <c r="F1757" s="2">
        <v>63.2</v>
      </c>
      <c r="G1757" s="2" t="s">
        <v>983</v>
      </c>
      <c r="H1757" s="2" t="s">
        <v>984</v>
      </c>
      <c r="I1757" s="2"/>
      <c r="J1757" s="2" t="s">
        <v>31</v>
      </c>
    </row>
    <row r="1758" spans="1:10" ht="21" customHeight="1">
      <c r="A1758" s="2" t="s">
        <v>2749</v>
      </c>
      <c r="B1758" s="2" t="s">
        <v>31</v>
      </c>
      <c r="C1758" s="4">
        <v>45954.25</v>
      </c>
      <c r="D1758" s="4">
        <v>45954.25054685185</v>
      </c>
      <c r="E1758" s="2">
        <v>2.96</v>
      </c>
      <c r="F1758" s="2">
        <v>59.7</v>
      </c>
      <c r="G1758" s="2" t="s">
        <v>983</v>
      </c>
      <c r="H1758" s="2" t="s">
        <v>984</v>
      </c>
      <c r="I1758" s="2"/>
      <c r="J1758" s="2" t="s">
        <v>31</v>
      </c>
    </row>
    <row r="1759" spans="1:10" ht="21" customHeight="1">
      <c r="A1759" s="2" t="s">
        <v>2750</v>
      </c>
      <c r="B1759" s="2" t="s">
        <v>31</v>
      </c>
      <c r="C1759" s="4">
        <v>45955.25</v>
      </c>
      <c r="D1759" s="4">
        <v>45955.250215428241</v>
      </c>
      <c r="E1759" s="2">
        <v>2.2599999999999998</v>
      </c>
      <c r="F1759" s="2">
        <v>61.1</v>
      </c>
      <c r="G1759" s="2" t="s">
        <v>983</v>
      </c>
      <c r="H1759" s="2" t="s">
        <v>984</v>
      </c>
      <c r="I1759" s="2"/>
      <c r="J1759" s="2" t="s">
        <v>31</v>
      </c>
    </row>
    <row r="1760" spans="1:10" ht="21" customHeight="1">
      <c r="A1760" s="2" t="s">
        <v>2751</v>
      </c>
      <c r="B1760" s="2" t="s">
        <v>31</v>
      </c>
      <c r="C1760" s="4">
        <v>45956.25</v>
      </c>
      <c r="D1760" s="4">
        <v>45956.250164895835</v>
      </c>
      <c r="E1760" s="2">
        <v>2.4</v>
      </c>
      <c r="F1760" s="2">
        <v>60.3</v>
      </c>
      <c r="G1760" s="2" t="s">
        <v>983</v>
      </c>
      <c r="H1760" s="2" t="s">
        <v>984</v>
      </c>
      <c r="I1760" s="2"/>
      <c r="J1760" s="2" t="s">
        <v>31</v>
      </c>
    </row>
    <row r="1761" spans="1:10" ht="21" customHeight="1">
      <c r="A1761" s="2" t="s">
        <v>2752</v>
      </c>
      <c r="B1761" s="2" t="s">
        <v>31</v>
      </c>
      <c r="C1761" s="4">
        <v>45957.25</v>
      </c>
      <c r="D1761" s="4">
        <v>45957.25052976852</v>
      </c>
      <c r="E1761" s="2">
        <v>3.03</v>
      </c>
      <c r="F1761" s="2">
        <v>64.099999999999994</v>
      </c>
      <c r="G1761" s="2" t="s">
        <v>983</v>
      </c>
      <c r="H1761" s="2" t="s">
        <v>984</v>
      </c>
      <c r="I1761" s="2"/>
      <c r="J1761" s="2" t="s">
        <v>31</v>
      </c>
    </row>
    <row r="1762" spans="1:10" ht="21" customHeight="1">
      <c r="A1762" s="2" t="s">
        <v>2753</v>
      </c>
      <c r="B1762" s="2" t="s">
        <v>31</v>
      </c>
      <c r="C1762" s="4">
        <v>45958.25</v>
      </c>
      <c r="D1762" s="4">
        <v>45958.250484583332</v>
      </c>
      <c r="E1762" s="2">
        <v>2.7</v>
      </c>
      <c r="F1762" s="2">
        <v>60.9</v>
      </c>
      <c r="G1762" s="2" t="s">
        <v>983</v>
      </c>
      <c r="H1762" s="2" t="s">
        <v>984</v>
      </c>
      <c r="I1762" s="2"/>
      <c r="J1762" s="2" t="s">
        <v>31</v>
      </c>
    </row>
    <row r="1763" spans="1:10" ht="21" customHeight="1">
      <c r="A1763" s="2" t="s">
        <v>2754</v>
      </c>
      <c r="B1763" s="2" t="s">
        <v>31</v>
      </c>
      <c r="C1763" s="4">
        <v>45959.25</v>
      </c>
      <c r="D1763" s="4">
        <v>45959.250016886574</v>
      </c>
      <c r="E1763" s="2">
        <v>2.42</v>
      </c>
      <c r="F1763" s="2">
        <v>61.2</v>
      </c>
      <c r="G1763" s="2" t="s">
        <v>983</v>
      </c>
      <c r="H1763" s="2" t="s">
        <v>984</v>
      </c>
      <c r="I1763" s="2"/>
      <c r="J1763" s="2" t="s">
        <v>31</v>
      </c>
    </row>
    <row r="1764" spans="1:10" ht="21" customHeight="1">
      <c r="A1764" s="2" t="s">
        <v>2755</v>
      </c>
      <c r="B1764" s="2" t="s">
        <v>31</v>
      </c>
      <c r="C1764" s="4">
        <v>45960.25</v>
      </c>
      <c r="D1764" s="4">
        <v>45960.250461597221</v>
      </c>
      <c r="E1764" s="2">
        <v>2.21</v>
      </c>
      <c r="F1764" s="2">
        <v>60.6</v>
      </c>
      <c r="G1764" s="2" t="s">
        <v>983</v>
      </c>
      <c r="H1764" s="2" t="s">
        <v>984</v>
      </c>
      <c r="I1764" s="2"/>
      <c r="J1764" s="2" t="s">
        <v>31</v>
      </c>
    </row>
    <row r="1765" spans="1:10" ht="21" customHeight="1">
      <c r="A1765" s="2" t="s">
        <v>2756</v>
      </c>
      <c r="B1765" s="2" t="s">
        <v>2469</v>
      </c>
      <c r="C1765" s="4">
        <v>45961.25</v>
      </c>
      <c r="D1765" s="4">
        <v>45961.250400069446</v>
      </c>
      <c r="E1765" s="2">
        <v>2.77</v>
      </c>
      <c r="F1765" s="2">
        <v>58.2</v>
      </c>
      <c r="G1765" s="2" t="s">
        <v>983</v>
      </c>
      <c r="H1765" s="2" t="s">
        <v>984</v>
      </c>
      <c r="I1765" s="2"/>
      <c r="J1765" s="2" t="s">
        <v>31</v>
      </c>
    </row>
    <row r="1766" spans="1:10" ht="21" customHeight="1">
      <c r="A1766" s="2" t="s">
        <v>2757</v>
      </c>
      <c r="B1766" s="2" t="s">
        <v>31</v>
      </c>
      <c r="C1766" s="4">
        <v>45962.25</v>
      </c>
      <c r="D1766" s="4">
        <v>45962.250138657408</v>
      </c>
      <c r="E1766" s="2">
        <v>2.5099999999999998</v>
      </c>
      <c r="F1766" s="2">
        <v>63.3</v>
      </c>
      <c r="G1766" s="2" t="s">
        <v>983</v>
      </c>
      <c r="H1766" s="2" t="s">
        <v>984</v>
      </c>
      <c r="I1766" s="2"/>
      <c r="J1766" s="2" t="s">
        <v>31</v>
      </c>
    </row>
    <row r="1767" spans="1:10" ht="21" customHeight="1">
      <c r="A1767" s="2" t="s">
        <v>2758</v>
      </c>
      <c r="B1767" s="2" t="s">
        <v>31</v>
      </c>
      <c r="C1767" s="4">
        <v>45963.25</v>
      </c>
      <c r="D1767" s="4">
        <v>45963.25068971065</v>
      </c>
      <c r="E1767" s="2">
        <v>2.19</v>
      </c>
      <c r="F1767" s="2">
        <v>64.3</v>
      </c>
      <c r="G1767" s="2" t="s">
        <v>983</v>
      </c>
      <c r="H1767" s="2" t="s">
        <v>984</v>
      </c>
      <c r="I1767" s="2"/>
      <c r="J1767" s="2" t="s">
        <v>31</v>
      </c>
    </row>
    <row r="1768" spans="1:10" ht="21" customHeight="1">
      <c r="A1768" s="2" t="s">
        <v>2759</v>
      </c>
      <c r="B1768" s="2" t="s">
        <v>31</v>
      </c>
      <c r="C1768" s="4">
        <v>45964.25</v>
      </c>
      <c r="D1768" s="4">
        <v>45964.250290949072</v>
      </c>
      <c r="E1768" s="2">
        <v>2.36</v>
      </c>
      <c r="F1768" s="2">
        <v>62.8</v>
      </c>
      <c r="G1768" s="2" t="s">
        <v>983</v>
      </c>
      <c r="H1768" s="2" t="s">
        <v>984</v>
      </c>
      <c r="I1768" s="2" t="s">
        <v>985</v>
      </c>
      <c r="J1768" s="2" t="s">
        <v>31</v>
      </c>
    </row>
    <row r="1769" spans="1:10" ht="21" customHeight="1">
      <c r="A1769" s="2" t="s">
        <v>2760</v>
      </c>
      <c r="B1769" s="2" t="s">
        <v>31</v>
      </c>
      <c r="C1769" s="4">
        <v>45965.25</v>
      </c>
      <c r="D1769" s="4">
        <v>45965.250412453708</v>
      </c>
      <c r="E1769" s="2">
        <v>2.77</v>
      </c>
      <c r="F1769" s="2">
        <v>60.9</v>
      </c>
      <c r="G1769" s="2" t="s">
        <v>983</v>
      </c>
      <c r="H1769" s="2" t="s">
        <v>984</v>
      </c>
      <c r="I1769" s="2"/>
      <c r="J1769" s="2" t="s">
        <v>31</v>
      </c>
    </row>
    <row r="1770" spans="1:10" ht="21" customHeight="1">
      <c r="A1770" s="2" t="s">
        <v>2761</v>
      </c>
      <c r="B1770" s="2" t="s">
        <v>31</v>
      </c>
      <c r="C1770" s="4">
        <v>45966.25</v>
      </c>
      <c r="D1770" s="4">
        <v>45966.250642488427</v>
      </c>
      <c r="E1770" s="2">
        <v>2.39</v>
      </c>
      <c r="F1770" s="2">
        <v>60</v>
      </c>
      <c r="G1770" s="2" t="s">
        <v>983</v>
      </c>
      <c r="H1770" s="2" t="s">
        <v>984</v>
      </c>
      <c r="I1770" s="2"/>
      <c r="J1770" s="2" t="s">
        <v>31</v>
      </c>
    </row>
    <row r="1771" spans="1:10" ht="21" customHeight="1">
      <c r="A1771" s="2" t="s">
        <v>2762</v>
      </c>
      <c r="B1771" s="2" t="s">
        <v>31</v>
      </c>
      <c r="C1771" s="4">
        <v>45967.25</v>
      </c>
      <c r="D1771" s="4">
        <v>45967.250244097224</v>
      </c>
      <c r="E1771" s="2">
        <v>21.76</v>
      </c>
      <c r="F1771" s="2">
        <v>58.4</v>
      </c>
      <c r="G1771" s="2" t="s">
        <v>983</v>
      </c>
      <c r="H1771" s="2" t="s">
        <v>1022</v>
      </c>
      <c r="I1771" s="2"/>
      <c r="J1771" s="2" t="s">
        <v>31</v>
      </c>
    </row>
    <row r="1772" spans="1:10" ht="21" customHeight="1">
      <c r="A1772" s="2" t="s">
        <v>2763</v>
      </c>
      <c r="B1772" s="2" t="s">
        <v>31</v>
      </c>
      <c r="C1772" s="4">
        <v>45968.25</v>
      </c>
      <c r="D1772" s="4">
        <v>45968.250068194444</v>
      </c>
      <c r="E1772" s="2">
        <v>0</v>
      </c>
      <c r="F1772" s="2">
        <v>61.6</v>
      </c>
      <c r="G1772" s="2" t="s">
        <v>1175</v>
      </c>
      <c r="H1772" s="2" t="s">
        <v>984</v>
      </c>
      <c r="I1772" s="2"/>
      <c r="J1772" s="2" t="s">
        <v>31</v>
      </c>
    </row>
    <row r="1773" spans="1:10" ht="21" customHeight="1">
      <c r="A1773" s="2" t="s">
        <v>2764</v>
      </c>
      <c r="B1773" s="2" t="s">
        <v>31</v>
      </c>
      <c r="C1773" s="4">
        <v>45969.25</v>
      </c>
      <c r="D1773" s="4">
        <v>45969.250674641204</v>
      </c>
      <c r="E1773" s="2">
        <v>2.97</v>
      </c>
      <c r="F1773" s="2">
        <v>64.599999999999994</v>
      </c>
      <c r="G1773" s="2" t="s">
        <v>983</v>
      </c>
      <c r="H1773" s="2" t="s">
        <v>984</v>
      </c>
      <c r="I1773" s="2"/>
      <c r="J1773" s="2" t="s">
        <v>31</v>
      </c>
    </row>
    <row r="1774" spans="1:10" ht="21" customHeight="1">
      <c r="A1774" s="2" t="s">
        <v>2765</v>
      </c>
      <c r="B1774" s="2" t="s">
        <v>31</v>
      </c>
      <c r="C1774" s="4">
        <v>45970.25</v>
      </c>
      <c r="D1774" s="4">
        <v>45970.250660451391</v>
      </c>
      <c r="E1774" s="2">
        <v>2.57</v>
      </c>
      <c r="F1774" s="2">
        <v>65</v>
      </c>
      <c r="G1774" s="2" t="s">
        <v>983</v>
      </c>
      <c r="H1774" s="2" t="s">
        <v>984</v>
      </c>
      <c r="I1774" s="2"/>
      <c r="J1774" s="2" t="s">
        <v>31</v>
      </c>
    </row>
    <row r="1775" spans="1:10" ht="21" customHeight="1">
      <c r="A1775" s="2" t="s">
        <v>2766</v>
      </c>
      <c r="B1775" s="2" t="s">
        <v>31</v>
      </c>
      <c r="C1775" s="4">
        <v>45971.25</v>
      </c>
      <c r="D1775" s="4">
        <v>45971.250116840281</v>
      </c>
      <c r="E1775" s="2">
        <v>2.37</v>
      </c>
      <c r="F1775" s="2">
        <v>62.4</v>
      </c>
      <c r="G1775" s="2" t="s">
        <v>983</v>
      </c>
      <c r="H1775" s="2" t="s">
        <v>984</v>
      </c>
      <c r="I1775" s="2"/>
      <c r="J1775" s="2" t="s">
        <v>31</v>
      </c>
    </row>
    <row r="1776" spans="1:10" ht="21" customHeight="1">
      <c r="A1776" s="2" t="s">
        <v>2767</v>
      </c>
      <c r="B1776" s="2" t="s">
        <v>31</v>
      </c>
      <c r="C1776" s="4">
        <v>45972.25</v>
      </c>
      <c r="D1776" s="4">
        <v>45972.250354340278</v>
      </c>
      <c r="E1776" s="2">
        <v>2.75</v>
      </c>
      <c r="F1776" s="2">
        <v>59.2</v>
      </c>
      <c r="G1776" s="2" t="s">
        <v>983</v>
      </c>
      <c r="H1776" s="2" t="s">
        <v>984</v>
      </c>
      <c r="I1776" s="2"/>
      <c r="J1776" s="2" t="s">
        <v>31</v>
      </c>
    </row>
    <row r="1777" spans="1:10" ht="21" customHeight="1">
      <c r="A1777" s="2" t="s">
        <v>2768</v>
      </c>
      <c r="B1777" s="2" t="s">
        <v>31</v>
      </c>
      <c r="C1777" s="4">
        <v>45973.25</v>
      </c>
      <c r="D1777" s="4">
        <v>45973.250267187497</v>
      </c>
      <c r="E1777" s="2">
        <v>3.23</v>
      </c>
      <c r="F1777" s="2">
        <v>58.9</v>
      </c>
      <c r="G1777" s="2" t="s">
        <v>983</v>
      </c>
      <c r="H1777" s="2" t="s">
        <v>984</v>
      </c>
      <c r="I1777" s="2"/>
      <c r="J1777" s="2" t="s">
        <v>31</v>
      </c>
    </row>
    <row r="1778" spans="1:10" ht="21" customHeight="1">
      <c r="A1778" s="2" t="s">
        <v>2769</v>
      </c>
      <c r="B1778" s="2" t="s">
        <v>31</v>
      </c>
      <c r="C1778" s="4">
        <v>45974.25</v>
      </c>
      <c r="D1778" s="4">
        <v>45974.25011552083</v>
      </c>
      <c r="E1778" s="2">
        <v>2.74</v>
      </c>
      <c r="F1778" s="2">
        <v>59.5</v>
      </c>
      <c r="G1778" s="2" t="s">
        <v>983</v>
      </c>
      <c r="H1778" s="2" t="s">
        <v>984</v>
      </c>
      <c r="I1778" s="2"/>
      <c r="J1778" s="2" t="s">
        <v>31</v>
      </c>
    </row>
    <row r="1779" spans="1:10" ht="21" customHeight="1">
      <c r="A1779" s="2" t="s">
        <v>2770</v>
      </c>
      <c r="B1779" s="2" t="s">
        <v>31</v>
      </c>
      <c r="C1779" s="4">
        <v>45975.25</v>
      </c>
      <c r="D1779" s="4">
        <v>45975.250257604166</v>
      </c>
      <c r="E1779" s="2">
        <v>2.23</v>
      </c>
      <c r="F1779" s="2">
        <v>63.7</v>
      </c>
      <c r="G1779" s="2" t="s">
        <v>983</v>
      </c>
      <c r="H1779" s="2" t="s">
        <v>984</v>
      </c>
      <c r="I1779" s="2"/>
      <c r="J1779" s="2" t="s">
        <v>31</v>
      </c>
    </row>
    <row r="1780" spans="1:10" ht="21" customHeight="1">
      <c r="A1780" s="2" t="s">
        <v>2771</v>
      </c>
      <c r="B1780" s="2" t="s">
        <v>31</v>
      </c>
      <c r="C1780" s="4">
        <v>45976.25</v>
      </c>
      <c r="D1780" s="4">
        <v>45976.250258287037</v>
      </c>
      <c r="E1780" s="2">
        <v>2.5099999999999998</v>
      </c>
      <c r="F1780" s="2">
        <v>60.1</v>
      </c>
      <c r="G1780" s="2" t="s">
        <v>983</v>
      </c>
      <c r="H1780" s="2" t="s">
        <v>984</v>
      </c>
      <c r="I1780" s="2"/>
      <c r="J1780" s="2" t="s">
        <v>31</v>
      </c>
    </row>
    <row r="1781" spans="1:10" ht="21" customHeight="1">
      <c r="A1781" s="2" t="s">
        <v>2772</v>
      </c>
      <c r="B1781" s="2" t="s">
        <v>31</v>
      </c>
      <c r="C1781" s="4">
        <v>45977.25</v>
      </c>
      <c r="D1781" s="4">
        <v>45977.250640914353</v>
      </c>
      <c r="E1781" s="2">
        <v>2.25</v>
      </c>
      <c r="F1781" s="2">
        <v>60.7</v>
      </c>
      <c r="G1781" s="2" t="s">
        <v>983</v>
      </c>
      <c r="H1781" s="2" t="s">
        <v>984</v>
      </c>
      <c r="I1781" s="2"/>
      <c r="J1781" s="2" t="s">
        <v>31</v>
      </c>
    </row>
    <row r="1782" spans="1:10" ht="21" customHeight="1">
      <c r="A1782" s="2" t="s">
        <v>2773</v>
      </c>
      <c r="B1782" s="2" t="s">
        <v>31</v>
      </c>
      <c r="C1782" s="4">
        <v>45978.25</v>
      </c>
      <c r="D1782" s="4">
        <v>45978.250110833338</v>
      </c>
      <c r="E1782" s="2">
        <v>2.2599999999999998</v>
      </c>
      <c r="F1782" s="2">
        <v>60.5</v>
      </c>
      <c r="G1782" s="2" t="s">
        <v>983</v>
      </c>
      <c r="H1782" s="2" t="s">
        <v>984</v>
      </c>
      <c r="I1782" s="2"/>
      <c r="J1782" s="2" t="s">
        <v>31</v>
      </c>
    </row>
    <row r="1783" spans="1:10" ht="21" customHeight="1">
      <c r="A1783" s="2" t="s">
        <v>2774</v>
      </c>
      <c r="B1783" s="2" t="s">
        <v>31</v>
      </c>
      <c r="C1783" s="4">
        <v>45979.25</v>
      </c>
      <c r="D1783" s="4">
        <v>45979.250044131943</v>
      </c>
      <c r="E1783" s="2">
        <v>2.96</v>
      </c>
      <c r="F1783" s="2">
        <v>60.1</v>
      </c>
      <c r="G1783" s="2" t="s">
        <v>983</v>
      </c>
      <c r="H1783" s="2" t="s">
        <v>984</v>
      </c>
      <c r="I1783" s="2"/>
      <c r="J1783" s="2" t="s">
        <v>31</v>
      </c>
    </row>
    <row r="1784" spans="1:10" ht="21" customHeight="1">
      <c r="A1784" s="2" t="s">
        <v>2775</v>
      </c>
      <c r="B1784" s="2" t="s">
        <v>31</v>
      </c>
      <c r="C1784" s="4">
        <v>45980.25</v>
      </c>
      <c r="D1784" s="4">
        <v>45980.2505318287</v>
      </c>
      <c r="E1784" s="2"/>
      <c r="F1784" s="2"/>
      <c r="G1784" s="2" t="s">
        <v>983</v>
      </c>
      <c r="H1784" s="2" t="s">
        <v>1066</v>
      </c>
      <c r="I1784" s="2"/>
      <c r="J1784" s="2" t="s">
        <v>31</v>
      </c>
    </row>
    <row r="1785" spans="1:10" ht="21" customHeight="1">
      <c r="A1785" s="2" t="s">
        <v>2776</v>
      </c>
      <c r="B1785" s="2" t="s">
        <v>31</v>
      </c>
      <c r="C1785" s="4">
        <v>45981.25</v>
      </c>
      <c r="D1785" s="4">
        <v>45981.250090879628</v>
      </c>
      <c r="E1785" s="2">
        <v>4.49</v>
      </c>
      <c r="F1785" s="2">
        <v>66.7</v>
      </c>
      <c r="G1785" s="2" t="s">
        <v>983</v>
      </c>
      <c r="H1785" s="2" t="s">
        <v>984</v>
      </c>
      <c r="I1785" s="2" t="s">
        <v>985</v>
      </c>
      <c r="J1785" s="2" t="s">
        <v>31</v>
      </c>
    </row>
    <row r="1786" spans="1:10" ht="21" customHeight="1">
      <c r="A1786" s="2" t="s">
        <v>2777</v>
      </c>
      <c r="B1786" s="2" t="s">
        <v>31</v>
      </c>
      <c r="C1786" s="4">
        <v>45982.25</v>
      </c>
      <c r="D1786" s="4">
        <v>45982.250313993056</v>
      </c>
      <c r="E1786" s="2">
        <v>6.98</v>
      </c>
      <c r="F1786" s="2">
        <v>66.5</v>
      </c>
      <c r="G1786" s="2" t="s">
        <v>983</v>
      </c>
      <c r="H1786" s="2" t="s">
        <v>984</v>
      </c>
      <c r="I1786" s="2" t="s">
        <v>1053</v>
      </c>
      <c r="J1786" s="2" t="s">
        <v>31</v>
      </c>
    </row>
    <row r="1787" spans="1:10" ht="21" customHeight="1">
      <c r="A1787" s="2" t="s">
        <v>2778</v>
      </c>
      <c r="B1787" s="2" t="s">
        <v>31</v>
      </c>
      <c r="C1787" s="4">
        <v>45983.25</v>
      </c>
      <c r="D1787" s="4">
        <v>45983.25000738426</v>
      </c>
      <c r="E1787" s="2">
        <v>5.57</v>
      </c>
      <c r="F1787" s="2">
        <v>74.099999999999994</v>
      </c>
      <c r="G1787" s="2" t="s">
        <v>983</v>
      </c>
      <c r="H1787" s="2" t="s">
        <v>984</v>
      </c>
      <c r="I1787" s="2"/>
      <c r="J1787" s="2" t="s">
        <v>31</v>
      </c>
    </row>
    <row r="1788" spans="1:10" ht="21" customHeight="1">
      <c r="A1788" s="2" t="s">
        <v>2779</v>
      </c>
      <c r="B1788" s="2" t="s">
        <v>31</v>
      </c>
      <c r="C1788" s="4">
        <v>45984.25</v>
      </c>
      <c r="D1788" s="4">
        <v>45984.250379884259</v>
      </c>
      <c r="E1788" s="2">
        <v>0</v>
      </c>
      <c r="F1788" s="2">
        <v>65</v>
      </c>
      <c r="G1788" s="2" t="s">
        <v>1175</v>
      </c>
      <c r="H1788" s="2" t="s">
        <v>984</v>
      </c>
      <c r="I1788" s="2"/>
      <c r="J1788" s="2" t="s">
        <v>31</v>
      </c>
    </row>
    <row r="1789" spans="1:10" ht="21" customHeight="1">
      <c r="A1789" s="2" t="s">
        <v>2780</v>
      </c>
      <c r="B1789" s="2" t="s">
        <v>31</v>
      </c>
      <c r="C1789" s="4">
        <v>45985.25</v>
      </c>
      <c r="D1789" s="4">
        <v>45985.250537372689</v>
      </c>
      <c r="E1789" s="2">
        <v>3.08</v>
      </c>
      <c r="F1789" s="2">
        <v>64.5</v>
      </c>
      <c r="G1789" s="2" t="s">
        <v>983</v>
      </c>
      <c r="H1789" s="2" t="s">
        <v>984</v>
      </c>
      <c r="I1789" s="2"/>
      <c r="J1789" s="2" t="s">
        <v>31</v>
      </c>
    </row>
    <row r="1790" spans="1:10" ht="21" customHeight="1">
      <c r="A1790" s="2" t="s">
        <v>2781</v>
      </c>
      <c r="B1790" s="2" t="s">
        <v>31</v>
      </c>
      <c r="C1790" s="4">
        <v>45986.25</v>
      </c>
      <c r="D1790" s="4">
        <v>45986.250260150468</v>
      </c>
      <c r="E1790" s="2">
        <v>2.2200000000000002</v>
      </c>
      <c r="F1790" s="2">
        <v>58.6</v>
      </c>
      <c r="G1790" s="2" t="s">
        <v>983</v>
      </c>
      <c r="H1790" s="2" t="s">
        <v>984</v>
      </c>
      <c r="I1790" s="2"/>
      <c r="J1790" s="2" t="s">
        <v>31</v>
      </c>
    </row>
    <row r="1791" spans="1:10" ht="21" customHeight="1">
      <c r="A1791" s="2" t="s">
        <v>2782</v>
      </c>
      <c r="B1791" s="2" t="s">
        <v>31</v>
      </c>
      <c r="C1791" s="4">
        <v>45987.25</v>
      </c>
      <c r="D1791" s="4">
        <v>45987.250224224539</v>
      </c>
      <c r="E1791" s="2">
        <v>2.5299999999999998</v>
      </c>
      <c r="F1791" s="2">
        <v>58.3</v>
      </c>
      <c r="G1791" s="2" t="s">
        <v>983</v>
      </c>
      <c r="H1791" s="2" t="s">
        <v>984</v>
      </c>
      <c r="I1791" s="2"/>
      <c r="J1791" s="2" t="s">
        <v>31</v>
      </c>
    </row>
    <row r="1792" spans="1:10" ht="21" customHeight="1">
      <c r="A1792" s="2" t="s">
        <v>2783</v>
      </c>
      <c r="B1792" s="2" t="s">
        <v>31</v>
      </c>
      <c r="C1792" s="4">
        <v>45988.25</v>
      </c>
      <c r="D1792" s="4">
        <v>45988.250477789348</v>
      </c>
      <c r="E1792" s="2">
        <v>2.17</v>
      </c>
      <c r="F1792" s="2">
        <v>59.6</v>
      </c>
      <c r="G1792" s="2" t="s">
        <v>983</v>
      </c>
      <c r="H1792" s="2" t="s">
        <v>984</v>
      </c>
      <c r="I1792" s="2"/>
      <c r="J1792" s="2" t="s">
        <v>31</v>
      </c>
    </row>
    <row r="1793" spans="1:10" ht="21" customHeight="1">
      <c r="A1793" s="2" t="s">
        <v>2784</v>
      </c>
      <c r="B1793" s="2" t="s">
        <v>31</v>
      </c>
      <c r="C1793" s="4">
        <v>45989.25</v>
      </c>
      <c r="D1793" s="4">
        <v>45989.250215254629</v>
      </c>
      <c r="E1793" s="2">
        <v>2.61</v>
      </c>
      <c r="F1793" s="2">
        <v>66</v>
      </c>
      <c r="G1793" s="2" t="s">
        <v>983</v>
      </c>
      <c r="H1793" s="2" t="s">
        <v>984</v>
      </c>
      <c r="I1793" s="2"/>
      <c r="J1793" s="2" t="s">
        <v>31</v>
      </c>
    </row>
    <row r="1794" spans="1:10" ht="21" customHeight="1">
      <c r="A1794" s="2" t="s">
        <v>2785</v>
      </c>
      <c r="B1794" s="2" t="s">
        <v>31</v>
      </c>
      <c r="C1794" s="4">
        <v>45990.25</v>
      </c>
      <c r="D1794" s="4">
        <v>45990.250591157412</v>
      </c>
      <c r="E1794" s="2">
        <v>2.27</v>
      </c>
      <c r="F1794" s="2">
        <v>58.6</v>
      </c>
      <c r="G1794" s="2" t="s">
        <v>983</v>
      </c>
      <c r="H1794" s="2" t="s">
        <v>984</v>
      </c>
      <c r="I1794" s="2"/>
      <c r="J1794" s="2" t="s">
        <v>31</v>
      </c>
    </row>
    <row r="1795" spans="1:10" ht="21" customHeight="1">
      <c r="A1795" s="2" t="s">
        <v>2786</v>
      </c>
      <c r="B1795" s="2" t="s">
        <v>31</v>
      </c>
      <c r="C1795" s="4">
        <v>45991.25</v>
      </c>
      <c r="D1795" s="4">
        <v>45991.250205520832</v>
      </c>
      <c r="E1795" s="2">
        <v>2.56</v>
      </c>
      <c r="F1795" s="2">
        <v>58.4</v>
      </c>
      <c r="G1795" s="2" t="s">
        <v>983</v>
      </c>
      <c r="H1795" s="2" t="s">
        <v>984</v>
      </c>
      <c r="I1795" s="2"/>
      <c r="J1795" s="2" t="s">
        <v>31</v>
      </c>
    </row>
    <row r="1796" spans="1:10" ht="21" customHeight="1">
      <c r="A1796" s="2" t="s">
        <v>2787</v>
      </c>
      <c r="B1796" s="2" t="s">
        <v>31</v>
      </c>
      <c r="C1796" s="4">
        <v>45992.25</v>
      </c>
      <c r="D1796" s="4">
        <v>45992.250650231479</v>
      </c>
      <c r="E1796" s="2">
        <v>2.78</v>
      </c>
      <c r="F1796" s="2">
        <v>65.3</v>
      </c>
      <c r="G1796" s="2" t="s">
        <v>983</v>
      </c>
      <c r="H1796" s="2" t="s">
        <v>984</v>
      </c>
      <c r="I1796" s="2"/>
      <c r="J1796" s="2" t="s">
        <v>31</v>
      </c>
    </row>
    <row r="1797" spans="1:10" ht="21" customHeight="1">
      <c r="A1797" s="2" t="s">
        <v>2788</v>
      </c>
      <c r="B1797" s="2" t="s">
        <v>31</v>
      </c>
      <c r="C1797" s="4">
        <v>45993.25</v>
      </c>
      <c r="D1797" s="4">
        <v>45993.250359398153</v>
      </c>
      <c r="E1797" s="2">
        <v>3.07</v>
      </c>
      <c r="F1797" s="2">
        <v>58.4</v>
      </c>
      <c r="G1797" s="2" t="s">
        <v>983</v>
      </c>
      <c r="H1797" s="2" t="s">
        <v>984</v>
      </c>
      <c r="I1797" s="2"/>
      <c r="J1797" s="2" t="s">
        <v>31</v>
      </c>
    </row>
    <row r="1798" spans="1:10" ht="21" customHeight="1">
      <c r="A1798" s="2" t="s">
        <v>2789</v>
      </c>
      <c r="B1798" s="2" t="s">
        <v>31</v>
      </c>
      <c r="C1798" s="4">
        <v>45994.25</v>
      </c>
      <c r="D1798" s="4">
        <v>45994.250387407403</v>
      </c>
      <c r="E1798" s="2">
        <v>2.63</v>
      </c>
      <c r="F1798" s="2">
        <v>60</v>
      </c>
      <c r="G1798" s="2" t="s">
        <v>983</v>
      </c>
      <c r="H1798" s="2" t="s">
        <v>984</v>
      </c>
      <c r="I1798" s="2"/>
      <c r="J1798" s="2" t="s">
        <v>31</v>
      </c>
    </row>
    <row r="1799" spans="1:10" ht="21" customHeight="1">
      <c r="A1799" s="2" t="s">
        <v>2790</v>
      </c>
      <c r="B1799" s="2" t="s">
        <v>31</v>
      </c>
      <c r="C1799" s="4">
        <v>45995.25</v>
      </c>
      <c r="D1799" s="4">
        <v>45995.250276689811</v>
      </c>
      <c r="E1799" s="2">
        <v>2.88</v>
      </c>
      <c r="F1799" s="2">
        <v>64.400000000000006</v>
      </c>
      <c r="G1799" s="2" t="s">
        <v>983</v>
      </c>
      <c r="H1799" s="2" t="s">
        <v>984</v>
      </c>
      <c r="I1799" s="2"/>
      <c r="J1799" s="2" t="s">
        <v>31</v>
      </c>
    </row>
    <row r="1800" spans="1:10" ht="21" customHeight="1">
      <c r="A1800" s="2" t="s">
        <v>2791</v>
      </c>
      <c r="B1800" s="2" t="s">
        <v>31</v>
      </c>
      <c r="C1800" s="4">
        <v>45996.25</v>
      </c>
      <c r="D1800" s="4">
        <v>45996.250491238425</v>
      </c>
      <c r="E1800" s="2">
        <v>3.08</v>
      </c>
      <c r="F1800" s="2">
        <v>58.6</v>
      </c>
      <c r="G1800" s="2" t="s">
        <v>983</v>
      </c>
      <c r="H1800" s="2" t="s">
        <v>984</v>
      </c>
      <c r="I1800" s="2"/>
      <c r="J1800" s="2" t="s">
        <v>31</v>
      </c>
    </row>
    <row r="1801" spans="1:10" ht="21" customHeight="1">
      <c r="A1801" s="2" t="s">
        <v>2792</v>
      </c>
      <c r="B1801" s="2" t="s">
        <v>31</v>
      </c>
      <c r="C1801" s="4">
        <v>45997.25</v>
      </c>
      <c r="D1801" s="4">
        <v>45997.250439756943</v>
      </c>
      <c r="E1801" s="2">
        <v>2.33</v>
      </c>
      <c r="F1801" s="2">
        <v>58.3</v>
      </c>
      <c r="G1801" s="2" t="s">
        <v>983</v>
      </c>
      <c r="H1801" s="2" t="s">
        <v>984</v>
      </c>
      <c r="I1801" s="2"/>
      <c r="J1801" s="2" t="s">
        <v>31</v>
      </c>
    </row>
    <row r="1802" spans="1:10" ht="21" customHeight="1">
      <c r="A1802" s="2" t="s">
        <v>2793</v>
      </c>
      <c r="B1802" s="2" t="s">
        <v>31</v>
      </c>
      <c r="C1802" s="4">
        <v>45998.25</v>
      </c>
      <c r="D1802" s="4">
        <v>45998.250599479172</v>
      </c>
      <c r="E1802" s="2">
        <v>2.78</v>
      </c>
      <c r="F1802" s="2">
        <v>58.5</v>
      </c>
      <c r="G1802" s="2" t="s">
        <v>983</v>
      </c>
      <c r="H1802" s="2" t="s">
        <v>984</v>
      </c>
      <c r="I1802" s="2" t="s">
        <v>985</v>
      </c>
      <c r="J1802" s="2" t="s">
        <v>31</v>
      </c>
    </row>
    <row r="1803" spans="1:10" ht="21" customHeight="1">
      <c r="A1803" s="2" t="s">
        <v>2794</v>
      </c>
      <c r="B1803" s="2" t="s">
        <v>31</v>
      </c>
      <c r="C1803" s="4">
        <v>45999.25</v>
      </c>
      <c r="D1803" s="4">
        <v>45999.250592118056</v>
      </c>
      <c r="E1803" s="2">
        <v>2.97</v>
      </c>
      <c r="F1803" s="2">
        <v>60.5</v>
      </c>
      <c r="G1803" s="2" t="s">
        <v>983</v>
      </c>
      <c r="H1803" s="2" t="s">
        <v>984</v>
      </c>
      <c r="I1803" s="2"/>
      <c r="J1803" s="2" t="s">
        <v>31</v>
      </c>
    </row>
    <row r="1804" spans="1:10" ht="21" customHeight="1">
      <c r="A1804" s="2" t="s">
        <v>2795</v>
      </c>
      <c r="B1804" s="2" t="s">
        <v>31</v>
      </c>
      <c r="C1804" s="4">
        <v>46000.25</v>
      </c>
      <c r="D1804" s="4">
        <v>46000.250316412035</v>
      </c>
      <c r="E1804" s="2">
        <v>2.76</v>
      </c>
      <c r="F1804" s="2">
        <v>64</v>
      </c>
      <c r="G1804" s="2" t="s">
        <v>983</v>
      </c>
      <c r="H1804" s="2" t="s">
        <v>984</v>
      </c>
      <c r="I1804" s="2"/>
      <c r="J1804" s="2" t="s">
        <v>31</v>
      </c>
    </row>
    <row r="1805" spans="1:10" ht="21" customHeight="1">
      <c r="A1805" s="2" t="s">
        <v>2796</v>
      </c>
      <c r="B1805" s="2" t="s">
        <v>31</v>
      </c>
      <c r="C1805" s="4">
        <v>46001.25</v>
      </c>
      <c r="D1805" s="4">
        <v>46001.25030728009</v>
      </c>
      <c r="E1805" s="2">
        <v>3.09</v>
      </c>
      <c r="F1805" s="2">
        <v>58.8</v>
      </c>
      <c r="G1805" s="2" t="s">
        <v>983</v>
      </c>
      <c r="H1805" s="2" t="s">
        <v>984</v>
      </c>
      <c r="I1805" s="2"/>
      <c r="J1805" s="2" t="s">
        <v>31</v>
      </c>
    </row>
    <row r="1806" spans="1:10" ht="21" customHeight="1">
      <c r="A1806" s="2" t="s">
        <v>2797</v>
      </c>
      <c r="B1806" s="2" t="s">
        <v>2469</v>
      </c>
      <c r="C1806" s="4">
        <v>46002.25</v>
      </c>
      <c r="D1806" s="4">
        <v>46002.250116909723</v>
      </c>
      <c r="E1806" s="2">
        <v>0</v>
      </c>
      <c r="F1806" s="2">
        <v>62.3</v>
      </c>
      <c r="G1806" s="2" t="s">
        <v>1175</v>
      </c>
      <c r="H1806" s="2" t="s">
        <v>984</v>
      </c>
      <c r="I1806" s="2"/>
      <c r="J1806" s="2" t="s">
        <v>31</v>
      </c>
    </row>
    <row r="1807" spans="1:10" ht="21" customHeight="1">
      <c r="A1807" s="2" t="s">
        <v>2798</v>
      </c>
      <c r="B1807" s="2" t="s">
        <v>31</v>
      </c>
      <c r="C1807" s="4">
        <v>46003.25</v>
      </c>
      <c r="D1807" s="4">
        <v>46003.250415138886</v>
      </c>
      <c r="E1807" s="2">
        <v>3.19</v>
      </c>
      <c r="F1807" s="2">
        <v>65.5</v>
      </c>
      <c r="G1807" s="2" t="s">
        <v>983</v>
      </c>
      <c r="H1807" s="2" t="s">
        <v>984</v>
      </c>
      <c r="I1807" s="2"/>
      <c r="J1807" s="2" t="s">
        <v>31</v>
      </c>
    </row>
    <row r="1808" spans="1:10" ht="21" customHeight="1">
      <c r="A1808" s="2" t="s">
        <v>2799</v>
      </c>
      <c r="B1808" s="2" t="s">
        <v>31</v>
      </c>
      <c r="C1808" s="4">
        <v>46004.25</v>
      </c>
      <c r="D1808" s="4">
        <v>46004.250608923612</v>
      </c>
      <c r="E1808" s="2">
        <v>3.2</v>
      </c>
      <c r="F1808" s="2">
        <v>60.3</v>
      </c>
      <c r="G1808" s="2" t="s">
        <v>983</v>
      </c>
      <c r="H1808" s="2" t="s">
        <v>984</v>
      </c>
      <c r="I1808" s="2"/>
      <c r="J1808" s="2" t="s">
        <v>31</v>
      </c>
    </row>
    <row r="1809" spans="1:10" ht="21" customHeight="1">
      <c r="A1809" s="2" t="s">
        <v>2800</v>
      </c>
      <c r="B1809" s="2" t="s">
        <v>31</v>
      </c>
      <c r="C1809" s="4">
        <v>46005.25</v>
      </c>
      <c r="D1809" s="4">
        <v>46005.250145636572</v>
      </c>
      <c r="E1809" s="2">
        <v>2.89</v>
      </c>
      <c r="F1809" s="2">
        <v>60.6</v>
      </c>
      <c r="G1809" s="2" t="s">
        <v>983</v>
      </c>
      <c r="H1809" s="2" t="s">
        <v>984</v>
      </c>
      <c r="I1809" s="2"/>
      <c r="J1809" s="2" t="s">
        <v>31</v>
      </c>
    </row>
    <row r="1810" spans="1:10" ht="21" customHeight="1">
      <c r="A1810" s="2" t="s">
        <v>2801</v>
      </c>
      <c r="B1810" s="2" t="s">
        <v>31</v>
      </c>
      <c r="C1810" s="4">
        <v>46006.25</v>
      </c>
      <c r="D1810" s="4">
        <v>46006.250045868059</v>
      </c>
      <c r="E1810" s="2">
        <v>2.1</v>
      </c>
      <c r="F1810" s="2">
        <v>65.2</v>
      </c>
      <c r="G1810" s="2" t="s">
        <v>983</v>
      </c>
      <c r="H1810" s="2" t="s">
        <v>984</v>
      </c>
      <c r="I1810" s="2"/>
      <c r="J1810" s="2" t="s">
        <v>31</v>
      </c>
    </row>
    <row r="1811" spans="1:10" ht="21" customHeight="1">
      <c r="A1811" s="2" t="s">
        <v>2802</v>
      </c>
      <c r="B1811" s="2" t="s">
        <v>31</v>
      </c>
      <c r="C1811" s="4">
        <v>46007.25</v>
      </c>
      <c r="D1811" s="4">
        <v>46007.250187337966</v>
      </c>
      <c r="E1811" s="2">
        <v>2.2999999999999998</v>
      </c>
      <c r="F1811" s="2">
        <v>59</v>
      </c>
      <c r="G1811" s="2" t="s">
        <v>983</v>
      </c>
      <c r="H1811" s="2" t="s">
        <v>984</v>
      </c>
      <c r="I1811" s="2"/>
      <c r="J1811" s="2" t="s">
        <v>31</v>
      </c>
    </row>
    <row r="1812" spans="1:10" ht="21" customHeight="1">
      <c r="A1812" s="2" t="s">
        <v>2803</v>
      </c>
      <c r="B1812" s="2" t="s">
        <v>31</v>
      </c>
      <c r="C1812" s="4">
        <v>46008.25</v>
      </c>
      <c r="D1812" s="4">
        <v>46008.250454317131</v>
      </c>
      <c r="E1812" s="2">
        <v>2.4</v>
      </c>
      <c r="F1812" s="2">
        <v>63.4</v>
      </c>
      <c r="G1812" s="2" t="s">
        <v>983</v>
      </c>
      <c r="H1812" s="2" t="s">
        <v>984</v>
      </c>
      <c r="I1812" s="2"/>
      <c r="J1812" s="2" t="s">
        <v>31</v>
      </c>
    </row>
    <row r="1813" spans="1:10" ht="21" customHeight="1">
      <c r="A1813" s="2" t="s">
        <v>2804</v>
      </c>
      <c r="B1813" s="2" t="s">
        <v>31</v>
      </c>
      <c r="C1813" s="4">
        <v>46009.25</v>
      </c>
      <c r="D1813" s="4">
        <v>46009.250136111106</v>
      </c>
      <c r="E1813" s="2">
        <v>3.07</v>
      </c>
      <c r="F1813" s="2">
        <v>58.1</v>
      </c>
      <c r="G1813" s="2" t="s">
        <v>983</v>
      </c>
      <c r="H1813" s="2" t="s">
        <v>984</v>
      </c>
      <c r="I1813" s="2"/>
      <c r="J1813" s="2" t="s">
        <v>31</v>
      </c>
    </row>
    <row r="1814" spans="1:10" ht="21" customHeight="1">
      <c r="A1814" s="2" t="s">
        <v>2805</v>
      </c>
      <c r="B1814" s="2" t="s">
        <v>31</v>
      </c>
      <c r="C1814" s="4">
        <v>46010.25</v>
      </c>
      <c r="D1814" s="4">
        <v>46010.250058217593</v>
      </c>
      <c r="E1814" s="2">
        <v>3.18</v>
      </c>
      <c r="F1814" s="2">
        <v>59.6</v>
      </c>
      <c r="G1814" s="2" t="s">
        <v>983</v>
      </c>
      <c r="H1814" s="2" t="s">
        <v>984</v>
      </c>
      <c r="I1814" s="2"/>
      <c r="J1814" s="2" t="s">
        <v>31</v>
      </c>
    </row>
    <row r="1815" spans="1:10" ht="21" customHeight="1">
      <c r="A1815" s="2" t="s">
        <v>2806</v>
      </c>
      <c r="B1815" s="2" t="s">
        <v>31</v>
      </c>
      <c r="C1815" s="4">
        <v>46011.25</v>
      </c>
      <c r="D1815" s="4">
        <v>46011.250278240739</v>
      </c>
      <c r="E1815" s="2">
        <v>2.78</v>
      </c>
      <c r="F1815" s="2">
        <v>61.4</v>
      </c>
      <c r="G1815" s="2" t="s">
        <v>983</v>
      </c>
      <c r="H1815" s="2" t="s">
        <v>984</v>
      </c>
      <c r="I1815" s="2"/>
      <c r="J1815" s="2" t="s">
        <v>31</v>
      </c>
    </row>
    <row r="1816" spans="1:10" ht="21" customHeight="1">
      <c r="A1816" s="2" t="s">
        <v>2807</v>
      </c>
      <c r="B1816" s="2" t="s">
        <v>31</v>
      </c>
      <c r="C1816" s="4">
        <v>46012.25</v>
      </c>
      <c r="D1816" s="4">
        <v>46012.250443842597</v>
      </c>
      <c r="E1816" s="2"/>
      <c r="F1816" s="2"/>
      <c r="G1816" s="2" t="s">
        <v>983</v>
      </c>
      <c r="H1816" s="2" t="s">
        <v>1066</v>
      </c>
      <c r="I1816" s="2"/>
      <c r="J1816" s="2" t="s">
        <v>31</v>
      </c>
    </row>
    <row r="1817" spans="1:10" ht="21" customHeight="1">
      <c r="A1817" s="2" t="s">
        <v>2808</v>
      </c>
      <c r="B1817" s="2" t="s">
        <v>31</v>
      </c>
      <c r="C1817" s="4">
        <v>46013.25</v>
      </c>
      <c r="D1817" s="4">
        <v>46013.250410624998</v>
      </c>
      <c r="E1817" s="2">
        <v>2.81</v>
      </c>
      <c r="F1817" s="2">
        <v>60.5</v>
      </c>
      <c r="G1817" s="2" t="s">
        <v>983</v>
      </c>
      <c r="H1817" s="2" t="s">
        <v>984</v>
      </c>
      <c r="I1817" s="2"/>
      <c r="J1817" s="2" t="s">
        <v>31</v>
      </c>
    </row>
    <row r="1818" spans="1:10" ht="21" customHeight="1">
      <c r="A1818" s="2" t="s">
        <v>2809</v>
      </c>
      <c r="B1818" s="2" t="s">
        <v>31</v>
      </c>
      <c r="C1818" s="4">
        <v>46014.25</v>
      </c>
      <c r="D1818" s="4">
        <v>46014.250017453705</v>
      </c>
      <c r="E1818" s="2">
        <v>2.3199999999999998</v>
      </c>
      <c r="F1818" s="2">
        <v>60.5</v>
      </c>
      <c r="G1818" s="2" t="s">
        <v>983</v>
      </c>
      <c r="H1818" s="2" t="s">
        <v>984</v>
      </c>
      <c r="I1818" s="2"/>
      <c r="J1818" s="2" t="s">
        <v>31</v>
      </c>
    </row>
    <row r="1819" spans="1:10" ht="21" customHeight="1">
      <c r="A1819" s="2" t="s">
        <v>2810</v>
      </c>
      <c r="B1819" s="2" t="s">
        <v>31</v>
      </c>
      <c r="C1819" s="4">
        <v>46015.25</v>
      </c>
      <c r="D1819" s="4">
        <v>46015.250202210649</v>
      </c>
      <c r="E1819" s="2">
        <v>3.24</v>
      </c>
      <c r="F1819" s="2">
        <v>60.5</v>
      </c>
      <c r="G1819" s="2" t="s">
        <v>983</v>
      </c>
      <c r="H1819" s="2" t="s">
        <v>984</v>
      </c>
      <c r="I1819" s="2" t="s">
        <v>985</v>
      </c>
      <c r="J1819" s="2" t="s">
        <v>31</v>
      </c>
    </row>
    <row r="1820" spans="1:10" ht="21" customHeight="1">
      <c r="A1820" s="2" t="s">
        <v>2811</v>
      </c>
      <c r="B1820" s="2" t="s">
        <v>31</v>
      </c>
      <c r="C1820" s="4">
        <v>46016.25</v>
      </c>
      <c r="D1820" s="4">
        <v>46016.250421550925</v>
      </c>
      <c r="E1820" s="2">
        <v>2.2799999999999998</v>
      </c>
      <c r="F1820" s="2">
        <v>61.9</v>
      </c>
      <c r="G1820" s="2" t="s">
        <v>983</v>
      </c>
      <c r="H1820" s="2" t="s">
        <v>984</v>
      </c>
      <c r="I1820" s="2"/>
      <c r="J1820" s="2" t="s">
        <v>31</v>
      </c>
    </row>
    <row r="1821" spans="1:10" ht="21" customHeight="1">
      <c r="A1821" s="2" t="s">
        <v>2812</v>
      </c>
      <c r="B1821" s="2" t="s">
        <v>31</v>
      </c>
      <c r="C1821" s="4">
        <v>46017.25</v>
      </c>
      <c r="D1821" s="4">
        <v>46017.250652881943</v>
      </c>
      <c r="E1821" s="2">
        <v>2.94</v>
      </c>
      <c r="F1821" s="2">
        <v>65.8</v>
      </c>
      <c r="G1821" s="2" t="s">
        <v>983</v>
      </c>
      <c r="H1821" s="2" t="s">
        <v>984</v>
      </c>
      <c r="I1821" s="2"/>
      <c r="J1821" s="2" t="s">
        <v>31</v>
      </c>
    </row>
    <row r="1822" spans="1:10" ht="21" customHeight="1">
      <c r="A1822" s="2" t="s">
        <v>2813</v>
      </c>
      <c r="B1822" s="2" t="s">
        <v>31</v>
      </c>
      <c r="C1822" s="4">
        <v>46018.25</v>
      </c>
      <c r="D1822" s="4">
        <v>46018.250121562502</v>
      </c>
      <c r="E1822" s="2">
        <v>2.36</v>
      </c>
      <c r="F1822" s="2">
        <v>64.7</v>
      </c>
      <c r="G1822" s="2" t="s">
        <v>983</v>
      </c>
      <c r="H1822" s="2" t="s">
        <v>984</v>
      </c>
      <c r="I1822" s="2"/>
      <c r="J1822" s="2" t="s">
        <v>31</v>
      </c>
    </row>
    <row r="1823" spans="1:10" ht="21" customHeight="1">
      <c r="A1823" s="2" t="s">
        <v>2814</v>
      </c>
      <c r="B1823" s="2" t="s">
        <v>31</v>
      </c>
      <c r="C1823" s="4">
        <v>46019.25</v>
      </c>
      <c r="D1823" s="4">
        <v>46019.250179826384</v>
      </c>
      <c r="E1823" s="2">
        <v>2.78</v>
      </c>
      <c r="F1823" s="2">
        <v>59.8</v>
      </c>
      <c r="G1823" s="2" t="s">
        <v>983</v>
      </c>
      <c r="H1823" s="2" t="s">
        <v>984</v>
      </c>
      <c r="I1823" s="2"/>
      <c r="J1823" s="2" t="s">
        <v>31</v>
      </c>
    </row>
    <row r="1824" spans="1:10" ht="21" customHeight="1">
      <c r="A1824" s="2" t="s">
        <v>2815</v>
      </c>
      <c r="B1824" s="2" t="s">
        <v>31</v>
      </c>
      <c r="C1824" s="4">
        <v>46020.25</v>
      </c>
      <c r="D1824" s="4">
        <v>46020.250680023149</v>
      </c>
      <c r="E1824" s="2">
        <v>3.05</v>
      </c>
      <c r="F1824" s="2">
        <v>64.900000000000006</v>
      </c>
      <c r="G1824" s="2" t="s">
        <v>983</v>
      </c>
      <c r="H1824" s="2" t="s">
        <v>984</v>
      </c>
      <c r="I1824" s="2"/>
      <c r="J1824" s="2" t="s">
        <v>31</v>
      </c>
    </row>
    <row r="1825" spans="1:10" ht="21" customHeight="1">
      <c r="A1825" s="2" t="s">
        <v>2816</v>
      </c>
      <c r="B1825" s="2" t="s">
        <v>31</v>
      </c>
      <c r="C1825" s="4">
        <v>46021.25</v>
      </c>
      <c r="D1825" s="4">
        <v>46021.250269826385</v>
      </c>
      <c r="E1825" s="2">
        <v>2.82</v>
      </c>
      <c r="F1825" s="2">
        <v>62.3</v>
      </c>
      <c r="G1825" s="2" t="s">
        <v>983</v>
      </c>
      <c r="H1825" s="2" t="s">
        <v>984</v>
      </c>
      <c r="I1825" s="2"/>
      <c r="J1825" s="2" t="s">
        <v>31</v>
      </c>
    </row>
    <row r="1826" spans="1:10" ht="21" customHeight="1">
      <c r="A1826" s="2" t="s">
        <v>2817</v>
      </c>
      <c r="B1826" s="2" t="s">
        <v>31</v>
      </c>
      <c r="C1826" s="4">
        <v>46022.25</v>
      </c>
      <c r="D1826" s="4">
        <v>46022.250615127312</v>
      </c>
      <c r="E1826" s="2">
        <v>2.34</v>
      </c>
      <c r="F1826" s="2">
        <v>65.5</v>
      </c>
      <c r="G1826" s="2" t="s">
        <v>983</v>
      </c>
      <c r="H1826" s="2" t="s">
        <v>984</v>
      </c>
      <c r="I1826" s="2"/>
      <c r="J1826" s="2" t="s">
        <v>31</v>
      </c>
    </row>
    <row r="1827" spans="1:10" ht="21" customHeight="1">
      <c r="A1827" s="2" t="s">
        <v>2818</v>
      </c>
      <c r="B1827" s="2" t="s">
        <v>32</v>
      </c>
      <c r="C1827" s="4">
        <v>45658.25</v>
      </c>
      <c r="D1827" s="4">
        <v>45658.25015</v>
      </c>
      <c r="E1827" s="2">
        <v>2.81</v>
      </c>
      <c r="F1827" s="2">
        <v>77.3</v>
      </c>
      <c r="G1827" s="2" t="s">
        <v>983</v>
      </c>
      <c r="H1827" s="2" t="s">
        <v>984</v>
      </c>
      <c r="I1827" s="2" t="s">
        <v>985</v>
      </c>
      <c r="J1827" s="2" t="s">
        <v>32</v>
      </c>
    </row>
    <row r="1828" spans="1:10" ht="21" customHeight="1">
      <c r="A1828" s="2" t="s">
        <v>2819</v>
      </c>
      <c r="B1828" s="2" t="s">
        <v>32</v>
      </c>
      <c r="C1828" s="4">
        <v>45659.25</v>
      </c>
      <c r="D1828" s="4">
        <v>45659.250104895837</v>
      </c>
      <c r="E1828" s="2"/>
      <c r="F1828" s="2"/>
      <c r="G1828" s="2" t="s">
        <v>983</v>
      </c>
      <c r="H1828" s="2" t="s">
        <v>1066</v>
      </c>
      <c r="I1828" s="2"/>
      <c r="J1828" s="2" t="s">
        <v>32</v>
      </c>
    </row>
    <row r="1829" spans="1:10" ht="21" customHeight="1">
      <c r="A1829" s="2" t="s">
        <v>2820</v>
      </c>
      <c r="B1829" s="2" t="s">
        <v>32</v>
      </c>
      <c r="C1829" s="4">
        <v>45660.25</v>
      </c>
      <c r="D1829" s="4">
        <v>45660.250229305559</v>
      </c>
      <c r="E1829" s="2">
        <v>3.33</v>
      </c>
      <c r="F1829" s="2">
        <v>75.7</v>
      </c>
      <c r="G1829" s="2" t="s">
        <v>983</v>
      </c>
      <c r="H1829" s="2" t="s">
        <v>984</v>
      </c>
      <c r="I1829" s="2"/>
      <c r="J1829" s="2" t="s">
        <v>32</v>
      </c>
    </row>
    <row r="1830" spans="1:10" ht="21" customHeight="1">
      <c r="A1830" s="2" t="s">
        <v>2821</v>
      </c>
      <c r="B1830" s="2" t="s">
        <v>32</v>
      </c>
      <c r="C1830" s="4">
        <v>45661.25</v>
      </c>
      <c r="D1830" s="4">
        <v>45661.25021366898</v>
      </c>
      <c r="E1830" s="2"/>
      <c r="F1830" s="2"/>
      <c r="G1830" s="2" t="s">
        <v>983</v>
      </c>
      <c r="H1830" s="2" t="s">
        <v>1066</v>
      </c>
      <c r="I1830" s="2"/>
      <c r="J1830" s="2" t="s">
        <v>32</v>
      </c>
    </row>
    <row r="1831" spans="1:10" ht="21" customHeight="1">
      <c r="A1831" s="2" t="s">
        <v>2822</v>
      </c>
      <c r="B1831" s="2" t="s">
        <v>32</v>
      </c>
      <c r="C1831" s="4">
        <v>45662.25</v>
      </c>
      <c r="D1831" s="4">
        <v>45662.250540578709</v>
      </c>
      <c r="E1831" s="2">
        <v>3.59</v>
      </c>
      <c r="F1831" s="2">
        <v>76.7</v>
      </c>
      <c r="G1831" s="2" t="s">
        <v>983</v>
      </c>
      <c r="H1831" s="2" t="s">
        <v>984</v>
      </c>
      <c r="I1831" s="2"/>
      <c r="J1831" s="2" t="s">
        <v>32</v>
      </c>
    </row>
    <row r="1832" spans="1:10" ht="21" customHeight="1">
      <c r="A1832" s="2" t="s">
        <v>2823</v>
      </c>
      <c r="B1832" s="2" t="s">
        <v>32</v>
      </c>
      <c r="C1832" s="4">
        <v>45663.25</v>
      </c>
      <c r="D1832" s="4">
        <v>45663.250220196758</v>
      </c>
      <c r="E1832" s="2">
        <v>3.05</v>
      </c>
      <c r="F1832" s="2">
        <v>78.2</v>
      </c>
      <c r="G1832" s="2" t="s">
        <v>983</v>
      </c>
      <c r="H1832" s="2" t="s">
        <v>984</v>
      </c>
      <c r="I1832" s="2"/>
      <c r="J1832" s="2" t="s">
        <v>32</v>
      </c>
    </row>
    <row r="1833" spans="1:10" ht="21" customHeight="1">
      <c r="A1833" s="2" t="s">
        <v>2824</v>
      </c>
      <c r="B1833" s="2" t="s">
        <v>32</v>
      </c>
      <c r="C1833" s="4">
        <v>45664.25</v>
      </c>
      <c r="D1833" s="4">
        <v>45664.250080694444</v>
      </c>
      <c r="E1833" s="2">
        <v>7.04</v>
      </c>
      <c r="F1833" s="2">
        <v>82.7</v>
      </c>
      <c r="G1833" s="2" t="s">
        <v>983</v>
      </c>
      <c r="H1833" s="2" t="s">
        <v>984</v>
      </c>
      <c r="I1833" s="2" t="s">
        <v>1053</v>
      </c>
      <c r="J1833" s="2" t="s">
        <v>32</v>
      </c>
    </row>
    <row r="1834" spans="1:10" ht="21" customHeight="1">
      <c r="A1834" s="2" t="s">
        <v>2825</v>
      </c>
      <c r="B1834" s="2" t="s">
        <v>32</v>
      </c>
      <c r="C1834" s="4">
        <v>45665.25</v>
      </c>
      <c r="D1834" s="4">
        <v>45665.250538981483</v>
      </c>
      <c r="E1834" s="2">
        <v>5.76</v>
      </c>
      <c r="F1834" s="2">
        <v>86.3</v>
      </c>
      <c r="G1834" s="2" t="s">
        <v>983</v>
      </c>
      <c r="H1834" s="2" t="s">
        <v>984</v>
      </c>
      <c r="I1834" s="2"/>
      <c r="J1834" s="2" t="s">
        <v>32</v>
      </c>
    </row>
    <row r="1835" spans="1:10" ht="21" customHeight="1">
      <c r="A1835" s="2" t="s">
        <v>2826</v>
      </c>
      <c r="B1835" s="2" t="s">
        <v>32</v>
      </c>
      <c r="C1835" s="4">
        <v>45666.25</v>
      </c>
      <c r="D1835" s="4">
        <v>45666.250382534723</v>
      </c>
      <c r="E1835" s="2">
        <v>6.3</v>
      </c>
      <c r="F1835" s="2">
        <v>84.3</v>
      </c>
      <c r="G1835" s="2" t="s">
        <v>983</v>
      </c>
      <c r="H1835" s="2" t="s">
        <v>984</v>
      </c>
      <c r="I1835" s="2" t="s">
        <v>1053</v>
      </c>
      <c r="J1835" s="2" t="s">
        <v>32</v>
      </c>
    </row>
    <row r="1836" spans="1:10" ht="21" customHeight="1">
      <c r="A1836" s="2" t="s">
        <v>2827</v>
      </c>
      <c r="B1836" s="2" t="s">
        <v>32</v>
      </c>
      <c r="C1836" s="4">
        <v>45667.25</v>
      </c>
      <c r="D1836" s="4">
        <v>45667.250306319445</v>
      </c>
      <c r="E1836" s="2">
        <v>3.49</v>
      </c>
      <c r="F1836" s="2">
        <v>77.2</v>
      </c>
      <c r="G1836" s="2" t="s">
        <v>983</v>
      </c>
      <c r="H1836" s="2" t="s">
        <v>984</v>
      </c>
      <c r="I1836" s="2"/>
      <c r="J1836" s="2" t="s">
        <v>32</v>
      </c>
    </row>
    <row r="1837" spans="1:10" ht="21" customHeight="1">
      <c r="A1837" s="2" t="s">
        <v>2828</v>
      </c>
      <c r="B1837" s="2" t="s">
        <v>32</v>
      </c>
      <c r="C1837" s="4">
        <v>45668.25</v>
      </c>
      <c r="D1837" s="4">
        <v>45668.250466423611</v>
      </c>
      <c r="E1837" s="2">
        <v>3.72</v>
      </c>
      <c r="F1837" s="2">
        <v>73.099999999999994</v>
      </c>
      <c r="G1837" s="2" t="s">
        <v>983</v>
      </c>
      <c r="H1837" s="2" t="s">
        <v>984</v>
      </c>
      <c r="I1837" s="2"/>
      <c r="J1837" s="2" t="s">
        <v>32</v>
      </c>
    </row>
    <row r="1838" spans="1:10" ht="21" customHeight="1">
      <c r="A1838" s="2" t="s">
        <v>2829</v>
      </c>
      <c r="B1838" s="2" t="s">
        <v>32</v>
      </c>
      <c r="C1838" s="4">
        <v>45669.25</v>
      </c>
      <c r="D1838" s="4">
        <v>45669.250266701391</v>
      </c>
      <c r="E1838" s="2">
        <v>3.89</v>
      </c>
      <c r="F1838" s="2">
        <v>76.099999999999994</v>
      </c>
      <c r="G1838" s="2" t="s">
        <v>983</v>
      </c>
      <c r="H1838" s="2" t="s">
        <v>984</v>
      </c>
      <c r="I1838" s="2"/>
      <c r="J1838" s="2" t="s">
        <v>32</v>
      </c>
    </row>
    <row r="1839" spans="1:10" ht="21" customHeight="1">
      <c r="A1839" s="2" t="s">
        <v>2830</v>
      </c>
      <c r="B1839" s="2" t="s">
        <v>32</v>
      </c>
      <c r="C1839" s="4">
        <v>45670.25</v>
      </c>
      <c r="D1839" s="4">
        <v>45670.250396689815</v>
      </c>
      <c r="E1839" s="2">
        <v>3.48</v>
      </c>
      <c r="F1839" s="2">
        <v>78.5</v>
      </c>
      <c r="G1839" s="2" t="s">
        <v>983</v>
      </c>
      <c r="H1839" s="2" t="s">
        <v>984</v>
      </c>
      <c r="I1839" s="2"/>
      <c r="J1839" s="2" t="s">
        <v>32</v>
      </c>
    </row>
    <row r="1840" spans="1:10" ht="21" customHeight="1">
      <c r="A1840" s="2" t="s">
        <v>2831</v>
      </c>
      <c r="B1840" s="2" t="s">
        <v>32</v>
      </c>
      <c r="C1840" s="4">
        <v>45671.25</v>
      </c>
      <c r="D1840" s="4">
        <v>45671.250460636569</v>
      </c>
      <c r="E1840" s="2">
        <v>3.18</v>
      </c>
      <c r="F1840" s="2">
        <v>76</v>
      </c>
      <c r="G1840" s="2" t="s">
        <v>983</v>
      </c>
      <c r="H1840" s="2" t="s">
        <v>984</v>
      </c>
      <c r="I1840" s="2"/>
      <c r="J1840" s="2" t="s">
        <v>32</v>
      </c>
    </row>
    <row r="1841" spans="1:10" ht="21" customHeight="1">
      <c r="A1841" s="2" t="s">
        <v>2832</v>
      </c>
      <c r="B1841" s="2" t="s">
        <v>32</v>
      </c>
      <c r="C1841" s="4">
        <v>45672.25</v>
      </c>
      <c r="D1841" s="4">
        <v>45672.250292604163</v>
      </c>
      <c r="E1841" s="2">
        <v>3.26</v>
      </c>
      <c r="F1841" s="2">
        <v>78.599999999999994</v>
      </c>
      <c r="G1841" s="2" t="s">
        <v>983</v>
      </c>
      <c r="H1841" s="2" t="s">
        <v>984</v>
      </c>
      <c r="I1841" s="2"/>
      <c r="J1841" s="2" t="s">
        <v>32</v>
      </c>
    </row>
    <row r="1842" spans="1:10" ht="21" customHeight="1">
      <c r="A1842" s="2" t="s">
        <v>2833</v>
      </c>
      <c r="B1842" s="2" t="s">
        <v>32</v>
      </c>
      <c r="C1842" s="4">
        <v>45673.25</v>
      </c>
      <c r="D1842" s="4">
        <v>45673.250215833337</v>
      </c>
      <c r="E1842" s="2">
        <v>2.93</v>
      </c>
      <c r="F1842" s="2">
        <v>77.5</v>
      </c>
      <c r="G1842" s="2" t="s">
        <v>983</v>
      </c>
      <c r="H1842" s="2" t="s">
        <v>984</v>
      </c>
      <c r="I1842" s="2"/>
      <c r="J1842" s="2" t="s">
        <v>32</v>
      </c>
    </row>
    <row r="1843" spans="1:10" ht="21" customHeight="1">
      <c r="A1843" s="2" t="s">
        <v>2834</v>
      </c>
      <c r="B1843" s="2" t="s">
        <v>32</v>
      </c>
      <c r="C1843" s="4">
        <v>45674.25</v>
      </c>
      <c r="D1843" s="4">
        <v>45674.250563981477</v>
      </c>
      <c r="E1843" s="2">
        <v>3.08</v>
      </c>
      <c r="F1843" s="2">
        <v>74</v>
      </c>
      <c r="G1843" s="2" t="s">
        <v>983</v>
      </c>
      <c r="H1843" s="2" t="s">
        <v>984</v>
      </c>
      <c r="I1843" s="2"/>
      <c r="J1843" s="2" t="s">
        <v>32</v>
      </c>
    </row>
    <row r="1844" spans="1:10" ht="21" customHeight="1">
      <c r="A1844" s="2" t="s">
        <v>2835</v>
      </c>
      <c r="B1844" s="2" t="s">
        <v>32</v>
      </c>
      <c r="C1844" s="4">
        <v>45675.25</v>
      </c>
      <c r="D1844" s="4">
        <v>45675.250686678242</v>
      </c>
      <c r="E1844" s="2">
        <v>3.22</v>
      </c>
      <c r="F1844" s="2">
        <v>79.900000000000006</v>
      </c>
      <c r="G1844" s="2" t="s">
        <v>983</v>
      </c>
      <c r="H1844" s="2" t="s">
        <v>984</v>
      </c>
      <c r="I1844" s="2" t="s">
        <v>985</v>
      </c>
      <c r="J1844" s="2" t="s">
        <v>32</v>
      </c>
    </row>
    <row r="1845" spans="1:10" ht="21" customHeight="1">
      <c r="A1845" s="2" t="s">
        <v>2836</v>
      </c>
      <c r="B1845" s="2" t="s">
        <v>32</v>
      </c>
      <c r="C1845" s="4">
        <v>45676.25</v>
      </c>
      <c r="D1845" s="4">
        <v>45676.250593113422</v>
      </c>
      <c r="E1845" s="2">
        <v>3.09</v>
      </c>
      <c r="F1845" s="2">
        <v>75.3</v>
      </c>
      <c r="G1845" s="2" t="s">
        <v>983</v>
      </c>
      <c r="H1845" s="2" t="s">
        <v>984</v>
      </c>
      <c r="I1845" s="2"/>
      <c r="J1845" s="2" t="s">
        <v>32</v>
      </c>
    </row>
    <row r="1846" spans="1:10" ht="21" customHeight="1">
      <c r="A1846" s="2" t="s">
        <v>2837</v>
      </c>
      <c r="B1846" s="2" t="s">
        <v>32</v>
      </c>
      <c r="C1846" s="4">
        <v>45677.25</v>
      </c>
      <c r="D1846" s="4">
        <v>45677.250308148148</v>
      </c>
      <c r="E1846" s="2"/>
      <c r="F1846" s="2"/>
      <c r="G1846" s="2" t="s">
        <v>983</v>
      </c>
      <c r="H1846" s="2" t="s">
        <v>1066</v>
      </c>
      <c r="I1846" s="2"/>
      <c r="J1846" s="2" t="s">
        <v>32</v>
      </c>
    </row>
    <row r="1847" spans="1:10" ht="21" customHeight="1">
      <c r="A1847" s="2" t="s">
        <v>2838</v>
      </c>
      <c r="B1847" s="2" t="s">
        <v>2839</v>
      </c>
      <c r="C1847" s="4">
        <v>45678.25</v>
      </c>
      <c r="D1847" s="4">
        <v>45678.250570833334</v>
      </c>
      <c r="E1847" s="2">
        <v>2.86</v>
      </c>
      <c r="F1847" s="2">
        <v>74.3</v>
      </c>
      <c r="G1847" s="2" t="s">
        <v>983</v>
      </c>
      <c r="H1847" s="2" t="s">
        <v>984</v>
      </c>
      <c r="I1847" s="2"/>
      <c r="J1847" s="2" t="s">
        <v>32</v>
      </c>
    </row>
    <row r="1848" spans="1:10" ht="21" customHeight="1">
      <c r="A1848" s="2" t="s">
        <v>2840</v>
      </c>
      <c r="B1848" s="2" t="s">
        <v>32</v>
      </c>
      <c r="C1848" s="4">
        <v>45679.25</v>
      </c>
      <c r="D1848" s="4">
        <v>45679.250623333333</v>
      </c>
      <c r="E1848" s="2">
        <v>3.53</v>
      </c>
      <c r="F1848" s="2">
        <v>79.3</v>
      </c>
      <c r="G1848" s="2" t="s">
        <v>983</v>
      </c>
      <c r="H1848" s="2" t="s">
        <v>984</v>
      </c>
      <c r="I1848" s="2"/>
      <c r="J1848" s="2" t="s">
        <v>32</v>
      </c>
    </row>
    <row r="1849" spans="1:10" ht="21" customHeight="1">
      <c r="A1849" s="2" t="s">
        <v>2841</v>
      </c>
      <c r="B1849" s="2" t="s">
        <v>32</v>
      </c>
      <c r="C1849" s="4">
        <v>45680.25</v>
      </c>
      <c r="D1849" s="4">
        <v>45680.250301273147</v>
      </c>
      <c r="E1849" s="2">
        <v>2.92</v>
      </c>
      <c r="F1849" s="2">
        <v>79.599999999999994</v>
      </c>
      <c r="G1849" s="2" t="s">
        <v>983</v>
      </c>
      <c r="H1849" s="2" t="s">
        <v>984</v>
      </c>
      <c r="I1849" s="2"/>
      <c r="J1849" s="2" t="s">
        <v>32</v>
      </c>
    </row>
    <row r="1850" spans="1:10" ht="21" customHeight="1">
      <c r="A1850" s="2" t="s">
        <v>2842</v>
      </c>
      <c r="B1850" s="2" t="s">
        <v>32</v>
      </c>
      <c r="C1850" s="4">
        <v>45681.25</v>
      </c>
      <c r="D1850" s="4">
        <v>45681.250185300931</v>
      </c>
      <c r="E1850" s="2">
        <v>2.97</v>
      </c>
      <c r="F1850" s="2">
        <v>74.900000000000006</v>
      </c>
      <c r="G1850" s="2" t="s">
        <v>983</v>
      </c>
      <c r="H1850" s="2" t="s">
        <v>984</v>
      </c>
      <c r="I1850" s="2"/>
      <c r="J1850" s="2" t="s">
        <v>32</v>
      </c>
    </row>
    <row r="1851" spans="1:10" ht="21" customHeight="1">
      <c r="A1851" s="2" t="s">
        <v>2843</v>
      </c>
      <c r="B1851" s="2" t="s">
        <v>32</v>
      </c>
      <c r="C1851" s="4">
        <v>45682.25</v>
      </c>
      <c r="D1851" s="4">
        <v>45682.250498402776</v>
      </c>
      <c r="E1851" s="2">
        <v>3.49</v>
      </c>
      <c r="F1851" s="2">
        <v>78.7</v>
      </c>
      <c r="G1851" s="2" t="s">
        <v>983</v>
      </c>
      <c r="H1851" s="2" t="s">
        <v>984</v>
      </c>
      <c r="I1851" s="2"/>
      <c r="J1851" s="2" t="s">
        <v>32</v>
      </c>
    </row>
    <row r="1852" spans="1:10" ht="21" customHeight="1">
      <c r="A1852" s="2" t="s">
        <v>2844</v>
      </c>
      <c r="B1852" s="2" t="s">
        <v>32</v>
      </c>
      <c r="C1852" s="4">
        <v>45683.25</v>
      </c>
      <c r="D1852" s="4">
        <v>45683.250076608798</v>
      </c>
      <c r="E1852" s="2">
        <v>2.99</v>
      </c>
      <c r="F1852" s="2">
        <v>72.099999999999994</v>
      </c>
      <c r="G1852" s="2" t="s">
        <v>983</v>
      </c>
      <c r="H1852" s="2" t="s">
        <v>984</v>
      </c>
      <c r="I1852" s="2"/>
      <c r="J1852" s="2" t="s">
        <v>32</v>
      </c>
    </row>
    <row r="1853" spans="1:10" ht="21" customHeight="1">
      <c r="A1853" s="2" t="s">
        <v>2845</v>
      </c>
      <c r="B1853" s="2" t="s">
        <v>32</v>
      </c>
      <c r="C1853" s="4">
        <v>45684.25</v>
      </c>
      <c r="D1853" s="4">
        <v>45684.250417314819</v>
      </c>
      <c r="E1853" s="2">
        <v>3.68</v>
      </c>
      <c r="F1853" s="2">
        <v>76.099999999999994</v>
      </c>
      <c r="G1853" s="2" t="s">
        <v>983</v>
      </c>
      <c r="H1853" s="2" t="s">
        <v>984</v>
      </c>
      <c r="I1853" s="2"/>
      <c r="J1853" s="2" t="s">
        <v>32</v>
      </c>
    </row>
    <row r="1854" spans="1:10" ht="21" customHeight="1">
      <c r="A1854" s="2" t="s">
        <v>2846</v>
      </c>
      <c r="B1854" s="2" t="s">
        <v>32</v>
      </c>
      <c r="C1854" s="4">
        <v>45685.25</v>
      </c>
      <c r="D1854" s="4">
        <v>45685.250007094903</v>
      </c>
      <c r="E1854" s="2">
        <v>3.52</v>
      </c>
      <c r="F1854" s="2">
        <v>72.3</v>
      </c>
      <c r="G1854" s="2" t="s">
        <v>983</v>
      </c>
      <c r="H1854" s="2" t="s">
        <v>984</v>
      </c>
      <c r="I1854" s="2"/>
      <c r="J1854" s="2" t="s">
        <v>32</v>
      </c>
    </row>
    <row r="1855" spans="1:10" ht="21" customHeight="1">
      <c r="A1855" s="2" t="s">
        <v>2847</v>
      </c>
      <c r="B1855" s="2" t="s">
        <v>32</v>
      </c>
      <c r="C1855" s="4">
        <v>45686.25</v>
      </c>
      <c r="D1855" s="4">
        <v>45686.250637928242</v>
      </c>
      <c r="E1855" s="2">
        <v>3.89</v>
      </c>
      <c r="F1855" s="2">
        <v>73.900000000000006</v>
      </c>
      <c r="G1855" s="2" t="s">
        <v>983</v>
      </c>
      <c r="H1855" s="2" t="s">
        <v>984</v>
      </c>
      <c r="I1855" s="2"/>
      <c r="J1855" s="2" t="s">
        <v>32</v>
      </c>
    </row>
    <row r="1856" spans="1:10" ht="21" customHeight="1">
      <c r="A1856" s="2" t="s">
        <v>2848</v>
      </c>
      <c r="B1856" s="2" t="s">
        <v>32</v>
      </c>
      <c r="C1856" s="4">
        <v>45687.25</v>
      </c>
      <c r="D1856" s="4">
        <v>45687.250342361112</v>
      </c>
      <c r="E1856" s="2">
        <v>3.95</v>
      </c>
      <c r="F1856" s="2">
        <v>79.099999999999994</v>
      </c>
      <c r="G1856" s="2" t="s">
        <v>983</v>
      </c>
      <c r="H1856" s="2" t="s">
        <v>984</v>
      </c>
      <c r="I1856" s="2"/>
      <c r="J1856" s="2" t="s">
        <v>32</v>
      </c>
    </row>
    <row r="1857" spans="1:10" ht="21" customHeight="1">
      <c r="A1857" s="2" t="s">
        <v>2849</v>
      </c>
      <c r="B1857" s="2" t="s">
        <v>32</v>
      </c>
      <c r="C1857" s="4">
        <v>45688.25</v>
      </c>
      <c r="D1857" s="4">
        <v>45688.250033159726</v>
      </c>
      <c r="E1857" s="2">
        <v>3.75</v>
      </c>
      <c r="F1857" s="2">
        <v>75</v>
      </c>
      <c r="G1857" s="2" t="s">
        <v>983</v>
      </c>
      <c r="H1857" s="2" t="s">
        <v>984</v>
      </c>
      <c r="I1857" s="2"/>
      <c r="J1857" s="2" t="s">
        <v>32</v>
      </c>
    </row>
    <row r="1858" spans="1:10" ht="21" customHeight="1">
      <c r="A1858" s="2" t="s">
        <v>2850</v>
      </c>
      <c r="B1858" s="2" t="s">
        <v>32</v>
      </c>
      <c r="C1858" s="4">
        <v>45689.25</v>
      </c>
      <c r="D1858" s="4">
        <v>45689.250635266202</v>
      </c>
      <c r="E1858" s="2">
        <v>3.6</v>
      </c>
      <c r="F1858" s="2">
        <v>73.7</v>
      </c>
      <c r="G1858" s="2" t="s">
        <v>983</v>
      </c>
      <c r="H1858" s="2" t="s">
        <v>984</v>
      </c>
      <c r="I1858" s="2"/>
      <c r="J1858" s="2" t="s">
        <v>32</v>
      </c>
    </row>
    <row r="1859" spans="1:10" ht="21" customHeight="1">
      <c r="A1859" s="2" t="s">
        <v>2851</v>
      </c>
      <c r="B1859" s="2" t="s">
        <v>32</v>
      </c>
      <c r="C1859" s="4">
        <v>45690.25</v>
      </c>
      <c r="D1859" s="4">
        <v>45690.250617858794</v>
      </c>
      <c r="E1859" s="2">
        <v>3.84</v>
      </c>
      <c r="F1859" s="2">
        <v>75.400000000000006</v>
      </c>
      <c r="G1859" s="2" t="s">
        <v>983</v>
      </c>
      <c r="H1859" s="2" t="s">
        <v>984</v>
      </c>
      <c r="I1859" s="2"/>
      <c r="J1859" s="2" t="s">
        <v>32</v>
      </c>
    </row>
    <row r="1860" spans="1:10" ht="21" customHeight="1">
      <c r="A1860" s="2" t="s">
        <v>2852</v>
      </c>
      <c r="B1860" s="2" t="s">
        <v>32</v>
      </c>
      <c r="C1860" s="4">
        <v>45691.25</v>
      </c>
      <c r="D1860" s="4">
        <v>45691.250541250003</v>
      </c>
      <c r="E1860" s="2">
        <v>2.98</v>
      </c>
      <c r="F1860" s="2">
        <v>78.099999999999994</v>
      </c>
      <c r="G1860" s="2" t="s">
        <v>983</v>
      </c>
      <c r="H1860" s="2" t="s">
        <v>984</v>
      </c>
      <c r="I1860" s="2"/>
      <c r="J1860" s="2" t="s">
        <v>32</v>
      </c>
    </row>
    <row r="1861" spans="1:10" ht="21" customHeight="1">
      <c r="A1861" s="2" t="s">
        <v>2853</v>
      </c>
      <c r="B1861" s="2" t="s">
        <v>32</v>
      </c>
      <c r="C1861" s="4">
        <v>45692.25</v>
      </c>
      <c r="D1861" s="4">
        <v>45692.250658425924</v>
      </c>
      <c r="E1861" s="2">
        <v>6.77</v>
      </c>
      <c r="F1861" s="2">
        <v>82.1</v>
      </c>
      <c r="G1861" s="2" t="s">
        <v>983</v>
      </c>
      <c r="H1861" s="2" t="s">
        <v>984</v>
      </c>
      <c r="I1861" s="2" t="s">
        <v>1053</v>
      </c>
      <c r="J1861" s="2" t="s">
        <v>32</v>
      </c>
    </row>
    <row r="1862" spans="1:10" ht="21" customHeight="1">
      <c r="A1862" s="2" t="s">
        <v>2854</v>
      </c>
      <c r="B1862" s="2" t="s">
        <v>32</v>
      </c>
      <c r="C1862" s="4">
        <v>45693.25</v>
      </c>
      <c r="D1862" s="4">
        <v>45693.250346215282</v>
      </c>
      <c r="E1862" s="2">
        <v>5.0599999999999996</v>
      </c>
      <c r="F1862" s="2">
        <v>82.2</v>
      </c>
      <c r="G1862" s="2" t="s">
        <v>983</v>
      </c>
      <c r="H1862" s="2" t="s">
        <v>984</v>
      </c>
      <c r="I1862" s="2"/>
      <c r="J1862" s="2" t="s">
        <v>32</v>
      </c>
    </row>
    <row r="1863" spans="1:10" ht="21" customHeight="1">
      <c r="A1863" s="2" t="s">
        <v>2855</v>
      </c>
      <c r="B1863" s="2" t="s">
        <v>32</v>
      </c>
      <c r="C1863" s="4">
        <v>45694.25</v>
      </c>
      <c r="D1863" s="4">
        <v>45694.250144305552</v>
      </c>
      <c r="E1863" s="2">
        <v>5.9</v>
      </c>
      <c r="F1863" s="2">
        <v>81.099999999999994</v>
      </c>
      <c r="G1863" s="2" t="s">
        <v>983</v>
      </c>
      <c r="H1863" s="2" t="s">
        <v>984</v>
      </c>
      <c r="I1863" s="2" t="s">
        <v>1053</v>
      </c>
      <c r="J1863" s="2" t="s">
        <v>32</v>
      </c>
    </row>
    <row r="1864" spans="1:10" ht="21" customHeight="1">
      <c r="A1864" s="2" t="s">
        <v>2856</v>
      </c>
      <c r="B1864" s="2" t="s">
        <v>32</v>
      </c>
      <c r="C1864" s="4">
        <v>45695.25</v>
      </c>
      <c r="D1864" s="4">
        <v>45695.250528796299</v>
      </c>
      <c r="E1864" s="2">
        <v>3.83</v>
      </c>
      <c r="F1864" s="2">
        <v>72.599999999999994</v>
      </c>
      <c r="G1864" s="2" t="s">
        <v>983</v>
      </c>
      <c r="H1864" s="2" t="s">
        <v>984</v>
      </c>
      <c r="I1864" s="2"/>
      <c r="J1864" s="2" t="s">
        <v>32</v>
      </c>
    </row>
    <row r="1865" spans="1:10" ht="21" customHeight="1">
      <c r="A1865" s="2" t="s">
        <v>2857</v>
      </c>
      <c r="B1865" s="2" t="s">
        <v>32</v>
      </c>
      <c r="C1865" s="4">
        <v>45696.25</v>
      </c>
      <c r="D1865" s="4">
        <v>45696.250291006945</v>
      </c>
      <c r="E1865" s="2">
        <v>3.3</v>
      </c>
      <c r="F1865" s="2">
        <v>74.400000000000006</v>
      </c>
      <c r="G1865" s="2" t="s">
        <v>983</v>
      </c>
      <c r="H1865" s="2" t="s">
        <v>984</v>
      </c>
      <c r="I1865" s="2"/>
      <c r="J1865" s="2" t="s">
        <v>32</v>
      </c>
    </row>
    <row r="1866" spans="1:10" ht="21" customHeight="1">
      <c r="A1866" s="2" t="s">
        <v>2858</v>
      </c>
      <c r="B1866" s="2" t="s">
        <v>32</v>
      </c>
      <c r="C1866" s="4">
        <v>45697.25</v>
      </c>
      <c r="D1866" s="4">
        <v>45697.250267731477</v>
      </c>
      <c r="E1866" s="2">
        <v>3.8</v>
      </c>
      <c r="F1866" s="2">
        <v>78.2</v>
      </c>
      <c r="G1866" s="2" t="s">
        <v>983</v>
      </c>
      <c r="H1866" s="2" t="s">
        <v>984</v>
      </c>
      <c r="I1866" s="2"/>
      <c r="J1866" s="2" t="s">
        <v>32</v>
      </c>
    </row>
    <row r="1867" spans="1:10" ht="21" customHeight="1">
      <c r="A1867" s="2" t="s">
        <v>2859</v>
      </c>
      <c r="B1867" s="2" t="s">
        <v>32</v>
      </c>
      <c r="C1867" s="4">
        <v>45698.25</v>
      </c>
      <c r="D1867" s="4">
        <v>45698.250665381944</v>
      </c>
      <c r="E1867" s="2">
        <v>3.82</v>
      </c>
      <c r="F1867" s="2">
        <v>78.8</v>
      </c>
      <c r="G1867" s="2" t="s">
        <v>983</v>
      </c>
      <c r="H1867" s="2" t="s">
        <v>984</v>
      </c>
      <c r="I1867" s="2"/>
      <c r="J1867" s="2" t="s">
        <v>32</v>
      </c>
    </row>
    <row r="1868" spans="1:10" ht="21" customHeight="1">
      <c r="A1868" s="2" t="s">
        <v>2860</v>
      </c>
      <c r="B1868" s="2" t="s">
        <v>32</v>
      </c>
      <c r="C1868" s="4">
        <v>45699.25</v>
      </c>
      <c r="D1868" s="4">
        <v>45699.250626689813</v>
      </c>
      <c r="E1868" s="2">
        <v>2.87</v>
      </c>
      <c r="F1868" s="2">
        <v>75.3</v>
      </c>
      <c r="G1868" s="2" t="s">
        <v>983</v>
      </c>
      <c r="H1868" s="2" t="s">
        <v>984</v>
      </c>
      <c r="I1868" s="2"/>
      <c r="J1868" s="2" t="s">
        <v>32</v>
      </c>
    </row>
    <row r="1869" spans="1:10" ht="21" customHeight="1">
      <c r="A1869" s="2" t="s">
        <v>2861</v>
      </c>
      <c r="B1869" s="2" t="s">
        <v>32</v>
      </c>
      <c r="C1869" s="4">
        <v>45700.25</v>
      </c>
      <c r="D1869" s="4">
        <v>45700.250343182866</v>
      </c>
      <c r="E1869" s="2">
        <v>3.21</v>
      </c>
      <c r="F1869" s="2">
        <v>74.2</v>
      </c>
      <c r="G1869" s="2" t="s">
        <v>983</v>
      </c>
      <c r="H1869" s="2" t="s">
        <v>984</v>
      </c>
      <c r="I1869" s="2"/>
      <c r="J1869" s="2" t="s">
        <v>32</v>
      </c>
    </row>
    <row r="1870" spans="1:10" ht="21" customHeight="1">
      <c r="A1870" s="2" t="s">
        <v>2862</v>
      </c>
      <c r="B1870" s="2" t="s">
        <v>32</v>
      </c>
      <c r="C1870" s="4">
        <v>45701.25</v>
      </c>
      <c r="D1870" s="4">
        <v>45701.250175023146</v>
      </c>
      <c r="E1870" s="2">
        <v>3.72</v>
      </c>
      <c r="F1870" s="2">
        <v>73.599999999999994</v>
      </c>
      <c r="G1870" s="2" t="s">
        <v>983</v>
      </c>
      <c r="H1870" s="2" t="s">
        <v>984</v>
      </c>
      <c r="I1870" s="2"/>
      <c r="J1870" s="2" t="s">
        <v>32</v>
      </c>
    </row>
    <row r="1871" spans="1:10" ht="21" customHeight="1">
      <c r="A1871" s="2" t="s">
        <v>2863</v>
      </c>
      <c r="B1871" s="2" t="s">
        <v>32</v>
      </c>
      <c r="C1871" s="4">
        <v>45702.25</v>
      </c>
      <c r="D1871" s="4">
        <v>45702.250220775459</v>
      </c>
      <c r="E1871" s="2">
        <v>2.86</v>
      </c>
      <c r="F1871" s="2">
        <v>72.5</v>
      </c>
      <c r="G1871" s="2" t="s">
        <v>983</v>
      </c>
      <c r="H1871" s="2" t="s">
        <v>984</v>
      </c>
      <c r="I1871" s="2"/>
      <c r="J1871" s="2" t="s">
        <v>32</v>
      </c>
    </row>
    <row r="1872" spans="1:10" ht="21" customHeight="1">
      <c r="A1872" s="2" t="s">
        <v>2864</v>
      </c>
      <c r="B1872" s="2" t="s">
        <v>32</v>
      </c>
      <c r="C1872" s="4">
        <v>45703.25</v>
      </c>
      <c r="D1872" s="4">
        <v>45703.250192974534</v>
      </c>
      <c r="E1872" s="2">
        <v>3.04</v>
      </c>
      <c r="F1872" s="2">
        <v>77.400000000000006</v>
      </c>
      <c r="G1872" s="2" t="s">
        <v>983</v>
      </c>
      <c r="H1872" s="2" t="s">
        <v>984</v>
      </c>
      <c r="I1872" s="2"/>
      <c r="J1872" s="2" t="s">
        <v>32</v>
      </c>
    </row>
    <row r="1873" spans="1:10" ht="21" customHeight="1">
      <c r="A1873" s="2" t="s">
        <v>2865</v>
      </c>
      <c r="B1873" s="2" t="s">
        <v>32</v>
      </c>
      <c r="C1873" s="4">
        <v>45704.25</v>
      </c>
      <c r="D1873" s="4">
        <v>45704.250303506946</v>
      </c>
      <c r="E1873" s="2">
        <v>3.71</v>
      </c>
      <c r="F1873" s="2">
        <v>73.8</v>
      </c>
      <c r="G1873" s="2" t="s">
        <v>983</v>
      </c>
      <c r="H1873" s="2" t="s">
        <v>984</v>
      </c>
      <c r="I1873" s="2"/>
      <c r="J1873" s="2" t="s">
        <v>32</v>
      </c>
    </row>
    <row r="1874" spans="1:10" ht="21" customHeight="1">
      <c r="A1874" s="2" t="s">
        <v>2866</v>
      </c>
      <c r="B1874" s="2" t="s">
        <v>32</v>
      </c>
      <c r="C1874" s="4">
        <v>45705.25</v>
      </c>
      <c r="D1874" s="4">
        <v>45705.250144756945</v>
      </c>
      <c r="E1874" s="2">
        <v>3.42</v>
      </c>
      <c r="F1874" s="2">
        <v>77.2</v>
      </c>
      <c r="G1874" s="2" t="s">
        <v>983</v>
      </c>
      <c r="H1874" s="2" t="s">
        <v>984</v>
      </c>
      <c r="I1874" s="2"/>
      <c r="J1874" s="2" t="s">
        <v>32</v>
      </c>
    </row>
    <row r="1875" spans="1:10" ht="21" customHeight="1">
      <c r="A1875" s="2" t="s">
        <v>2867</v>
      </c>
      <c r="B1875" s="2" t="s">
        <v>32</v>
      </c>
      <c r="C1875" s="4">
        <v>45706.25</v>
      </c>
      <c r="D1875" s="4">
        <v>45706.250568425923</v>
      </c>
      <c r="E1875" s="2">
        <v>2.91</v>
      </c>
      <c r="F1875" s="2">
        <v>76.3</v>
      </c>
      <c r="G1875" s="2" t="s">
        <v>983</v>
      </c>
      <c r="H1875" s="2" t="s">
        <v>984</v>
      </c>
      <c r="I1875" s="2"/>
      <c r="J1875" s="2" t="s">
        <v>32</v>
      </c>
    </row>
    <row r="1876" spans="1:10" ht="21" customHeight="1">
      <c r="A1876" s="2" t="s">
        <v>2868</v>
      </c>
      <c r="B1876" s="2" t="s">
        <v>32</v>
      </c>
      <c r="C1876" s="4">
        <v>45707.25</v>
      </c>
      <c r="D1876" s="4">
        <v>45707.250417210649</v>
      </c>
      <c r="E1876" s="2">
        <v>3.16</v>
      </c>
      <c r="F1876" s="2">
        <v>77.400000000000006</v>
      </c>
      <c r="G1876" s="2" t="s">
        <v>983</v>
      </c>
      <c r="H1876" s="2" t="s">
        <v>984</v>
      </c>
      <c r="I1876" s="2"/>
      <c r="J1876" s="2" t="s">
        <v>32</v>
      </c>
    </row>
    <row r="1877" spans="1:10" ht="21" customHeight="1">
      <c r="A1877" s="2" t="s">
        <v>2869</v>
      </c>
      <c r="B1877" s="2" t="s">
        <v>32</v>
      </c>
      <c r="C1877" s="4">
        <v>45708.25</v>
      </c>
      <c r="D1877" s="4">
        <v>45708.250206631943</v>
      </c>
      <c r="E1877" s="2">
        <v>2.96</v>
      </c>
      <c r="F1877" s="2">
        <v>77.900000000000006</v>
      </c>
      <c r="G1877" s="2" t="s">
        <v>983</v>
      </c>
      <c r="H1877" s="2" t="s">
        <v>984</v>
      </c>
      <c r="I1877" s="2"/>
      <c r="J1877" s="2" t="s">
        <v>32</v>
      </c>
    </row>
    <row r="1878" spans="1:10" ht="21" customHeight="1">
      <c r="A1878" s="2" t="s">
        <v>2870</v>
      </c>
      <c r="B1878" s="2" t="s">
        <v>32</v>
      </c>
      <c r="C1878" s="4">
        <v>45709.25</v>
      </c>
      <c r="D1878" s="4">
        <v>45709.250225358795</v>
      </c>
      <c r="E1878" s="2">
        <v>3.22</v>
      </c>
      <c r="F1878" s="2">
        <v>79.3</v>
      </c>
      <c r="G1878" s="2" t="s">
        <v>983</v>
      </c>
      <c r="H1878" s="2" t="s">
        <v>984</v>
      </c>
      <c r="I1878" s="2" t="s">
        <v>985</v>
      </c>
      <c r="J1878" s="2" t="s">
        <v>32</v>
      </c>
    </row>
    <row r="1879" spans="1:10" ht="21" customHeight="1">
      <c r="A1879" s="2" t="s">
        <v>2871</v>
      </c>
      <c r="B1879" s="2" t="s">
        <v>32</v>
      </c>
      <c r="C1879" s="4">
        <v>45710.25</v>
      </c>
      <c r="D1879" s="4">
        <v>45710.25009371528</v>
      </c>
      <c r="E1879" s="2">
        <v>3.35</v>
      </c>
      <c r="F1879" s="2">
        <v>76.8</v>
      </c>
      <c r="G1879" s="2" t="s">
        <v>983</v>
      </c>
      <c r="H1879" s="2" t="s">
        <v>984</v>
      </c>
      <c r="I1879" s="2"/>
      <c r="J1879" s="2" t="s">
        <v>32</v>
      </c>
    </row>
    <row r="1880" spans="1:10" ht="21" customHeight="1">
      <c r="A1880" s="2" t="s">
        <v>2872</v>
      </c>
      <c r="B1880" s="2" t="s">
        <v>32</v>
      </c>
      <c r="C1880" s="4">
        <v>45711.25</v>
      </c>
      <c r="D1880" s="4">
        <v>45711.250084571759</v>
      </c>
      <c r="E1880" s="2"/>
      <c r="F1880" s="2"/>
      <c r="G1880" s="2" t="s">
        <v>983</v>
      </c>
      <c r="H1880" s="2" t="s">
        <v>1066</v>
      </c>
      <c r="I1880" s="2"/>
      <c r="J1880" s="2" t="s">
        <v>32</v>
      </c>
    </row>
    <row r="1881" spans="1:10" ht="21" customHeight="1">
      <c r="A1881" s="2" t="s">
        <v>2873</v>
      </c>
      <c r="B1881" s="2" t="s">
        <v>32</v>
      </c>
      <c r="C1881" s="4">
        <v>45712.25</v>
      </c>
      <c r="D1881" s="4">
        <v>45712.250207835648</v>
      </c>
      <c r="E1881" s="2">
        <v>3.6</v>
      </c>
      <c r="F1881" s="2">
        <v>75.5</v>
      </c>
      <c r="G1881" s="2" t="s">
        <v>983</v>
      </c>
      <c r="H1881" s="2" t="s">
        <v>984</v>
      </c>
      <c r="I1881" s="2"/>
      <c r="J1881" s="2" t="s">
        <v>32</v>
      </c>
    </row>
    <row r="1882" spans="1:10" ht="21" customHeight="1">
      <c r="A1882" s="2" t="s">
        <v>2874</v>
      </c>
      <c r="B1882" s="2" t="s">
        <v>32</v>
      </c>
      <c r="C1882" s="4">
        <v>45713.25</v>
      </c>
      <c r="D1882" s="4">
        <v>45713.250061458333</v>
      </c>
      <c r="E1882" s="2">
        <v>3.47</v>
      </c>
      <c r="F1882" s="2">
        <v>78.2</v>
      </c>
      <c r="G1882" s="2" t="s">
        <v>983</v>
      </c>
      <c r="H1882" s="2" t="s">
        <v>984</v>
      </c>
      <c r="I1882" s="2"/>
      <c r="J1882" s="2" t="s">
        <v>32</v>
      </c>
    </row>
    <row r="1883" spans="1:10" ht="21" customHeight="1">
      <c r="A1883" s="2" t="s">
        <v>2875</v>
      </c>
      <c r="B1883" s="2" t="s">
        <v>32</v>
      </c>
      <c r="C1883" s="4">
        <v>45714.25</v>
      </c>
      <c r="D1883" s="4">
        <v>45714.250583159723</v>
      </c>
      <c r="E1883" s="2">
        <v>3.98</v>
      </c>
      <c r="F1883" s="2">
        <v>76.7</v>
      </c>
      <c r="G1883" s="2" t="s">
        <v>983</v>
      </c>
      <c r="H1883" s="2" t="s">
        <v>984</v>
      </c>
      <c r="I1883" s="2"/>
      <c r="J1883" s="2" t="s">
        <v>32</v>
      </c>
    </row>
    <row r="1884" spans="1:10" ht="21" customHeight="1">
      <c r="A1884" s="2" t="s">
        <v>2876</v>
      </c>
      <c r="B1884" s="2" t="s">
        <v>32</v>
      </c>
      <c r="C1884" s="4">
        <v>45715.25</v>
      </c>
      <c r="D1884" s="4">
        <v>45715.250274976846</v>
      </c>
      <c r="E1884" s="2">
        <v>2.82</v>
      </c>
      <c r="F1884" s="2">
        <v>77.599999999999994</v>
      </c>
      <c r="G1884" s="2" t="s">
        <v>983</v>
      </c>
      <c r="H1884" s="2" t="s">
        <v>984</v>
      </c>
      <c r="I1884" s="2"/>
      <c r="J1884" s="2" t="s">
        <v>32</v>
      </c>
    </row>
    <row r="1885" spans="1:10" ht="21" customHeight="1">
      <c r="A1885" s="2" t="s">
        <v>2877</v>
      </c>
      <c r="B1885" s="2" t="s">
        <v>32</v>
      </c>
      <c r="C1885" s="4">
        <v>45716.25</v>
      </c>
      <c r="D1885" s="4">
        <v>45716.250183553246</v>
      </c>
      <c r="E1885" s="2">
        <v>3.11</v>
      </c>
      <c r="F1885" s="2">
        <v>78.400000000000006</v>
      </c>
      <c r="G1885" s="2" t="s">
        <v>983</v>
      </c>
      <c r="H1885" s="2" t="s">
        <v>984</v>
      </c>
      <c r="I1885" s="2"/>
      <c r="J1885" s="2" t="s">
        <v>32</v>
      </c>
    </row>
    <row r="1886" spans="1:10" ht="21" customHeight="1">
      <c r="A1886" s="2" t="s">
        <v>2878</v>
      </c>
      <c r="B1886" s="2" t="s">
        <v>32</v>
      </c>
      <c r="C1886" s="4">
        <v>45717.25</v>
      </c>
      <c r="D1886" s="4">
        <v>45717.250362476851</v>
      </c>
      <c r="E1886" s="2">
        <v>3.87</v>
      </c>
      <c r="F1886" s="2">
        <v>74.7</v>
      </c>
      <c r="G1886" s="2" t="s">
        <v>983</v>
      </c>
      <c r="H1886" s="2" t="s">
        <v>984</v>
      </c>
      <c r="I1886" s="2"/>
      <c r="J1886" s="2" t="s">
        <v>32</v>
      </c>
    </row>
    <row r="1887" spans="1:10" ht="21" customHeight="1">
      <c r="A1887" s="2" t="s">
        <v>2879</v>
      </c>
      <c r="B1887" s="2" t="s">
        <v>32</v>
      </c>
      <c r="C1887" s="4">
        <v>45718.25</v>
      </c>
      <c r="D1887" s="4">
        <v>45718.250142569443</v>
      </c>
      <c r="E1887" s="2">
        <v>3.13</v>
      </c>
      <c r="F1887" s="2">
        <v>78.7</v>
      </c>
      <c r="G1887" s="2" t="s">
        <v>983</v>
      </c>
      <c r="H1887" s="2" t="s">
        <v>984</v>
      </c>
      <c r="I1887" s="2"/>
      <c r="J1887" s="2" t="s">
        <v>32</v>
      </c>
    </row>
    <row r="1888" spans="1:10" ht="21" customHeight="1">
      <c r="A1888" s="2" t="s">
        <v>2880</v>
      </c>
      <c r="B1888" s="2" t="s">
        <v>2839</v>
      </c>
      <c r="C1888" s="4">
        <v>45719.25</v>
      </c>
      <c r="D1888" s="4">
        <v>45719.250347002315</v>
      </c>
      <c r="E1888" s="2">
        <v>3.12</v>
      </c>
      <c r="F1888" s="2">
        <v>72.599999999999994</v>
      </c>
      <c r="G1888" s="2" t="s">
        <v>983</v>
      </c>
      <c r="H1888" s="2" t="s">
        <v>984</v>
      </c>
      <c r="I1888" s="2"/>
      <c r="J1888" s="2" t="s">
        <v>32</v>
      </c>
    </row>
    <row r="1889" spans="1:10" ht="21" customHeight="1">
      <c r="A1889" s="2" t="s">
        <v>2881</v>
      </c>
      <c r="B1889" s="2" t="s">
        <v>32</v>
      </c>
      <c r="C1889" s="4">
        <v>45720.25</v>
      </c>
      <c r="D1889" s="4">
        <v>45720.250629050926</v>
      </c>
      <c r="E1889" s="2">
        <v>3.52</v>
      </c>
      <c r="F1889" s="2">
        <v>76.900000000000006</v>
      </c>
      <c r="G1889" s="2" t="s">
        <v>983</v>
      </c>
      <c r="H1889" s="2" t="s">
        <v>984</v>
      </c>
      <c r="I1889" s="2"/>
      <c r="J1889" s="2" t="s">
        <v>32</v>
      </c>
    </row>
    <row r="1890" spans="1:10" ht="21" customHeight="1">
      <c r="A1890" s="2" t="s">
        <v>2882</v>
      </c>
      <c r="B1890" s="2" t="s">
        <v>32</v>
      </c>
      <c r="C1890" s="4">
        <v>45721.25</v>
      </c>
      <c r="D1890" s="4">
        <v>45721.250023518514</v>
      </c>
      <c r="E1890" s="2">
        <v>3.7</v>
      </c>
      <c r="F1890" s="2">
        <v>72.900000000000006</v>
      </c>
      <c r="G1890" s="2" t="s">
        <v>983</v>
      </c>
      <c r="H1890" s="2" t="s">
        <v>984</v>
      </c>
      <c r="I1890" s="2"/>
      <c r="J1890" s="2" t="s">
        <v>32</v>
      </c>
    </row>
    <row r="1891" spans="1:10" ht="21" customHeight="1">
      <c r="A1891" s="2" t="s">
        <v>2883</v>
      </c>
      <c r="B1891" s="2" t="s">
        <v>32</v>
      </c>
      <c r="C1891" s="4">
        <v>45722.25</v>
      </c>
      <c r="D1891" s="4">
        <v>45722.250525474534</v>
      </c>
      <c r="E1891" s="2">
        <v>3.92</v>
      </c>
      <c r="F1891" s="2">
        <v>74.7</v>
      </c>
      <c r="G1891" s="2" t="s">
        <v>983</v>
      </c>
      <c r="H1891" s="2" t="s">
        <v>984</v>
      </c>
      <c r="I1891" s="2"/>
      <c r="J1891" s="2" t="s">
        <v>32</v>
      </c>
    </row>
    <row r="1892" spans="1:10" ht="21" customHeight="1">
      <c r="A1892" s="2" t="s">
        <v>2884</v>
      </c>
      <c r="B1892" s="2" t="s">
        <v>32</v>
      </c>
      <c r="C1892" s="4">
        <v>45723.25</v>
      </c>
      <c r="D1892" s="4">
        <v>45723.250061250001</v>
      </c>
      <c r="E1892" s="2">
        <v>2.96</v>
      </c>
      <c r="F1892" s="2">
        <v>78.900000000000006</v>
      </c>
      <c r="G1892" s="2" t="s">
        <v>983</v>
      </c>
      <c r="H1892" s="2" t="s">
        <v>984</v>
      </c>
      <c r="I1892" s="2"/>
      <c r="J1892" s="2" t="s">
        <v>32</v>
      </c>
    </row>
    <row r="1893" spans="1:10" ht="21" customHeight="1">
      <c r="A1893" s="2" t="s">
        <v>2885</v>
      </c>
      <c r="B1893" s="2" t="s">
        <v>32</v>
      </c>
      <c r="C1893" s="4">
        <v>45724.25</v>
      </c>
      <c r="D1893" s="4">
        <v>45724.250220347225</v>
      </c>
      <c r="E1893" s="2">
        <v>3.23</v>
      </c>
      <c r="F1893" s="2">
        <v>74.5</v>
      </c>
      <c r="G1893" s="2" t="s">
        <v>983</v>
      </c>
      <c r="H1893" s="2" t="s">
        <v>984</v>
      </c>
      <c r="I1893" s="2"/>
      <c r="J1893" s="2" t="s">
        <v>32</v>
      </c>
    </row>
    <row r="1894" spans="1:10" ht="21" customHeight="1">
      <c r="A1894" s="2" t="s">
        <v>2886</v>
      </c>
      <c r="B1894" s="2" t="s">
        <v>32</v>
      </c>
      <c r="C1894" s="4">
        <v>45725.25</v>
      </c>
      <c r="D1894" s="4">
        <v>45725.250367696761</v>
      </c>
      <c r="E1894" s="2">
        <v>3.4</v>
      </c>
      <c r="F1894" s="2">
        <v>72</v>
      </c>
      <c r="G1894" s="2" t="s">
        <v>983</v>
      </c>
      <c r="H1894" s="2" t="s">
        <v>984</v>
      </c>
      <c r="I1894" s="2"/>
      <c r="J1894" s="2" t="s">
        <v>32</v>
      </c>
    </row>
    <row r="1895" spans="1:10" ht="21" customHeight="1">
      <c r="A1895" s="2" t="s">
        <v>2887</v>
      </c>
      <c r="B1895" s="2" t="s">
        <v>32</v>
      </c>
      <c r="C1895" s="4">
        <v>45726.25</v>
      </c>
      <c r="D1895" s="4">
        <v>45726.250367349538</v>
      </c>
      <c r="E1895" s="2">
        <v>3.9</v>
      </c>
      <c r="F1895" s="2">
        <v>78.900000000000006</v>
      </c>
      <c r="G1895" s="2" t="s">
        <v>983</v>
      </c>
      <c r="H1895" s="2" t="s">
        <v>984</v>
      </c>
      <c r="I1895" s="2" t="s">
        <v>985</v>
      </c>
      <c r="J1895" s="2" t="s">
        <v>32</v>
      </c>
    </row>
    <row r="1896" spans="1:10" ht="21" customHeight="1">
      <c r="A1896" s="2" t="s">
        <v>2888</v>
      </c>
      <c r="B1896" s="2" t="s">
        <v>32</v>
      </c>
      <c r="C1896" s="4">
        <v>45727.25</v>
      </c>
      <c r="D1896" s="4">
        <v>45727.250649201393</v>
      </c>
      <c r="E1896" s="2">
        <v>3.15</v>
      </c>
      <c r="F1896" s="2">
        <v>74.7</v>
      </c>
      <c r="G1896" s="2" t="s">
        <v>983</v>
      </c>
      <c r="H1896" s="2" t="s">
        <v>984</v>
      </c>
      <c r="I1896" s="2"/>
      <c r="J1896" s="2" t="s">
        <v>32</v>
      </c>
    </row>
    <row r="1897" spans="1:10" ht="21" customHeight="1">
      <c r="A1897" s="2" t="s">
        <v>2889</v>
      </c>
      <c r="B1897" s="2" t="s">
        <v>32</v>
      </c>
      <c r="C1897" s="4">
        <v>45728.25</v>
      </c>
      <c r="D1897" s="4">
        <v>45728.25016383102</v>
      </c>
      <c r="E1897" s="2">
        <v>3.66</v>
      </c>
      <c r="F1897" s="2">
        <v>75</v>
      </c>
      <c r="G1897" s="2" t="s">
        <v>983</v>
      </c>
      <c r="H1897" s="2" t="s">
        <v>984</v>
      </c>
      <c r="I1897" s="2"/>
      <c r="J1897" s="2" t="s">
        <v>32</v>
      </c>
    </row>
    <row r="1898" spans="1:10" ht="21" customHeight="1">
      <c r="A1898" s="2" t="s">
        <v>2890</v>
      </c>
      <c r="B1898" s="2" t="s">
        <v>32</v>
      </c>
      <c r="C1898" s="4">
        <v>45729.25</v>
      </c>
      <c r="D1898" s="4">
        <v>45729.250374907409</v>
      </c>
      <c r="E1898" s="2">
        <v>3.65</v>
      </c>
      <c r="F1898" s="2">
        <v>72.400000000000006</v>
      </c>
      <c r="G1898" s="2" t="s">
        <v>983</v>
      </c>
      <c r="H1898" s="2" t="s">
        <v>984</v>
      </c>
      <c r="I1898" s="2"/>
      <c r="J1898" s="2" t="s">
        <v>32</v>
      </c>
    </row>
    <row r="1899" spans="1:10" ht="21" customHeight="1">
      <c r="A1899" s="2" t="s">
        <v>2891</v>
      </c>
      <c r="B1899" s="2" t="s">
        <v>32</v>
      </c>
      <c r="C1899" s="4">
        <v>45730.25</v>
      </c>
      <c r="D1899" s="4">
        <v>45730.250160775468</v>
      </c>
      <c r="E1899" s="2">
        <v>3.23</v>
      </c>
      <c r="F1899" s="2">
        <v>77.7</v>
      </c>
      <c r="G1899" s="2" t="s">
        <v>983</v>
      </c>
      <c r="H1899" s="2" t="s">
        <v>984</v>
      </c>
      <c r="I1899" s="2"/>
      <c r="J1899" s="2" t="s">
        <v>32</v>
      </c>
    </row>
    <row r="1900" spans="1:10" ht="21" customHeight="1">
      <c r="A1900" s="2" t="s">
        <v>2892</v>
      </c>
      <c r="B1900" s="2" t="s">
        <v>32</v>
      </c>
      <c r="C1900" s="4">
        <v>45731.25</v>
      </c>
      <c r="D1900" s="4">
        <v>45731.250584872687</v>
      </c>
      <c r="E1900" s="2">
        <v>3.08</v>
      </c>
      <c r="F1900" s="2">
        <v>77.2</v>
      </c>
      <c r="G1900" s="2" t="s">
        <v>983</v>
      </c>
      <c r="H1900" s="2" t="s">
        <v>984</v>
      </c>
      <c r="I1900" s="2"/>
      <c r="J1900" s="2" t="s">
        <v>32</v>
      </c>
    </row>
    <row r="1901" spans="1:10" ht="21" customHeight="1">
      <c r="A1901" s="2" t="s">
        <v>2893</v>
      </c>
      <c r="B1901" s="2" t="s">
        <v>32</v>
      </c>
      <c r="C1901" s="4">
        <v>45732.25</v>
      </c>
      <c r="D1901" s="4">
        <v>45732.25063101852</v>
      </c>
      <c r="E1901" s="2">
        <v>3.81</v>
      </c>
      <c r="F1901" s="2">
        <v>78.3</v>
      </c>
      <c r="G1901" s="2" t="s">
        <v>983</v>
      </c>
      <c r="H1901" s="2" t="s">
        <v>984</v>
      </c>
      <c r="I1901" s="2"/>
      <c r="J1901" s="2" t="s">
        <v>32</v>
      </c>
    </row>
    <row r="1902" spans="1:10" ht="21" customHeight="1">
      <c r="A1902" s="2" t="s">
        <v>2894</v>
      </c>
      <c r="B1902" s="2" t="s">
        <v>32</v>
      </c>
      <c r="C1902" s="4">
        <v>45733.25</v>
      </c>
      <c r="D1902" s="4">
        <v>45733.250351909723</v>
      </c>
      <c r="E1902" s="2">
        <v>5.79</v>
      </c>
      <c r="F1902" s="2">
        <v>81.8</v>
      </c>
      <c r="G1902" s="2" t="s">
        <v>983</v>
      </c>
      <c r="H1902" s="2" t="s">
        <v>984</v>
      </c>
      <c r="I1902" s="2"/>
      <c r="J1902" s="2" t="s">
        <v>32</v>
      </c>
    </row>
    <row r="1903" spans="1:10" ht="21" customHeight="1">
      <c r="A1903" s="2" t="s">
        <v>2895</v>
      </c>
      <c r="B1903" s="2" t="s">
        <v>32</v>
      </c>
      <c r="C1903" s="4">
        <v>45734.25</v>
      </c>
      <c r="D1903" s="4">
        <v>45734.250606342597</v>
      </c>
      <c r="E1903" s="2">
        <v>7.14</v>
      </c>
      <c r="F1903" s="2">
        <v>78.599999999999994</v>
      </c>
      <c r="G1903" s="2" t="s">
        <v>983</v>
      </c>
      <c r="H1903" s="2" t="s">
        <v>984</v>
      </c>
      <c r="I1903" s="2" t="s">
        <v>1053</v>
      </c>
      <c r="J1903" s="2" t="s">
        <v>32</v>
      </c>
    </row>
    <row r="1904" spans="1:10" ht="21" customHeight="1">
      <c r="A1904" s="2" t="s">
        <v>2896</v>
      </c>
      <c r="B1904" s="2" t="s">
        <v>32</v>
      </c>
      <c r="C1904" s="4">
        <v>45735.25</v>
      </c>
      <c r="D1904" s="4">
        <v>45735.250169386578</v>
      </c>
      <c r="E1904" s="2">
        <v>6.92</v>
      </c>
      <c r="F1904" s="2">
        <v>80.900000000000006</v>
      </c>
      <c r="G1904" s="2" t="s">
        <v>983</v>
      </c>
      <c r="H1904" s="2" t="s">
        <v>984</v>
      </c>
      <c r="I1904" s="2"/>
      <c r="J1904" s="2" t="s">
        <v>32</v>
      </c>
    </row>
    <row r="1905" spans="1:10" ht="21" customHeight="1">
      <c r="A1905" s="2" t="s">
        <v>2897</v>
      </c>
      <c r="B1905" s="2" t="s">
        <v>32</v>
      </c>
      <c r="C1905" s="4">
        <v>45736.25</v>
      </c>
      <c r="D1905" s="4">
        <v>45736.250459166666</v>
      </c>
      <c r="E1905" s="2"/>
      <c r="F1905" s="2"/>
      <c r="G1905" s="2" t="s">
        <v>983</v>
      </c>
      <c r="H1905" s="2" t="s">
        <v>1066</v>
      </c>
      <c r="I1905" s="2"/>
      <c r="J1905" s="2" t="s">
        <v>32</v>
      </c>
    </row>
    <row r="1906" spans="1:10" ht="21" customHeight="1">
      <c r="A1906" s="2" t="s">
        <v>2898</v>
      </c>
      <c r="B1906" s="2" t="s">
        <v>32</v>
      </c>
      <c r="C1906" s="4">
        <v>45737.25</v>
      </c>
      <c r="D1906" s="4">
        <v>45737.250605567126</v>
      </c>
      <c r="E1906" s="2">
        <v>3.84</v>
      </c>
      <c r="F1906" s="2">
        <v>76.099999999999994</v>
      </c>
      <c r="G1906" s="2" t="s">
        <v>983</v>
      </c>
      <c r="H1906" s="2" t="s">
        <v>984</v>
      </c>
      <c r="I1906" s="2"/>
      <c r="J1906" s="2" t="s">
        <v>32</v>
      </c>
    </row>
    <row r="1907" spans="1:10" ht="21" customHeight="1">
      <c r="A1907" s="2" t="s">
        <v>2899</v>
      </c>
      <c r="B1907" s="2" t="s">
        <v>32</v>
      </c>
      <c r="C1907" s="4">
        <v>45738.25</v>
      </c>
      <c r="D1907" s="4">
        <v>45738.250589953706</v>
      </c>
      <c r="E1907" s="2">
        <v>3.65</v>
      </c>
      <c r="F1907" s="2">
        <v>72.099999999999994</v>
      </c>
      <c r="G1907" s="2" t="s">
        <v>983</v>
      </c>
      <c r="H1907" s="2" t="s">
        <v>984</v>
      </c>
      <c r="I1907" s="2"/>
      <c r="J1907" s="2" t="s">
        <v>32</v>
      </c>
    </row>
    <row r="1908" spans="1:10" ht="21" customHeight="1">
      <c r="A1908" s="2" t="s">
        <v>2900</v>
      </c>
      <c r="B1908" s="2" t="s">
        <v>32</v>
      </c>
      <c r="C1908" s="4">
        <v>45739.25</v>
      </c>
      <c r="D1908" s="4">
        <v>45739.250480405091</v>
      </c>
      <c r="E1908" s="2">
        <v>2.9</v>
      </c>
      <c r="F1908" s="2">
        <v>73.900000000000006</v>
      </c>
      <c r="G1908" s="2" t="s">
        <v>983</v>
      </c>
      <c r="H1908" s="2" t="s">
        <v>984</v>
      </c>
      <c r="I1908" s="2"/>
      <c r="J1908" s="2" t="s">
        <v>32</v>
      </c>
    </row>
    <row r="1909" spans="1:10" ht="21" customHeight="1">
      <c r="A1909" s="2" t="s">
        <v>2901</v>
      </c>
      <c r="B1909" s="2" t="s">
        <v>32</v>
      </c>
      <c r="C1909" s="4">
        <v>45740.25</v>
      </c>
      <c r="D1909" s="4">
        <v>45740.250414166665</v>
      </c>
      <c r="E1909" s="2">
        <v>3.26</v>
      </c>
      <c r="F1909" s="2">
        <v>78.5</v>
      </c>
      <c r="G1909" s="2" t="s">
        <v>983</v>
      </c>
      <c r="H1909" s="2" t="s">
        <v>984</v>
      </c>
      <c r="I1909" s="2"/>
      <c r="J1909" s="2" t="s">
        <v>32</v>
      </c>
    </row>
    <row r="1910" spans="1:10" ht="21" customHeight="1">
      <c r="A1910" s="2" t="s">
        <v>2902</v>
      </c>
      <c r="B1910" s="2" t="s">
        <v>32</v>
      </c>
      <c r="C1910" s="4">
        <v>45741.25</v>
      </c>
      <c r="D1910" s="4">
        <v>45741.250101689817</v>
      </c>
      <c r="E1910" s="2">
        <v>3.48</v>
      </c>
      <c r="F1910" s="2">
        <v>76.7</v>
      </c>
      <c r="G1910" s="2" t="s">
        <v>983</v>
      </c>
      <c r="H1910" s="2" t="s">
        <v>984</v>
      </c>
      <c r="I1910" s="2"/>
      <c r="J1910" s="2" t="s">
        <v>32</v>
      </c>
    </row>
    <row r="1911" spans="1:10" ht="21" customHeight="1">
      <c r="A1911" s="2" t="s">
        <v>2903</v>
      </c>
      <c r="B1911" s="2" t="s">
        <v>32</v>
      </c>
      <c r="C1911" s="4">
        <v>45742.25</v>
      </c>
      <c r="D1911" s="4">
        <v>45742.250556597224</v>
      </c>
      <c r="E1911" s="2">
        <v>3.14</v>
      </c>
      <c r="F1911" s="2">
        <v>75.5</v>
      </c>
      <c r="G1911" s="2" t="s">
        <v>983</v>
      </c>
      <c r="H1911" s="2" t="s">
        <v>984</v>
      </c>
      <c r="I1911" s="2"/>
      <c r="J1911" s="2" t="s">
        <v>32</v>
      </c>
    </row>
    <row r="1912" spans="1:10" ht="21" customHeight="1">
      <c r="A1912" s="2" t="s">
        <v>2904</v>
      </c>
      <c r="B1912" s="2" t="s">
        <v>32</v>
      </c>
      <c r="C1912" s="4">
        <v>45743.25</v>
      </c>
      <c r="D1912" s="4">
        <v>45743.250536469903</v>
      </c>
      <c r="E1912" s="2"/>
      <c r="F1912" s="2"/>
      <c r="G1912" s="2" t="s">
        <v>983</v>
      </c>
      <c r="H1912" s="2" t="s">
        <v>1066</v>
      </c>
      <c r="I1912" s="2" t="s">
        <v>985</v>
      </c>
      <c r="J1912" s="2" t="s">
        <v>32</v>
      </c>
    </row>
    <row r="1913" spans="1:10" ht="21" customHeight="1">
      <c r="A1913" s="2" t="s">
        <v>2905</v>
      </c>
      <c r="B1913" s="2" t="s">
        <v>32</v>
      </c>
      <c r="C1913" s="4">
        <v>45744.25</v>
      </c>
      <c r="D1913" s="4">
        <v>45744.250603043984</v>
      </c>
      <c r="E1913" s="2">
        <v>3.41</v>
      </c>
      <c r="F1913" s="2">
        <v>73.3</v>
      </c>
      <c r="G1913" s="2" t="s">
        <v>983</v>
      </c>
      <c r="H1913" s="2" t="s">
        <v>984</v>
      </c>
      <c r="I1913" s="2"/>
      <c r="J1913" s="2" t="s">
        <v>32</v>
      </c>
    </row>
    <row r="1914" spans="1:10" ht="21" customHeight="1">
      <c r="A1914" s="2" t="s">
        <v>2906</v>
      </c>
      <c r="B1914" s="2" t="s">
        <v>32</v>
      </c>
      <c r="C1914" s="4">
        <v>45745.25</v>
      </c>
      <c r="D1914" s="4">
        <v>45745.250585173606</v>
      </c>
      <c r="E1914" s="2">
        <v>3.23</v>
      </c>
      <c r="F1914" s="2">
        <v>77.099999999999994</v>
      </c>
      <c r="G1914" s="2" t="s">
        <v>983</v>
      </c>
      <c r="H1914" s="2" t="s">
        <v>984</v>
      </c>
      <c r="I1914" s="2"/>
      <c r="J1914" s="2" t="s">
        <v>32</v>
      </c>
    </row>
    <row r="1915" spans="1:10" ht="21" customHeight="1">
      <c r="A1915" s="2" t="s">
        <v>2907</v>
      </c>
      <c r="B1915" s="2" t="s">
        <v>32</v>
      </c>
      <c r="C1915" s="4">
        <v>45746.25</v>
      </c>
      <c r="D1915" s="4">
        <v>45746.250308888892</v>
      </c>
      <c r="E1915" s="2">
        <v>3.25</v>
      </c>
      <c r="F1915" s="2">
        <v>75.3</v>
      </c>
      <c r="G1915" s="2" t="s">
        <v>983</v>
      </c>
      <c r="H1915" s="2" t="s">
        <v>984</v>
      </c>
      <c r="I1915" s="2"/>
      <c r="J1915" s="2" t="s">
        <v>32</v>
      </c>
    </row>
    <row r="1916" spans="1:10" ht="21" customHeight="1">
      <c r="A1916" s="2" t="s">
        <v>2908</v>
      </c>
      <c r="B1916" s="2" t="s">
        <v>32</v>
      </c>
      <c r="C1916" s="4">
        <v>45747.25</v>
      </c>
      <c r="D1916" s="4">
        <v>45747.250156759255</v>
      </c>
      <c r="E1916" s="2">
        <v>3.25</v>
      </c>
      <c r="F1916" s="2">
        <v>79.099999999999994</v>
      </c>
      <c r="G1916" s="2" t="s">
        <v>983</v>
      </c>
      <c r="H1916" s="2" t="s">
        <v>984</v>
      </c>
      <c r="I1916" s="2"/>
      <c r="J1916" s="2" t="s">
        <v>32</v>
      </c>
    </row>
    <row r="1917" spans="1:10" ht="21" customHeight="1">
      <c r="A1917" s="2" t="s">
        <v>2909</v>
      </c>
      <c r="B1917" s="2" t="s">
        <v>32</v>
      </c>
      <c r="C1917" s="4">
        <v>45748.25</v>
      </c>
      <c r="D1917" s="4">
        <v>45748.250536550928</v>
      </c>
      <c r="E1917" s="2">
        <v>3.03</v>
      </c>
      <c r="F1917" s="2">
        <v>74.400000000000006</v>
      </c>
      <c r="G1917" s="2" t="s">
        <v>983</v>
      </c>
      <c r="H1917" s="2" t="s">
        <v>984</v>
      </c>
      <c r="I1917" s="2"/>
      <c r="J1917" s="2" t="s">
        <v>32</v>
      </c>
    </row>
    <row r="1918" spans="1:10" ht="21" customHeight="1">
      <c r="A1918" s="2" t="s">
        <v>2910</v>
      </c>
      <c r="B1918" s="2" t="s">
        <v>32</v>
      </c>
      <c r="C1918" s="4">
        <v>45749.25</v>
      </c>
      <c r="D1918" s="4">
        <v>45749.250495</v>
      </c>
      <c r="E1918" s="2">
        <v>3.81</v>
      </c>
      <c r="F1918" s="2">
        <v>77.7</v>
      </c>
      <c r="G1918" s="2" t="s">
        <v>983</v>
      </c>
      <c r="H1918" s="2" t="s">
        <v>984</v>
      </c>
      <c r="I1918" s="2"/>
      <c r="J1918" s="2" t="s">
        <v>32</v>
      </c>
    </row>
    <row r="1919" spans="1:10" ht="21" customHeight="1">
      <c r="A1919" s="2" t="s">
        <v>2911</v>
      </c>
      <c r="B1919" s="2" t="s">
        <v>32</v>
      </c>
      <c r="C1919" s="4">
        <v>45750.25</v>
      </c>
      <c r="D1919" s="4">
        <v>45750.250015578698</v>
      </c>
      <c r="E1919" s="2">
        <v>3.42</v>
      </c>
      <c r="F1919" s="2">
        <v>74.3</v>
      </c>
      <c r="G1919" s="2" t="s">
        <v>983</v>
      </c>
      <c r="H1919" s="2" t="s">
        <v>984</v>
      </c>
      <c r="I1919" s="2"/>
      <c r="J1919" s="2" t="s">
        <v>32</v>
      </c>
    </row>
    <row r="1920" spans="1:10" ht="21" customHeight="1">
      <c r="A1920" s="2" t="s">
        <v>2912</v>
      </c>
      <c r="B1920" s="2" t="s">
        <v>32</v>
      </c>
      <c r="C1920" s="4">
        <v>45751.25</v>
      </c>
      <c r="D1920" s="4">
        <v>45751.250656435186</v>
      </c>
      <c r="E1920" s="2">
        <v>3.95</v>
      </c>
      <c r="F1920" s="2">
        <v>79.400000000000006</v>
      </c>
      <c r="G1920" s="2" t="s">
        <v>983</v>
      </c>
      <c r="H1920" s="2" t="s">
        <v>984</v>
      </c>
      <c r="I1920" s="2"/>
      <c r="J1920" s="2" t="s">
        <v>32</v>
      </c>
    </row>
    <row r="1921" spans="1:10" ht="21" customHeight="1">
      <c r="A1921" s="2" t="s">
        <v>2913</v>
      </c>
      <c r="B1921" s="2" t="s">
        <v>32</v>
      </c>
      <c r="C1921" s="4">
        <v>45752.25</v>
      </c>
      <c r="D1921" s="4">
        <v>45752.250377349541</v>
      </c>
      <c r="E1921" s="2">
        <v>3.28</v>
      </c>
      <c r="F1921" s="2">
        <v>75.3</v>
      </c>
      <c r="G1921" s="2" t="s">
        <v>983</v>
      </c>
      <c r="H1921" s="2" t="s">
        <v>984</v>
      </c>
      <c r="I1921" s="2"/>
      <c r="J1921" s="2" t="s">
        <v>32</v>
      </c>
    </row>
    <row r="1922" spans="1:10" ht="21" customHeight="1">
      <c r="A1922" s="2" t="s">
        <v>2914</v>
      </c>
      <c r="B1922" s="2" t="s">
        <v>32</v>
      </c>
      <c r="C1922" s="4">
        <v>45753.25</v>
      </c>
      <c r="D1922" s="4">
        <v>45753.250526770833</v>
      </c>
      <c r="E1922" s="2">
        <v>3.78</v>
      </c>
      <c r="F1922" s="2">
        <v>73.599999999999994</v>
      </c>
      <c r="G1922" s="2" t="s">
        <v>983</v>
      </c>
      <c r="H1922" s="2" t="s">
        <v>984</v>
      </c>
      <c r="I1922" s="2"/>
      <c r="J1922" s="2" t="s">
        <v>32</v>
      </c>
    </row>
    <row r="1923" spans="1:10" ht="21" customHeight="1">
      <c r="A1923" s="2" t="s">
        <v>2915</v>
      </c>
      <c r="B1923" s="2" t="s">
        <v>32</v>
      </c>
      <c r="C1923" s="4">
        <v>45754.25</v>
      </c>
      <c r="D1923" s="4">
        <v>45754.250020474537</v>
      </c>
      <c r="E1923" s="2">
        <v>6.25</v>
      </c>
      <c r="F1923" s="2">
        <v>89</v>
      </c>
      <c r="G1923" s="2" t="s">
        <v>983</v>
      </c>
      <c r="H1923" s="2" t="s">
        <v>984</v>
      </c>
      <c r="I1923" s="2" t="s">
        <v>1053</v>
      </c>
      <c r="J1923" s="2" t="s">
        <v>32</v>
      </c>
    </row>
    <row r="1924" spans="1:10" ht="21" customHeight="1">
      <c r="A1924" s="2" t="s">
        <v>2916</v>
      </c>
      <c r="B1924" s="2" t="s">
        <v>32</v>
      </c>
      <c r="C1924" s="4">
        <v>45755.25</v>
      </c>
      <c r="D1924" s="4">
        <v>45755.250256712963</v>
      </c>
      <c r="E1924" s="2"/>
      <c r="F1924" s="2"/>
      <c r="G1924" s="2" t="s">
        <v>983</v>
      </c>
      <c r="H1924" s="2" t="s">
        <v>1066</v>
      </c>
      <c r="I1924" s="2"/>
      <c r="J1924" s="2" t="s">
        <v>32</v>
      </c>
    </row>
    <row r="1925" spans="1:10" ht="21" customHeight="1">
      <c r="A1925" s="2" t="s">
        <v>2917</v>
      </c>
      <c r="B1925" s="2" t="s">
        <v>32</v>
      </c>
      <c r="C1925" s="4">
        <v>45756.25</v>
      </c>
      <c r="D1925" s="4">
        <v>45756.250189895829</v>
      </c>
      <c r="E1925" s="2">
        <v>4.7</v>
      </c>
      <c r="F1925" s="2">
        <v>87</v>
      </c>
      <c r="G1925" s="2" t="s">
        <v>983</v>
      </c>
      <c r="H1925" s="2" t="s">
        <v>984</v>
      </c>
      <c r="I1925" s="2" t="s">
        <v>1053</v>
      </c>
      <c r="J1925" s="2" t="s">
        <v>32</v>
      </c>
    </row>
    <row r="1926" spans="1:10" ht="21" customHeight="1">
      <c r="A1926" s="2" t="s">
        <v>2918</v>
      </c>
      <c r="B1926" s="2" t="s">
        <v>32</v>
      </c>
      <c r="C1926" s="4">
        <v>45757.25</v>
      </c>
      <c r="D1926" s="4">
        <v>45757.250039849532</v>
      </c>
      <c r="E1926" s="2">
        <v>3.77</v>
      </c>
      <c r="F1926" s="2">
        <v>74.3</v>
      </c>
      <c r="G1926" s="2" t="s">
        <v>983</v>
      </c>
      <c r="H1926" s="2" t="s">
        <v>984</v>
      </c>
      <c r="I1926" s="2"/>
      <c r="J1926" s="2" t="s">
        <v>32</v>
      </c>
    </row>
    <row r="1927" spans="1:10" ht="21" customHeight="1">
      <c r="A1927" s="2" t="s">
        <v>2919</v>
      </c>
      <c r="B1927" s="2" t="s">
        <v>32</v>
      </c>
      <c r="C1927" s="4">
        <v>45758.25</v>
      </c>
      <c r="D1927" s="4">
        <v>45758.250549363423</v>
      </c>
      <c r="E1927" s="2">
        <v>2.97</v>
      </c>
      <c r="F1927" s="2">
        <v>73.599999999999994</v>
      </c>
      <c r="G1927" s="2" t="s">
        <v>983</v>
      </c>
      <c r="H1927" s="2" t="s">
        <v>984</v>
      </c>
      <c r="I1927" s="2"/>
      <c r="J1927" s="2" t="s">
        <v>32</v>
      </c>
    </row>
    <row r="1928" spans="1:10" ht="21" customHeight="1">
      <c r="A1928" s="2" t="s">
        <v>2920</v>
      </c>
      <c r="B1928" s="2" t="s">
        <v>32</v>
      </c>
      <c r="C1928" s="4">
        <v>45759.25</v>
      </c>
      <c r="D1928" s="4">
        <v>45759.250368749999</v>
      </c>
      <c r="E1928" s="2">
        <v>3.57</v>
      </c>
      <c r="F1928" s="2">
        <v>75.900000000000006</v>
      </c>
      <c r="G1928" s="2" t="s">
        <v>983</v>
      </c>
      <c r="H1928" s="2" t="s">
        <v>984</v>
      </c>
      <c r="I1928" s="2"/>
      <c r="J1928" s="2" t="s">
        <v>32</v>
      </c>
    </row>
    <row r="1929" spans="1:10" ht="21" customHeight="1">
      <c r="A1929" s="2" t="s">
        <v>2921</v>
      </c>
      <c r="B1929" s="2" t="s">
        <v>2839</v>
      </c>
      <c r="C1929" s="4">
        <v>45760.25</v>
      </c>
      <c r="D1929" s="4">
        <v>45760.250608576389</v>
      </c>
      <c r="E1929" s="2">
        <v>2.84</v>
      </c>
      <c r="F1929" s="2">
        <v>78.599999999999994</v>
      </c>
      <c r="G1929" s="2" t="s">
        <v>983</v>
      </c>
      <c r="H1929" s="2" t="s">
        <v>984</v>
      </c>
      <c r="I1929" s="2" t="s">
        <v>985</v>
      </c>
      <c r="J1929" s="2" t="s">
        <v>32</v>
      </c>
    </row>
    <row r="1930" spans="1:10" ht="21" customHeight="1">
      <c r="A1930" s="2" t="s">
        <v>2922</v>
      </c>
      <c r="B1930" s="2" t="s">
        <v>32</v>
      </c>
      <c r="C1930" s="4">
        <v>45761.25</v>
      </c>
      <c r="D1930" s="4">
        <v>45761.250450868058</v>
      </c>
      <c r="E1930" s="2">
        <v>3.75</v>
      </c>
      <c r="F1930" s="2">
        <v>78.099999999999994</v>
      </c>
      <c r="G1930" s="2" t="s">
        <v>983</v>
      </c>
      <c r="H1930" s="2" t="s">
        <v>984</v>
      </c>
      <c r="I1930" s="2"/>
      <c r="J1930" s="2" t="s">
        <v>32</v>
      </c>
    </row>
    <row r="1931" spans="1:10" ht="21" customHeight="1">
      <c r="A1931" s="2" t="s">
        <v>2923</v>
      </c>
      <c r="B1931" s="2" t="s">
        <v>32</v>
      </c>
      <c r="C1931" s="4">
        <v>45762.25</v>
      </c>
      <c r="D1931" s="4">
        <v>45762.250497071756</v>
      </c>
      <c r="E1931" s="2">
        <v>2.82</v>
      </c>
      <c r="F1931" s="2">
        <v>72.2</v>
      </c>
      <c r="G1931" s="2" t="s">
        <v>983</v>
      </c>
      <c r="H1931" s="2" t="s">
        <v>984</v>
      </c>
      <c r="I1931" s="2"/>
      <c r="J1931" s="2" t="s">
        <v>32</v>
      </c>
    </row>
    <row r="1932" spans="1:10" ht="21" customHeight="1">
      <c r="A1932" s="2" t="s">
        <v>2924</v>
      </c>
      <c r="B1932" s="2" t="s">
        <v>32</v>
      </c>
      <c r="C1932" s="4">
        <v>45763.25</v>
      </c>
      <c r="D1932" s="4">
        <v>45763.250149201383</v>
      </c>
      <c r="E1932" s="2">
        <v>2.93</v>
      </c>
      <c r="F1932" s="2">
        <v>77.400000000000006</v>
      </c>
      <c r="G1932" s="2" t="s">
        <v>983</v>
      </c>
      <c r="H1932" s="2" t="s">
        <v>984</v>
      </c>
      <c r="I1932" s="2"/>
      <c r="J1932" s="2" t="s">
        <v>32</v>
      </c>
    </row>
    <row r="1933" spans="1:10" ht="21" customHeight="1">
      <c r="A1933" s="2" t="s">
        <v>2925</v>
      </c>
      <c r="B1933" s="2" t="s">
        <v>32</v>
      </c>
      <c r="C1933" s="4">
        <v>45764.25</v>
      </c>
      <c r="D1933" s="4">
        <v>45764.250082800922</v>
      </c>
      <c r="E1933" s="2">
        <v>6.42</v>
      </c>
      <c r="F1933" s="2">
        <v>83.7</v>
      </c>
      <c r="G1933" s="2" t="s">
        <v>983</v>
      </c>
      <c r="H1933" s="2" t="s">
        <v>984</v>
      </c>
      <c r="I1933" s="2" t="s">
        <v>1053</v>
      </c>
      <c r="J1933" s="2" t="s">
        <v>32</v>
      </c>
    </row>
    <row r="1934" spans="1:10" ht="21" customHeight="1">
      <c r="A1934" s="2" t="s">
        <v>2926</v>
      </c>
      <c r="B1934" s="2" t="s">
        <v>32</v>
      </c>
      <c r="C1934" s="4">
        <v>45765.25</v>
      </c>
      <c r="D1934" s="4">
        <v>45765.250350011571</v>
      </c>
      <c r="E1934" s="2">
        <v>5.29</v>
      </c>
      <c r="F1934" s="2">
        <v>84</v>
      </c>
      <c r="G1934" s="2" t="s">
        <v>983</v>
      </c>
      <c r="H1934" s="2" t="s">
        <v>984</v>
      </c>
      <c r="I1934" s="2"/>
      <c r="J1934" s="2" t="s">
        <v>32</v>
      </c>
    </row>
    <row r="1935" spans="1:10" ht="21" customHeight="1">
      <c r="A1935" s="2" t="s">
        <v>2927</v>
      </c>
      <c r="B1935" s="2" t="s">
        <v>32</v>
      </c>
      <c r="C1935" s="4">
        <v>45766.25</v>
      </c>
      <c r="D1935" s="4">
        <v>45766.250074016207</v>
      </c>
      <c r="E1935" s="2">
        <v>7.3</v>
      </c>
      <c r="F1935" s="2">
        <v>79.5</v>
      </c>
      <c r="G1935" s="2" t="s">
        <v>983</v>
      </c>
      <c r="H1935" s="2" t="s">
        <v>984</v>
      </c>
      <c r="I1935" s="2" t="s">
        <v>1053</v>
      </c>
      <c r="J1935" s="2" t="s">
        <v>32</v>
      </c>
    </row>
    <row r="1936" spans="1:10" ht="21" customHeight="1">
      <c r="A1936" s="2" t="s">
        <v>2928</v>
      </c>
      <c r="B1936" s="2" t="s">
        <v>32</v>
      </c>
      <c r="C1936" s="4">
        <v>45767.25</v>
      </c>
      <c r="D1936" s="4">
        <v>45767.250500856477</v>
      </c>
      <c r="E1936" s="2">
        <v>0</v>
      </c>
      <c r="F1936" s="2">
        <v>73.7</v>
      </c>
      <c r="G1936" s="2" t="s">
        <v>1175</v>
      </c>
      <c r="H1936" s="2" t="s">
        <v>984</v>
      </c>
      <c r="I1936" s="2"/>
      <c r="J1936" s="2" t="s">
        <v>32</v>
      </c>
    </row>
    <row r="1937" spans="1:10" ht="21" customHeight="1">
      <c r="A1937" s="2" t="s">
        <v>2929</v>
      </c>
      <c r="B1937" s="2" t="s">
        <v>32</v>
      </c>
      <c r="C1937" s="4">
        <v>45768.25</v>
      </c>
      <c r="D1937" s="4">
        <v>45768.250675520831</v>
      </c>
      <c r="E1937" s="2">
        <v>3.3</v>
      </c>
      <c r="F1937" s="2">
        <v>78.7</v>
      </c>
      <c r="G1937" s="2" t="s">
        <v>983</v>
      </c>
      <c r="H1937" s="2" t="s">
        <v>984</v>
      </c>
      <c r="I1937" s="2"/>
      <c r="J1937" s="2" t="s">
        <v>32</v>
      </c>
    </row>
    <row r="1938" spans="1:10" ht="21" customHeight="1">
      <c r="A1938" s="2" t="s">
        <v>2930</v>
      </c>
      <c r="B1938" s="2" t="s">
        <v>32</v>
      </c>
      <c r="C1938" s="4">
        <v>45769.25</v>
      </c>
      <c r="D1938" s="4">
        <v>45769.250216041662</v>
      </c>
      <c r="E1938" s="2">
        <v>3.61</v>
      </c>
      <c r="F1938" s="2">
        <v>74.400000000000006</v>
      </c>
      <c r="G1938" s="2" t="s">
        <v>983</v>
      </c>
      <c r="H1938" s="2" t="s">
        <v>984</v>
      </c>
      <c r="I1938" s="2"/>
      <c r="J1938" s="2" t="s">
        <v>32</v>
      </c>
    </row>
    <row r="1939" spans="1:10" ht="21" customHeight="1">
      <c r="A1939" s="2" t="s">
        <v>2931</v>
      </c>
      <c r="B1939" s="2" t="s">
        <v>32</v>
      </c>
      <c r="C1939" s="4">
        <v>45770.25</v>
      </c>
      <c r="D1939" s="4">
        <v>45770.250135439812</v>
      </c>
      <c r="E1939" s="2">
        <v>3.13</v>
      </c>
      <c r="F1939" s="2">
        <v>79.099999999999994</v>
      </c>
      <c r="G1939" s="2" t="s">
        <v>983</v>
      </c>
      <c r="H1939" s="2" t="s">
        <v>984</v>
      </c>
      <c r="I1939" s="2"/>
      <c r="J1939" s="2" t="s">
        <v>32</v>
      </c>
    </row>
    <row r="1940" spans="1:10" ht="21" customHeight="1">
      <c r="A1940" s="2" t="s">
        <v>2932</v>
      </c>
      <c r="B1940" s="2" t="s">
        <v>32</v>
      </c>
      <c r="C1940" s="4">
        <v>45771.25</v>
      </c>
      <c r="D1940" s="4">
        <v>45771.25042394676</v>
      </c>
      <c r="E1940" s="2">
        <v>3.68</v>
      </c>
      <c r="F1940" s="2">
        <v>74.7</v>
      </c>
      <c r="G1940" s="2" t="s">
        <v>983</v>
      </c>
      <c r="H1940" s="2" t="s">
        <v>984</v>
      </c>
      <c r="I1940" s="2"/>
      <c r="J1940" s="2" t="s">
        <v>32</v>
      </c>
    </row>
    <row r="1941" spans="1:10" ht="21" customHeight="1">
      <c r="A1941" s="2" t="s">
        <v>2933</v>
      </c>
      <c r="B1941" s="2" t="s">
        <v>32</v>
      </c>
      <c r="C1941" s="4">
        <v>45772.25</v>
      </c>
      <c r="D1941" s="4">
        <v>45772.250111388887</v>
      </c>
      <c r="E1941" s="2">
        <v>3.86</v>
      </c>
      <c r="F1941" s="2">
        <v>79.099999999999994</v>
      </c>
      <c r="G1941" s="2" t="s">
        <v>983</v>
      </c>
      <c r="H1941" s="2" t="s">
        <v>984</v>
      </c>
      <c r="I1941" s="2"/>
      <c r="J1941" s="2" t="s">
        <v>32</v>
      </c>
    </row>
    <row r="1942" spans="1:10" ht="21" customHeight="1">
      <c r="A1942" s="2" t="s">
        <v>2934</v>
      </c>
      <c r="B1942" s="2" t="s">
        <v>32</v>
      </c>
      <c r="C1942" s="4">
        <v>45773.25</v>
      </c>
      <c r="D1942" s="4">
        <v>45773.250498020832</v>
      </c>
      <c r="E1942" s="2">
        <v>3.62</v>
      </c>
      <c r="F1942" s="2">
        <v>74.3</v>
      </c>
      <c r="G1942" s="2" t="s">
        <v>983</v>
      </c>
      <c r="H1942" s="2" t="s">
        <v>984</v>
      </c>
      <c r="I1942" s="2"/>
      <c r="J1942" s="2" t="s">
        <v>32</v>
      </c>
    </row>
    <row r="1943" spans="1:10" ht="21" customHeight="1">
      <c r="A1943" s="2" t="s">
        <v>2935</v>
      </c>
      <c r="B1943" s="2" t="s">
        <v>32</v>
      </c>
      <c r="C1943" s="4">
        <v>45774.25</v>
      </c>
      <c r="D1943" s="4">
        <v>45774.250151365741</v>
      </c>
      <c r="E1943" s="2">
        <v>3.2</v>
      </c>
      <c r="F1943" s="2">
        <v>79.099999999999994</v>
      </c>
      <c r="G1943" s="2" t="s">
        <v>983</v>
      </c>
      <c r="H1943" s="2" t="s">
        <v>984</v>
      </c>
      <c r="I1943" s="2"/>
      <c r="J1943" s="2" t="s">
        <v>32</v>
      </c>
    </row>
    <row r="1944" spans="1:10" ht="21" customHeight="1">
      <c r="A1944" s="2" t="s">
        <v>2936</v>
      </c>
      <c r="B1944" s="2" t="s">
        <v>32</v>
      </c>
      <c r="C1944" s="4">
        <v>45775.25</v>
      </c>
      <c r="D1944" s="4">
        <v>45775.25044329861</v>
      </c>
      <c r="E1944" s="2">
        <v>3.24</v>
      </c>
      <c r="F1944" s="2">
        <v>77.8</v>
      </c>
      <c r="G1944" s="2" t="s">
        <v>983</v>
      </c>
      <c r="H1944" s="2" t="s">
        <v>984</v>
      </c>
      <c r="I1944" s="2"/>
      <c r="J1944" s="2" t="s">
        <v>32</v>
      </c>
    </row>
    <row r="1945" spans="1:10" ht="21" customHeight="1">
      <c r="A1945" s="2" t="s">
        <v>2937</v>
      </c>
      <c r="B1945" s="2" t="s">
        <v>32</v>
      </c>
      <c r="C1945" s="4">
        <v>45776.25</v>
      </c>
      <c r="D1945" s="4">
        <v>45776.250212453699</v>
      </c>
      <c r="E1945" s="2">
        <v>2.96</v>
      </c>
      <c r="F1945" s="2">
        <v>78.599999999999994</v>
      </c>
      <c r="G1945" s="2" t="s">
        <v>983</v>
      </c>
      <c r="H1945" s="2" t="s">
        <v>984</v>
      </c>
      <c r="I1945" s="2"/>
      <c r="J1945" s="2" t="s">
        <v>32</v>
      </c>
    </row>
    <row r="1946" spans="1:10" ht="21" customHeight="1">
      <c r="A1946" s="2" t="s">
        <v>2938</v>
      </c>
      <c r="B1946" s="2" t="s">
        <v>32</v>
      </c>
      <c r="C1946" s="4">
        <v>45777.25</v>
      </c>
      <c r="D1946" s="4">
        <v>45777.250525266209</v>
      </c>
      <c r="E1946" s="2">
        <v>2.94</v>
      </c>
      <c r="F1946" s="2">
        <v>74.400000000000006</v>
      </c>
      <c r="G1946" s="2" t="s">
        <v>983</v>
      </c>
      <c r="H1946" s="2" t="s">
        <v>984</v>
      </c>
      <c r="I1946" s="2" t="s">
        <v>985</v>
      </c>
      <c r="J1946" s="2" t="s">
        <v>32</v>
      </c>
    </row>
    <row r="1947" spans="1:10" ht="21" customHeight="1">
      <c r="A1947" s="2" t="s">
        <v>2939</v>
      </c>
      <c r="B1947" s="2" t="s">
        <v>32</v>
      </c>
      <c r="C1947" s="4">
        <v>45778.25</v>
      </c>
      <c r="D1947" s="4">
        <v>45778.250099155091</v>
      </c>
      <c r="E1947" s="2">
        <v>3.6</v>
      </c>
      <c r="F1947" s="2">
        <v>74.8</v>
      </c>
      <c r="G1947" s="2" t="s">
        <v>983</v>
      </c>
      <c r="H1947" s="2" t="s">
        <v>984</v>
      </c>
      <c r="I1947" s="2"/>
      <c r="J1947" s="2" t="s">
        <v>32</v>
      </c>
    </row>
    <row r="1948" spans="1:10" ht="21" customHeight="1">
      <c r="A1948" s="2" t="s">
        <v>2940</v>
      </c>
      <c r="B1948" s="2" t="s">
        <v>32</v>
      </c>
      <c r="C1948" s="4">
        <v>45779.25</v>
      </c>
      <c r="D1948" s="4">
        <v>45779.250333935182</v>
      </c>
      <c r="E1948" s="2">
        <v>6.61</v>
      </c>
      <c r="F1948" s="2">
        <v>85.8</v>
      </c>
      <c r="G1948" s="2" t="s">
        <v>983</v>
      </c>
      <c r="H1948" s="2" t="s">
        <v>984</v>
      </c>
      <c r="I1948" s="2"/>
      <c r="J1948" s="2" t="s">
        <v>32</v>
      </c>
    </row>
    <row r="1949" spans="1:10" ht="21" customHeight="1">
      <c r="A1949" s="2" t="s">
        <v>2941</v>
      </c>
      <c r="B1949" s="2" t="s">
        <v>32</v>
      </c>
      <c r="C1949" s="4">
        <v>45780.25</v>
      </c>
      <c r="D1949" s="4">
        <v>45780.250632719908</v>
      </c>
      <c r="E1949" s="2">
        <v>5.09</v>
      </c>
      <c r="F1949" s="2">
        <v>82.5</v>
      </c>
      <c r="G1949" s="2" t="s">
        <v>983</v>
      </c>
      <c r="H1949" s="2" t="s">
        <v>984</v>
      </c>
      <c r="I1949" s="2" t="s">
        <v>1053</v>
      </c>
      <c r="J1949" s="2" t="s">
        <v>32</v>
      </c>
    </row>
    <row r="1950" spans="1:10" ht="21" customHeight="1">
      <c r="A1950" s="2" t="s">
        <v>2942</v>
      </c>
      <c r="B1950" s="2" t="s">
        <v>32</v>
      </c>
      <c r="C1950" s="4">
        <v>45781.25</v>
      </c>
      <c r="D1950" s="4">
        <v>45781.250297534723</v>
      </c>
      <c r="E1950" s="2">
        <v>6.95</v>
      </c>
      <c r="F1950" s="2">
        <v>88.2</v>
      </c>
      <c r="G1950" s="2" t="s">
        <v>983</v>
      </c>
      <c r="H1950" s="2" t="s">
        <v>984</v>
      </c>
      <c r="I1950" s="2"/>
      <c r="J1950" s="2" t="s">
        <v>32</v>
      </c>
    </row>
    <row r="1951" spans="1:10" ht="21" customHeight="1">
      <c r="A1951" s="2" t="s">
        <v>2943</v>
      </c>
      <c r="B1951" s="2" t="s">
        <v>32</v>
      </c>
      <c r="C1951" s="4">
        <v>45782.25</v>
      </c>
      <c r="D1951" s="4">
        <v>45782.250685393519</v>
      </c>
      <c r="E1951" s="2">
        <v>0</v>
      </c>
      <c r="F1951" s="2">
        <v>75.5</v>
      </c>
      <c r="G1951" s="2" t="s">
        <v>1175</v>
      </c>
      <c r="H1951" s="2" t="s">
        <v>984</v>
      </c>
      <c r="I1951" s="2"/>
      <c r="J1951" s="2" t="s">
        <v>32</v>
      </c>
    </row>
    <row r="1952" spans="1:10" ht="21" customHeight="1">
      <c r="A1952" s="2" t="s">
        <v>2944</v>
      </c>
      <c r="B1952" s="2" t="s">
        <v>32</v>
      </c>
      <c r="C1952" s="4">
        <v>45783.25</v>
      </c>
      <c r="D1952" s="4">
        <v>45783.250367916669</v>
      </c>
      <c r="E1952" s="2">
        <v>3.6</v>
      </c>
      <c r="F1952" s="2">
        <v>73.5</v>
      </c>
      <c r="G1952" s="2" t="s">
        <v>983</v>
      </c>
      <c r="H1952" s="2" t="s">
        <v>984</v>
      </c>
      <c r="I1952" s="2"/>
      <c r="J1952" s="2" t="s">
        <v>32</v>
      </c>
    </row>
    <row r="1953" spans="1:10" ht="21" customHeight="1">
      <c r="A1953" s="2" t="s">
        <v>2945</v>
      </c>
      <c r="B1953" s="2" t="s">
        <v>32</v>
      </c>
      <c r="C1953" s="4">
        <v>45784.25</v>
      </c>
      <c r="D1953" s="4">
        <v>45784.250337060184</v>
      </c>
      <c r="E1953" s="2"/>
      <c r="F1953" s="2"/>
      <c r="G1953" s="2" t="s">
        <v>983</v>
      </c>
      <c r="H1953" s="2" t="s">
        <v>1066</v>
      </c>
      <c r="I1953" s="2"/>
      <c r="J1953" s="2" t="s">
        <v>32</v>
      </c>
    </row>
    <row r="1954" spans="1:10" ht="21" customHeight="1">
      <c r="A1954" s="2" t="s">
        <v>2946</v>
      </c>
      <c r="B1954" s="2" t="s">
        <v>32</v>
      </c>
      <c r="C1954" s="4">
        <v>45785.25</v>
      </c>
      <c r="D1954" s="4">
        <v>45785.250419965276</v>
      </c>
      <c r="E1954" s="2"/>
      <c r="F1954" s="2"/>
      <c r="G1954" s="2" t="s">
        <v>983</v>
      </c>
      <c r="H1954" s="2" t="s">
        <v>1066</v>
      </c>
      <c r="I1954" s="2"/>
      <c r="J1954" s="2" t="s">
        <v>32</v>
      </c>
    </row>
    <row r="1955" spans="1:10" ht="21" customHeight="1">
      <c r="A1955" s="2" t="s">
        <v>2947</v>
      </c>
      <c r="B1955" s="2" t="s">
        <v>32</v>
      </c>
      <c r="C1955" s="4">
        <v>45786.25</v>
      </c>
      <c r="D1955" s="4">
        <v>45786.250597800929</v>
      </c>
      <c r="E1955" s="2">
        <v>3.25</v>
      </c>
      <c r="F1955" s="2">
        <v>72</v>
      </c>
      <c r="G1955" s="2" t="s">
        <v>983</v>
      </c>
      <c r="H1955" s="2" t="s">
        <v>984</v>
      </c>
      <c r="I1955" s="2"/>
      <c r="J1955" s="2" t="s">
        <v>32</v>
      </c>
    </row>
    <row r="1956" spans="1:10" ht="21" customHeight="1">
      <c r="A1956" s="2" t="s">
        <v>2948</v>
      </c>
      <c r="B1956" s="2" t="s">
        <v>32</v>
      </c>
      <c r="C1956" s="4">
        <v>45787.25</v>
      </c>
      <c r="D1956" s="4">
        <v>45787.250061134255</v>
      </c>
      <c r="E1956" s="2">
        <v>3.56</v>
      </c>
      <c r="F1956" s="2">
        <v>79.900000000000006</v>
      </c>
      <c r="G1956" s="2" t="s">
        <v>983</v>
      </c>
      <c r="H1956" s="2" t="s">
        <v>984</v>
      </c>
      <c r="I1956" s="2"/>
      <c r="J1956" s="2" t="s">
        <v>32</v>
      </c>
    </row>
    <row r="1957" spans="1:10" ht="21" customHeight="1">
      <c r="A1957" s="2" t="s">
        <v>2949</v>
      </c>
      <c r="B1957" s="2" t="s">
        <v>32</v>
      </c>
      <c r="C1957" s="4">
        <v>45788.25</v>
      </c>
      <c r="D1957" s="4">
        <v>45788.25006071759</v>
      </c>
      <c r="E1957" s="2">
        <v>3.91</v>
      </c>
      <c r="F1957" s="2">
        <v>76.5</v>
      </c>
      <c r="G1957" s="2" t="s">
        <v>983</v>
      </c>
      <c r="H1957" s="2" t="s">
        <v>984</v>
      </c>
      <c r="I1957" s="2"/>
      <c r="J1957" s="2" t="s">
        <v>32</v>
      </c>
    </row>
    <row r="1958" spans="1:10" ht="21" customHeight="1">
      <c r="A1958" s="2" t="s">
        <v>2950</v>
      </c>
      <c r="B1958" s="2" t="s">
        <v>32</v>
      </c>
      <c r="C1958" s="4">
        <v>45789.25</v>
      </c>
      <c r="D1958" s="4">
        <v>45789.25062457176</v>
      </c>
      <c r="E1958" s="2">
        <v>3.32</v>
      </c>
      <c r="F1958" s="2">
        <v>76.2</v>
      </c>
      <c r="G1958" s="2" t="s">
        <v>983</v>
      </c>
      <c r="H1958" s="2" t="s">
        <v>984</v>
      </c>
      <c r="I1958" s="2"/>
      <c r="J1958" s="2" t="s">
        <v>32</v>
      </c>
    </row>
    <row r="1959" spans="1:10" ht="21" customHeight="1">
      <c r="A1959" s="2" t="s">
        <v>2951</v>
      </c>
      <c r="B1959" s="2" t="s">
        <v>32</v>
      </c>
      <c r="C1959" s="4">
        <v>45790.25</v>
      </c>
      <c r="D1959" s="4">
        <v>45790.250432210647</v>
      </c>
      <c r="E1959" s="2">
        <v>3.55</v>
      </c>
      <c r="F1959" s="2">
        <v>73.900000000000006</v>
      </c>
      <c r="G1959" s="2" t="s">
        <v>983</v>
      </c>
      <c r="H1959" s="2" t="s">
        <v>984</v>
      </c>
      <c r="I1959" s="2"/>
      <c r="J1959" s="2" t="s">
        <v>32</v>
      </c>
    </row>
    <row r="1960" spans="1:10" ht="21" customHeight="1">
      <c r="A1960" s="2" t="s">
        <v>2952</v>
      </c>
      <c r="B1960" s="2" t="s">
        <v>32</v>
      </c>
      <c r="C1960" s="4">
        <v>45791.25</v>
      </c>
      <c r="D1960" s="4">
        <v>45791.250436909722</v>
      </c>
      <c r="E1960" s="2">
        <v>3.89</v>
      </c>
      <c r="F1960" s="2">
        <v>79</v>
      </c>
      <c r="G1960" s="2" t="s">
        <v>983</v>
      </c>
      <c r="H1960" s="2" t="s">
        <v>984</v>
      </c>
      <c r="I1960" s="2"/>
      <c r="J1960" s="2" t="s">
        <v>32</v>
      </c>
    </row>
    <row r="1961" spans="1:10" ht="21" customHeight="1">
      <c r="A1961" s="2" t="s">
        <v>2953</v>
      </c>
      <c r="B1961" s="2" t="s">
        <v>32</v>
      </c>
      <c r="C1961" s="4">
        <v>45792.25</v>
      </c>
      <c r="D1961" s="4">
        <v>45792.250686886575</v>
      </c>
      <c r="E1961" s="2">
        <v>3.18</v>
      </c>
      <c r="F1961" s="2">
        <v>73.400000000000006</v>
      </c>
      <c r="G1961" s="2" t="s">
        <v>983</v>
      </c>
      <c r="H1961" s="2" t="s">
        <v>984</v>
      </c>
      <c r="I1961" s="2"/>
      <c r="J1961" s="2" t="s">
        <v>32</v>
      </c>
    </row>
    <row r="1962" spans="1:10" ht="21" customHeight="1">
      <c r="A1962" s="2" t="s">
        <v>2954</v>
      </c>
      <c r="B1962" s="2" t="s">
        <v>32</v>
      </c>
      <c r="C1962" s="4">
        <v>45793.25</v>
      </c>
      <c r="D1962" s="4">
        <v>45793.250448263891</v>
      </c>
      <c r="E1962" s="2">
        <v>2.94</v>
      </c>
      <c r="F1962" s="2">
        <v>76.7</v>
      </c>
      <c r="G1962" s="2" t="s">
        <v>983</v>
      </c>
      <c r="H1962" s="2" t="s">
        <v>984</v>
      </c>
      <c r="I1962" s="2"/>
      <c r="J1962" s="2" t="s">
        <v>32</v>
      </c>
    </row>
    <row r="1963" spans="1:10" ht="21" customHeight="1">
      <c r="A1963" s="2" t="s">
        <v>2955</v>
      </c>
      <c r="B1963" s="2" t="s">
        <v>32</v>
      </c>
      <c r="C1963" s="4">
        <v>45794.25</v>
      </c>
      <c r="D1963" s="4">
        <v>45794.250524733798</v>
      </c>
      <c r="E1963" s="2">
        <v>6.36</v>
      </c>
      <c r="F1963" s="2">
        <v>79.900000000000006</v>
      </c>
      <c r="G1963" s="2" t="s">
        <v>983</v>
      </c>
      <c r="H1963" s="2" t="s">
        <v>984</v>
      </c>
      <c r="I1963" s="2" t="s">
        <v>1053</v>
      </c>
      <c r="J1963" s="2" t="s">
        <v>32</v>
      </c>
    </row>
    <row r="1964" spans="1:10" ht="21" customHeight="1">
      <c r="A1964" s="2" t="s">
        <v>2956</v>
      </c>
      <c r="B1964" s="2" t="s">
        <v>32</v>
      </c>
      <c r="C1964" s="4">
        <v>45795.25</v>
      </c>
      <c r="D1964" s="4">
        <v>45795.250561840279</v>
      </c>
      <c r="E1964" s="2">
        <v>6.56</v>
      </c>
      <c r="F1964" s="2">
        <v>83.6</v>
      </c>
      <c r="G1964" s="2" t="s">
        <v>983</v>
      </c>
      <c r="H1964" s="2" t="s">
        <v>984</v>
      </c>
      <c r="I1964" s="2"/>
      <c r="J1964" s="2" t="s">
        <v>32</v>
      </c>
    </row>
    <row r="1965" spans="1:10" ht="21" customHeight="1">
      <c r="A1965" s="2" t="s">
        <v>2957</v>
      </c>
      <c r="B1965" s="2" t="s">
        <v>32</v>
      </c>
      <c r="C1965" s="4">
        <v>45796.25</v>
      </c>
      <c r="D1965" s="4">
        <v>45796.250413726855</v>
      </c>
      <c r="E1965" s="2">
        <v>5.73</v>
      </c>
      <c r="F1965" s="2">
        <v>85.5</v>
      </c>
      <c r="G1965" s="2" t="s">
        <v>983</v>
      </c>
      <c r="H1965" s="2" t="s">
        <v>984</v>
      </c>
      <c r="I1965" s="2" t="s">
        <v>1053</v>
      </c>
      <c r="J1965" s="2" t="s">
        <v>32</v>
      </c>
    </row>
    <row r="1966" spans="1:10" ht="21" customHeight="1">
      <c r="A1966" s="2" t="s">
        <v>2958</v>
      </c>
      <c r="B1966" s="2" t="s">
        <v>32</v>
      </c>
      <c r="C1966" s="4">
        <v>45797.25</v>
      </c>
      <c r="D1966" s="4">
        <v>45797.250687708336</v>
      </c>
      <c r="E1966" s="2"/>
      <c r="F1966" s="2"/>
      <c r="G1966" s="2" t="s">
        <v>1175</v>
      </c>
      <c r="H1966" s="2" t="s">
        <v>1066</v>
      </c>
      <c r="I1966" s="2"/>
      <c r="J1966" s="2" t="s">
        <v>32</v>
      </c>
    </row>
    <row r="1967" spans="1:10" ht="21" customHeight="1">
      <c r="A1967" s="2" t="s">
        <v>2959</v>
      </c>
      <c r="B1967" s="2" t="s">
        <v>32</v>
      </c>
      <c r="C1967" s="4">
        <v>45798.25</v>
      </c>
      <c r="D1967" s="4">
        <v>45798.250072951385</v>
      </c>
      <c r="E1967" s="2">
        <v>3.59</v>
      </c>
      <c r="F1967" s="2">
        <v>73.7</v>
      </c>
      <c r="G1967" s="2" t="s">
        <v>983</v>
      </c>
      <c r="H1967" s="2" t="s">
        <v>984</v>
      </c>
      <c r="I1967" s="2"/>
      <c r="J1967" s="2" t="s">
        <v>32</v>
      </c>
    </row>
    <row r="1968" spans="1:10" ht="21" customHeight="1">
      <c r="A1968" s="2" t="s">
        <v>2960</v>
      </c>
      <c r="B1968" s="2" t="s">
        <v>32</v>
      </c>
      <c r="C1968" s="4">
        <v>45799.25</v>
      </c>
      <c r="D1968" s="4">
        <v>45799.250316793987</v>
      </c>
      <c r="E1968" s="2">
        <v>3.36</v>
      </c>
      <c r="F1968" s="2">
        <v>72.099999999999994</v>
      </c>
      <c r="G1968" s="2" t="s">
        <v>983</v>
      </c>
      <c r="H1968" s="2" t="s">
        <v>984</v>
      </c>
      <c r="I1968" s="2"/>
      <c r="J1968" s="2" t="s">
        <v>32</v>
      </c>
    </row>
    <row r="1969" spans="1:10" ht="21" customHeight="1">
      <c r="A1969" s="2" t="s">
        <v>2961</v>
      </c>
      <c r="B1969" s="2" t="s">
        <v>32</v>
      </c>
      <c r="C1969" s="4">
        <v>45800.25</v>
      </c>
      <c r="D1969" s="4">
        <v>45800.250680763886</v>
      </c>
      <c r="E1969" s="2">
        <v>3</v>
      </c>
      <c r="F1969" s="2">
        <v>79.2</v>
      </c>
      <c r="G1969" s="2" t="s">
        <v>983</v>
      </c>
      <c r="H1969" s="2" t="s">
        <v>984</v>
      </c>
      <c r="I1969" s="2"/>
      <c r="J1969" s="2" t="s">
        <v>32</v>
      </c>
    </row>
    <row r="1970" spans="1:10" ht="21" customHeight="1">
      <c r="A1970" s="2" t="s">
        <v>2962</v>
      </c>
      <c r="B1970" s="2" t="s">
        <v>2839</v>
      </c>
      <c r="C1970" s="4">
        <v>45801.25</v>
      </c>
      <c r="D1970" s="4">
        <v>45801.250133611116</v>
      </c>
      <c r="E1970" s="2">
        <v>3.48</v>
      </c>
      <c r="F1970" s="2">
        <v>78.400000000000006</v>
      </c>
      <c r="G1970" s="2" t="s">
        <v>983</v>
      </c>
      <c r="H1970" s="2" t="s">
        <v>984</v>
      </c>
      <c r="I1970" s="2"/>
      <c r="J1970" s="2" t="s">
        <v>32</v>
      </c>
    </row>
    <row r="1971" spans="1:10" ht="21" customHeight="1">
      <c r="A1971" s="2" t="s">
        <v>2963</v>
      </c>
      <c r="B1971" s="2" t="s">
        <v>32</v>
      </c>
      <c r="C1971" s="4">
        <v>45802.25</v>
      </c>
      <c r="D1971" s="4">
        <v>45802.250116192125</v>
      </c>
      <c r="E1971" s="2">
        <v>2.87</v>
      </c>
      <c r="F1971" s="2">
        <v>78.400000000000006</v>
      </c>
      <c r="G1971" s="2" t="s">
        <v>983</v>
      </c>
      <c r="H1971" s="2" t="s">
        <v>984</v>
      </c>
      <c r="I1971" s="2"/>
      <c r="J1971" s="2" t="s">
        <v>32</v>
      </c>
    </row>
    <row r="1972" spans="1:10" ht="21" customHeight="1">
      <c r="A1972" s="2" t="s">
        <v>2964</v>
      </c>
      <c r="B1972" s="2" t="s">
        <v>32</v>
      </c>
      <c r="C1972" s="4">
        <v>45803.25</v>
      </c>
      <c r="D1972" s="4">
        <v>45803.250117662035</v>
      </c>
      <c r="E1972" s="2">
        <v>3.46</v>
      </c>
      <c r="F1972" s="2">
        <v>77.2</v>
      </c>
      <c r="G1972" s="2" t="s">
        <v>983</v>
      </c>
      <c r="H1972" s="2" t="s">
        <v>984</v>
      </c>
      <c r="I1972" s="2"/>
      <c r="J1972" s="2" t="s">
        <v>32</v>
      </c>
    </row>
    <row r="1973" spans="1:10" ht="21" customHeight="1">
      <c r="A1973" s="2" t="s">
        <v>2965</v>
      </c>
      <c r="B1973" s="2" t="s">
        <v>32</v>
      </c>
      <c r="C1973" s="4">
        <v>45804.25</v>
      </c>
      <c r="D1973" s="4">
        <v>45804.250225717595</v>
      </c>
      <c r="E1973" s="2">
        <v>3.47</v>
      </c>
      <c r="F1973" s="2">
        <v>73.8</v>
      </c>
      <c r="G1973" s="2" t="s">
        <v>983</v>
      </c>
      <c r="H1973" s="2" t="s">
        <v>984</v>
      </c>
      <c r="I1973" s="2"/>
      <c r="J1973" s="2" t="s">
        <v>32</v>
      </c>
    </row>
    <row r="1974" spans="1:10" ht="21" customHeight="1">
      <c r="A1974" s="2" t="s">
        <v>2966</v>
      </c>
      <c r="B1974" s="2" t="s">
        <v>32</v>
      </c>
      <c r="C1974" s="4">
        <v>45805.25</v>
      </c>
      <c r="D1974" s="4">
        <v>45805.25048383102</v>
      </c>
      <c r="E1974" s="2"/>
      <c r="F1974" s="2"/>
      <c r="G1974" s="2" t="s">
        <v>983</v>
      </c>
      <c r="H1974" s="2" t="s">
        <v>1066</v>
      </c>
      <c r="I1974" s="2"/>
      <c r="J1974" s="2" t="s">
        <v>32</v>
      </c>
    </row>
    <row r="1975" spans="1:10" ht="21" customHeight="1">
      <c r="A1975" s="2" t="s">
        <v>2967</v>
      </c>
      <c r="B1975" s="2" t="s">
        <v>32</v>
      </c>
      <c r="C1975" s="4">
        <v>45806.25</v>
      </c>
      <c r="D1975" s="4">
        <v>45806.25053193287</v>
      </c>
      <c r="E1975" s="2">
        <v>3.36</v>
      </c>
      <c r="F1975" s="2">
        <v>78.400000000000006</v>
      </c>
      <c r="G1975" s="2" t="s">
        <v>983</v>
      </c>
      <c r="H1975" s="2" t="s">
        <v>984</v>
      </c>
      <c r="I1975" s="2"/>
      <c r="J1975" s="2" t="s">
        <v>32</v>
      </c>
    </row>
    <row r="1976" spans="1:10" ht="21" customHeight="1">
      <c r="A1976" s="2" t="s">
        <v>2968</v>
      </c>
      <c r="B1976" s="2" t="s">
        <v>32</v>
      </c>
      <c r="C1976" s="4">
        <v>45807.25</v>
      </c>
      <c r="D1976" s="4">
        <v>45807.250307939816</v>
      </c>
      <c r="E1976" s="2">
        <v>2.87</v>
      </c>
      <c r="F1976" s="2">
        <v>75.900000000000006</v>
      </c>
      <c r="G1976" s="2" t="s">
        <v>983</v>
      </c>
      <c r="H1976" s="2" t="s">
        <v>984</v>
      </c>
      <c r="I1976" s="2"/>
      <c r="J1976" s="2" t="s">
        <v>32</v>
      </c>
    </row>
    <row r="1977" spans="1:10" ht="21" customHeight="1">
      <c r="A1977" s="2" t="s">
        <v>2969</v>
      </c>
      <c r="B1977" s="2" t="s">
        <v>32</v>
      </c>
      <c r="C1977" s="4">
        <v>45808.25</v>
      </c>
      <c r="D1977" s="4">
        <v>45808.250050555551</v>
      </c>
      <c r="E1977" s="2">
        <v>3.04</v>
      </c>
      <c r="F1977" s="2">
        <v>76.8</v>
      </c>
      <c r="G1977" s="2" t="s">
        <v>983</v>
      </c>
      <c r="H1977" s="2" t="s">
        <v>984</v>
      </c>
      <c r="I1977" s="2"/>
      <c r="J1977" s="2" t="s">
        <v>32</v>
      </c>
    </row>
    <row r="1978" spans="1:10" ht="21" customHeight="1">
      <c r="A1978" s="2" t="s">
        <v>2970</v>
      </c>
      <c r="B1978" s="2" t="s">
        <v>32</v>
      </c>
      <c r="C1978" s="4">
        <v>45809.25</v>
      </c>
      <c r="D1978" s="4">
        <v>45809.250433182868</v>
      </c>
      <c r="E1978" s="2">
        <v>3.15</v>
      </c>
      <c r="F1978" s="2">
        <v>77.599999999999994</v>
      </c>
      <c r="G1978" s="2" t="s">
        <v>983</v>
      </c>
      <c r="H1978" s="2" t="s">
        <v>984</v>
      </c>
      <c r="I1978" s="2"/>
      <c r="J1978" s="2" t="s">
        <v>32</v>
      </c>
    </row>
    <row r="1979" spans="1:10" ht="21" customHeight="1">
      <c r="A1979" s="2" t="s">
        <v>2971</v>
      </c>
      <c r="B1979" s="2" t="s">
        <v>32</v>
      </c>
      <c r="C1979" s="4">
        <v>45810.25</v>
      </c>
      <c r="D1979" s="4">
        <v>45810.25011011574</v>
      </c>
      <c r="E1979" s="2">
        <v>2.89</v>
      </c>
      <c r="F1979" s="2">
        <v>77.099999999999994</v>
      </c>
      <c r="G1979" s="2" t="s">
        <v>983</v>
      </c>
      <c r="H1979" s="2" t="s">
        <v>984</v>
      </c>
      <c r="I1979" s="2"/>
      <c r="J1979" s="2" t="s">
        <v>32</v>
      </c>
    </row>
    <row r="1980" spans="1:10" ht="21" customHeight="1">
      <c r="A1980" s="2" t="s">
        <v>2972</v>
      </c>
      <c r="B1980" s="2" t="s">
        <v>32</v>
      </c>
      <c r="C1980" s="4">
        <v>45811.25</v>
      </c>
      <c r="D1980" s="4">
        <v>45811.2506894213</v>
      </c>
      <c r="E1980" s="2">
        <v>3.14</v>
      </c>
      <c r="F1980" s="2">
        <v>75.900000000000006</v>
      </c>
      <c r="G1980" s="2" t="s">
        <v>983</v>
      </c>
      <c r="H1980" s="2" t="s">
        <v>984</v>
      </c>
      <c r="I1980" s="2" t="s">
        <v>985</v>
      </c>
      <c r="J1980" s="2" t="s">
        <v>32</v>
      </c>
    </row>
    <row r="1981" spans="1:10" ht="21" customHeight="1">
      <c r="A1981" s="2" t="s">
        <v>2973</v>
      </c>
      <c r="B1981" s="2" t="s">
        <v>32</v>
      </c>
      <c r="C1981" s="4">
        <v>45812.25</v>
      </c>
      <c r="D1981" s="4">
        <v>45812.250076493059</v>
      </c>
      <c r="E1981" s="2">
        <v>3.55</v>
      </c>
      <c r="F1981" s="2">
        <v>79.7</v>
      </c>
      <c r="G1981" s="2" t="s">
        <v>983</v>
      </c>
      <c r="H1981" s="2" t="s">
        <v>984</v>
      </c>
      <c r="I1981" s="2"/>
      <c r="J1981" s="2" t="s">
        <v>32</v>
      </c>
    </row>
    <row r="1982" spans="1:10" ht="21" customHeight="1">
      <c r="A1982" s="2" t="s">
        <v>2974</v>
      </c>
      <c r="B1982" s="2" t="s">
        <v>32</v>
      </c>
      <c r="C1982" s="4">
        <v>45813.25</v>
      </c>
      <c r="D1982" s="4">
        <v>45813.250138715273</v>
      </c>
      <c r="E1982" s="2">
        <v>6.46</v>
      </c>
      <c r="F1982" s="2">
        <v>81.5</v>
      </c>
      <c r="G1982" s="2" t="s">
        <v>983</v>
      </c>
      <c r="H1982" s="2" t="s">
        <v>984</v>
      </c>
      <c r="I1982" s="2"/>
      <c r="J1982" s="2" t="s">
        <v>32</v>
      </c>
    </row>
    <row r="1983" spans="1:10" ht="21" customHeight="1">
      <c r="A1983" s="2" t="s">
        <v>2975</v>
      </c>
      <c r="B1983" s="2" t="s">
        <v>32</v>
      </c>
      <c r="C1983" s="4">
        <v>45814.25</v>
      </c>
      <c r="D1983" s="4">
        <v>45814.250331782408</v>
      </c>
      <c r="E1983" s="2">
        <v>5.71</v>
      </c>
      <c r="F1983" s="2">
        <v>77.400000000000006</v>
      </c>
      <c r="G1983" s="2" t="s">
        <v>983</v>
      </c>
      <c r="H1983" s="2" t="s">
        <v>984</v>
      </c>
      <c r="I1983" s="2" t="s">
        <v>1053</v>
      </c>
      <c r="J1983" s="2" t="s">
        <v>32</v>
      </c>
    </row>
    <row r="1984" spans="1:10" ht="21" customHeight="1">
      <c r="A1984" s="2" t="s">
        <v>2976</v>
      </c>
      <c r="B1984" s="2" t="s">
        <v>32</v>
      </c>
      <c r="C1984" s="4">
        <v>45815.25</v>
      </c>
      <c r="D1984" s="4">
        <v>45815.250065694447</v>
      </c>
      <c r="E1984" s="2">
        <v>7.41</v>
      </c>
      <c r="F1984" s="2">
        <v>83.7</v>
      </c>
      <c r="G1984" s="2" t="s">
        <v>983</v>
      </c>
      <c r="H1984" s="2" t="s">
        <v>984</v>
      </c>
      <c r="I1984" s="2"/>
      <c r="J1984" s="2" t="s">
        <v>32</v>
      </c>
    </row>
    <row r="1985" spans="1:10" ht="21" customHeight="1">
      <c r="A1985" s="2" t="s">
        <v>2977</v>
      </c>
      <c r="B1985" s="2" t="s">
        <v>32</v>
      </c>
      <c r="C1985" s="4">
        <v>45816.25</v>
      </c>
      <c r="D1985" s="4">
        <v>45816.250610034724</v>
      </c>
      <c r="E1985" s="2">
        <v>0</v>
      </c>
      <c r="F1985" s="2">
        <v>76.3</v>
      </c>
      <c r="G1985" s="2" t="s">
        <v>1175</v>
      </c>
      <c r="H1985" s="2" t="s">
        <v>984</v>
      </c>
      <c r="I1985" s="2"/>
      <c r="J1985" s="2" t="s">
        <v>32</v>
      </c>
    </row>
    <row r="1986" spans="1:10" ht="21" customHeight="1">
      <c r="A1986" s="2" t="s">
        <v>2978</v>
      </c>
      <c r="B1986" s="2" t="s">
        <v>32</v>
      </c>
      <c r="C1986" s="4">
        <v>45817.25</v>
      </c>
      <c r="D1986" s="4">
        <v>45817.250158958333</v>
      </c>
      <c r="E1986" s="2">
        <v>2.95</v>
      </c>
      <c r="F1986" s="2">
        <v>78.7</v>
      </c>
      <c r="G1986" s="2" t="s">
        <v>983</v>
      </c>
      <c r="H1986" s="2" t="s">
        <v>984</v>
      </c>
      <c r="I1986" s="2"/>
      <c r="J1986" s="2" t="s">
        <v>32</v>
      </c>
    </row>
    <row r="1987" spans="1:10" ht="21" customHeight="1">
      <c r="A1987" s="2" t="s">
        <v>2979</v>
      </c>
      <c r="B1987" s="2" t="s">
        <v>32</v>
      </c>
      <c r="C1987" s="4">
        <v>45818.25</v>
      </c>
      <c r="D1987" s="4">
        <v>45818.250489224534</v>
      </c>
      <c r="E1987" s="2">
        <v>3.62</v>
      </c>
      <c r="F1987" s="2">
        <v>74.8</v>
      </c>
      <c r="G1987" s="2" t="s">
        <v>983</v>
      </c>
      <c r="H1987" s="2" t="s">
        <v>984</v>
      </c>
      <c r="I1987" s="2"/>
      <c r="J1987" s="2" t="s">
        <v>32</v>
      </c>
    </row>
    <row r="1988" spans="1:10" ht="21" customHeight="1">
      <c r="A1988" s="2" t="s">
        <v>2980</v>
      </c>
      <c r="B1988" s="2" t="s">
        <v>32</v>
      </c>
      <c r="C1988" s="4">
        <v>45819.25</v>
      </c>
      <c r="D1988" s="4">
        <v>45819.250290578704</v>
      </c>
      <c r="E1988" s="2">
        <v>2.94</v>
      </c>
      <c r="F1988" s="2">
        <v>78.400000000000006</v>
      </c>
      <c r="G1988" s="2" t="s">
        <v>983</v>
      </c>
      <c r="H1988" s="2" t="s">
        <v>984</v>
      </c>
      <c r="I1988" s="2"/>
      <c r="J1988" s="2" t="s">
        <v>32</v>
      </c>
    </row>
    <row r="1989" spans="1:10" ht="21" customHeight="1">
      <c r="A1989" s="2" t="s">
        <v>2981</v>
      </c>
      <c r="B1989" s="2" t="s">
        <v>32</v>
      </c>
      <c r="C1989" s="4">
        <v>45820.25</v>
      </c>
      <c r="D1989" s="4">
        <v>45820.250451296291</v>
      </c>
      <c r="E1989" s="2">
        <v>3.51</v>
      </c>
      <c r="F1989" s="2">
        <v>79.099999999999994</v>
      </c>
      <c r="G1989" s="2" t="s">
        <v>983</v>
      </c>
      <c r="H1989" s="2" t="s">
        <v>984</v>
      </c>
      <c r="I1989" s="2"/>
      <c r="J1989" s="2" t="s">
        <v>32</v>
      </c>
    </row>
    <row r="1990" spans="1:10" ht="21" customHeight="1">
      <c r="A1990" s="2" t="s">
        <v>2982</v>
      </c>
      <c r="B1990" s="2" t="s">
        <v>32</v>
      </c>
      <c r="C1990" s="4">
        <v>45821.25</v>
      </c>
      <c r="D1990" s="4">
        <v>45821.250296446757</v>
      </c>
      <c r="E1990" s="2">
        <v>3.07</v>
      </c>
      <c r="F1990" s="2">
        <v>79.7</v>
      </c>
      <c r="G1990" s="2" t="s">
        <v>983</v>
      </c>
      <c r="H1990" s="2" t="s">
        <v>984</v>
      </c>
      <c r="I1990" s="2"/>
      <c r="J1990" s="2" t="s">
        <v>32</v>
      </c>
    </row>
    <row r="1991" spans="1:10" ht="21" customHeight="1">
      <c r="A1991" s="2" t="s">
        <v>2983</v>
      </c>
      <c r="B1991" s="2" t="s">
        <v>32</v>
      </c>
      <c r="C1991" s="4">
        <v>45822.25</v>
      </c>
      <c r="D1991" s="4">
        <v>45822.250134618051</v>
      </c>
      <c r="E1991" s="2">
        <v>2.87</v>
      </c>
      <c r="F1991" s="2">
        <v>79.5</v>
      </c>
      <c r="G1991" s="2" t="s">
        <v>983</v>
      </c>
      <c r="H1991" s="2" t="s">
        <v>984</v>
      </c>
      <c r="I1991" s="2"/>
      <c r="J1991" s="2" t="s">
        <v>32</v>
      </c>
    </row>
    <row r="1992" spans="1:10" ht="21" customHeight="1">
      <c r="A1992" s="2" t="s">
        <v>2984</v>
      </c>
      <c r="B1992" s="2" t="s">
        <v>32</v>
      </c>
      <c r="C1992" s="4">
        <v>45823.25</v>
      </c>
      <c r="D1992" s="4">
        <v>45823.250650613423</v>
      </c>
      <c r="E1992" s="2">
        <v>3.52</v>
      </c>
      <c r="F1992" s="2">
        <v>76.900000000000006</v>
      </c>
      <c r="G1992" s="2" t="s">
        <v>983</v>
      </c>
      <c r="H1992" s="2" t="s">
        <v>984</v>
      </c>
      <c r="I1992" s="2"/>
      <c r="J1992" s="2" t="s">
        <v>32</v>
      </c>
    </row>
    <row r="1993" spans="1:10" ht="21" customHeight="1">
      <c r="A1993" s="2" t="s">
        <v>2985</v>
      </c>
      <c r="B1993" s="2" t="s">
        <v>32</v>
      </c>
      <c r="C1993" s="4">
        <v>45824.25</v>
      </c>
      <c r="D1993" s="4">
        <v>45824.250243877315</v>
      </c>
      <c r="E1993" s="2">
        <v>3.01</v>
      </c>
      <c r="F1993" s="2">
        <v>79.7</v>
      </c>
      <c r="G1993" s="2" t="s">
        <v>983</v>
      </c>
      <c r="H1993" s="2" t="s">
        <v>984</v>
      </c>
      <c r="I1993" s="2"/>
      <c r="J1993" s="2" t="s">
        <v>32</v>
      </c>
    </row>
    <row r="1994" spans="1:10" ht="21" customHeight="1">
      <c r="A1994" s="2" t="s">
        <v>2986</v>
      </c>
      <c r="B1994" s="2" t="s">
        <v>32</v>
      </c>
      <c r="C1994" s="4">
        <v>45825.25</v>
      </c>
      <c r="D1994" s="4">
        <v>45825.250137222218</v>
      </c>
      <c r="E1994" s="2">
        <v>3.51</v>
      </c>
      <c r="F1994" s="2">
        <v>76.8</v>
      </c>
      <c r="G1994" s="2" t="s">
        <v>983</v>
      </c>
      <c r="H1994" s="2" t="s">
        <v>984</v>
      </c>
      <c r="I1994" s="2"/>
      <c r="J1994" s="2" t="s">
        <v>32</v>
      </c>
    </row>
    <row r="1995" spans="1:10" ht="21" customHeight="1">
      <c r="A1995" s="2" t="s">
        <v>2987</v>
      </c>
      <c r="B1995" s="2" t="s">
        <v>32</v>
      </c>
      <c r="C1995" s="4">
        <v>45826.25</v>
      </c>
      <c r="D1995" s="4">
        <v>45826.250050393515</v>
      </c>
      <c r="E1995" s="2">
        <v>2.95</v>
      </c>
      <c r="F1995" s="2">
        <v>79.5</v>
      </c>
      <c r="G1995" s="2" t="s">
        <v>983</v>
      </c>
      <c r="H1995" s="2" t="s">
        <v>984</v>
      </c>
      <c r="I1995" s="2"/>
      <c r="J1995" s="2" t="s">
        <v>32</v>
      </c>
    </row>
    <row r="1996" spans="1:10" ht="21" customHeight="1">
      <c r="A1996" s="2" t="s">
        <v>2988</v>
      </c>
      <c r="B1996" s="2" t="s">
        <v>32</v>
      </c>
      <c r="C1996" s="4">
        <v>45827.25</v>
      </c>
      <c r="D1996" s="4">
        <v>45827.250247453703</v>
      </c>
      <c r="E1996" s="2">
        <v>5.39</v>
      </c>
      <c r="F1996" s="2">
        <v>83.6</v>
      </c>
      <c r="G1996" s="2" t="s">
        <v>983</v>
      </c>
      <c r="H1996" s="2" t="s">
        <v>984</v>
      </c>
      <c r="I1996" s="2"/>
      <c r="J1996" s="2" t="s">
        <v>32</v>
      </c>
    </row>
    <row r="1997" spans="1:10" ht="21" customHeight="1">
      <c r="A1997" s="2" t="s">
        <v>2989</v>
      </c>
      <c r="B1997" s="2" t="s">
        <v>32</v>
      </c>
      <c r="C1997" s="4">
        <v>45828.25</v>
      </c>
      <c r="D1997" s="4">
        <v>45828.250305324073</v>
      </c>
      <c r="E1997" s="2">
        <v>6.06</v>
      </c>
      <c r="F1997" s="2">
        <v>85.2</v>
      </c>
      <c r="G1997" s="2" t="s">
        <v>983</v>
      </c>
      <c r="H1997" s="2" t="s">
        <v>984</v>
      </c>
      <c r="I1997" s="2" t="s">
        <v>1053</v>
      </c>
      <c r="J1997" s="2" t="s">
        <v>32</v>
      </c>
    </row>
    <row r="1998" spans="1:10" ht="21" customHeight="1">
      <c r="A1998" s="2" t="s">
        <v>2990</v>
      </c>
      <c r="B1998" s="2" t="s">
        <v>32</v>
      </c>
      <c r="C1998" s="4">
        <v>45829.25</v>
      </c>
      <c r="D1998" s="4">
        <v>45829.250646956018</v>
      </c>
      <c r="E1998" s="2">
        <v>5.54</v>
      </c>
      <c r="F1998" s="2">
        <v>84.8</v>
      </c>
      <c r="G1998" s="2" t="s">
        <v>983</v>
      </c>
      <c r="H1998" s="2" t="s">
        <v>984</v>
      </c>
      <c r="I1998" s="2"/>
      <c r="J1998" s="2" t="s">
        <v>32</v>
      </c>
    </row>
    <row r="1999" spans="1:10" ht="21" customHeight="1">
      <c r="A1999" s="2" t="s">
        <v>2991</v>
      </c>
      <c r="B1999" s="2" t="s">
        <v>32</v>
      </c>
      <c r="C1999" s="4">
        <v>45830.25</v>
      </c>
      <c r="D1999" s="4">
        <v>45830.25004324074</v>
      </c>
      <c r="E1999" s="2">
        <v>3.8</v>
      </c>
      <c r="F1999" s="2">
        <v>77.8</v>
      </c>
      <c r="G1999" s="2" t="s">
        <v>983</v>
      </c>
      <c r="H1999" s="2" t="s">
        <v>984</v>
      </c>
      <c r="I1999" s="2"/>
      <c r="J1999" s="2" t="s">
        <v>32</v>
      </c>
    </row>
    <row r="2000" spans="1:10" ht="21" customHeight="1">
      <c r="A2000" s="2" t="s">
        <v>2992</v>
      </c>
      <c r="B2000" s="2" t="s">
        <v>32</v>
      </c>
      <c r="C2000" s="4">
        <v>45831.25</v>
      </c>
      <c r="D2000" s="4">
        <v>45831.250507974539</v>
      </c>
      <c r="E2000" s="2">
        <v>3.49</v>
      </c>
      <c r="F2000" s="2">
        <v>75.599999999999994</v>
      </c>
      <c r="G2000" s="2" t="s">
        <v>983</v>
      </c>
      <c r="H2000" s="2" t="s">
        <v>984</v>
      </c>
      <c r="I2000" s="2"/>
      <c r="J2000" s="2" t="s">
        <v>32</v>
      </c>
    </row>
    <row r="2001" spans="1:10" ht="21" customHeight="1">
      <c r="A2001" s="2" t="s">
        <v>2993</v>
      </c>
      <c r="B2001" s="2" t="s">
        <v>32</v>
      </c>
      <c r="C2001" s="4">
        <v>45832.25</v>
      </c>
      <c r="D2001" s="4">
        <v>45832.25051982639</v>
      </c>
      <c r="E2001" s="2">
        <v>3.11</v>
      </c>
      <c r="F2001" s="2">
        <v>74.3</v>
      </c>
      <c r="G2001" s="2" t="s">
        <v>983</v>
      </c>
      <c r="H2001" s="2" t="s">
        <v>984</v>
      </c>
      <c r="I2001" s="2"/>
      <c r="J2001" s="2" t="s">
        <v>32</v>
      </c>
    </row>
    <row r="2002" spans="1:10" ht="21" customHeight="1">
      <c r="A2002" s="2" t="s">
        <v>2994</v>
      </c>
      <c r="B2002" s="2" t="s">
        <v>32</v>
      </c>
      <c r="C2002" s="4">
        <v>45833.25</v>
      </c>
      <c r="D2002" s="4">
        <v>45833.250289652773</v>
      </c>
      <c r="E2002" s="2">
        <v>3.82</v>
      </c>
      <c r="F2002" s="2">
        <v>77.599999999999994</v>
      </c>
      <c r="G2002" s="2" t="s">
        <v>983</v>
      </c>
      <c r="H2002" s="2" t="s">
        <v>984</v>
      </c>
      <c r="I2002" s="2"/>
      <c r="J2002" s="2" t="s">
        <v>32</v>
      </c>
    </row>
    <row r="2003" spans="1:10" ht="21" customHeight="1">
      <c r="A2003" s="2" t="s">
        <v>2995</v>
      </c>
      <c r="B2003" s="2" t="s">
        <v>32</v>
      </c>
      <c r="C2003" s="4">
        <v>45834.25</v>
      </c>
      <c r="D2003" s="4">
        <v>45834.250565833332</v>
      </c>
      <c r="E2003" s="2">
        <v>3.16</v>
      </c>
      <c r="F2003" s="2">
        <v>74.5</v>
      </c>
      <c r="G2003" s="2" t="s">
        <v>983</v>
      </c>
      <c r="H2003" s="2" t="s">
        <v>984</v>
      </c>
      <c r="I2003" s="2"/>
      <c r="J2003" s="2" t="s">
        <v>32</v>
      </c>
    </row>
    <row r="2004" spans="1:10" ht="21" customHeight="1">
      <c r="A2004" s="2" t="s">
        <v>2996</v>
      </c>
      <c r="B2004" s="2" t="s">
        <v>32</v>
      </c>
      <c r="C2004" s="4">
        <v>45835.25</v>
      </c>
      <c r="D2004" s="4">
        <v>45835.250685208332</v>
      </c>
      <c r="E2004" s="2"/>
      <c r="F2004" s="2"/>
      <c r="G2004" s="2" t="s">
        <v>983</v>
      </c>
      <c r="H2004" s="2" t="s">
        <v>1066</v>
      </c>
      <c r="I2004" s="2"/>
      <c r="J2004" s="2" t="s">
        <v>32</v>
      </c>
    </row>
    <row r="2005" spans="1:10" ht="21" customHeight="1">
      <c r="A2005" s="2" t="s">
        <v>2997</v>
      </c>
      <c r="B2005" s="2" t="s">
        <v>32</v>
      </c>
      <c r="C2005" s="4">
        <v>45836.25</v>
      </c>
      <c r="D2005" s="4">
        <v>45836.250166620375</v>
      </c>
      <c r="E2005" s="2">
        <v>3.02</v>
      </c>
      <c r="F2005" s="2">
        <v>73.8</v>
      </c>
      <c r="G2005" s="2" t="s">
        <v>983</v>
      </c>
      <c r="H2005" s="2" t="s">
        <v>984</v>
      </c>
      <c r="I2005" s="2"/>
      <c r="J2005" s="2" t="s">
        <v>32</v>
      </c>
    </row>
    <row r="2006" spans="1:10" ht="21" customHeight="1">
      <c r="A2006" s="2" t="s">
        <v>2998</v>
      </c>
      <c r="B2006" s="2" t="s">
        <v>32</v>
      </c>
      <c r="C2006" s="4">
        <v>45837.25</v>
      </c>
      <c r="D2006" s="4">
        <v>45837.250305023146</v>
      </c>
      <c r="E2006" s="2">
        <v>3.47</v>
      </c>
      <c r="F2006" s="2">
        <v>73.099999999999994</v>
      </c>
      <c r="G2006" s="2" t="s">
        <v>983</v>
      </c>
      <c r="H2006" s="2" t="s">
        <v>984</v>
      </c>
      <c r="I2006" s="2"/>
      <c r="J2006" s="2" t="s">
        <v>32</v>
      </c>
    </row>
    <row r="2007" spans="1:10" ht="21" customHeight="1">
      <c r="A2007" s="2" t="s">
        <v>2999</v>
      </c>
      <c r="B2007" s="2" t="s">
        <v>32</v>
      </c>
      <c r="C2007" s="4">
        <v>45838.25</v>
      </c>
      <c r="D2007" s="4">
        <v>45838.250136168979</v>
      </c>
      <c r="E2007" s="2">
        <v>3.14</v>
      </c>
      <c r="F2007" s="2">
        <v>74.400000000000006</v>
      </c>
      <c r="G2007" s="2" t="s">
        <v>983</v>
      </c>
      <c r="H2007" s="2" t="s">
        <v>984</v>
      </c>
      <c r="I2007" s="2"/>
      <c r="J2007" s="2" t="s">
        <v>32</v>
      </c>
    </row>
    <row r="2008" spans="1:10" ht="21" customHeight="1">
      <c r="A2008" s="2" t="s">
        <v>3000</v>
      </c>
      <c r="B2008" s="2" t="s">
        <v>32</v>
      </c>
      <c r="C2008" s="4">
        <v>45839.25</v>
      </c>
      <c r="D2008" s="4">
        <v>45839.250410960653</v>
      </c>
      <c r="E2008" s="2">
        <v>3.62</v>
      </c>
      <c r="F2008" s="2">
        <v>78.5</v>
      </c>
      <c r="G2008" s="2" t="s">
        <v>983</v>
      </c>
      <c r="H2008" s="2" t="s">
        <v>984</v>
      </c>
      <c r="I2008" s="2"/>
      <c r="J2008" s="2" t="s">
        <v>32</v>
      </c>
    </row>
    <row r="2009" spans="1:10" ht="21" customHeight="1">
      <c r="A2009" s="2" t="s">
        <v>3001</v>
      </c>
      <c r="B2009" s="2" t="s">
        <v>32</v>
      </c>
      <c r="C2009" s="4">
        <v>45840.25</v>
      </c>
      <c r="D2009" s="4">
        <v>45840.250129444445</v>
      </c>
      <c r="E2009" s="2">
        <v>3.13</v>
      </c>
      <c r="F2009" s="2">
        <v>78.5</v>
      </c>
      <c r="G2009" s="2" t="s">
        <v>983</v>
      </c>
      <c r="H2009" s="2" t="s">
        <v>984</v>
      </c>
      <c r="I2009" s="2"/>
      <c r="J2009" s="2" t="s">
        <v>32</v>
      </c>
    </row>
    <row r="2010" spans="1:10" ht="21" customHeight="1">
      <c r="A2010" s="2" t="s">
        <v>3002</v>
      </c>
      <c r="B2010" s="2" t="s">
        <v>32</v>
      </c>
      <c r="C2010" s="4">
        <v>45841.25</v>
      </c>
      <c r="D2010" s="4">
        <v>45841.250302974542</v>
      </c>
      <c r="E2010" s="2">
        <v>3.3</v>
      </c>
      <c r="F2010" s="2">
        <v>72.2</v>
      </c>
      <c r="G2010" s="2" t="s">
        <v>983</v>
      </c>
      <c r="H2010" s="2" t="s">
        <v>984</v>
      </c>
      <c r="I2010" s="2"/>
      <c r="J2010" s="2" t="s">
        <v>32</v>
      </c>
    </row>
    <row r="2011" spans="1:10" ht="21" customHeight="1">
      <c r="A2011" s="2" t="s">
        <v>3003</v>
      </c>
      <c r="B2011" s="2" t="s">
        <v>2839</v>
      </c>
      <c r="C2011" s="4">
        <v>45842.25</v>
      </c>
      <c r="D2011" s="4">
        <v>45842.250679953708</v>
      </c>
      <c r="E2011" s="2">
        <v>3.12</v>
      </c>
      <c r="F2011" s="2">
        <v>78.099999999999994</v>
      </c>
      <c r="G2011" s="2" t="s">
        <v>983</v>
      </c>
      <c r="H2011" s="2" t="s">
        <v>984</v>
      </c>
      <c r="I2011" s="2"/>
      <c r="J2011" s="2" t="s">
        <v>32</v>
      </c>
    </row>
    <row r="2012" spans="1:10" ht="21" customHeight="1">
      <c r="A2012" s="2" t="s">
        <v>3004</v>
      </c>
      <c r="B2012" s="2" t="s">
        <v>32</v>
      </c>
      <c r="C2012" s="4">
        <v>45843.25</v>
      </c>
      <c r="D2012" s="4">
        <v>45843.250395787036</v>
      </c>
      <c r="E2012" s="2">
        <v>3.6</v>
      </c>
      <c r="F2012" s="2">
        <v>76.599999999999994</v>
      </c>
      <c r="G2012" s="2" t="s">
        <v>983</v>
      </c>
      <c r="H2012" s="2" t="s">
        <v>984</v>
      </c>
      <c r="I2012" s="2"/>
      <c r="J2012" s="2" t="s">
        <v>32</v>
      </c>
    </row>
    <row r="2013" spans="1:10" ht="21" customHeight="1">
      <c r="A2013" s="2" t="s">
        <v>3005</v>
      </c>
      <c r="B2013" s="2" t="s">
        <v>32</v>
      </c>
      <c r="C2013" s="4">
        <v>45844.25</v>
      </c>
      <c r="D2013" s="4">
        <v>45844.250692094909</v>
      </c>
      <c r="E2013" s="2">
        <v>6.76</v>
      </c>
      <c r="F2013" s="2">
        <v>79.900000000000006</v>
      </c>
      <c r="G2013" s="2" t="s">
        <v>983</v>
      </c>
      <c r="H2013" s="2" t="s">
        <v>984</v>
      </c>
      <c r="I2013" s="2" t="s">
        <v>1053</v>
      </c>
      <c r="J2013" s="2" t="s">
        <v>32</v>
      </c>
    </row>
    <row r="2014" spans="1:10" ht="21" customHeight="1">
      <c r="A2014" s="2" t="s">
        <v>3006</v>
      </c>
      <c r="B2014" s="2" t="s">
        <v>32</v>
      </c>
      <c r="C2014" s="4">
        <v>45845.25</v>
      </c>
      <c r="D2014" s="4">
        <v>45845.250481782408</v>
      </c>
      <c r="E2014" s="2"/>
      <c r="F2014" s="2"/>
      <c r="G2014" s="2" t="s">
        <v>983</v>
      </c>
      <c r="H2014" s="2" t="s">
        <v>1066</v>
      </c>
      <c r="I2014" s="2" t="s">
        <v>985</v>
      </c>
      <c r="J2014" s="2" t="s">
        <v>32</v>
      </c>
    </row>
    <row r="2015" spans="1:10" ht="21" customHeight="1">
      <c r="A2015" s="2" t="s">
        <v>3007</v>
      </c>
      <c r="B2015" s="2" t="s">
        <v>32</v>
      </c>
      <c r="C2015" s="4">
        <v>45846.25</v>
      </c>
      <c r="D2015" s="4">
        <v>45846.25044956019</v>
      </c>
      <c r="E2015" s="2">
        <v>5.34</v>
      </c>
      <c r="F2015" s="2">
        <v>83.6</v>
      </c>
      <c r="G2015" s="2" t="s">
        <v>983</v>
      </c>
      <c r="H2015" s="2" t="s">
        <v>984</v>
      </c>
      <c r="I2015" s="2" t="s">
        <v>1053</v>
      </c>
      <c r="J2015" s="2" t="s">
        <v>32</v>
      </c>
    </row>
    <row r="2016" spans="1:10" ht="21" customHeight="1">
      <c r="A2016" s="2" t="s">
        <v>3008</v>
      </c>
      <c r="B2016" s="2" t="s">
        <v>32</v>
      </c>
      <c r="C2016" s="4">
        <v>45847.25</v>
      </c>
      <c r="D2016" s="4">
        <v>45847.250573090278</v>
      </c>
      <c r="E2016" s="2">
        <v>0</v>
      </c>
      <c r="F2016" s="2">
        <v>74.099999999999994</v>
      </c>
      <c r="G2016" s="2" t="s">
        <v>1175</v>
      </c>
      <c r="H2016" s="2" t="s">
        <v>984</v>
      </c>
      <c r="I2016" s="2"/>
      <c r="J2016" s="2" t="s">
        <v>32</v>
      </c>
    </row>
    <row r="2017" spans="1:10" ht="21" customHeight="1">
      <c r="A2017" s="2" t="s">
        <v>3009</v>
      </c>
      <c r="B2017" s="2" t="s">
        <v>32</v>
      </c>
      <c r="C2017" s="4">
        <v>45848.25</v>
      </c>
      <c r="D2017" s="4">
        <v>45848.250345497683</v>
      </c>
      <c r="E2017" s="2">
        <v>3.91</v>
      </c>
      <c r="F2017" s="2">
        <v>79.3</v>
      </c>
      <c r="G2017" s="2" t="s">
        <v>983</v>
      </c>
      <c r="H2017" s="2" t="s">
        <v>984</v>
      </c>
      <c r="I2017" s="2"/>
      <c r="J2017" s="2" t="s">
        <v>32</v>
      </c>
    </row>
    <row r="2018" spans="1:10" ht="21" customHeight="1">
      <c r="A2018" s="2" t="s">
        <v>3010</v>
      </c>
      <c r="B2018" s="2" t="s">
        <v>32</v>
      </c>
      <c r="C2018" s="4">
        <v>45849.25</v>
      </c>
      <c r="D2018" s="4">
        <v>45849.250070486116</v>
      </c>
      <c r="E2018" s="2">
        <v>3.93</v>
      </c>
      <c r="F2018" s="2">
        <v>74.900000000000006</v>
      </c>
      <c r="G2018" s="2" t="s">
        <v>983</v>
      </c>
      <c r="H2018" s="2" t="s">
        <v>984</v>
      </c>
      <c r="I2018" s="2"/>
      <c r="J2018" s="2" t="s">
        <v>32</v>
      </c>
    </row>
    <row r="2019" spans="1:10" ht="21" customHeight="1">
      <c r="A2019" s="2" t="s">
        <v>3011</v>
      </c>
      <c r="B2019" s="2" t="s">
        <v>32</v>
      </c>
      <c r="C2019" s="4">
        <v>45850.25</v>
      </c>
      <c r="D2019" s="4">
        <v>45850.250502303243</v>
      </c>
      <c r="E2019" s="2">
        <v>3.81</v>
      </c>
      <c r="F2019" s="2">
        <v>73.599999999999994</v>
      </c>
      <c r="G2019" s="2" t="s">
        <v>983</v>
      </c>
      <c r="H2019" s="2" t="s">
        <v>984</v>
      </c>
      <c r="I2019" s="2"/>
      <c r="J2019" s="2" t="s">
        <v>32</v>
      </c>
    </row>
    <row r="2020" spans="1:10" ht="21" customHeight="1">
      <c r="A2020" s="2" t="s">
        <v>3012</v>
      </c>
      <c r="B2020" s="2" t="s">
        <v>32</v>
      </c>
      <c r="C2020" s="4">
        <v>45851.25</v>
      </c>
      <c r="D2020" s="4">
        <v>45851.250409398148</v>
      </c>
      <c r="E2020" s="2">
        <v>3.11</v>
      </c>
      <c r="F2020" s="2">
        <v>74.2</v>
      </c>
      <c r="G2020" s="2" t="s">
        <v>983</v>
      </c>
      <c r="H2020" s="2" t="s">
        <v>984</v>
      </c>
      <c r="I2020" s="2"/>
      <c r="J2020" s="2" t="s">
        <v>32</v>
      </c>
    </row>
    <row r="2021" spans="1:10" ht="21" customHeight="1">
      <c r="A2021" s="2" t="s">
        <v>3013</v>
      </c>
      <c r="B2021" s="2" t="s">
        <v>32</v>
      </c>
      <c r="C2021" s="4">
        <v>45852.25</v>
      </c>
      <c r="D2021" s="4">
        <v>45852.250287152783</v>
      </c>
      <c r="E2021" s="2">
        <v>2.93</v>
      </c>
      <c r="F2021" s="2">
        <v>78.900000000000006</v>
      </c>
      <c r="G2021" s="2" t="s">
        <v>983</v>
      </c>
      <c r="H2021" s="2" t="s">
        <v>984</v>
      </c>
      <c r="I2021" s="2"/>
      <c r="J2021" s="2" t="s">
        <v>32</v>
      </c>
    </row>
    <row r="2022" spans="1:10" ht="21" customHeight="1">
      <c r="A2022" s="2" t="s">
        <v>3014</v>
      </c>
      <c r="B2022" s="2" t="s">
        <v>32</v>
      </c>
      <c r="C2022" s="4">
        <v>45853.25</v>
      </c>
      <c r="D2022" s="4">
        <v>45853.250640868057</v>
      </c>
      <c r="E2022" s="2">
        <v>3.39</v>
      </c>
      <c r="F2022" s="2">
        <v>79</v>
      </c>
      <c r="G2022" s="2" t="s">
        <v>983</v>
      </c>
      <c r="H2022" s="2" t="s">
        <v>984</v>
      </c>
      <c r="I2022" s="2"/>
      <c r="J2022" s="2" t="s">
        <v>32</v>
      </c>
    </row>
    <row r="2023" spans="1:10" ht="21" customHeight="1">
      <c r="A2023" s="2" t="s">
        <v>3015</v>
      </c>
      <c r="B2023" s="2" t="s">
        <v>32</v>
      </c>
      <c r="C2023" s="4">
        <v>45854.25</v>
      </c>
      <c r="D2023" s="4">
        <v>45854.250213715277</v>
      </c>
      <c r="E2023" s="2">
        <v>3.34</v>
      </c>
      <c r="F2023" s="2">
        <v>72.2</v>
      </c>
      <c r="G2023" s="2" t="s">
        <v>983</v>
      </c>
      <c r="H2023" s="2" t="s">
        <v>984</v>
      </c>
      <c r="I2023" s="2"/>
      <c r="J2023" s="2" t="s">
        <v>32</v>
      </c>
    </row>
    <row r="2024" spans="1:10" ht="21" customHeight="1">
      <c r="A2024" s="2" t="s">
        <v>3016</v>
      </c>
      <c r="B2024" s="2" t="s">
        <v>32</v>
      </c>
      <c r="C2024" s="4">
        <v>45855.25</v>
      </c>
      <c r="D2024" s="4">
        <v>45855.250044618057</v>
      </c>
      <c r="E2024" s="2">
        <v>3.23</v>
      </c>
      <c r="F2024" s="2">
        <v>73.3</v>
      </c>
      <c r="G2024" s="2" t="s">
        <v>983</v>
      </c>
      <c r="H2024" s="2" t="s">
        <v>984</v>
      </c>
      <c r="I2024" s="2"/>
      <c r="J2024" s="2" t="s">
        <v>32</v>
      </c>
    </row>
    <row r="2025" spans="1:10" ht="21" customHeight="1">
      <c r="A2025" s="2" t="s">
        <v>3017</v>
      </c>
      <c r="B2025" s="2" t="s">
        <v>32</v>
      </c>
      <c r="C2025" s="4">
        <v>45856.25</v>
      </c>
      <c r="D2025" s="4">
        <v>45856.250579629632</v>
      </c>
      <c r="E2025" s="2">
        <v>2.85</v>
      </c>
      <c r="F2025" s="2">
        <v>78.7</v>
      </c>
      <c r="G2025" s="2" t="s">
        <v>983</v>
      </c>
      <c r="H2025" s="2" t="s">
        <v>984</v>
      </c>
      <c r="I2025" s="2"/>
      <c r="J2025" s="2" t="s">
        <v>32</v>
      </c>
    </row>
    <row r="2026" spans="1:10" ht="21" customHeight="1">
      <c r="A2026" s="2" t="s">
        <v>3018</v>
      </c>
      <c r="B2026" s="2" t="s">
        <v>32</v>
      </c>
      <c r="C2026" s="4">
        <v>45857.25</v>
      </c>
      <c r="D2026" s="4">
        <v>45857.250056956022</v>
      </c>
      <c r="E2026" s="2">
        <v>3.26</v>
      </c>
      <c r="F2026" s="2">
        <v>79.2</v>
      </c>
      <c r="G2026" s="2" t="s">
        <v>983</v>
      </c>
      <c r="H2026" s="2" t="s">
        <v>984</v>
      </c>
      <c r="I2026" s="2"/>
      <c r="J2026" s="2" t="s">
        <v>32</v>
      </c>
    </row>
    <row r="2027" spans="1:10" ht="21" customHeight="1">
      <c r="A2027" s="2" t="s">
        <v>3019</v>
      </c>
      <c r="B2027" s="2" t="s">
        <v>32</v>
      </c>
      <c r="C2027" s="4">
        <v>45858.25</v>
      </c>
      <c r="D2027" s="4">
        <v>45858.250356539356</v>
      </c>
      <c r="E2027" s="2">
        <v>7.42</v>
      </c>
      <c r="F2027" s="2">
        <v>90.2</v>
      </c>
      <c r="G2027" s="2" t="s">
        <v>983</v>
      </c>
      <c r="H2027" s="2" t="s">
        <v>984</v>
      </c>
      <c r="I2027" s="2" t="s">
        <v>1053</v>
      </c>
      <c r="J2027" s="2" t="s">
        <v>32</v>
      </c>
    </row>
    <row r="2028" spans="1:10" ht="21" customHeight="1">
      <c r="A2028" s="2" t="s">
        <v>3020</v>
      </c>
      <c r="B2028" s="2" t="s">
        <v>32</v>
      </c>
      <c r="C2028" s="4">
        <v>45859.25</v>
      </c>
      <c r="D2028" s="4">
        <v>45859.250565057868</v>
      </c>
      <c r="E2028" s="2">
        <v>6.59</v>
      </c>
      <c r="F2028" s="2">
        <v>83.3</v>
      </c>
      <c r="G2028" s="2" t="s">
        <v>983</v>
      </c>
      <c r="H2028" s="2" t="s">
        <v>984</v>
      </c>
      <c r="I2028" s="2"/>
      <c r="J2028" s="2" t="s">
        <v>32</v>
      </c>
    </row>
    <row r="2029" spans="1:10" ht="21" customHeight="1">
      <c r="A2029" s="2" t="s">
        <v>3021</v>
      </c>
      <c r="B2029" s="2" t="s">
        <v>32</v>
      </c>
      <c r="C2029" s="4">
        <v>45860.25</v>
      </c>
      <c r="D2029" s="4">
        <v>45860.250283877314</v>
      </c>
      <c r="E2029" s="2">
        <v>6.73</v>
      </c>
      <c r="F2029" s="2">
        <v>85.1</v>
      </c>
      <c r="G2029" s="2" t="s">
        <v>983</v>
      </c>
      <c r="H2029" s="2" t="s">
        <v>984</v>
      </c>
      <c r="I2029" s="2" t="s">
        <v>1053</v>
      </c>
      <c r="J2029" s="2" t="s">
        <v>32</v>
      </c>
    </row>
    <row r="2030" spans="1:10" ht="21" customHeight="1">
      <c r="A2030" s="2" t="s">
        <v>3022</v>
      </c>
      <c r="B2030" s="2" t="s">
        <v>32</v>
      </c>
      <c r="C2030" s="4">
        <v>45861.25</v>
      </c>
      <c r="D2030" s="4">
        <v>45861.250620740742</v>
      </c>
      <c r="E2030" s="2">
        <v>0</v>
      </c>
      <c r="F2030" s="2">
        <v>76.3</v>
      </c>
      <c r="G2030" s="2" t="s">
        <v>1175</v>
      </c>
      <c r="H2030" s="2" t="s">
        <v>984</v>
      </c>
      <c r="I2030" s="2"/>
      <c r="J2030" s="2" t="s">
        <v>32</v>
      </c>
    </row>
    <row r="2031" spans="1:10" ht="21" customHeight="1">
      <c r="A2031" s="2" t="s">
        <v>3023</v>
      </c>
      <c r="B2031" s="2" t="s">
        <v>32</v>
      </c>
      <c r="C2031" s="4">
        <v>45862.25</v>
      </c>
      <c r="D2031" s="4">
        <v>45862.250342523148</v>
      </c>
      <c r="E2031" s="2">
        <v>3.34</v>
      </c>
      <c r="F2031" s="2">
        <v>77.900000000000006</v>
      </c>
      <c r="G2031" s="2" t="s">
        <v>983</v>
      </c>
      <c r="H2031" s="2" t="s">
        <v>984</v>
      </c>
      <c r="I2031" s="2" t="s">
        <v>985</v>
      </c>
      <c r="J2031" s="2" t="s">
        <v>32</v>
      </c>
    </row>
    <row r="2032" spans="1:10" ht="21" customHeight="1">
      <c r="A2032" s="2" t="s">
        <v>3024</v>
      </c>
      <c r="B2032" s="2" t="s">
        <v>32</v>
      </c>
      <c r="C2032" s="4">
        <v>45863.25</v>
      </c>
      <c r="D2032" s="4">
        <v>45863.250570081014</v>
      </c>
      <c r="E2032" s="2">
        <v>3.31</v>
      </c>
      <c r="F2032" s="2">
        <v>79.3</v>
      </c>
      <c r="G2032" s="2" t="s">
        <v>983</v>
      </c>
      <c r="H2032" s="2" t="s">
        <v>984</v>
      </c>
      <c r="I2032" s="2"/>
      <c r="J2032" s="2" t="s">
        <v>32</v>
      </c>
    </row>
    <row r="2033" spans="1:10" ht="21" customHeight="1">
      <c r="A2033" s="2" t="s">
        <v>3025</v>
      </c>
      <c r="B2033" s="2" t="s">
        <v>32</v>
      </c>
      <c r="C2033" s="4">
        <v>45864.25</v>
      </c>
      <c r="D2033" s="4">
        <v>45864.250079131947</v>
      </c>
      <c r="E2033" s="2"/>
      <c r="F2033" s="2"/>
      <c r="G2033" s="2" t="s">
        <v>983</v>
      </c>
      <c r="H2033" s="2" t="s">
        <v>1066</v>
      </c>
      <c r="I2033" s="2"/>
      <c r="J2033" s="2" t="s">
        <v>32</v>
      </c>
    </row>
    <row r="2034" spans="1:10" ht="21" customHeight="1">
      <c r="A2034" s="2" t="s">
        <v>3026</v>
      </c>
      <c r="B2034" s="2" t="s">
        <v>32</v>
      </c>
      <c r="C2034" s="4">
        <v>45865.25</v>
      </c>
      <c r="D2034" s="4">
        <v>45865.250420601849</v>
      </c>
      <c r="E2034" s="2">
        <v>3.83</v>
      </c>
      <c r="F2034" s="2">
        <v>77.3</v>
      </c>
      <c r="G2034" s="2" t="s">
        <v>983</v>
      </c>
      <c r="H2034" s="2" t="s">
        <v>984</v>
      </c>
      <c r="I2034" s="2"/>
      <c r="J2034" s="2" t="s">
        <v>32</v>
      </c>
    </row>
    <row r="2035" spans="1:10" ht="21" customHeight="1">
      <c r="A2035" s="2" t="s">
        <v>3027</v>
      </c>
      <c r="B2035" s="2" t="s">
        <v>32</v>
      </c>
      <c r="C2035" s="4">
        <v>45866.25</v>
      </c>
      <c r="D2035" s="4">
        <v>45866.250688125001</v>
      </c>
      <c r="E2035" s="2">
        <v>3.7</v>
      </c>
      <c r="F2035" s="2">
        <v>77.599999999999994</v>
      </c>
      <c r="G2035" s="2" t="s">
        <v>983</v>
      </c>
      <c r="H2035" s="2" t="s">
        <v>984</v>
      </c>
      <c r="I2035" s="2"/>
      <c r="J2035" s="2" t="s">
        <v>32</v>
      </c>
    </row>
    <row r="2036" spans="1:10" ht="21" customHeight="1">
      <c r="A2036" s="2" t="s">
        <v>3028</v>
      </c>
      <c r="B2036" s="2" t="s">
        <v>32</v>
      </c>
      <c r="C2036" s="4">
        <v>45867.25</v>
      </c>
      <c r="D2036" s="4">
        <v>45867.250383888888</v>
      </c>
      <c r="E2036" s="2">
        <v>2.87</v>
      </c>
      <c r="F2036" s="2">
        <v>78.8</v>
      </c>
      <c r="G2036" s="2" t="s">
        <v>983</v>
      </c>
      <c r="H2036" s="2" t="s">
        <v>984</v>
      </c>
      <c r="I2036" s="2"/>
      <c r="J2036" s="2" t="s">
        <v>32</v>
      </c>
    </row>
    <row r="2037" spans="1:10" ht="21" customHeight="1">
      <c r="A2037" s="2" t="s">
        <v>3029</v>
      </c>
      <c r="B2037" s="2" t="s">
        <v>32</v>
      </c>
      <c r="C2037" s="4">
        <v>45868.25</v>
      </c>
      <c r="D2037" s="4">
        <v>45868.250640636572</v>
      </c>
      <c r="E2037" s="2">
        <v>3.75</v>
      </c>
      <c r="F2037" s="2">
        <v>72.8</v>
      </c>
      <c r="G2037" s="2" t="s">
        <v>983</v>
      </c>
      <c r="H2037" s="2" t="s">
        <v>984</v>
      </c>
      <c r="I2037" s="2"/>
      <c r="J2037" s="2" t="s">
        <v>32</v>
      </c>
    </row>
    <row r="2038" spans="1:10" ht="21" customHeight="1">
      <c r="A2038" s="2" t="s">
        <v>3030</v>
      </c>
      <c r="B2038" s="2" t="s">
        <v>32</v>
      </c>
      <c r="C2038" s="4">
        <v>45869.25</v>
      </c>
      <c r="D2038" s="4">
        <v>45869.250397037038</v>
      </c>
      <c r="E2038" s="2">
        <v>3.34</v>
      </c>
      <c r="F2038" s="2">
        <v>74.7</v>
      </c>
      <c r="G2038" s="2" t="s">
        <v>983</v>
      </c>
      <c r="H2038" s="2" t="s">
        <v>984</v>
      </c>
      <c r="I2038" s="2"/>
      <c r="J2038" s="2" t="s">
        <v>32</v>
      </c>
    </row>
    <row r="2039" spans="1:10" ht="21" customHeight="1">
      <c r="A2039" s="2" t="s">
        <v>3031</v>
      </c>
      <c r="B2039" s="2" t="s">
        <v>32</v>
      </c>
      <c r="C2039" s="4">
        <v>45870.25</v>
      </c>
      <c r="D2039" s="4">
        <v>45870.25047885417</v>
      </c>
      <c r="E2039" s="2">
        <v>3.84</v>
      </c>
      <c r="F2039" s="2">
        <v>75</v>
      </c>
      <c r="G2039" s="2" t="s">
        <v>983</v>
      </c>
      <c r="H2039" s="2" t="s">
        <v>984</v>
      </c>
      <c r="I2039" s="2"/>
      <c r="J2039" s="2" t="s">
        <v>32</v>
      </c>
    </row>
    <row r="2040" spans="1:10" ht="21" customHeight="1">
      <c r="A2040" s="2" t="s">
        <v>3032</v>
      </c>
      <c r="B2040" s="2" t="s">
        <v>32</v>
      </c>
      <c r="C2040" s="4">
        <v>45871.25</v>
      </c>
      <c r="D2040" s="4">
        <v>45871.250127557869</v>
      </c>
      <c r="E2040" s="2">
        <v>3.26</v>
      </c>
      <c r="F2040" s="2">
        <v>76.900000000000006</v>
      </c>
      <c r="G2040" s="2" t="s">
        <v>983</v>
      </c>
      <c r="H2040" s="2" t="s">
        <v>984</v>
      </c>
      <c r="I2040" s="2"/>
      <c r="J2040" s="2" t="s">
        <v>32</v>
      </c>
    </row>
    <row r="2041" spans="1:10" ht="21" customHeight="1">
      <c r="A2041" s="2" t="s">
        <v>3033</v>
      </c>
      <c r="B2041" s="2" t="s">
        <v>32</v>
      </c>
      <c r="C2041" s="4">
        <v>45872.25</v>
      </c>
      <c r="D2041" s="4">
        <v>45872.25018722222</v>
      </c>
      <c r="E2041" s="2">
        <v>3.21</v>
      </c>
      <c r="F2041" s="2">
        <v>74</v>
      </c>
      <c r="G2041" s="2" t="s">
        <v>983</v>
      </c>
      <c r="H2041" s="2" t="s">
        <v>984</v>
      </c>
      <c r="I2041" s="2"/>
      <c r="J2041" s="2" t="s">
        <v>32</v>
      </c>
    </row>
    <row r="2042" spans="1:10" ht="21" customHeight="1">
      <c r="A2042" s="2" t="s">
        <v>3034</v>
      </c>
      <c r="B2042" s="2" t="s">
        <v>32</v>
      </c>
      <c r="C2042" s="4">
        <v>45873.25</v>
      </c>
      <c r="D2042" s="4">
        <v>45873.250472951389</v>
      </c>
      <c r="E2042" s="2">
        <v>3.13</v>
      </c>
      <c r="F2042" s="2">
        <v>77.7</v>
      </c>
      <c r="G2042" s="2" t="s">
        <v>983</v>
      </c>
      <c r="H2042" s="2" t="s">
        <v>984</v>
      </c>
      <c r="I2042" s="2"/>
      <c r="J2042" s="2" t="s">
        <v>32</v>
      </c>
    </row>
    <row r="2043" spans="1:10" ht="21" customHeight="1">
      <c r="A2043" s="2" t="s">
        <v>3035</v>
      </c>
      <c r="B2043" s="2" t="s">
        <v>32</v>
      </c>
      <c r="C2043" s="4">
        <v>45874.25</v>
      </c>
      <c r="D2043" s="4">
        <v>45874.250249930556</v>
      </c>
      <c r="E2043" s="2">
        <v>3.41</v>
      </c>
      <c r="F2043" s="2">
        <v>75.599999999999994</v>
      </c>
      <c r="G2043" s="2" t="s">
        <v>983</v>
      </c>
      <c r="H2043" s="2" t="s">
        <v>984</v>
      </c>
      <c r="I2043" s="2"/>
      <c r="J2043" s="2" t="s">
        <v>32</v>
      </c>
    </row>
    <row r="2044" spans="1:10" ht="21" customHeight="1">
      <c r="A2044" s="2" t="s">
        <v>3036</v>
      </c>
      <c r="B2044" s="2" t="s">
        <v>32</v>
      </c>
      <c r="C2044" s="4">
        <v>45875.25</v>
      </c>
      <c r="D2044" s="4">
        <v>45875.250360104168</v>
      </c>
      <c r="E2044" s="2"/>
      <c r="F2044" s="2"/>
      <c r="G2044" s="2" t="s">
        <v>983</v>
      </c>
      <c r="H2044" s="2" t="s">
        <v>1066</v>
      </c>
      <c r="I2044" s="2"/>
      <c r="J2044" s="2" t="s">
        <v>32</v>
      </c>
    </row>
    <row r="2045" spans="1:10" ht="21" customHeight="1">
      <c r="A2045" s="2" t="s">
        <v>3037</v>
      </c>
      <c r="B2045" s="2" t="s">
        <v>32</v>
      </c>
      <c r="C2045" s="4">
        <v>45876.25</v>
      </c>
      <c r="D2045" s="4">
        <v>45876.250605775465</v>
      </c>
      <c r="E2045" s="2">
        <v>3.03</v>
      </c>
      <c r="F2045" s="2">
        <v>72.900000000000006</v>
      </c>
      <c r="G2045" s="2" t="s">
        <v>983</v>
      </c>
      <c r="H2045" s="2" t="s">
        <v>984</v>
      </c>
      <c r="I2045" s="2"/>
      <c r="J2045" s="2" t="s">
        <v>32</v>
      </c>
    </row>
    <row r="2046" spans="1:10" ht="21" customHeight="1">
      <c r="A2046" s="2" t="s">
        <v>3038</v>
      </c>
      <c r="B2046" s="2" t="s">
        <v>32</v>
      </c>
      <c r="C2046" s="4">
        <v>45877.25</v>
      </c>
      <c r="D2046" s="4">
        <v>45877.250600509258</v>
      </c>
      <c r="E2046" s="2">
        <v>2.88</v>
      </c>
      <c r="F2046" s="2">
        <v>79.900000000000006</v>
      </c>
      <c r="G2046" s="2" t="s">
        <v>983</v>
      </c>
      <c r="H2046" s="2" t="s">
        <v>984</v>
      </c>
      <c r="I2046" s="2"/>
      <c r="J2046" s="2" t="s">
        <v>32</v>
      </c>
    </row>
    <row r="2047" spans="1:10" ht="21" customHeight="1">
      <c r="A2047" s="2" t="s">
        <v>3039</v>
      </c>
      <c r="B2047" s="2" t="s">
        <v>32</v>
      </c>
      <c r="C2047" s="4">
        <v>45878.25</v>
      </c>
      <c r="D2047" s="4">
        <v>45878.25068459491</v>
      </c>
      <c r="E2047" s="2">
        <v>3.14</v>
      </c>
      <c r="F2047" s="2">
        <v>73.400000000000006</v>
      </c>
      <c r="G2047" s="2" t="s">
        <v>983</v>
      </c>
      <c r="H2047" s="2" t="s">
        <v>984</v>
      </c>
      <c r="I2047" s="2"/>
      <c r="J2047" s="2" t="s">
        <v>32</v>
      </c>
    </row>
    <row r="2048" spans="1:10" ht="21" customHeight="1">
      <c r="A2048" s="2" t="s">
        <v>3040</v>
      </c>
      <c r="B2048" s="2" t="s">
        <v>32</v>
      </c>
      <c r="C2048" s="4">
        <v>45879.25</v>
      </c>
      <c r="D2048" s="4">
        <v>45879.250046608795</v>
      </c>
      <c r="E2048" s="2">
        <v>2.95</v>
      </c>
      <c r="F2048" s="2">
        <v>77.099999999999994</v>
      </c>
      <c r="G2048" s="2" t="s">
        <v>983</v>
      </c>
      <c r="H2048" s="2" t="s">
        <v>984</v>
      </c>
      <c r="I2048" s="2" t="s">
        <v>985</v>
      </c>
      <c r="J2048" s="2" t="s">
        <v>32</v>
      </c>
    </row>
    <row r="2049" spans="1:10" ht="21" customHeight="1">
      <c r="A2049" s="2" t="s">
        <v>3041</v>
      </c>
      <c r="B2049" s="2" t="s">
        <v>32</v>
      </c>
      <c r="C2049" s="4">
        <v>45880.25</v>
      </c>
      <c r="D2049" s="4">
        <v>45880.250060046295</v>
      </c>
      <c r="E2049" s="2">
        <v>3.81</v>
      </c>
      <c r="F2049" s="2">
        <v>74.8</v>
      </c>
      <c r="G2049" s="2" t="s">
        <v>983</v>
      </c>
      <c r="H2049" s="2" t="s">
        <v>984</v>
      </c>
      <c r="I2049" s="2"/>
      <c r="J2049" s="2" t="s">
        <v>32</v>
      </c>
    </row>
    <row r="2050" spans="1:10" ht="21" customHeight="1">
      <c r="A2050" s="2" t="s">
        <v>3042</v>
      </c>
      <c r="B2050" s="2" t="s">
        <v>32</v>
      </c>
      <c r="C2050" s="4">
        <v>45881.25</v>
      </c>
      <c r="D2050" s="4">
        <v>45881.250624270833</v>
      </c>
      <c r="E2050" s="2">
        <v>3.2</v>
      </c>
      <c r="F2050" s="2">
        <v>78.900000000000006</v>
      </c>
      <c r="G2050" s="2" t="s">
        <v>983</v>
      </c>
      <c r="H2050" s="2" t="s">
        <v>984</v>
      </c>
      <c r="I2050" s="2"/>
      <c r="J2050" s="2" t="s">
        <v>32</v>
      </c>
    </row>
    <row r="2051" spans="1:10" ht="21" customHeight="1">
      <c r="A2051" s="2" t="s">
        <v>3043</v>
      </c>
      <c r="B2051" s="2" t="s">
        <v>32</v>
      </c>
      <c r="C2051" s="4">
        <v>45882.25</v>
      </c>
      <c r="D2051" s="4">
        <v>45882.250381446764</v>
      </c>
      <c r="E2051" s="2">
        <v>3.78</v>
      </c>
      <c r="F2051" s="2">
        <v>73</v>
      </c>
      <c r="G2051" s="2" t="s">
        <v>983</v>
      </c>
      <c r="H2051" s="2" t="s">
        <v>984</v>
      </c>
      <c r="I2051" s="2"/>
      <c r="J2051" s="2" t="s">
        <v>32</v>
      </c>
    </row>
    <row r="2052" spans="1:10" ht="21" customHeight="1">
      <c r="A2052" s="2" t="s">
        <v>3044</v>
      </c>
      <c r="B2052" s="2" t="s">
        <v>2839</v>
      </c>
      <c r="C2052" s="4">
        <v>45883.25</v>
      </c>
      <c r="D2052" s="4">
        <v>45883.250466145837</v>
      </c>
      <c r="E2052" s="2">
        <v>2.82</v>
      </c>
      <c r="F2052" s="2">
        <v>72.2</v>
      </c>
      <c r="G2052" s="2" t="s">
        <v>983</v>
      </c>
      <c r="H2052" s="2" t="s">
        <v>984</v>
      </c>
      <c r="I2052" s="2"/>
      <c r="J2052" s="2" t="s">
        <v>32</v>
      </c>
    </row>
    <row r="2053" spans="1:10" ht="21" customHeight="1">
      <c r="A2053" s="2" t="s">
        <v>3045</v>
      </c>
      <c r="B2053" s="2" t="s">
        <v>32</v>
      </c>
      <c r="C2053" s="4">
        <v>45884.25</v>
      </c>
      <c r="D2053" s="4">
        <v>45884.250270335644</v>
      </c>
      <c r="E2053" s="2">
        <v>3.96</v>
      </c>
      <c r="F2053" s="2">
        <v>78.599999999999994</v>
      </c>
      <c r="G2053" s="2" t="s">
        <v>983</v>
      </c>
      <c r="H2053" s="2" t="s">
        <v>984</v>
      </c>
      <c r="I2053" s="2"/>
      <c r="J2053" s="2" t="s">
        <v>32</v>
      </c>
    </row>
    <row r="2054" spans="1:10" ht="21" customHeight="1">
      <c r="A2054" s="2" t="s">
        <v>3046</v>
      </c>
      <c r="B2054" s="2" t="s">
        <v>32</v>
      </c>
      <c r="C2054" s="4">
        <v>45885.25</v>
      </c>
      <c r="D2054" s="4">
        <v>45885.250641261577</v>
      </c>
      <c r="E2054" s="2">
        <v>2.86</v>
      </c>
      <c r="F2054" s="2">
        <v>74.3</v>
      </c>
      <c r="G2054" s="2" t="s">
        <v>983</v>
      </c>
      <c r="H2054" s="2" t="s">
        <v>984</v>
      </c>
      <c r="I2054" s="2"/>
      <c r="J2054" s="2" t="s">
        <v>32</v>
      </c>
    </row>
    <row r="2055" spans="1:10" ht="21" customHeight="1">
      <c r="A2055" s="2" t="s">
        <v>3047</v>
      </c>
      <c r="B2055" s="2" t="s">
        <v>32</v>
      </c>
      <c r="C2055" s="4">
        <v>45886.25</v>
      </c>
      <c r="D2055" s="4">
        <v>45886.250268495365</v>
      </c>
      <c r="E2055" s="2">
        <v>3.76</v>
      </c>
      <c r="F2055" s="2">
        <v>72.900000000000006</v>
      </c>
      <c r="G2055" s="2" t="s">
        <v>983</v>
      </c>
      <c r="H2055" s="2" t="s">
        <v>984</v>
      </c>
      <c r="I2055" s="2"/>
      <c r="J2055" s="2" t="s">
        <v>32</v>
      </c>
    </row>
    <row r="2056" spans="1:10" ht="21" customHeight="1">
      <c r="A2056" s="2" t="s">
        <v>3048</v>
      </c>
      <c r="B2056" s="2" t="s">
        <v>32</v>
      </c>
      <c r="C2056" s="4">
        <v>45887.25</v>
      </c>
      <c r="D2056" s="4">
        <v>45887.250182280091</v>
      </c>
      <c r="E2056" s="2">
        <v>3.78</v>
      </c>
      <c r="F2056" s="2">
        <v>72.599999999999994</v>
      </c>
      <c r="G2056" s="2" t="s">
        <v>983</v>
      </c>
      <c r="H2056" s="2" t="s">
        <v>984</v>
      </c>
      <c r="I2056" s="2"/>
      <c r="J2056" s="2" t="s">
        <v>32</v>
      </c>
    </row>
    <row r="2057" spans="1:10" ht="21" customHeight="1">
      <c r="A2057" s="2" t="s">
        <v>3049</v>
      </c>
      <c r="B2057" s="2" t="s">
        <v>32</v>
      </c>
      <c r="C2057" s="4">
        <v>45888.25</v>
      </c>
      <c r="D2057" s="4">
        <v>45888.250653680559</v>
      </c>
      <c r="E2057" s="2">
        <v>3.23</v>
      </c>
      <c r="F2057" s="2">
        <v>74.7</v>
      </c>
      <c r="G2057" s="2" t="s">
        <v>983</v>
      </c>
      <c r="H2057" s="2" t="s">
        <v>984</v>
      </c>
      <c r="I2057" s="2"/>
      <c r="J2057" s="2" t="s">
        <v>32</v>
      </c>
    </row>
    <row r="2058" spans="1:10" ht="21" customHeight="1">
      <c r="A2058" s="2" t="s">
        <v>3050</v>
      </c>
      <c r="B2058" s="2" t="s">
        <v>32</v>
      </c>
      <c r="C2058" s="4">
        <v>45889.25</v>
      </c>
      <c r="D2058" s="4">
        <v>45889.250219837966</v>
      </c>
      <c r="E2058" s="2">
        <v>3.88</v>
      </c>
      <c r="F2058" s="2">
        <v>75</v>
      </c>
      <c r="G2058" s="2" t="s">
        <v>983</v>
      </c>
      <c r="H2058" s="2" t="s">
        <v>984</v>
      </c>
      <c r="I2058" s="2"/>
      <c r="J2058" s="2" t="s">
        <v>32</v>
      </c>
    </row>
    <row r="2059" spans="1:10" ht="21" customHeight="1">
      <c r="A2059" s="2" t="s">
        <v>3051</v>
      </c>
      <c r="B2059" s="2" t="s">
        <v>32</v>
      </c>
      <c r="C2059" s="4">
        <v>45890.25</v>
      </c>
      <c r="D2059" s="4">
        <v>45890.2504821412</v>
      </c>
      <c r="E2059" s="2">
        <v>3.2</v>
      </c>
      <c r="F2059" s="2">
        <v>78.2</v>
      </c>
      <c r="G2059" s="2" t="s">
        <v>983</v>
      </c>
      <c r="H2059" s="2" t="s">
        <v>984</v>
      </c>
      <c r="I2059" s="2"/>
      <c r="J2059" s="2" t="s">
        <v>32</v>
      </c>
    </row>
    <row r="2060" spans="1:10" ht="21" customHeight="1">
      <c r="A2060" s="2" t="s">
        <v>3052</v>
      </c>
      <c r="B2060" s="2" t="s">
        <v>32</v>
      </c>
      <c r="C2060" s="4">
        <v>45891.25</v>
      </c>
      <c r="D2060" s="4">
        <v>45891.250357488425</v>
      </c>
      <c r="E2060" s="2">
        <v>3.68</v>
      </c>
      <c r="F2060" s="2">
        <v>78.400000000000006</v>
      </c>
      <c r="G2060" s="2" t="s">
        <v>983</v>
      </c>
      <c r="H2060" s="2" t="s">
        <v>984</v>
      </c>
      <c r="I2060" s="2"/>
      <c r="J2060" s="2" t="s">
        <v>32</v>
      </c>
    </row>
    <row r="2061" spans="1:10" ht="21" customHeight="1">
      <c r="A2061" s="2" t="s">
        <v>3053</v>
      </c>
      <c r="B2061" s="2" t="s">
        <v>32</v>
      </c>
      <c r="C2061" s="4">
        <v>45892.25</v>
      </c>
      <c r="D2061" s="4">
        <v>45892.250298831015</v>
      </c>
      <c r="E2061" s="2">
        <v>3.07</v>
      </c>
      <c r="F2061" s="2">
        <v>74.599999999999994</v>
      </c>
      <c r="G2061" s="2" t="s">
        <v>983</v>
      </c>
      <c r="H2061" s="2" t="s">
        <v>984</v>
      </c>
      <c r="I2061" s="2"/>
      <c r="J2061" s="2" t="s">
        <v>32</v>
      </c>
    </row>
    <row r="2062" spans="1:10" ht="21" customHeight="1">
      <c r="A2062" s="2" t="s">
        <v>3054</v>
      </c>
      <c r="B2062" s="2" t="s">
        <v>32</v>
      </c>
      <c r="C2062" s="4">
        <v>45893.25</v>
      </c>
      <c r="D2062" s="4">
        <v>45893.250567766205</v>
      </c>
      <c r="E2062" s="2">
        <v>2.81</v>
      </c>
      <c r="F2062" s="2">
        <v>72</v>
      </c>
      <c r="G2062" s="2" t="s">
        <v>983</v>
      </c>
      <c r="H2062" s="2" t="s">
        <v>984</v>
      </c>
      <c r="I2062" s="2"/>
      <c r="J2062" s="2" t="s">
        <v>32</v>
      </c>
    </row>
    <row r="2063" spans="1:10" ht="21" customHeight="1">
      <c r="A2063" s="2" t="s">
        <v>3055</v>
      </c>
      <c r="B2063" s="2" t="s">
        <v>32</v>
      </c>
      <c r="C2063" s="4">
        <v>45894.25</v>
      </c>
      <c r="D2063" s="4">
        <v>45894.250008263887</v>
      </c>
      <c r="E2063" s="2">
        <v>2.82</v>
      </c>
      <c r="F2063" s="2">
        <v>75</v>
      </c>
      <c r="G2063" s="2" t="s">
        <v>983</v>
      </c>
      <c r="H2063" s="2" t="s">
        <v>984</v>
      </c>
      <c r="I2063" s="2"/>
      <c r="J2063" s="2" t="s">
        <v>32</v>
      </c>
    </row>
    <row r="2064" spans="1:10" ht="21" customHeight="1">
      <c r="A2064" s="2" t="s">
        <v>3056</v>
      </c>
      <c r="B2064" s="2" t="s">
        <v>32</v>
      </c>
      <c r="C2064" s="4">
        <v>45895.25</v>
      </c>
      <c r="D2064" s="4">
        <v>45895.25028375</v>
      </c>
      <c r="E2064" s="2">
        <v>3.47</v>
      </c>
      <c r="F2064" s="2">
        <v>74.8</v>
      </c>
      <c r="G2064" s="2" t="s">
        <v>983</v>
      </c>
      <c r="H2064" s="2" t="s">
        <v>984</v>
      </c>
      <c r="I2064" s="2"/>
      <c r="J2064" s="2" t="s">
        <v>32</v>
      </c>
    </row>
    <row r="2065" spans="1:10" ht="21" customHeight="1">
      <c r="A2065" s="2" t="s">
        <v>3057</v>
      </c>
      <c r="B2065" s="2" t="s">
        <v>32</v>
      </c>
      <c r="C2065" s="4">
        <v>45896.25</v>
      </c>
      <c r="D2065" s="4">
        <v>45896.250451990738</v>
      </c>
      <c r="E2065" s="2">
        <v>3.29</v>
      </c>
      <c r="F2065" s="2">
        <v>78.400000000000006</v>
      </c>
      <c r="G2065" s="2" t="s">
        <v>983</v>
      </c>
      <c r="H2065" s="2" t="s">
        <v>984</v>
      </c>
      <c r="I2065" s="2" t="s">
        <v>985</v>
      </c>
      <c r="J2065" s="2" t="s">
        <v>32</v>
      </c>
    </row>
    <row r="2066" spans="1:10" ht="21" customHeight="1">
      <c r="A2066" s="2" t="s">
        <v>3058</v>
      </c>
      <c r="B2066" s="2" t="s">
        <v>32</v>
      </c>
      <c r="C2066" s="4">
        <v>45897.25</v>
      </c>
      <c r="D2066" s="4">
        <v>45897.250025208334</v>
      </c>
      <c r="E2066" s="2">
        <v>2.96</v>
      </c>
      <c r="F2066" s="2">
        <v>75.400000000000006</v>
      </c>
      <c r="G2066" s="2" t="s">
        <v>983</v>
      </c>
      <c r="H2066" s="2" t="s">
        <v>984</v>
      </c>
      <c r="I2066" s="2"/>
      <c r="J2066" s="2" t="s">
        <v>32</v>
      </c>
    </row>
    <row r="2067" spans="1:10" ht="21" customHeight="1">
      <c r="A2067" s="2" t="s">
        <v>3059</v>
      </c>
      <c r="B2067" s="2" t="s">
        <v>32</v>
      </c>
      <c r="C2067" s="4">
        <v>45898.25</v>
      </c>
      <c r="D2067" s="4">
        <v>45898.250528668985</v>
      </c>
      <c r="E2067" s="2">
        <v>3.43</v>
      </c>
      <c r="F2067" s="2">
        <v>79.8</v>
      </c>
      <c r="G2067" s="2" t="s">
        <v>983</v>
      </c>
      <c r="H2067" s="2" t="s">
        <v>984</v>
      </c>
      <c r="I2067" s="2"/>
      <c r="J2067" s="2" t="s">
        <v>32</v>
      </c>
    </row>
    <row r="2068" spans="1:10" ht="21" customHeight="1">
      <c r="A2068" s="2" t="s">
        <v>3060</v>
      </c>
      <c r="B2068" s="2" t="s">
        <v>32</v>
      </c>
      <c r="C2068" s="4">
        <v>45899.25</v>
      </c>
      <c r="D2068" s="4">
        <v>45899.250674826384</v>
      </c>
      <c r="E2068" s="2">
        <v>3.35</v>
      </c>
      <c r="F2068" s="2">
        <v>79</v>
      </c>
      <c r="G2068" s="2" t="s">
        <v>983</v>
      </c>
      <c r="H2068" s="2" t="s">
        <v>984</v>
      </c>
      <c r="I2068" s="2"/>
      <c r="J2068" s="2" t="s">
        <v>32</v>
      </c>
    </row>
    <row r="2069" spans="1:10" ht="21" customHeight="1">
      <c r="A2069" s="2" t="s">
        <v>3061</v>
      </c>
      <c r="B2069" s="2" t="s">
        <v>32</v>
      </c>
      <c r="C2069" s="4">
        <v>45900.25</v>
      </c>
      <c r="D2069" s="4">
        <v>45900.25036258102</v>
      </c>
      <c r="E2069" s="2">
        <v>3.47</v>
      </c>
      <c r="F2069" s="2">
        <v>73</v>
      </c>
      <c r="G2069" s="2" t="s">
        <v>983</v>
      </c>
      <c r="H2069" s="2" t="s">
        <v>984</v>
      </c>
      <c r="I2069" s="2"/>
      <c r="J2069" s="2" t="s">
        <v>32</v>
      </c>
    </row>
    <row r="2070" spans="1:10" ht="21" customHeight="1">
      <c r="A2070" s="2" t="s">
        <v>3062</v>
      </c>
      <c r="B2070" s="2" t="s">
        <v>32</v>
      </c>
      <c r="C2070" s="4">
        <v>45901.25</v>
      </c>
      <c r="D2070" s="4">
        <v>45901.250514826388</v>
      </c>
      <c r="E2070" s="2">
        <v>3.78</v>
      </c>
      <c r="F2070" s="2">
        <v>77.599999999999994</v>
      </c>
      <c r="G2070" s="2" t="s">
        <v>983</v>
      </c>
      <c r="H2070" s="2" t="s">
        <v>984</v>
      </c>
      <c r="I2070" s="2"/>
      <c r="J2070" s="2" t="s">
        <v>32</v>
      </c>
    </row>
    <row r="2071" spans="1:10" ht="21" customHeight="1">
      <c r="A2071" s="2" t="s">
        <v>3063</v>
      </c>
      <c r="B2071" s="2" t="s">
        <v>32</v>
      </c>
      <c r="C2071" s="4">
        <v>45902.25</v>
      </c>
      <c r="D2071" s="4">
        <v>45902.250117407406</v>
      </c>
      <c r="E2071" s="2">
        <v>3.71</v>
      </c>
      <c r="F2071" s="2">
        <v>79.8</v>
      </c>
      <c r="G2071" s="2" t="s">
        <v>983</v>
      </c>
      <c r="H2071" s="2" t="s">
        <v>984</v>
      </c>
      <c r="I2071" s="2"/>
      <c r="J2071" s="2" t="s">
        <v>32</v>
      </c>
    </row>
    <row r="2072" spans="1:10" ht="21" customHeight="1">
      <c r="A2072" s="2" t="s">
        <v>3064</v>
      </c>
      <c r="B2072" s="2" t="s">
        <v>32</v>
      </c>
      <c r="C2072" s="4">
        <v>45903.25</v>
      </c>
      <c r="D2072" s="4">
        <v>45903.250494733795</v>
      </c>
      <c r="E2072" s="2"/>
      <c r="F2072" s="2"/>
      <c r="G2072" s="2" t="s">
        <v>983</v>
      </c>
      <c r="H2072" s="2" t="s">
        <v>1066</v>
      </c>
      <c r="I2072" s="2"/>
      <c r="J2072" s="2" t="s">
        <v>32</v>
      </c>
    </row>
    <row r="2073" spans="1:10" ht="21" customHeight="1">
      <c r="A2073" s="2" t="s">
        <v>3065</v>
      </c>
      <c r="B2073" s="2" t="s">
        <v>32</v>
      </c>
      <c r="C2073" s="4">
        <v>45904.25</v>
      </c>
      <c r="D2073" s="4">
        <v>45904.250345347224</v>
      </c>
      <c r="E2073" s="2">
        <v>3.07</v>
      </c>
      <c r="F2073" s="2">
        <v>76</v>
      </c>
      <c r="G2073" s="2" t="s">
        <v>983</v>
      </c>
      <c r="H2073" s="2" t="s">
        <v>984</v>
      </c>
      <c r="I2073" s="2"/>
      <c r="J2073" s="2" t="s">
        <v>32</v>
      </c>
    </row>
    <row r="2074" spans="1:10" ht="21" customHeight="1">
      <c r="A2074" s="2" t="s">
        <v>3066</v>
      </c>
      <c r="B2074" s="2" t="s">
        <v>32</v>
      </c>
      <c r="C2074" s="4">
        <v>45905.25</v>
      </c>
      <c r="D2074" s="4">
        <v>45905.250539490742</v>
      </c>
      <c r="E2074" s="2"/>
      <c r="F2074" s="2"/>
      <c r="G2074" s="2" t="s">
        <v>983</v>
      </c>
      <c r="H2074" s="2" t="s">
        <v>1066</v>
      </c>
      <c r="I2074" s="2"/>
      <c r="J2074" s="2" t="s">
        <v>32</v>
      </c>
    </row>
    <row r="2075" spans="1:10" ht="21" customHeight="1">
      <c r="A2075" s="2" t="s">
        <v>3067</v>
      </c>
      <c r="B2075" s="2" t="s">
        <v>32</v>
      </c>
      <c r="C2075" s="4">
        <v>45906.25</v>
      </c>
      <c r="D2075" s="4">
        <v>45906.250597812497</v>
      </c>
      <c r="E2075" s="2">
        <v>5.39</v>
      </c>
      <c r="F2075" s="2">
        <v>79.599999999999994</v>
      </c>
      <c r="G2075" s="2" t="s">
        <v>983</v>
      </c>
      <c r="H2075" s="2" t="s">
        <v>984</v>
      </c>
      <c r="I2075" s="2" t="s">
        <v>1053</v>
      </c>
      <c r="J2075" s="2" t="s">
        <v>32</v>
      </c>
    </row>
    <row r="2076" spans="1:10" ht="21" customHeight="1">
      <c r="A2076" s="2" t="s">
        <v>3068</v>
      </c>
      <c r="B2076" s="2" t="s">
        <v>32</v>
      </c>
      <c r="C2076" s="4">
        <v>45907.25</v>
      </c>
      <c r="D2076" s="4">
        <v>45907.250269236116</v>
      </c>
      <c r="E2076" s="2">
        <v>6.12</v>
      </c>
      <c r="F2076" s="2">
        <v>82.8</v>
      </c>
      <c r="G2076" s="2" t="s">
        <v>983</v>
      </c>
      <c r="H2076" s="2" t="s">
        <v>984</v>
      </c>
      <c r="I2076" s="2"/>
      <c r="J2076" s="2" t="s">
        <v>32</v>
      </c>
    </row>
    <row r="2077" spans="1:10" ht="21" customHeight="1">
      <c r="A2077" s="2" t="s">
        <v>3069</v>
      </c>
      <c r="B2077" s="2" t="s">
        <v>32</v>
      </c>
      <c r="C2077" s="4">
        <v>45908.25</v>
      </c>
      <c r="D2077" s="4">
        <v>45908.250570717588</v>
      </c>
      <c r="E2077" s="2">
        <v>0</v>
      </c>
      <c r="F2077" s="2">
        <v>72.8</v>
      </c>
      <c r="G2077" s="2" t="s">
        <v>1175</v>
      </c>
      <c r="H2077" s="2" t="s">
        <v>984</v>
      </c>
      <c r="I2077" s="2"/>
      <c r="J2077" s="2" t="s">
        <v>32</v>
      </c>
    </row>
    <row r="2078" spans="1:10" ht="21" customHeight="1">
      <c r="A2078" s="2" t="s">
        <v>3070</v>
      </c>
      <c r="B2078" s="2" t="s">
        <v>32</v>
      </c>
      <c r="C2078" s="4">
        <v>45909.25</v>
      </c>
      <c r="D2078" s="4">
        <v>45909.250269189812</v>
      </c>
      <c r="E2078" s="2"/>
      <c r="F2078" s="2"/>
      <c r="G2078" s="2" t="s">
        <v>983</v>
      </c>
      <c r="H2078" s="2" t="s">
        <v>1066</v>
      </c>
      <c r="I2078" s="2"/>
      <c r="J2078" s="2" t="s">
        <v>32</v>
      </c>
    </row>
    <row r="2079" spans="1:10" ht="21" customHeight="1">
      <c r="A2079" s="2" t="s">
        <v>3071</v>
      </c>
      <c r="B2079" s="2" t="s">
        <v>32</v>
      </c>
      <c r="C2079" s="4">
        <v>45910.25</v>
      </c>
      <c r="D2079" s="4">
        <v>45910.250203807867</v>
      </c>
      <c r="E2079" s="2">
        <v>3.08</v>
      </c>
      <c r="F2079" s="2">
        <v>78.3</v>
      </c>
      <c r="G2079" s="2" t="s">
        <v>983</v>
      </c>
      <c r="H2079" s="2" t="s">
        <v>984</v>
      </c>
      <c r="I2079" s="2"/>
      <c r="J2079" s="2" t="s">
        <v>32</v>
      </c>
    </row>
    <row r="2080" spans="1:10" ht="21" customHeight="1">
      <c r="A2080" s="2" t="s">
        <v>3072</v>
      </c>
      <c r="B2080" s="2" t="s">
        <v>32</v>
      </c>
      <c r="C2080" s="4">
        <v>45911.25</v>
      </c>
      <c r="D2080" s="4">
        <v>45911.250195104163</v>
      </c>
      <c r="E2080" s="2">
        <v>3.23</v>
      </c>
      <c r="F2080" s="2">
        <v>76.400000000000006</v>
      </c>
      <c r="G2080" s="2" t="s">
        <v>983</v>
      </c>
      <c r="H2080" s="2" t="s">
        <v>984</v>
      </c>
      <c r="I2080" s="2"/>
      <c r="J2080" s="2" t="s">
        <v>32</v>
      </c>
    </row>
    <row r="2081" spans="1:10" ht="21" customHeight="1">
      <c r="A2081" s="2" t="s">
        <v>3073</v>
      </c>
      <c r="B2081" s="2" t="s">
        <v>32</v>
      </c>
      <c r="C2081" s="4">
        <v>45912.25</v>
      </c>
      <c r="D2081" s="4">
        <v>45912.250010578704</v>
      </c>
      <c r="E2081" s="2">
        <v>3.81</v>
      </c>
      <c r="F2081" s="2">
        <v>76.5</v>
      </c>
      <c r="G2081" s="2" t="s">
        <v>983</v>
      </c>
      <c r="H2081" s="2" t="s">
        <v>984</v>
      </c>
      <c r="I2081" s="2"/>
      <c r="J2081" s="2" t="s">
        <v>32</v>
      </c>
    </row>
    <row r="2082" spans="1:10" ht="21" customHeight="1">
      <c r="A2082" s="2" t="s">
        <v>3074</v>
      </c>
      <c r="B2082" s="2" t="s">
        <v>32</v>
      </c>
      <c r="C2082" s="4">
        <v>45913.25</v>
      </c>
      <c r="D2082" s="4">
        <v>45913.250245474541</v>
      </c>
      <c r="E2082" s="2">
        <v>2.85</v>
      </c>
      <c r="F2082" s="2">
        <v>73.400000000000006</v>
      </c>
      <c r="G2082" s="2" t="s">
        <v>983</v>
      </c>
      <c r="H2082" s="2" t="s">
        <v>984</v>
      </c>
      <c r="I2082" s="2" t="s">
        <v>985</v>
      </c>
      <c r="J2082" s="2" t="s">
        <v>32</v>
      </c>
    </row>
    <row r="2083" spans="1:10" ht="21" customHeight="1">
      <c r="A2083" s="2" t="s">
        <v>3075</v>
      </c>
      <c r="B2083" s="2" t="s">
        <v>32</v>
      </c>
      <c r="C2083" s="4">
        <v>45914.25</v>
      </c>
      <c r="D2083" s="4">
        <v>45914.25043969907</v>
      </c>
      <c r="E2083" s="2">
        <v>3.73</v>
      </c>
      <c r="F2083" s="2">
        <v>79.2</v>
      </c>
      <c r="G2083" s="2" t="s">
        <v>983</v>
      </c>
      <c r="H2083" s="2" t="s">
        <v>984</v>
      </c>
      <c r="I2083" s="2"/>
      <c r="J2083" s="2" t="s">
        <v>32</v>
      </c>
    </row>
    <row r="2084" spans="1:10" ht="21" customHeight="1">
      <c r="A2084" s="2" t="s">
        <v>3076</v>
      </c>
      <c r="B2084" s="2" t="s">
        <v>32</v>
      </c>
      <c r="C2084" s="4">
        <v>45915.25</v>
      </c>
      <c r="D2084" s="4">
        <v>45915.250138564814</v>
      </c>
      <c r="E2084" s="2">
        <v>3.89</v>
      </c>
      <c r="F2084" s="2">
        <v>75</v>
      </c>
      <c r="G2084" s="2" t="s">
        <v>983</v>
      </c>
      <c r="H2084" s="2" t="s">
        <v>984</v>
      </c>
      <c r="I2084" s="2"/>
      <c r="J2084" s="2" t="s">
        <v>32</v>
      </c>
    </row>
    <row r="2085" spans="1:10" ht="21" customHeight="1">
      <c r="A2085" s="2" t="s">
        <v>3077</v>
      </c>
      <c r="B2085" s="2" t="s">
        <v>32</v>
      </c>
      <c r="C2085" s="4">
        <v>45916.25</v>
      </c>
      <c r="D2085" s="4">
        <v>45916.250062430554</v>
      </c>
      <c r="E2085" s="2">
        <v>3.84</v>
      </c>
      <c r="F2085" s="2">
        <v>74.2</v>
      </c>
      <c r="G2085" s="2" t="s">
        <v>983</v>
      </c>
      <c r="H2085" s="2" t="s">
        <v>984</v>
      </c>
      <c r="I2085" s="2"/>
      <c r="J2085" s="2" t="s">
        <v>32</v>
      </c>
    </row>
    <row r="2086" spans="1:10" ht="21" customHeight="1">
      <c r="A2086" s="2" t="s">
        <v>3078</v>
      </c>
      <c r="B2086" s="2" t="s">
        <v>32</v>
      </c>
      <c r="C2086" s="4">
        <v>45917.25</v>
      </c>
      <c r="D2086" s="4">
        <v>45917.25062230324</v>
      </c>
      <c r="E2086" s="2">
        <v>2.82</v>
      </c>
      <c r="F2086" s="2">
        <v>76</v>
      </c>
      <c r="G2086" s="2" t="s">
        <v>983</v>
      </c>
      <c r="H2086" s="2" t="s">
        <v>984</v>
      </c>
      <c r="I2086" s="2"/>
      <c r="J2086" s="2" t="s">
        <v>32</v>
      </c>
    </row>
    <row r="2087" spans="1:10" ht="21" customHeight="1">
      <c r="A2087" s="2" t="s">
        <v>3079</v>
      </c>
      <c r="B2087" s="2" t="s">
        <v>32</v>
      </c>
      <c r="C2087" s="4">
        <v>45918.25</v>
      </c>
      <c r="D2087" s="4">
        <v>45918.250574120371</v>
      </c>
      <c r="E2087" s="2">
        <v>3.21</v>
      </c>
      <c r="F2087" s="2">
        <v>72.7</v>
      </c>
      <c r="G2087" s="2" t="s">
        <v>983</v>
      </c>
      <c r="H2087" s="2" t="s">
        <v>984</v>
      </c>
      <c r="I2087" s="2"/>
      <c r="J2087" s="2" t="s">
        <v>32</v>
      </c>
    </row>
    <row r="2088" spans="1:10" ht="21" customHeight="1">
      <c r="A2088" s="2" t="s">
        <v>3080</v>
      </c>
      <c r="B2088" s="2" t="s">
        <v>32</v>
      </c>
      <c r="C2088" s="4">
        <v>45919.25</v>
      </c>
      <c r="D2088" s="4">
        <v>45919.250486435187</v>
      </c>
      <c r="E2088" s="2"/>
      <c r="F2088" s="2"/>
      <c r="G2088" s="2" t="s">
        <v>983</v>
      </c>
      <c r="H2088" s="2" t="s">
        <v>1066</v>
      </c>
      <c r="I2088" s="2"/>
      <c r="J2088" s="2" t="s">
        <v>32</v>
      </c>
    </row>
    <row r="2089" spans="1:10" ht="21" customHeight="1">
      <c r="A2089" s="2" t="s">
        <v>3081</v>
      </c>
      <c r="B2089" s="2" t="s">
        <v>32</v>
      </c>
      <c r="C2089" s="4">
        <v>45920.25</v>
      </c>
      <c r="D2089" s="4">
        <v>45920.250196643523</v>
      </c>
      <c r="E2089" s="2"/>
      <c r="F2089" s="2"/>
      <c r="G2089" s="2" t="s">
        <v>983</v>
      </c>
      <c r="H2089" s="2" t="s">
        <v>1066</v>
      </c>
      <c r="I2089" s="2"/>
      <c r="J2089" s="2" t="s">
        <v>32</v>
      </c>
    </row>
    <row r="2090" spans="1:10" ht="21" customHeight="1">
      <c r="A2090" s="2" t="s">
        <v>3082</v>
      </c>
      <c r="B2090" s="2" t="s">
        <v>32</v>
      </c>
      <c r="C2090" s="4">
        <v>45921.25</v>
      </c>
      <c r="D2090" s="4">
        <v>45921.250317673606</v>
      </c>
      <c r="E2090" s="2">
        <v>3.41</v>
      </c>
      <c r="F2090" s="2">
        <v>75.8</v>
      </c>
      <c r="G2090" s="2" t="s">
        <v>983</v>
      </c>
      <c r="H2090" s="2" t="s">
        <v>984</v>
      </c>
      <c r="I2090" s="2"/>
      <c r="J2090" s="2" t="s">
        <v>32</v>
      </c>
    </row>
    <row r="2091" spans="1:10" ht="21" customHeight="1">
      <c r="A2091" s="2" t="s">
        <v>3083</v>
      </c>
      <c r="B2091" s="2" t="s">
        <v>32</v>
      </c>
      <c r="C2091" s="4">
        <v>45922.25</v>
      </c>
      <c r="D2091" s="4">
        <v>45922.250241435184</v>
      </c>
      <c r="E2091" s="2">
        <v>3.34</v>
      </c>
      <c r="F2091" s="2">
        <v>79</v>
      </c>
      <c r="G2091" s="2" t="s">
        <v>983</v>
      </c>
      <c r="H2091" s="2" t="s">
        <v>984</v>
      </c>
      <c r="I2091" s="2"/>
      <c r="J2091" s="2" t="s">
        <v>32</v>
      </c>
    </row>
    <row r="2092" spans="1:10" ht="21" customHeight="1">
      <c r="A2092" s="2" t="s">
        <v>3084</v>
      </c>
      <c r="B2092" s="2" t="s">
        <v>32</v>
      </c>
      <c r="C2092" s="4">
        <v>45923.25</v>
      </c>
      <c r="D2092" s="4">
        <v>45923.250512094906</v>
      </c>
      <c r="E2092" s="2">
        <v>2.92</v>
      </c>
      <c r="F2092" s="2">
        <v>72.099999999999994</v>
      </c>
      <c r="G2092" s="2" t="s">
        <v>983</v>
      </c>
      <c r="H2092" s="2" t="s">
        <v>984</v>
      </c>
      <c r="I2092" s="2"/>
      <c r="J2092" s="2" t="s">
        <v>32</v>
      </c>
    </row>
    <row r="2093" spans="1:10" ht="21" customHeight="1">
      <c r="A2093" s="2" t="s">
        <v>3085</v>
      </c>
      <c r="B2093" s="2" t="s">
        <v>2839</v>
      </c>
      <c r="C2093" s="4">
        <v>45924.25</v>
      </c>
      <c r="D2093" s="4">
        <v>45924.250612905089</v>
      </c>
      <c r="E2093" s="2">
        <v>3.82</v>
      </c>
      <c r="F2093" s="2">
        <v>72.8</v>
      </c>
      <c r="G2093" s="2" t="s">
        <v>983</v>
      </c>
      <c r="H2093" s="2" t="s">
        <v>984</v>
      </c>
      <c r="I2093" s="2"/>
      <c r="J2093" s="2" t="s">
        <v>32</v>
      </c>
    </row>
    <row r="2094" spans="1:10" ht="21" customHeight="1">
      <c r="A2094" s="2" t="s">
        <v>3086</v>
      </c>
      <c r="B2094" s="2" t="s">
        <v>32</v>
      </c>
      <c r="C2094" s="4">
        <v>45925.25</v>
      </c>
      <c r="D2094" s="4">
        <v>45925.250284108799</v>
      </c>
      <c r="E2094" s="2">
        <v>3.27</v>
      </c>
      <c r="F2094" s="2">
        <v>72.7</v>
      </c>
      <c r="G2094" s="2" t="s">
        <v>983</v>
      </c>
      <c r="H2094" s="2" t="s">
        <v>984</v>
      </c>
      <c r="I2094" s="2"/>
      <c r="J2094" s="2" t="s">
        <v>32</v>
      </c>
    </row>
    <row r="2095" spans="1:10" ht="21" customHeight="1">
      <c r="A2095" s="2" t="s">
        <v>3087</v>
      </c>
      <c r="B2095" s="2" t="s">
        <v>32</v>
      </c>
      <c r="C2095" s="4">
        <v>45926.25</v>
      </c>
      <c r="D2095" s="4">
        <v>45926.250077465273</v>
      </c>
      <c r="E2095" s="2">
        <v>3.88</v>
      </c>
      <c r="F2095" s="2">
        <v>77.599999999999994</v>
      </c>
      <c r="G2095" s="2" t="s">
        <v>983</v>
      </c>
      <c r="H2095" s="2" t="s">
        <v>984</v>
      </c>
      <c r="I2095" s="2"/>
      <c r="J2095" s="2" t="s">
        <v>32</v>
      </c>
    </row>
    <row r="2096" spans="1:10" ht="21" customHeight="1">
      <c r="A2096" s="2" t="s">
        <v>3088</v>
      </c>
      <c r="B2096" s="2" t="s">
        <v>32</v>
      </c>
      <c r="C2096" s="4">
        <v>45927.25</v>
      </c>
      <c r="D2096" s="4">
        <v>45927.250139421296</v>
      </c>
      <c r="E2096" s="2">
        <v>3.36</v>
      </c>
      <c r="F2096" s="2">
        <v>77.599999999999994</v>
      </c>
      <c r="G2096" s="2" t="s">
        <v>983</v>
      </c>
      <c r="H2096" s="2" t="s">
        <v>984</v>
      </c>
      <c r="I2096" s="2"/>
      <c r="J2096" s="2" t="s">
        <v>32</v>
      </c>
    </row>
    <row r="2097" spans="1:10" ht="21" customHeight="1">
      <c r="A2097" s="2" t="s">
        <v>3089</v>
      </c>
      <c r="B2097" s="2" t="s">
        <v>32</v>
      </c>
      <c r="C2097" s="4">
        <v>45928.25</v>
      </c>
      <c r="D2097" s="4">
        <v>45928.250402986116</v>
      </c>
      <c r="E2097" s="2">
        <v>3.61</v>
      </c>
      <c r="F2097" s="2">
        <v>79.599999999999994</v>
      </c>
      <c r="G2097" s="2" t="s">
        <v>983</v>
      </c>
      <c r="H2097" s="2" t="s">
        <v>984</v>
      </c>
      <c r="I2097" s="2"/>
      <c r="J2097" s="2" t="s">
        <v>32</v>
      </c>
    </row>
    <row r="2098" spans="1:10" ht="21" customHeight="1">
      <c r="A2098" s="2" t="s">
        <v>3090</v>
      </c>
      <c r="B2098" s="2" t="s">
        <v>32</v>
      </c>
      <c r="C2098" s="4">
        <v>45929.25</v>
      </c>
      <c r="D2098" s="4">
        <v>45929.250436284725</v>
      </c>
      <c r="E2098" s="2">
        <v>3.69</v>
      </c>
      <c r="F2098" s="2">
        <v>75.7</v>
      </c>
      <c r="G2098" s="2" t="s">
        <v>983</v>
      </c>
      <c r="H2098" s="2" t="s">
        <v>984</v>
      </c>
      <c r="I2098" s="2"/>
      <c r="J2098" s="2" t="s">
        <v>32</v>
      </c>
    </row>
    <row r="2099" spans="1:10" ht="21" customHeight="1">
      <c r="A2099" s="2" t="s">
        <v>3091</v>
      </c>
      <c r="B2099" s="2" t="s">
        <v>32</v>
      </c>
      <c r="C2099" s="4">
        <v>45930.25</v>
      </c>
      <c r="D2099" s="4">
        <v>45930.250100925929</v>
      </c>
      <c r="E2099" s="2">
        <v>2.84</v>
      </c>
      <c r="F2099" s="2">
        <v>77</v>
      </c>
      <c r="G2099" s="2" t="s">
        <v>983</v>
      </c>
      <c r="H2099" s="2" t="s">
        <v>984</v>
      </c>
      <c r="I2099" s="2" t="s">
        <v>985</v>
      </c>
      <c r="J2099" s="2" t="s">
        <v>32</v>
      </c>
    </row>
    <row r="2100" spans="1:10" ht="21" customHeight="1">
      <c r="A2100" s="2" t="s">
        <v>3092</v>
      </c>
      <c r="B2100" s="2" t="s">
        <v>32</v>
      </c>
      <c r="C2100" s="4">
        <v>45931.25</v>
      </c>
      <c r="D2100" s="4">
        <v>45931.250543668983</v>
      </c>
      <c r="E2100" s="2">
        <v>3.62</v>
      </c>
      <c r="F2100" s="2">
        <v>78.2</v>
      </c>
      <c r="G2100" s="2" t="s">
        <v>983</v>
      </c>
      <c r="H2100" s="2" t="s">
        <v>984</v>
      </c>
      <c r="I2100" s="2"/>
      <c r="J2100" s="2" t="s">
        <v>32</v>
      </c>
    </row>
    <row r="2101" spans="1:10" ht="21" customHeight="1">
      <c r="A2101" s="2" t="s">
        <v>3093</v>
      </c>
      <c r="B2101" s="2" t="s">
        <v>32</v>
      </c>
      <c r="C2101" s="4">
        <v>45932.25</v>
      </c>
      <c r="D2101" s="4">
        <v>45932.25004890046</v>
      </c>
      <c r="E2101" s="2">
        <v>3.72</v>
      </c>
      <c r="F2101" s="2">
        <v>78.099999999999994</v>
      </c>
      <c r="G2101" s="2" t="s">
        <v>983</v>
      </c>
      <c r="H2101" s="2" t="s">
        <v>984</v>
      </c>
      <c r="I2101" s="2"/>
      <c r="J2101" s="2" t="s">
        <v>32</v>
      </c>
    </row>
    <row r="2102" spans="1:10" ht="21" customHeight="1">
      <c r="A2102" s="2" t="s">
        <v>3094</v>
      </c>
      <c r="B2102" s="2" t="s">
        <v>32</v>
      </c>
      <c r="C2102" s="4">
        <v>45933.25</v>
      </c>
      <c r="D2102" s="4">
        <v>45933.25047741898</v>
      </c>
      <c r="E2102" s="2">
        <v>3.42</v>
      </c>
      <c r="F2102" s="2">
        <v>76</v>
      </c>
      <c r="G2102" s="2" t="s">
        <v>983</v>
      </c>
      <c r="H2102" s="2" t="s">
        <v>984</v>
      </c>
      <c r="I2102" s="2"/>
      <c r="J2102" s="2" t="s">
        <v>32</v>
      </c>
    </row>
    <row r="2103" spans="1:10" ht="21" customHeight="1">
      <c r="A2103" s="2" t="s">
        <v>3095</v>
      </c>
      <c r="B2103" s="2" t="s">
        <v>32</v>
      </c>
      <c r="C2103" s="4">
        <v>45934.25</v>
      </c>
      <c r="D2103" s="4">
        <v>45934.250265659721</v>
      </c>
      <c r="E2103" s="2"/>
      <c r="F2103" s="2"/>
      <c r="G2103" s="2" t="s">
        <v>983</v>
      </c>
      <c r="H2103" s="2" t="s">
        <v>1066</v>
      </c>
      <c r="I2103" s="2"/>
      <c r="J2103" s="2" t="s">
        <v>32</v>
      </c>
    </row>
    <row r="2104" spans="1:10" ht="21" customHeight="1">
      <c r="A2104" s="2" t="s">
        <v>3096</v>
      </c>
      <c r="B2104" s="2" t="s">
        <v>32</v>
      </c>
      <c r="C2104" s="4">
        <v>45935.25</v>
      </c>
      <c r="D2104" s="4">
        <v>45935.250490254628</v>
      </c>
      <c r="E2104" s="2">
        <v>5.86</v>
      </c>
      <c r="F2104" s="2">
        <v>86.8</v>
      </c>
      <c r="G2104" s="2" t="s">
        <v>983</v>
      </c>
      <c r="H2104" s="2" t="s">
        <v>984</v>
      </c>
      <c r="I2104" s="2"/>
      <c r="J2104" s="2" t="s">
        <v>32</v>
      </c>
    </row>
    <row r="2105" spans="1:10" ht="21" customHeight="1">
      <c r="A2105" s="2" t="s">
        <v>3097</v>
      </c>
      <c r="B2105" s="2" t="s">
        <v>32</v>
      </c>
      <c r="C2105" s="4">
        <v>45936.25</v>
      </c>
      <c r="D2105" s="4">
        <v>45936.250152731482</v>
      </c>
      <c r="E2105" s="2">
        <v>5.81</v>
      </c>
      <c r="F2105" s="2">
        <v>81.3</v>
      </c>
      <c r="G2105" s="2" t="s">
        <v>983</v>
      </c>
      <c r="H2105" s="2" t="s">
        <v>984</v>
      </c>
      <c r="I2105" s="2" t="s">
        <v>1053</v>
      </c>
      <c r="J2105" s="2" t="s">
        <v>32</v>
      </c>
    </row>
    <row r="2106" spans="1:10" ht="21" customHeight="1">
      <c r="A2106" s="2" t="s">
        <v>3098</v>
      </c>
      <c r="B2106" s="2" t="s">
        <v>32</v>
      </c>
      <c r="C2106" s="4">
        <v>45937.25</v>
      </c>
      <c r="D2106" s="4">
        <v>45937.250089849535</v>
      </c>
      <c r="E2106" s="2">
        <v>6.68</v>
      </c>
      <c r="F2106" s="2">
        <v>78.599999999999994</v>
      </c>
      <c r="G2106" s="2" t="s">
        <v>983</v>
      </c>
      <c r="H2106" s="2" t="s">
        <v>984</v>
      </c>
      <c r="I2106" s="2"/>
      <c r="J2106" s="2" t="s">
        <v>32</v>
      </c>
    </row>
    <row r="2107" spans="1:10" ht="21" customHeight="1">
      <c r="A2107" s="2" t="s">
        <v>3099</v>
      </c>
      <c r="B2107" s="2" t="s">
        <v>32</v>
      </c>
      <c r="C2107" s="4">
        <v>45938.25</v>
      </c>
      <c r="D2107" s="4">
        <v>45938.250144305552</v>
      </c>
      <c r="E2107" s="2">
        <v>0</v>
      </c>
      <c r="F2107" s="2">
        <v>79.7</v>
      </c>
      <c r="G2107" s="2" t="s">
        <v>1175</v>
      </c>
      <c r="H2107" s="2" t="s">
        <v>984</v>
      </c>
      <c r="I2107" s="2"/>
      <c r="J2107" s="2" t="s">
        <v>32</v>
      </c>
    </row>
    <row r="2108" spans="1:10" ht="21" customHeight="1">
      <c r="A2108" s="2" t="s">
        <v>3100</v>
      </c>
      <c r="B2108" s="2" t="s">
        <v>32</v>
      </c>
      <c r="C2108" s="4">
        <v>45939.25</v>
      </c>
      <c r="D2108" s="4">
        <v>45939.250460266208</v>
      </c>
      <c r="E2108" s="2">
        <v>3.72</v>
      </c>
      <c r="F2108" s="2">
        <v>78.099999999999994</v>
      </c>
      <c r="G2108" s="2" t="s">
        <v>983</v>
      </c>
      <c r="H2108" s="2" t="s">
        <v>984</v>
      </c>
      <c r="I2108" s="2"/>
      <c r="J2108" s="2" t="s">
        <v>32</v>
      </c>
    </row>
    <row r="2109" spans="1:10" ht="21" customHeight="1">
      <c r="A2109" s="2" t="s">
        <v>3101</v>
      </c>
      <c r="B2109" s="2" t="s">
        <v>32</v>
      </c>
      <c r="C2109" s="4">
        <v>45940.25</v>
      </c>
      <c r="D2109" s="4">
        <v>45940.250315787038</v>
      </c>
      <c r="E2109" s="2">
        <v>3.22</v>
      </c>
      <c r="F2109" s="2">
        <v>72.400000000000006</v>
      </c>
      <c r="G2109" s="2" t="s">
        <v>983</v>
      </c>
      <c r="H2109" s="2" t="s">
        <v>984</v>
      </c>
      <c r="I2109" s="2"/>
      <c r="J2109" s="2" t="s">
        <v>32</v>
      </c>
    </row>
    <row r="2110" spans="1:10" ht="21" customHeight="1">
      <c r="A2110" s="2" t="s">
        <v>3102</v>
      </c>
      <c r="B2110" s="2" t="s">
        <v>32</v>
      </c>
      <c r="C2110" s="4">
        <v>45941.25</v>
      </c>
      <c r="D2110" s="4">
        <v>45941.250262407411</v>
      </c>
      <c r="E2110" s="2">
        <v>3.32</v>
      </c>
      <c r="F2110" s="2">
        <v>72.400000000000006</v>
      </c>
      <c r="G2110" s="2" t="s">
        <v>983</v>
      </c>
      <c r="H2110" s="2" t="s">
        <v>984</v>
      </c>
      <c r="I2110" s="2"/>
      <c r="J2110" s="2" t="s">
        <v>32</v>
      </c>
    </row>
    <row r="2111" spans="1:10" ht="21" customHeight="1">
      <c r="A2111" s="2" t="s">
        <v>3103</v>
      </c>
      <c r="B2111" s="2" t="s">
        <v>32</v>
      </c>
      <c r="C2111" s="4">
        <v>45942.25</v>
      </c>
      <c r="D2111" s="4">
        <v>45942.250514699073</v>
      </c>
      <c r="E2111" s="2">
        <v>3.51</v>
      </c>
      <c r="F2111" s="2">
        <v>76.5</v>
      </c>
      <c r="G2111" s="2" t="s">
        <v>983</v>
      </c>
      <c r="H2111" s="2" t="s">
        <v>984</v>
      </c>
      <c r="I2111" s="2"/>
      <c r="J2111" s="2" t="s">
        <v>32</v>
      </c>
    </row>
    <row r="2112" spans="1:10" ht="21" customHeight="1">
      <c r="A2112" s="2" t="s">
        <v>3104</v>
      </c>
      <c r="B2112" s="2" t="s">
        <v>32</v>
      </c>
      <c r="C2112" s="4">
        <v>45943.25</v>
      </c>
      <c r="D2112" s="4">
        <v>45943.250263807873</v>
      </c>
      <c r="E2112" s="2">
        <v>3.96</v>
      </c>
      <c r="F2112" s="2">
        <v>78.5</v>
      </c>
      <c r="G2112" s="2" t="s">
        <v>983</v>
      </c>
      <c r="H2112" s="2" t="s">
        <v>984</v>
      </c>
      <c r="I2112" s="2"/>
      <c r="J2112" s="2" t="s">
        <v>32</v>
      </c>
    </row>
    <row r="2113" spans="1:10" ht="21" customHeight="1">
      <c r="A2113" s="2" t="s">
        <v>3105</v>
      </c>
      <c r="B2113" s="2" t="s">
        <v>32</v>
      </c>
      <c r="C2113" s="4">
        <v>45944.25</v>
      </c>
      <c r="D2113" s="4">
        <v>45944.25023849537</v>
      </c>
      <c r="E2113" s="2">
        <v>3.14</v>
      </c>
      <c r="F2113" s="2">
        <v>76.599999999999994</v>
      </c>
      <c r="G2113" s="2" t="s">
        <v>983</v>
      </c>
      <c r="H2113" s="2" t="s">
        <v>984</v>
      </c>
      <c r="I2113" s="2"/>
      <c r="J2113" s="2" t="s">
        <v>32</v>
      </c>
    </row>
    <row r="2114" spans="1:10" ht="21" customHeight="1">
      <c r="A2114" s="2" t="s">
        <v>3106</v>
      </c>
      <c r="B2114" s="2" t="s">
        <v>32</v>
      </c>
      <c r="C2114" s="4">
        <v>45945.25</v>
      </c>
      <c r="D2114" s="4">
        <v>45945.250267731477</v>
      </c>
      <c r="E2114" s="2">
        <v>3.9</v>
      </c>
      <c r="F2114" s="2">
        <v>77.2</v>
      </c>
      <c r="G2114" s="2" t="s">
        <v>983</v>
      </c>
      <c r="H2114" s="2" t="s">
        <v>984</v>
      </c>
      <c r="I2114" s="2"/>
      <c r="J2114" s="2" t="s">
        <v>32</v>
      </c>
    </row>
    <row r="2115" spans="1:10" ht="21" customHeight="1">
      <c r="A2115" s="2" t="s">
        <v>3107</v>
      </c>
      <c r="B2115" s="2" t="s">
        <v>32</v>
      </c>
      <c r="C2115" s="4">
        <v>45946.25</v>
      </c>
      <c r="D2115" s="4">
        <v>45946.25050436343</v>
      </c>
      <c r="E2115" s="2">
        <v>3.71</v>
      </c>
      <c r="F2115" s="2">
        <v>78.7</v>
      </c>
      <c r="G2115" s="2" t="s">
        <v>983</v>
      </c>
      <c r="H2115" s="2" t="s">
        <v>984</v>
      </c>
      <c r="I2115" s="2"/>
      <c r="J2115" s="2" t="s">
        <v>32</v>
      </c>
    </row>
    <row r="2116" spans="1:10" ht="21" customHeight="1">
      <c r="A2116" s="2" t="s">
        <v>3108</v>
      </c>
      <c r="B2116" s="2" t="s">
        <v>32</v>
      </c>
      <c r="C2116" s="4">
        <v>45947.25</v>
      </c>
      <c r="D2116" s="4">
        <v>45947.250453333334</v>
      </c>
      <c r="E2116" s="2">
        <v>3.66</v>
      </c>
      <c r="F2116" s="2">
        <v>76</v>
      </c>
      <c r="G2116" s="2" t="s">
        <v>983</v>
      </c>
      <c r="H2116" s="2" t="s">
        <v>984</v>
      </c>
      <c r="I2116" s="2" t="s">
        <v>985</v>
      </c>
      <c r="J2116" s="2" t="s">
        <v>32</v>
      </c>
    </row>
    <row r="2117" spans="1:10" ht="21" customHeight="1">
      <c r="A2117" s="2" t="s">
        <v>3109</v>
      </c>
      <c r="B2117" s="2" t="s">
        <v>32</v>
      </c>
      <c r="C2117" s="4">
        <v>45948.25</v>
      </c>
      <c r="D2117" s="4">
        <v>45948.250007395836</v>
      </c>
      <c r="E2117" s="2">
        <v>5.04</v>
      </c>
      <c r="F2117" s="2">
        <v>81.2</v>
      </c>
      <c r="G2117" s="2" t="s">
        <v>983</v>
      </c>
      <c r="H2117" s="2" t="s">
        <v>984</v>
      </c>
      <c r="I2117" s="2" t="s">
        <v>1053</v>
      </c>
      <c r="J2117" s="2" t="s">
        <v>32</v>
      </c>
    </row>
    <row r="2118" spans="1:10" ht="21" customHeight="1">
      <c r="A2118" s="2" t="s">
        <v>3110</v>
      </c>
      <c r="B2118" s="2" t="s">
        <v>32</v>
      </c>
      <c r="C2118" s="4">
        <v>45949.25</v>
      </c>
      <c r="D2118" s="4">
        <v>45949.250225763884</v>
      </c>
      <c r="E2118" s="2"/>
      <c r="F2118" s="2"/>
      <c r="G2118" s="2" t="s">
        <v>983</v>
      </c>
      <c r="H2118" s="2" t="s">
        <v>1066</v>
      </c>
      <c r="I2118" s="2"/>
      <c r="J2118" s="2" t="s">
        <v>32</v>
      </c>
    </row>
    <row r="2119" spans="1:10" ht="21" customHeight="1">
      <c r="A2119" s="2" t="s">
        <v>3111</v>
      </c>
      <c r="B2119" s="2" t="s">
        <v>32</v>
      </c>
      <c r="C2119" s="4">
        <v>45950.25</v>
      </c>
      <c r="D2119" s="4">
        <v>45950.250428356478</v>
      </c>
      <c r="E2119" s="2">
        <v>5.73</v>
      </c>
      <c r="F2119" s="2">
        <v>88.6</v>
      </c>
      <c r="G2119" s="2" t="s">
        <v>983</v>
      </c>
      <c r="H2119" s="2" t="s">
        <v>984</v>
      </c>
      <c r="I2119" s="2" t="s">
        <v>1053</v>
      </c>
      <c r="J2119" s="2" t="s">
        <v>32</v>
      </c>
    </row>
    <row r="2120" spans="1:10" ht="21" customHeight="1">
      <c r="A2120" s="2" t="s">
        <v>3112</v>
      </c>
      <c r="B2120" s="2" t="s">
        <v>32</v>
      </c>
      <c r="C2120" s="4">
        <v>45951.25</v>
      </c>
      <c r="D2120" s="4">
        <v>45951.250624768523</v>
      </c>
      <c r="E2120" s="2">
        <v>0</v>
      </c>
      <c r="F2120" s="2">
        <v>77.2</v>
      </c>
      <c r="G2120" s="2" t="s">
        <v>1175</v>
      </c>
      <c r="H2120" s="2" t="s">
        <v>984</v>
      </c>
      <c r="I2120" s="2"/>
      <c r="J2120" s="2" t="s">
        <v>32</v>
      </c>
    </row>
    <row r="2121" spans="1:10" ht="21" customHeight="1">
      <c r="A2121" s="2" t="s">
        <v>3113</v>
      </c>
      <c r="B2121" s="2" t="s">
        <v>32</v>
      </c>
      <c r="C2121" s="4">
        <v>45952.25</v>
      </c>
      <c r="D2121" s="4">
        <v>45952.250184594908</v>
      </c>
      <c r="E2121" s="2">
        <v>3.78</v>
      </c>
      <c r="F2121" s="2">
        <v>73.5</v>
      </c>
      <c r="G2121" s="2" t="s">
        <v>983</v>
      </c>
      <c r="H2121" s="2" t="s">
        <v>984</v>
      </c>
      <c r="I2121" s="2"/>
      <c r="J2121" s="2" t="s">
        <v>32</v>
      </c>
    </row>
    <row r="2122" spans="1:10" ht="21" customHeight="1">
      <c r="A2122" s="2" t="s">
        <v>3114</v>
      </c>
      <c r="B2122" s="2" t="s">
        <v>32</v>
      </c>
      <c r="C2122" s="4">
        <v>45953.25</v>
      </c>
      <c r="D2122" s="4">
        <v>45953.250001979162</v>
      </c>
      <c r="E2122" s="2">
        <v>2.86</v>
      </c>
      <c r="F2122" s="2">
        <v>72.099999999999994</v>
      </c>
      <c r="G2122" s="2" t="s">
        <v>983</v>
      </c>
      <c r="H2122" s="2" t="s">
        <v>984</v>
      </c>
      <c r="I2122" s="2"/>
      <c r="J2122" s="2" t="s">
        <v>32</v>
      </c>
    </row>
    <row r="2123" spans="1:10" ht="21" customHeight="1">
      <c r="A2123" s="2" t="s">
        <v>3115</v>
      </c>
      <c r="B2123" s="2" t="s">
        <v>32</v>
      </c>
      <c r="C2123" s="4">
        <v>45954.25</v>
      </c>
      <c r="D2123" s="4">
        <v>45954.250295902777</v>
      </c>
      <c r="E2123" s="2">
        <v>3.94</v>
      </c>
      <c r="F2123" s="2">
        <v>74.5</v>
      </c>
      <c r="G2123" s="2" t="s">
        <v>983</v>
      </c>
      <c r="H2123" s="2" t="s">
        <v>984</v>
      </c>
      <c r="I2123" s="2"/>
      <c r="J2123" s="2" t="s">
        <v>32</v>
      </c>
    </row>
    <row r="2124" spans="1:10" ht="21" customHeight="1">
      <c r="A2124" s="2" t="s">
        <v>3116</v>
      </c>
      <c r="B2124" s="2" t="s">
        <v>32</v>
      </c>
      <c r="C2124" s="4">
        <v>45955.25</v>
      </c>
      <c r="D2124" s="4">
        <v>45955.250360555554</v>
      </c>
      <c r="E2124" s="2">
        <v>3.42</v>
      </c>
      <c r="F2124" s="2">
        <v>73.400000000000006</v>
      </c>
      <c r="G2124" s="2" t="s">
        <v>983</v>
      </c>
      <c r="H2124" s="2" t="s">
        <v>984</v>
      </c>
      <c r="I2124" s="2"/>
      <c r="J2124" s="2" t="s">
        <v>32</v>
      </c>
    </row>
    <row r="2125" spans="1:10" ht="21" customHeight="1">
      <c r="A2125" s="2" t="s">
        <v>3117</v>
      </c>
      <c r="B2125" s="2" t="s">
        <v>32</v>
      </c>
      <c r="C2125" s="4">
        <v>45956.25</v>
      </c>
      <c r="D2125" s="4">
        <v>45956.250252939819</v>
      </c>
      <c r="E2125" s="2">
        <v>3.6</v>
      </c>
      <c r="F2125" s="2">
        <v>78.5</v>
      </c>
      <c r="G2125" s="2" t="s">
        <v>983</v>
      </c>
      <c r="H2125" s="2" t="s">
        <v>984</v>
      </c>
      <c r="I2125" s="2"/>
      <c r="J2125" s="2" t="s">
        <v>32</v>
      </c>
    </row>
    <row r="2126" spans="1:10" ht="21" customHeight="1">
      <c r="A2126" s="2" t="s">
        <v>3118</v>
      </c>
      <c r="B2126" s="2" t="s">
        <v>32</v>
      </c>
      <c r="C2126" s="4">
        <v>45957.25</v>
      </c>
      <c r="D2126" s="4">
        <v>45957.250177812501</v>
      </c>
      <c r="E2126" s="2">
        <v>3</v>
      </c>
      <c r="F2126" s="2">
        <v>72.599999999999994</v>
      </c>
      <c r="G2126" s="2" t="s">
        <v>983</v>
      </c>
      <c r="H2126" s="2" t="s">
        <v>984</v>
      </c>
      <c r="I2126" s="2"/>
      <c r="J2126" s="2" t="s">
        <v>32</v>
      </c>
    </row>
    <row r="2127" spans="1:10" ht="21" customHeight="1">
      <c r="A2127" s="2" t="s">
        <v>3119</v>
      </c>
      <c r="B2127" s="2" t="s">
        <v>32</v>
      </c>
      <c r="C2127" s="4">
        <v>45958.25</v>
      </c>
      <c r="D2127" s="4">
        <v>45958.250580891203</v>
      </c>
      <c r="E2127" s="2">
        <v>3.77</v>
      </c>
      <c r="F2127" s="2">
        <v>79.599999999999994</v>
      </c>
      <c r="G2127" s="2" t="s">
        <v>983</v>
      </c>
      <c r="H2127" s="2" t="s">
        <v>984</v>
      </c>
      <c r="I2127" s="2"/>
      <c r="J2127" s="2" t="s">
        <v>32</v>
      </c>
    </row>
    <row r="2128" spans="1:10" ht="21" customHeight="1">
      <c r="A2128" s="2" t="s">
        <v>3120</v>
      </c>
      <c r="B2128" s="2" t="s">
        <v>32</v>
      </c>
      <c r="C2128" s="4">
        <v>45959.25</v>
      </c>
      <c r="D2128" s="4">
        <v>45959.25063008102</v>
      </c>
      <c r="E2128" s="2">
        <v>3.35</v>
      </c>
      <c r="F2128" s="2">
        <v>77.599999999999994</v>
      </c>
      <c r="G2128" s="2" t="s">
        <v>983</v>
      </c>
      <c r="H2128" s="2" t="s">
        <v>984</v>
      </c>
      <c r="I2128" s="2"/>
      <c r="J2128" s="2" t="s">
        <v>32</v>
      </c>
    </row>
    <row r="2129" spans="1:10" ht="21" customHeight="1">
      <c r="A2129" s="2" t="s">
        <v>3121</v>
      </c>
      <c r="B2129" s="2" t="s">
        <v>32</v>
      </c>
      <c r="C2129" s="4">
        <v>45960.25</v>
      </c>
      <c r="D2129" s="4">
        <v>45960.250296932871</v>
      </c>
      <c r="E2129" s="2">
        <v>3.9</v>
      </c>
      <c r="F2129" s="2">
        <v>77.2</v>
      </c>
      <c r="G2129" s="2" t="s">
        <v>983</v>
      </c>
      <c r="H2129" s="2" t="s">
        <v>984</v>
      </c>
      <c r="I2129" s="2"/>
      <c r="J2129" s="2" t="s">
        <v>32</v>
      </c>
    </row>
    <row r="2130" spans="1:10" ht="21" customHeight="1">
      <c r="A2130" s="2" t="s">
        <v>3122</v>
      </c>
      <c r="B2130" s="2" t="s">
        <v>32</v>
      </c>
      <c r="C2130" s="4">
        <v>45961.25</v>
      </c>
      <c r="D2130" s="4">
        <v>45961.250225706019</v>
      </c>
      <c r="E2130" s="2">
        <v>3.96</v>
      </c>
      <c r="F2130" s="2">
        <v>73.599999999999994</v>
      </c>
      <c r="G2130" s="2" t="s">
        <v>983</v>
      </c>
      <c r="H2130" s="2" t="s">
        <v>984</v>
      </c>
      <c r="I2130" s="2"/>
      <c r="J2130" s="2" t="s">
        <v>32</v>
      </c>
    </row>
    <row r="2131" spans="1:10" ht="21" customHeight="1">
      <c r="A2131" s="2" t="s">
        <v>3123</v>
      </c>
      <c r="B2131" s="2" t="s">
        <v>32</v>
      </c>
      <c r="C2131" s="4">
        <v>45962.25</v>
      </c>
      <c r="D2131" s="4">
        <v>45962.250639050922</v>
      </c>
      <c r="E2131" s="2">
        <v>3.03</v>
      </c>
      <c r="F2131" s="2">
        <v>78.599999999999994</v>
      </c>
      <c r="G2131" s="2" t="s">
        <v>983</v>
      </c>
      <c r="H2131" s="2" t="s">
        <v>984</v>
      </c>
      <c r="I2131" s="2"/>
      <c r="J2131" s="2" t="s">
        <v>32</v>
      </c>
    </row>
    <row r="2132" spans="1:10" ht="21" customHeight="1">
      <c r="A2132" s="2" t="s">
        <v>3124</v>
      </c>
      <c r="B2132" s="2" t="s">
        <v>32</v>
      </c>
      <c r="C2132" s="4">
        <v>45963.25</v>
      </c>
      <c r="D2132" s="4">
        <v>45963.250278032407</v>
      </c>
      <c r="E2132" s="2"/>
      <c r="F2132" s="2"/>
      <c r="G2132" s="2" t="s">
        <v>983</v>
      </c>
      <c r="H2132" s="2" t="s">
        <v>1066</v>
      </c>
      <c r="I2132" s="2"/>
      <c r="J2132" s="2" t="s">
        <v>32</v>
      </c>
    </row>
    <row r="2133" spans="1:10" ht="21" customHeight="1">
      <c r="A2133" s="2" t="s">
        <v>3125</v>
      </c>
      <c r="B2133" s="2" t="s">
        <v>32</v>
      </c>
      <c r="C2133" s="4">
        <v>45964.25</v>
      </c>
      <c r="D2133" s="4">
        <v>45964.250694085647</v>
      </c>
      <c r="E2133" s="2">
        <v>3.04</v>
      </c>
      <c r="F2133" s="2">
        <v>77.400000000000006</v>
      </c>
      <c r="G2133" s="2" t="s">
        <v>983</v>
      </c>
      <c r="H2133" s="2" t="s">
        <v>984</v>
      </c>
      <c r="I2133" s="2" t="s">
        <v>985</v>
      </c>
      <c r="J2133" s="2" t="s">
        <v>32</v>
      </c>
    </row>
    <row r="2134" spans="1:10" ht="21" customHeight="1">
      <c r="A2134" s="2" t="s">
        <v>3126</v>
      </c>
      <c r="B2134" s="2" t="s">
        <v>2839</v>
      </c>
      <c r="C2134" s="4">
        <v>45965.25</v>
      </c>
      <c r="D2134" s="4">
        <v>45965.250105208332</v>
      </c>
      <c r="E2134" s="2">
        <v>3.99</v>
      </c>
      <c r="F2134" s="2">
        <v>73.900000000000006</v>
      </c>
      <c r="G2134" s="2" t="s">
        <v>983</v>
      </c>
      <c r="H2134" s="2" t="s">
        <v>984</v>
      </c>
      <c r="I2134" s="2"/>
      <c r="J2134" s="2" t="s">
        <v>32</v>
      </c>
    </row>
    <row r="2135" spans="1:10" ht="21" customHeight="1">
      <c r="A2135" s="2" t="s">
        <v>3127</v>
      </c>
      <c r="B2135" s="2" t="s">
        <v>32</v>
      </c>
      <c r="C2135" s="4">
        <v>45966.25</v>
      </c>
      <c r="D2135" s="4">
        <v>45966.250062847219</v>
      </c>
      <c r="E2135" s="2">
        <v>0</v>
      </c>
      <c r="F2135" s="2">
        <v>72.599999999999994</v>
      </c>
      <c r="G2135" s="2" t="s">
        <v>1175</v>
      </c>
      <c r="H2135" s="2" t="s">
        <v>984</v>
      </c>
      <c r="I2135" s="2"/>
      <c r="J2135" s="2" t="s">
        <v>32</v>
      </c>
    </row>
    <row r="2136" spans="1:10" ht="21" customHeight="1">
      <c r="A2136" s="2" t="s">
        <v>3128</v>
      </c>
      <c r="B2136" s="2" t="s">
        <v>32</v>
      </c>
      <c r="C2136" s="4">
        <v>45967.25</v>
      </c>
      <c r="D2136" s="4">
        <v>45967.25033299769</v>
      </c>
      <c r="E2136" s="2">
        <v>3.62</v>
      </c>
      <c r="F2136" s="2">
        <v>77.7</v>
      </c>
      <c r="G2136" s="2" t="s">
        <v>983</v>
      </c>
      <c r="H2136" s="2" t="s">
        <v>984</v>
      </c>
      <c r="I2136" s="2"/>
      <c r="J2136" s="2" t="s">
        <v>32</v>
      </c>
    </row>
    <row r="2137" spans="1:10" ht="21" customHeight="1">
      <c r="A2137" s="2" t="s">
        <v>3129</v>
      </c>
      <c r="B2137" s="2" t="s">
        <v>32</v>
      </c>
      <c r="C2137" s="4">
        <v>45968.25</v>
      </c>
      <c r="D2137" s="4">
        <v>45968.250349641203</v>
      </c>
      <c r="E2137" s="2">
        <v>3.82</v>
      </c>
      <c r="F2137" s="2">
        <v>74.7</v>
      </c>
      <c r="G2137" s="2" t="s">
        <v>983</v>
      </c>
      <c r="H2137" s="2" t="s">
        <v>984</v>
      </c>
      <c r="I2137" s="2"/>
      <c r="J2137" s="2" t="s">
        <v>32</v>
      </c>
    </row>
    <row r="2138" spans="1:10" ht="21" customHeight="1">
      <c r="A2138" s="2" t="s">
        <v>3130</v>
      </c>
      <c r="B2138" s="2" t="s">
        <v>32</v>
      </c>
      <c r="C2138" s="4">
        <v>45969.25</v>
      </c>
      <c r="D2138" s="4">
        <v>45969.250014039353</v>
      </c>
      <c r="E2138" s="2">
        <v>2.84</v>
      </c>
      <c r="F2138" s="2">
        <v>72.7</v>
      </c>
      <c r="G2138" s="2" t="s">
        <v>983</v>
      </c>
      <c r="H2138" s="2" t="s">
        <v>984</v>
      </c>
      <c r="I2138" s="2"/>
      <c r="J2138" s="2" t="s">
        <v>32</v>
      </c>
    </row>
    <row r="2139" spans="1:10" ht="21" customHeight="1">
      <c r="A2139" s="2" t="s">
        <v>3131</v>
      </c>
      <c r="B2139" s="2" t="s">
        <v>32</v>
      </c>
      <c r="C2139" s="4">
        <v>45970.25</v>
      </c>
      <c r="D2139" s="4">
        <v>45970.250611701384</v>
      </c>
      <c r="E2139" s="2">
        <v>3.8</v>
      </c>
      <c r="F2139" s="2">
        <v>73.099999999999994</v>
      </c>
      <c r="G2139" s="2" t="s">
        <v>983</v>
      </c>
      <c r="H2139" s="2" t="s">
        <v>984</v>
      </c>
      <c r="I2139" s="2"/>
      <c r="J2139" s="2" t="s">
        <v>32</v>
      </c>
    </row>
    <row r="2140" spans="1:10" ht="21" customHeight="1">
      <c r="A2140" s="2" t="s">
        <v>3132</v>
      </c>
      <c r="B2140" s="2" t="s">
        <v>32</v>
      </c>
      <c r="C2140" s="4">
        <v>45971.25</v>
      </c>
      <c r="D2140" s="4">
        <v>45971.250624097222</v>
      </c>
      <c r="E2140" s="2">
        <v>3.14</v>
      </c>
      <c r="F2140" s="2">
        <v>77.8</v>
      </c>
      <c r="G2140" s="2" t="s">
        <v>983</v>
      </c>
      <c r="H2140" s="2" t="s">
        <v>984</v>
      </c>
      <c r="I2140" s="2"/>
      <c r="J2140" s="2" t="s">
        <v>32</v>
      </c>
    </row>
    <row r="2141" spans="1:10" ht="21" customHeight="1">
      <c r="A2141" s="2" t="s">
        <v>3133</v>
      </c>
      <c r="B2141" s="2" t="s">
        <v>32</v>
      </c>
      <c r="C2141" s="4">
        <v>45972.25</v>
      </c>
      <c r="D2141" s="4">
        <v>45972.250188356484</v>
      </c>
      <c r="E2141" s="2">
        <v>3.9</v>
      </c>
      <c r="F2141" s="2">
        <v>74.7</v>
      </c>
      <c r="G2141" s="2" t="s">
        <v>983</v>
      </c>
      <c r="H2141" s="2" t="s">
        <v>984</v>
      </c>
      <c r="I2141" s="2"/>
      <c r="J2141" s="2" t="s">
        <v>32</v>
      </c>
    </row>
    <row r="2142" spans="1:10" ht="21" customHeight="1">
      <c r="A2142" s="2" t="s">
        <v>3134</v>
      </c>
      <c r="B2142" s="2" t="s">
        <v>32</v>
      </c>
      <c r="C2142" s="4">
        <v>45973.25</v>
      </c>
      <c r="D2142" s="4">
        <v>45973.250555972219</v>
      </c>
      <c r="E2142" s="2">
        <v>3.48</v>
      </c>
      <c r="F2142" s="2">
        <v>79.2</v>
      </c>
      <c r="G2142" s="2" t="s">
        <v>983</v>
      </c>
      <c r="H2142" s="2" t="s">
        <v>984</v>
      </c>
      <c r="I2142" s="2"/>
      <c r="J2142" s="2" t="s">
        <v>32</v>
      </c>
    </row>
    <row r="2143" spans="1:10" ht="21" customHeight="1">
      <c r="A2143" s="2" t="s">
        <v>3135</v>
      </c>
      <c r="B2143" s="2" t="s">
        <v>32</v>
      </c>
      <c r="C2143" s="4">
        <v>45974.25</v>
      </c>
      <c r="D2143" s="4">
        <v>45974.250384722225</v>
      </c>
      <c r="E2143" s="2">
        <v>2.84</v>
      </c>
      <c r="F2143" s="2">
        <v>77.2</v>
      </c>
      <c r="G2143" s="2" t="s">
        <v>983</v>
      </c>
      <c r="H2143" s="2" t="s">
        <v>984</v>
      </c>
      <c r="I2143" s="2"/>
      <c r="J2143" s="2" t="s">
        <v>32</v>
      </c>
    </row>
    <row r="2144" spans="1:10" ht="21" customHeight="1">
      <c r="A2144" s="2" t="s">
        <v>3136</v>
      </c>
      <c r="B2144" s="2" t="s">
        <v>32</v>
      </c>
      <c r="C2144" s="4">
        <v>45975.25</v>
      </c>
      <c r="D2144" s="4">
        <v>45975.250638252313</v>
      </c>
      <c r="E2144" s="2">
        <v>3.3</v>
      </c>
      <c r="F2144" s="2">
        <v>77.3</v>
      </c>
      <c r="G2144" s="2" t="s">
        <v>983</v>
      </c>
      <c r="H2144" s="2" t="s">
        <v>984</v>
      </c>
      <c r="I2144" s="2"/>
      <c r="J2144" s="2" t="s">
        <v>32</v>
      </c>
    </row>
    <row r="2145" spans="1:10" ht="21" customHeight="1">
      <c r="A2145" s="2" t="s">
        <v>3137</v>
      </c>
      <c r="B2145" s="2" t="s">
        <v>32</v>
      </c>
      <c r="C2145" s="4">
        <v>45976.25</v>
      </c>
      <c r="D2145" s="4">
        <v>45976.250326423615</v>
      </c>
      <c r="E2145" s="2">
        <v>3.12</v>
      </c>
      <c r="F2145" s="2">
        <v>77.400000000000006</v>
      </c>
      <c r="G2145" s="2" t="s">
        <v>983</v>
      </c>
      <c r="H2145" s="2" t="s">
        <v>984</v>
      </c>
      <c r="I2145" s="2"/>
      <c r="J2145" s="2" t="s">
        <v>32</v>
      </c>
    </row>
    <row r="2146" spans="1:10" ht="21" customHeight="1">
      <c r="A2146" s="2" t="s">
        <v>3138</v>
      </c>
      <c r="B2146" s="2" t="s">
        <v>32</v>
      </c>
      <c r="C2146" s="4">
        <v>45977.25</v>
      </c>
      <c r="D2146" s="4">
        <v>45977.250579178246</v>
      </c>
      <c r="E2146" s="2">
        <v>3</v>
      </c>
      <c r="F2146" s="2">
        <v>78.400000000000006</v>
      </c>
      <c r="G2146" s="2" t="s">
        <v>983</v>
      </c>
      <c r="H2146" s="2" t="s">
        <v>984</v>
      </c>
      <c r="I2146" s="2"/>
      <c r="J2146" s="2" t="s">
        <v>32</v>
      </c>
    </row>
    <row r="2147" spans="1:10" ht="21" customHeight="1">
      <c r="A2147" s="2" t="s">
        <v>3139</v>
      </c>
      <c r="B2147" s="2" t="s">
        <v>32</v>
      </c>
      <c r="C2147" s="4">
        <v>45978.25</v>
      </c>
      <c r="D2147" s="4">
        <v>45978.250515833337</v>
      </c>
      <c r="E2147" s="2">
        <v>3.21</v>
      </c>
      <c r="F2147" s="2">
        <v>72.7</v>
      </c>
      <c r="G2147" s="2" t="s">
        <v>983</v>
      </c>
      <c r="H2147" s="2" t="s">
        <v>984</v>
      </c>
      <c r="I2147" s="2"/>
      <c r="J2147" s="2" t="s">
        <v>32</v>
      </c>
    </row>
    <row r="2148" spans="1:10" ht="21" customHeight="1">
      <c r="A2148" s="2" t="s">
        <v>3140</v>
      </c>
      <c r="B2148" s="2" t="s">
        <v>32</v>
      </c>
      <c r="C2148" s="4">
        <v>45979.25</v>
      </c>
      <c r="D2148" s="4">
        <v>45979.250375370371</v>
      </c>
      <c r="E2148" s="2">
        <v>3.68</v>
      </c>
      <c r="F2148" s="2">
        <v>75.400000000000006</v>
      </c>
      <c r="G2148" s="2" t="s">
        <v>983</v>
      </c>
      <c r="H2148" s="2" t="s">
        <v>984</v>
      </c>
      <c r="I2148" s="2"/>
      <c r="J2148" s="2" t="s">
        <v>32</v>
      </c>
    </row>
    <row r="2149" spans="1:10" ht="21" customHeight="1">
      <c r="A2149" s="2" t="s">
        <v>3141</v>
      </c>
      <c r="B2149" s="2" t="s">
        <v>32</v>
      </c>
      <c r="C2149" s="4">
        <v>45980.25</v>
      </c>
      <c r="D2149" s="4">
        <v>45980.250526319447</v>
      </c>
      <c r="E2149" s="2">
        <v>2.93</v>
      </c>
      <c r="F2149" s="2">
        <v>78.3</v>
      </c>
      <c r="G2149" s="2" t="s">
        <v>983</v>
      </c>
      <c r="H2149" s="2" t="s">
        <v>984</v>
      </c>
      <c r="I2149" s="2"/>
      <c r="J2149" s="2" t="s">
        <v>32</v>
      </c>
    </row>
    <row r="2150" spans="1:10" ht="21" customHeight="1">
      <c r="A2150" s="2" t="s">
        <v>3142</v>
      </c>
      <c r="B2150" s="2" t="s">
        <v>32</v>
      </c>
      <c r="C2150" s="4">
        <v>45981.25</v>
      </c>
      <c r="D2150" s="4">
        <v>45981.250334895834</v>
      </c>
      <c r="E2150" s="2">
        <v>3.95</v>
      </c>
      <c r="F2150" s="2">
        <v>76.5</v>
      </c>
      <c r="G2150" s="2" t="s">
        <v>983</v>
      </c>
      <c r="H2150" s="2" t="s">
        <v>984</v>
      </c>
      <c r="I2150" s="2" t="s">
        <v>985</v>
      </c>
      <c r="J2150" s="2" t="s">
        <v>32</v>
      </c>
    </row>
    <row r="2151" spans="1:10" ht="21" customHeight="1">
      <c r="A2151" s="2" t="s">
        <v>3143</v>
      </c>
      <c r="B2151" s="2" t="s">
        <v>32</v>
      </c>
      <c r="C2151" s="4">
        <v>45982.25</v>
      </c>
      <c r="D2151" s="4">
        <v>45982.250400300924</v>
      </c>
      <c r="E2151" s="2">
        <v>2.91</v>
      </c>
      <c r="F2151" s="2">
        <v>75</v>
      </c>
      <c r="G2151" s="2" t="s">
        <v>983</v>
      </c>
      <c r="H2151" s="2" t="s">
        <v>984</v>
      </c>
      <c r="I2151" s="2"/>
      <c r="J2151" s="2" t="s">
        <v>32</v>
      </c>
    </row>
    <row r="2152" spans="1:10" ht="21" customHeight="1">
      <c r="A2152" s="2" t="s">
        <v>3144</v>
      </c>
      <c r="B2152" s="2" t="s">
        <v>32</v>
      </c>
      <c r="C2152" s="4">
        <v>45983.25</v>
      </c>
      <c r="D2152" s="4">
        <v>45983.250604791669</v>
      </c>
      <c r="E2152" s="2">
        <v>3.22</v>
      </c>
      <c r="F2152" s="2">
        <v>78.900000000000006</v>
      </c>
      <c r="G2152" s="2" t="s">
        <v>983</v>
      </c>
      <c r="H2152" s="2" t="s">
        <v>984</v>
      </c>
      <c r="I2152" s="2"/>
      <c r="J2152" s="2" t="s">
        <v>32</v>
      </c>
    </row>
    <row r="2153" spans="1:10" ht="21" customHeight="1">
      <c r="A2153" s="2" t="s">
        <v>3145</v>
      </c>
      <c r="B2153" s="2" t="s">
        <v>32</v>
      </c>
      <c r="C2153" s="4">
        <v>45984.25</v>
      </c>
      <c r="D2153" s="4">
        <v>45984.250516886575</v>
      </c>
      <c r="E2153" s="2">
        <v>3.81</v>
      </c>
      <c r="F2153" s="2">
        <v>78.3</v>
      </c>
      <c r="G2153" s="2" t="s">
        <v>983</v>
      </c>
      <c r="H2153" s="2" t="s">
        <v>984</v>
      </c>
      <c r="I2153" s="2"/>
      <c r="J2153" s="2" t="s">
        <v>32</v>
      </c>
    </row>
    <row r="2154" spans="1:10" ht="21" customHeight="1">
      <c r="A2154" s="2" t="s">
        <v>3146</v>
      </c>
      <c r="B2154" s="2" t="s">
        <v>32</v>
      </c>
      <c r="C2154" s="4">
        <v>45985.25</v>
      </c>
      <c r="D2154" s="4">
        <v>45985.250418483796</v>
      </c>
      <c r="E2154" s="2">
        <v>2.97</v>
      </c>
      <c r="F2154" s="2">
        <v>78.099999999999994</v>
      </c>
      <c r="G2154" s="2" t="s">
        <v>983</v>
      </c>
      <c r="H2154" s="2" t="s">
        <v>984</v>
      </c>
      <c r="I2154" s="2"/>
      <c r="J2154" s="2" t="s">
        <v>32</v>
      </c>
    </row>
    <row r="2155" spans="1:10" ht="21" customHeight="1">
      <c r="A2155" s="2" t="s">
        <v>3147</v>
      </c>
      <c r="B2155" s="2" t="s">
        <v>32</v>
      </c>
      <c r="C2155" s="4">
        <v>45986.25</v>
      </c>
      <c r="D2155" s="4">
        <v>45986.250691134264</v>
      </c>
      <c r="E2155" s="2">
        <v>3.01</v>
      </c>
      <c r="F2155" s="2">
        <v>72.7</v>
      </c>
      <c r="G2155" s="2" t="s">
        <v>983</v>
      </c>
      <c r="H2155" s="2" t="s">
        <v>984</v>
      </c>
      <c r="I2155" s="2"/>
      <c r="J2155" s="2" t="s">
        <v>32</v>
      </c>
    </row>
    <row r="2156" spans="1:10" ht="21" customHeight="1">
      <c r="A2156" s="2" t="s">
        <v>3148</v>
      </c>
      <c r="B2156" s="2" t="s">
        <v>32</v>
      </c>
      <c r="C2156" s="4">
        <v>45987.25</v>
      </c>
      <c r="D2156" s="4">
        <v>45987.250016273145</v>
      </c>
      <c r="E2156" s="2">
        <v>3.04</v>
      </c>
      <c r="F2156" s="2">
        <v>75</v>
      </c>
      <c r="G2156" s="2" t="s">
        <v>983</v>
      </c>
      <c r="H2156" s="2" t="s">
        <v>984</v>
      </c>
      <c r="I2156" s="2"/>
      <c r="J2156" s="2" t="s">
        <v>32</v>
      </c>
    </row>
    <row r="2157" spans="1:10" ht="21" customHeight="1">
      <c r="A2157" s="2" t="s">
        <v>3149</v>
      </c>
      <c r="B2157" s="2" t="s">
        <v>32</v>
      </c>
      <c r="C2157" s="4">
        <v>45988.25</v>
      </c>
      <c r="D2157" s="4">
        <v>45988.250406122686</v>
      </c>
      <c r="E2157" s="2">
        <v>3</v>
      </c>
      <c r="F2157" s="2">
        <v>78.3</v>
      </c>
      <c r="G2157" s="2" t="s">
        <v>983</v>
      </c>
      <c r="H2157" s="2" t="s">
        <v>984</v>
      </c>
      <c r="I2157" s="2"/>
      <c r="J2157" s="2" t="s">
        <v>32</v>
      </c>
    </row>
    <row r="2158" spans="1:10" ht="21" customHeight="1">
      <c r="A2158" s="2" t="s">
        <v>3150</v>
      </c>
      <c r="B2158" s="2" t="s">
        <v>32</v>
      </c>
      <c r="C2158" s="4">
        <v>45989.25</v>
      </c>
      <c r="D2158" s="4">
        <v>45989.25032324074</v>
      </c>
      <c r="E2158" s="2">
        <v>2.97</v>
      </c>
      <c r="F2158" s="2">
        <v>75.099999999999994</v>
      </c>
      <c r="G2158" s="2" t="s">
        <v>983</v>
      </c>
      <c r="H2158" s="2" t="s">
        <v>984</v>
      </c>
      <c r="I2158" s="2"/>
      <c r="J2158" s="2" t="s">
        <v>32</v>
      </c>
    </row>
    <row r="2159" spans="1:10" ht="21" customHeight="1">
      <c r="A2159" s="2" t="s">
        <v>3151</v>
      </c>
      <c r="B2159" s="2" t="s">
        <v>32</v>
      </c>
      <c r="C2159" s="4">
        <v>45990.25</v>
      </c>
      <c r="D2159" s="4">
        <v>45990.250143773148</v>
      </c>
      <c r="E2159" s="2"/>
      <c r="F2159" s="2"/>
      <c r="G2159" s="2" t="s">
        <v>983</v>
      </c>
      <c r="H2159" s="2" t="s">
        <v>1066</v>
      </c>
      <c r="I2159" s="2"/>
      <c r="J2159" s="2" t="s">
        <v>32</v>
      </c>
    </row>
    <row r="2160" spans="1:10" ht="21" customHeight="1">
      <c r="A2160" s="2" t="s">
        <v>3152</v>
      </c>
      <c r="B2160" s="2" t="s">
        <v>32</v>
      </c>
      <c r="C2160" s="4">
        <v>45991.25</v>
      </c>
      <c r="D2160" s="4">
        <v>45991.250127303239</v>
      </c>
      <c r="E2160" s="2"/>
      <c r="F2160" s="2"/>
      <c r="G2160" s="2" t="s">
        <v>983</v>
      </c>
      <c r="H2160" s="2" t="s">
        <v>1066</v>
      </c>
      <c r="I2160" s="2"/>
      <c r="J2160" s="2" t="s">
        <v>32</v>
      </c>
    </row>
    <row r="2161" spans="1:10" ht="21" customHeight="1">
      <c r="A2161" s="2" t="s">
        <v>3153</v>
      </c>
      <c r="B2161" s="2" t="s">
        <v>32</v>
      </c>
      <c r="C2161" s="4">
        <v>45992.25</v>
      </c>
      <c r="D2161" s="4">
        <v>45992.250199560185</v>
      </c>
      <c r="E2161" s="2">
        <v>3.74</v>
      </c>
      <c r="F2161" s="2">
        <v>79.599999999999994</v>
      </c>
      <c r="G2161" s="2" t="s">
        <v>983</v>
      </c>
      <c r="H2161" s="2" t="s">
        <v>984</v>
      </c>
      <c r="I2161" s="2"/>
      <c r="J2161" s="2" t="s">
        <v>32</v>
      </c>
    </row>
    <row r="2162" spans="1:10" ht="21" customHeight="1">
      <c r="A2162" s="2" t="s">
        <v>3154</v>
      </c>
      <c r="B2162" s="2" t="s">
        <v>32</v>
      </c>
      <c r="C2162" s="4">
        <v>45993.25</v>
      </c>
      <c r="D2162" s="4">
        <v>45993.250610972224</v>
      </c>
      <c r="E2162" s="2">
        <v>2.94</v>
      </c>
      <c r="F2162" s="2">
        <v>72.599999999999994</v>
      </c>
      <c r="G2162" s="2" t="s">
        <v>983</v>
      </c>
      <c r="H2162" s="2" t="s">
        <v>984</v>
      </c>
      <c r="I2162" s="2"/>
      <c r="J2162" s="2" t="s">
        <v>32</v>
      </c>
    </row>
    <row r="2163" spans="1:10" ht="21" customHeight="1">
      <c r="A2163" s="2" t="s">
        <v>3155</v>
      </c>
      <c r="B2163" s="2" t="s">
        <v>32</v>
      </c>
      <c r="C2163" s="4">
        <v>45994.25</v>
      </c>
      <c r="D2163" s="4">
        <v>45994.250339027778</v>
      </c>
      <c r="E2163" s="2">
        <v>3.74</v>
      </c>
      <c r="F2163" s="2">
        <v>75.599999999999994</v>
      </c>
      <c r="G2163" s="2" t="s">
        <v>983</v>
      </c>
      <c r="H2163" s="2" t="s">
        <v>984</v>
      </c>
      <c r="I2163" s="2"/>
      <c r="J2163" s="2" t="s">
        <v>32</v>
      </c>
    </row>
    <row r="2164" spans="1:10" ht="21" customHeight="1">
      <c r="A2164" s="2" t="s">
        <v>3156</v>
      </c>
      <c r="B2164" s="2" t="s">
        <v>32</v>
      </c>
      <c r="C2164" s="4">
        <v>45995.25</v>
      </c>
      <c r="D2164" s="4">
        <v>45995.250509513891</v>
      </c>
      <c r="E2164" s="2">
        <v>3.56</v>
      </c>
      <c r="F2164" s="2">
        <v>79.8</v>
      </c>
      <c r="G2164" s="2" t="s">
        <v>983</v>
      </c>
      <c r="H2164" s="2" t="s">
        <v>984</v>
      </c>
      <c r="I2164" s="2"/>
      <c r="J2164" s="2" t="s">
        <v>32</v>
      </c>
    </row>
    <row r="2165" spans="1:10" ht="21" customHeight="1">
      <c r="A2165" s="2" t="s">
        <v>3157</v>
      </c>
      <c r="B2165" s="2" t="s">
        <v>32</v>
      </c>
      <c r="C2165" s="4">
        <v>45996.25</v>
      </c>
      <c r="D2165" s="4">
        <v>45996.250388182874</v>
      </c>
      <c r="E2165" s="2">
        <v>2.9</v>
      </c>
      <c r="F2165" s="2">
        <v>80</v>
      </c>
      <c r="G2165" s="2" t="s">
        <v>983</v>
      </c>
      <c r="H2165" s="2" t="s">
        <v>984</v>
      </c>
      <c r="I2165" s="2"/>
      <c r="J2165" s="2" t="s">
        <v>32</v>
      </c>
    </row>
    <row r="2166" spans="1:10" ht="21" customHeight="1">
      <c r="A2166" s="2" t="s">
        <v>3158</v>
      </c>
      <c r="B2166" s="2" t="s">
        <v>32</v>
      </c>
      <c r="C2166" s="4">
        <v>45997.25</v>
      </c>
      <c r="D2166" s="4">
        <v>45997.250376689815</v>
      </c>
      <c r="E2166" s="2">
        <v>3.64</v>
      </c>
      <c r="F2166" s="2">
        <v>73.8</v>
      </c>
      <c r="G2166" s="2" t="s">
        <v>983</v>
      </c>
      <c r="H2166" s="2" t="s">
        <v>984</v>
      </c>
      <c r="I2166" s="2"/>
      <c r="J2166" s="2" t="s">
        <v>32</v>
      </c>
    </row>
    <row r="2167" spans="1:10" ht="21" customHeight="1">
      <c r="A2167" s="2" t="s">
        <v>3159</v>
      </c>
      <c r="B2167" s="2" t="s">
        <v>32</v>
      </c>
      <c r="C2167" s="4">
        <v>45998.25</v>
      </c>
      <c r="D2167" s="4">
        <v>45998.250543530092</v>
      </c>
      <c r="E2167" s="2">
        <v>3.04</v>
      </c>
      <c r="F2167" s="2">
        <v>78.900000000000006</v>
      </c>
      <c r="G2167" s="2" t="s">
        <v>983</v>
      </c>
      <c r="H2167" s="2" t="s">
        <v>984</v>
      </c>
      <c r="I2167" s="2" t="s">
        <v>985</v>
      </c>
      <c r="J2167" s="2" t="s">
        <v>32</v>
      </c>
    </row>
    <row r="2168" spans="1:10" ht="21" customHeight="1">
      <c r="A2168" s="2" t="s">
        <v>3160</v>
      </c>
      <c r="B2168" s="2" t="s">
        <v>32</v>
      </c>
      <c r="C2168" s="4">
        <v>45999.25</v>
      </c>
      <c r="D2168" s="4">
        <v>45999.250404097227</v>
      </c>
      <c r="E2168" s="2">
        <v>0</v>
      </c>
      <c r="F2168" s="2">
        <v>74.2</v>
      </c>
      <c r="G2168" s="2" t="s">
        <v>1175</v>
      </c>
      <c r="H2168" s="2" t="s">
        <v>984</v>
      </c>
      <c r="I2168" s="2"/>
      <c r="J2168" s="2" t="s">
        <v>32</v>
      </c>
    </row>
    <row r="2169" spans="1:10" ht="21" customHeight="1">
      <c r="A2169" s="2" t="s">
        <v>3161</v>
      </c>
      <c r="B2169" s="2" t="s">
        <v>32</v>
      </c>
      <c r="C2169" s="4">
        <v>46000.25</v>
      </c>
      <c r="D2169" s="4">
        <v>46000.250187685189</v>
      </c>
      <c r="E2169" s="2">
        <v>3.72</v>
      </c>
      <c r="F2169" s="2">
        <v>79.2</v>
      </c>
      <c r="G2169" s="2" t="s">
        <v>983</v>
      </c>
      <c r="H2169" s="2" t="s">
        <v>984</v>
      </c>
      <c r="I2169" s="2"/>
      <c r="J2169" s="2" t="s">
        <v>32</v>
      </c>
    </row>
    <row r="2170" spans="1:10" ht="21" customHeight="1">
      <c r="A2170" s="2" t="s">
        <v>3162</v>
      </c>
      <c r="B2170" s="2" t="s">
        <v>32</v>
      </c>
      <c r="C2170" s="4">
        <v>46001.25</v>
      </c>
      <c r="D2170" s="4">
        <v>46001.25060861111</v>
      </c>
      <c r="E2170" s="2">
        <v>3.03</v>
      </c>
      <c r="F2170" s="2">
        <v>78.5</v>
      </c>
      <c r="G2170" s="2" t="s">
        <v>983</v>
      </c>
      <c r="H2170" s="2" t="s">
        <v>984</v>
      </c>
      <c r="I2170" s="2"/>
      <c r="J2170" s="2" t="s">
        <v>32</v>
      </c>
    </row>
    <row r="2171" spans="1:10" ht="21" customHeight="1">
      <c r="A2171" s="2" t="s">
        <v>3163</v>
      </c>
      <c r="B2171" s="2" t="s">
        <v>32</v>
      </c>
      <c r="C2171" s="4">
        <v>46002.25</v>
      </c>
      <c r="D2171" s="4">
        <v>46002.250556805557</v>
      </c>
      <c r="E2171" s="2">
        <v>3.19</v>
      </c>
      <c r="F2171" s="2">
        <v>75.599999999999994</v>
      </c>
      <c r="G2171" s="2" t="s">
        <v>983</v>
      </c>
      <c r="H2171" s="2" t="s">
        <v>984</v>
      </c>
      <c r="I2171" s="2"/>
      <c r="J2171" s="2" t="s">
        <v>32</v>
      </c>
    </row>
    <row r="2172" spans="1:10" ht="21" customHeight="1">
      <c r="A2172" s="2" t="s">
        <v>3164</v>
      </c>
      <c r="B2172" s="2" t="s">
        <v>32</v>
      </c>
      <c r="C2172" s="4">
        <v>46003.25</v>
      </c>
      <c r="D2172" s="4">
        <v>46003.250053136573</v>
      </c>
      <c r="E2172" s="2">
        <v>3.16</v>
      </c>
      <c r="F2172" s="2">
        <v>74.400000000000006</v>
      </c>
      <c r="G2172" s="2" t="s">
        <v>983</v>
      </c>
      <c r="H2172" s="2" t="s">
        <v>984</v>
      </c>
      <c r="I2172" s="2"/>
      <c r="J2172" s="2" t="s">
        <v>32</v>
      </c>
    </row>
    <row r="2173" spans="1:10" ht="21" customHeight="1">
      <c r="A2173" s="2" t="s">
        <v>3165</v>
      </c>
      <c r="B2173" s="2" t="s">
        <v>32</v>
      </c>
      <c r="C2173" s="4">
        <v>46004.25</v>
      </c>
      <c r="D2173" s="4">
        <v>46004.250601689811</v>
      </c>
      <c r="E2173" s="2">
        <v>3.06</v>
      </c>
      <c r="F2173" s="2">
        <v>73.599999999999994</v>
      </c>
      <c r="G2173" s="2" t="s">
        <v>983</v>
      </c>
      <c r="H2173" s="2" t="s">
        <v>984</v>
      </c>
      <c r="I2173" s="2"/>
      <c r="J2173" s="2" t="s">
        <v>32</v>
      </c>
    </row>
    <row r="2174" spans="1:10" ht="21" customHeight="1">
      <c r="A2174" s="2" t="s">
        <v>3166</v>
      </c>
      <c r="B2174" s="2" t="s">
        <v>32</v>
      </c>
      <c r="C2174" s="4">
        <v>46005.25</v>
      </c>
      <c r="D2174" s="4">
        <v>46005.250607175927</v>
      </c>
      <c r="E2174" s="2">
        <v>3.66</v>
      </c>
      <c r="F2174" s="2">
        <v>76.7</v>
      </c>
      <c r="G2174" s="2" t="s">
        <v>983</v>
      </c>
      <c r="H2174" s="2" t="s">
        <v>984</v>
      </c>
      <c r="I2174" s="2"/>
      <c r="J2174" s="2" t="s">
        <v>32</v>
      </c>
    </row>
    <row r="2175" spans="1:10" ht="21" customHeight="1">
      <c r="A2175" s="2" t="s">
        <v>3167</v>
      </c>
      <c r="B2175" s="2" t="s">
        <v>2839</v>
      </c>
      <c r="C2175" s="4">
        <v>46006.25</v>
      </c>
      <c r="D2175" s="4">
        <v>46006.250401631944</v>
      </c>
      <c r="E2175" s="2">
        <v>3.93</v>
      </c>
      <c r="F2175" s="2">
        <v>77</v>
      </c>
      <c r="G2175" s="2" t="s">
        <v>983</v>
      </c>
      <c r="H2175" s="2" t="s">
        <v>984</v>
      </c>
      <c r="I2175" s="2"/>
      <c r="J2175" s="2" t="s">
        <v>32</v>
      </c>
    </row>
    <row r="2176" spans="1:10" ht="21" customHeight="1">
      <c r="A2176" s="2" t="s">
        <v>3168</v>
      </c>
      <c r="B2176" s="2" t="s">
        <v>32</v>
      </c>
      <c r="C2176" s="4">
        <v>46007.25</v>
      </c>
      <c r="D2176" s="4">
        <v>46007.250108229171</v>
      </c>
      <c r="E2176" s="2">
        <v>3.88</v>
      </c>
      <c r="F2176" s="2">
        <v>73.599999999999994</v>
      </c>
      <c r="G2176" s="2" t="s">
        <v>983</v>
      </c>
      <c r="H2176" s="2" t="s">
        <v>984</v>
      </c>
      <c r="I2176" s="2"/>
      <c r="J2176" s="2" t="s">
        <v>32</v>
      </c>
    </row>
    <row r="2177" spans="1:10" ht="21" customHeight="1">
      <c r="A2177" s="2" t="s">
        <v>3169</v>
      </c>
      <c r="B2177" s="2" t="s">
        <v>32</v>
      </c>
      <c r="C2177" s="4">
        <v>46008.25</v>
      </c>
      <c r="D2177" s="4">
        <v>46008.250210162034</v>
      </c>
      <c r="E2177" s="2">
        <v>2.91</v>
      </c>
      <c r="F2177" s="2">
        <v>74.599999999999994</v>
      </c>
      <c r="G2177" s="2" t="s">
        <v>983</v>
      </c>
      <c r="H2177" s="2" t="s">
        <v>984</v>
      </c>
      <c r="I2177" s="2"/>
      <c r="J2177" s="2" t="s">
        <v>32</v>
      </c>
    </row>
    <row r="2178" spans="1:10" ht="21" customHeight="1">
      <c r="A2178" s="2" t="s">
        <v>3170</v>
      </c>
      <c r="B2178" s="2" t="s">
        <v>32</v>
      </c>
      <c r="C2178" s="4">
        <v>46009.25</v>
      </c>
      <c r="D2178" s="4">
        <v>46009.250494618056</v>
      </c>
      <c r="E2178" s="2">
        <v>3.99</v>
      </c>
      <c r="F2178" s="2">
        <v>72.3</v>
      </c>
      <c r="G2178" s="2" t="s">
        <v>983</v>
      </c>
      <c r="H2178" s="2" t="s">
        <v>984</v>
      </c>
      <c r="I2178" s="2"/>
      <c r="J2178" s="2" t="s">
        <v>32</v>
      </c>
    </row>
    <row r="2179" spans="1:10" ht="21" customHeight="1">
      <c r="A2179" s="2" t="s">
        <v>3171</v>
      </c>
      <c r="B2179" s="2" t="s">
        <v>32</v>
      </c>
      <c r="C2179" s="4">
        <v>46010.25</v>
      </c>
      <c r="D2179" s="4">
        <v>46010.250470694446</v>
      </c>
      <c r="E2179" s="2"/>
      <c r="F2179" s="2"/>
      <c r="G2179" s="2" t="s">
        <v>983</v>
      </c>
      <c r="H2179" s="2" t="s">
        <v>1066</v>
      </c>
      <c r="I2179" s="2"/>
      <c r="J2179" s="2" t="s">
        <v>32</v>
      </c>
    </row>
    <row r="2180" spans="1:10" ht="21" customHeight="1">
      <c r="A2180" s="2" t="s">
        <v>3172</v>
      </c>
      <c r="B2180" s="2" t="s">
        <v>32</v>
      </c>
      <c r="C2180" s="4">
        <v>46011.25</v>
      </c>
      <c r="D2180" s="4">
        <v>46011.250429525462</v>
      </c>
      <c r="E2180" s="2"/>
      <c r="F2180" s="2"/>
      <c r="G2180" s="2" t="s">
        <v>983</v>
      </c>
      <c r="H2180" s="2" t="s">
        <v>1066</v>
      </c>
      <c r="I2180" s="2"/>
      <c r="J2180" s="2" t="s">
        <v>32</v>
      </c>
    </row>
    <row r="2181" spans="1:10" ht="21" customHeight="1">
      <c r="A2181" s="2" t="s">
        <v>3173</v>
      </c>
      <c r="B2181" s="2" t="s">
        <v>32</v>
      </c>
      <c r="C2181" s="4">
        <v>46012.25</v>
      </c>
      <c r="D2181" s="4">
        <v>46012.250230474536</v>
      </c>
      <c r="E2181" s="2">
        <v>3.3</v>
      </c>
      <c r="F2181" s="2">
        <v>76</v>
      </c>
      <c r="G2181" s="2" t="s">
        <v>983</v>
      </c>
      <c r="H2181" s="2" t="s">
        <v>984</v>
      </c>
      <c r="I2181" s="2"/>
      <c r="J2181" s="2" t="s">
        <v>32</v>
      </c>
    </row>
    <row r="2182" spans="1:10" ht="21" customHeight="1">
      <c r="A2182" s="2" t="s">
        <v>3174</v>
      </c>
      <c r="B2182" s="2" t="s">
        <v>32</v>
      </c>
      <c r="C2182" s="4">
        <v>46013.25</v>
      </c>
      <c r="D2182" s="4">
        <v>46013.250103842598</v>
      </c>
      <c r="E2182" s="2">
        <v>3.58</v>
      </c>
      <c r="F2182" s="2">
        <v>74.3</v>
      </c>
      <c r="G2182" s="2" t="s">
        <v>983</v>
      </c>
      <c r="H2182" s="2" t="s">
        <v>984</v>
      </c>
      <c r="I2182" s="2"/>
      <c r="J2182" s="2" t="s">
        <v>32</v>
      </c>
    </row>
    <row r="2183" spans="1:10" ht="21" customHeight="1">
      <c r="A2183" s="2" t="s">
        <v>3175</v>
      </c>
      <c r="B2183" s="2" t="s">
        <v>32</v>
      </c>
      <c r="C2183" s="4">
        <v>46014.25</v>
      </c>
      <c r="D2183" s="4">
        <v>46014.250361041668</v>
      </c>
      <c r="E2183" s="2">
        <v>3.28</v>
      </c>
      <c r="F2183" s="2">
        <v>73.400000000000006</v>
      </c>
      <c r="G2183" s="2" t="s">
        <v>983</v>
      </c>
      <c r="H2183" s="2" t="s">
        <v>984</v>
      </c>
      <c r="I2183" s="2"/>
      <c r="J2183" s="2" t="s">
        <v>32</v>
      </c>
    </row>
    <row r="2184" spans="1:10" ht="21" customHeight="1">
      <c r="A2184" s="2" t="s">
        <v>3176</v>
      </c>
      <c r="B2184" s="2" t="s">
        <v>32</v>
      </c>
      <c r="C2184" s="4">
        <v>46015.25</v>
      </c>
      <c r="D2184" s="4">
        <v>46015.25045605324</v>
      </c>
      <c r="E2184" s="2">
        <v>3.01</v>
      </c>
      <c r="F2184" s="2">
        <v>79.5</v>
      </c>
      <c r="G2184" s="2" t="s">
        <v>983</v>
      </c>
      <c r="H2184" s="2" t="s">
        <v>984</v>
      </c>
      <c r="I2184" s="2" t="s">
        <v>985</v>
      </c>
      <c r="J2184" s="2" t="s">
        <v>32</v>
      </c>
    </row>
    <row r="2185" spans="1:10" ht="21" customHeight="1">
      <c r="A2185" s="2" t="s">
        <v>3177</v>
      </c>
      <c r="B2185" s="2" t="s">
        <v>32</v>
      </c>
      <c r="C2185" s="4">
        <v>46016.25</v>
      </c>
      <c r="D2185" s="4">
        <v>46016.250155289352</v>
      </c>
      <c r="E2185" s="2">
        <v>3.04</v>
      </c>
      <c r="F2185" s="2">
        <v>75.3</v>
      </c>
      <c r="G2185" s="2" t="s">
        <v>983</v>
      </c>
      <c r="H2185" s="2" t="s">
        <v>984</v>
      </c>
      <c r="I2185" s="2"/>
      <c r="J2185" s="2" t="s">
        <v>32</v>
      </c>
    </row>
    <row r="2186" spans="1:10" ht="21" customHeight="1">
      <c r="A2186" s="2" t="s">
        <v>3178</v>
      </c>
      <c r="B2186" s="2" t="s">
        <v>32</v>
      </c>
      <c r="C2186" s="4">
        <v>46017.25</v>
      </c>
      <c r="D2186" s="4">
        <v>46017.25068099537</v>
      </c>
      <c r="E2186" s="2">
        <v>3.27</v>
      </c>
      <c r="F2186" s="2">
        <v>77.5</v>
      </c>
      <c r="G2186" s="2" t="s">
        <v>983</v>
      </c>
      <c r="H2186" s="2" t="s">
        <v>984</v>
      </c>
      <c r="I2186" s="2"/>
      <c r="J2186" s="2" t="s">
        <v>32</v>
      </c>
    </row>
    <row r="2187" spans="1:10" ht="21" customHeight="1">
      <c r="A2187" s="2" t="s">
        <v>3179</v>
      </c>
      <c r="B2187" s="2" t="s">
        <v>32</v>
      </c>
      <c r="C2187" s="4">
        <v>46018.25</v>
      </c>
      <c r="D2187" s="4">
        <v>46018.250356782402</v>
      </c>
      <c r="E2187" s="2">
        <v>3.7</v>
      </c>
      <c r="F2187" s="2">
        <v>79.599999999999994</v>
      </c>
      <c r="G2187" s="2" t="s">
        <v>983</v>
      </c>
      <c r="H2187" s="2" t="s">
        <v>984</v>
      </c>
      <c r="I2187" s="2"/>
      <c r="J2187" s="2" t="s">
        <v>32</v>
      </c>
    </row>
    <row r="2188" spans="1:10" ht="21" customHeight="1">
      <c r="A2188" s="2" t="s">
        <v>3180</v>
      </c>
      <c r="B2188" s="2" t="s">
        <v>32</v>
      </c>
      <c r="C2188" s="4">
        <v>46019.25</v>
      </c>
      <c r="D2188" s="4">
        <v>46019.250029745366</v>
      </c>
      <c r="E2188" s="2">
        <v>3</v>
      </c>
      <c r="F2188" s="2">
        <v>72.599999999999994</v>
      </c>
      <c r="G2188" s="2" t="s">
        <v>983</v>
      </c>
      <c r="H2188" s="2" t="s">
        <v>984</v>
      </c>
      <c r="I2188" s="2"/>
      <c r="J2188" s="2" t="s">
        <v>32</v>
      </c>
    </row>
    <row r="2189" spans="1:10" ht="21" customHeight="1">
      <c r="A2189" s="2" t="s">
        <v>3181</v>
      </c>
      <c r="B2189" s="2" t="s">
        <v>32</v>
      </c>
      <c r="C2189" s="4">
        <v>46020.25</v>
      </c>
      <c r="D2189" s="4">
        <v>46020.250167407408</v>
      </c>
      <c r="E2189" s="2"/>
      <c r="F2189" s="2"/>
      <c r="G2189" s="2" t="s">
        <v>983</v>
      </c>
      <c r="H2189" s="2" t="s">
        <v>1066</v>
      </c>
      <c r="I2189" s="2"/>
      <c r="J2189" s="2" t="s">
        <v>32</v>
      </c>
    </row>
    <row r="2190" spans="1:10" ht="21" customHeight="1">
      <c r="A2190" s="2" t="s">
        <v>3182</v>
      </c>
      <c r="B2190" s="2" t="s">
        <v>32</v>
      </c>
      <c r="C2190" s="4">
        <v>46021.25</v>
      </c>
      <c r="D2190" s="4">
        <v>46021.250037650461</v>
      </c>
      <c r="E2190" s="2">
        <v>3.19</v>
      </c>
      <c r="F2190" s="2">
        <v>72</v>
      </c>
      <c r="G2190" s="2" t="s">
        <v>983</v>
      </c>
      <c r="H2190" s="2" t="s">
        <v>984</v>
      </c>
      <c r="I2190" s="2"/>
      <c r="J2190" s="2" t="s">
        <v>32</v>
      </c>
    </row>
    <row r="2191" spans="1:10" ht="21" customHeight="1">
      <c r="A2191" s="2" t="s">
        <v>3183</v>
      </c>
      <c r="B2191" s="2" t="s">
        <v>32</v>
      </c>
      <c r="C2191" s="4">
        <v>46022.25</v>
      </c>
      <c r="D2191" s="4">
        <v>46022.250666354172</v>
      </c>
      <c r="E2191" s="2">
        <v>2.86</v>
      </c>
      <c r="F2191" s="2">
        <v>76.400000000000006</v>
      </c>
      <c r="G2191" s="2" t="s">
        <v>983</v>
      </c>
      <c r="H2191" s="2" t="s">
        <v>984</v>
      </c>
      <c r="I2191" s="2"/>
      <c r="J2191" s="2" t="s">
        <v>32</v>
      </c>
    </row>
    <row r="2192" spans="1:10" ht="21" customHeight="1">
      <c r="A2192" s="2" t="s">
        <v>3184</v>
      </c>
      <c r="B2192" s="2" t="s">
        <v>33</v>
      </c>
      <c r="C2192" s="4">
        <v>45658.25</v>
      </c>
      <c r="D2192" s="4">
        <v>45658.250423518519</v>
      </c>
      <c r="E2192" s="2">
        <v>2.81</v>
      </c>
      <c r="F2192" s="2">
        <v>60</v>
      </c>
      <c r="G2192" s="2" t="s">
        <v>983</v>
      </c>
      <c r="H2192" s="2" t="s">
        <v>984</v>
      </c>
      <c r="I2192" s="2" t="s">
        <v>985</v>
      </c>
      <c r="J2192" s="2" t="s">
        <v>33</v>
      </c>
    </row>
    <row r="2193" spans="1:10" ht="21" customHeight="1">
      <c r="A2193" s="2" t="s">
        <v>3185</v>
      </c>
      <c r="B2193" s="2" t="s">
        <v>33</v>
      </c>
      <c r="C2193" s="4">
        <v>45659.25</v>
      </c>
      <c r="D2193" s="4">
        <v>45659.250316296297</v>
      </c>
      <c r="E2193" s="2">
        <v>2.67</v>
      </c>
      <c r="F2193" s="2">
        <v>61.4</v>
      </c>
      <c r="G2193" s="2" t="s">
        <v>983</v>
      </c>
      <c r="H2193" s="2" t="s">
        <v>984</v>
      </c>
      <c r="I2193" s="2"/>
      <c r="J2193" s="2" t="s">
        <v>33</v>
      </c>
    </row>
    <row r="2194" spans="1:10" ht="21" customHeight="1">
      <c r="A2194" s="2" t="s">
        <v>3186</v>
      </c>
      <c r="B2194" s="2" t="s">
        <v>33</v>
      </c>
      <c r="C2194" s="4">
        <v>45660.25</v>
      </c>
      <c r="D2194" s="4">
        <v>45660.250434178241</v>
      </c>
      <c r="E2194" s="2">
        <v>2.4</v>
      </c>
      <c r="F2194" s="2">
        <v>59.8</v>
      </c>
      <c r="G2194" s="2" t="s">
        <v>983</v>
      </c>
      <c r="H2194" s="2" t="s">
        <v>984</v>
      </c>
      <c r="I2194" s="2"/>
      <c r="J2194" s="2" t="s">
        <v>33</v>
      </c>
    </row>
    <row r="2195" spans="1:10" ht="21" customHeight="1">
      <c r="A2195" s="2" t="s">
        <v>3187</v>
      </c>
      <c r="B2195" s="2" t="s">
        <v>33</v>
      </c>
      <c r="C2195" s="4">
        <v>45661.25</v>
      </c>
      <c r="D2195" s="4">
        <v>45661.250638738427</v>
      </c>
      <c r="E2195" s="2"/>
      <c r="F2195" s="2"/>
      <c r="G2195" s="2" t="s">
        <v>983</v>
      </c>
      <c r="H2195" s="2" t="s">
        <v>1066</v>
      </c>
      <c r="I2195" s="2"/>
      <c r="J2195" s="2" t="s">
        <v>33</v>
      </c>
    </row>
    <row r="2196" spans="1:10" ht="21" customHeight="1">
      <c r="A2196" s="2" t="s">
        <v>3188</v>
      </c>
      <c r="B2196" s="2" t="s">
        <v>33</v>
      </c>
      <c r="C2196" s="4">
        <v>45662.25</v>
      </c>
      <c r="D2196" s="4">
        <v>45662.250636585653</v>
      </c>
      <c r="E2196" s="2">
        <v>3.06</v>
      </c>
      <c r="F2196" s="2">
        <v>62</v>
      </c>
      <c r="G2196" s="2" t="s">
        <v>983</v>
      </c>
      <c r="H2196" s="2" t="s">
        <v>984</v>
      </c>
      <c r="I2196" s="2"/>
      <c r="J2196" s="2" t="s">
        <v>33</v>
      </c>
    </row>
    <row r="2197" spans="1:10" ht="21" customHeight="1">
      <c r="A2197" s="2" t="s">
        <v>3189</v>
      </c>
      <c r="B2197" s="2" t="s">
        <v>33</v>
      </c>
      <c r="C2197" s="4">
        <v>45663.25</v>
      </c>
      <c r="D2197" s="4">
        <v>45663.250503796298</v>
      </c>
      <c r="E2197" s="2">
        <v>2.61</v>
      </c>
      <c r="F2197" s="2">
        <v>61.1</v>
      </c>
      <c r="G2197" s="2" t="s">
        <v>983</v>
      </c>
      <c r="H2197" s="2" t="s">
        <v>984</v>
      </c>
      <c r="I2197" s="2"/>
      <c r="J2197" s="2" t="s">
        <v>33</v>
      </c>
    </row>
    <row r="2198" spans="1:10" ht="21" customHeight="1">
      <c r="A2198" s="2" t="s">
        <v>3190</v>
      </c>
      <c r="B2198" s="2" t="s">
        <v>33</v>
      </c>
      <c r="C2198" s="4">
        <v>45664.25</v>
      </c>
      <c r="D2198" s="4">
        <v>45664.250038645834</v>
      </c>
      <c r="E2198" s="2">
        <v>3.19</v>
      </c>
      <c r="F2198" s="2">
        <v>62.5</v>
      </c>
      <c r="G2198" s="2" t="s">
        <v>983</v>
      </c>
      <c r="H2198" s="2" t="s">
        <v>984</v>
      </c>
      <c r="I2198" s="2"/>
      <c r="J2198" s="2" t="s">
        <v>33</v>
      </c>
    </row>
    <row r="2199" spans="1:10" ht="21" customHeight="1">
      <c r="A2199" s="2" t="s">
        <v>3191</v>
      </c>
      <c r="B2199" s="2" t="s">
        <v>33</v>
      </c>
      <c r="C2199" s="4">
        <v>45665.25</v>
      </c>
      <c r="D2199" s="4">
        <v>45665.250393449074</v>
      </c>
      <c r="E2199" s="2">
        <v>5.45</v>
      </c>
      <c r="F2199" s="2">
        <v>70.900000000000006</v>
      </c>
      <c r="G2199" s="2" t="s">
        <v>983</v>
      </c>
      <c r="H2199" s="2" t="s">
        <v>984</v>
      </c>
      <c r="I2199" s="2"/>
      <c r="J2199" s="2" t="s">
        <v>33</v>
      </c>
    </row>
    <row r="2200" spans="1:10" ht="21" customHeight="1">
      <c r="A2200" s="2" t="s">
        <v>3192</v>
      </c>
      <c r="B2200" s="2" t="s">
        <v>33</v>
      </c>
      <c r="C2200" s="4">
        <v>45666.25</v>
      </c>
      <c r="D2200" s="4">
        <v>45666.250689918983</v>
      </c>
      <c r="E2200" s="2">
        <v>4.93</v>
      </c>
      <c r="F2200" s="2">
        <v>69.7</v>
      </c>
      <c r="G2200" s="2" t="s">
        <v>983</v>
      </c>
      <c r="H2200" s="2" t="s">
        <v>984</v>
      </c>
      <c r="I2200" s="2" t="s">
        <v>1053</v>
      </c>
      <c r="J2200" s="2" t="s">
        <v>33</v>
      </c>
    </row>
    <row r="2201" spans="1:10" ht="21" customHeight="1">
      <c r="A2201" s="2" t="s">
        <v>3193</v>
      </c>
      <c r="B2201" s="2" t="s">
        <v>33</v>
      </c>
      <c r="C2201" s="4">
        <v>45667.25</v>
      </c>
      <c r="D2201" s="4">
        <v>45667.25034053241</v>
      </c>
      <c r="E2201" s="2">
        <v>4.29</v>
      </c>
      <c r="F2201" s="2">
        <v>68.400000000000006</v>
      </c>
      <c r="G2201" s="2" t="s">
        <v>983</v>
      </c>
      <c r="H2201" s="2" t="s">
        <v>984</v>
      </c>
      <c r="I2201" s="2"/>
      <c r="J2201" s="2" t="s">
        <v>33</v>
      </c>
    </row>
    <row r="2202" spans="1:10" ht="21" customHeight="1">
      <c r="A2202" s="2" t="s">
        <v>3194</v>
      </c>
      <c r="B2202" s="2" t="s">
        <v>33</v>
      </c>
      <c r="C2202" s="4">
        <v>45668.25</v>
      </c>
      <c r="D2202" s="4">
        <v>45668.250588333336</v>
      </c>
      <c r="E2202" s="2">
        <v>3.24</v>
      </c>
      <c r="F2202" s="2">
        <v>61.4</v>
      </c>
      <c r="G2202" s="2" t="s">
        <v>983</v>
      </c>
      <c r="H2202" s="2" t="s">
        <v>984</v>
      </c>
      <c r="I2202" s="2"/>
      <c r="J2202" s="2" t="s">
        <v>33</v>
      </c>
    </row>
    <row r="2203" spans="1:10" ht="21" customHeight="1">
      <c r="A2203" s="2" t="s">
        <v>3195</v>
      </c>
      <c r="B2203" s="2" t="s">
        <v>33</v>
      </c>
      <c r="C2203" s="4">
        <v>45669.25</v>
      </c>
      <c r="D2203" s="4">
        <v>45669.250621168976</v>
      </c>
      <c r="E2203" s="2">
        <v>3.04</v>
      </c>
      <c r="F2203" s="2">
        <v>65.099999999999994</v>
      </c>
      <c r="G2203" s="2" t="s">
        <v>983</v>
      </c>
      <c r="H2203" s="2" t="s">
        <v>984</v>
      </c>
      <c r="I2203" s="2"/>
      <c r="J2203" s="2" t="s">
        <v>33</v>
      </c>
    </row>
    <row r="2204" spans="1:10" ht="21" customHeight="1">
      <c r="A2204" s="2" t="s">
        <v>3196</v>
      </c>
      <c r="B2204" s="2" t="s">
        <v>33</v>
      </c>
      <c r="C2204" s="4">
        <v>45670.25</v>
      </c>
      <c r="D2204" s="4">
        <v>45670.250521979164</v>
      </c>
      <c r="E2204" s="2">
        <v>3.2</v>
      </c>
      <c r="F2204" s="2">
        <v>62.2</v>
      </c>
      <c r="G2204" s="2" t="s">
        <v>983</v>
      </c>
      <c r="H2204" s="2" t="s">
        <v>984</v>
      </c>
      <c r="I2204" s="2"/>
      <c r="J2204" s="2" t="s">
        <v>33</v>
      </c>
    </row>
    <row r="2205" spans="1:10" ht="21" customHeight="1">
      <c r="A2205" s="2" t="s">
        <v>3197</v>
      </c>
      <c r="B2205" s="2" t="s">
        <v>33</v>
      </c>
      <c r="C2205" s="4">
        <v>45671.25</v>
      </c>
      <c r="D2205" s="4">
        <v>45671.250132326386</v>
      </c>
      <c r="E2205" s="2">
        <v>2.2799999999999998</v>
      </c>
      <c r="F2205" s="2">
        <v>60.1</v>
      </c>
      <c r="G2205" s="2" t="s">
        <v>983</v>
      </c>
      <c r="H2205" s="2" t="s">
        <v>984</v>
      </c>
      <c r="I2205" s="2"/>
      <c r="J2205" s="2" t="s">
        <v>33</v>
      </c>
    </row>
    <row r="2206" spans="1:10" ht="21" customHeight="1">
      <c r="A2206" s="2" t="s">
        <v>3198</v>
      </c>
      <c r="B2206" s="2" t="s">
        <v>33</v>
      </c>
      <c r="C2206" s="4">
        <v>45672.25</v>
      </c>
      <c r="D2206" s="4">
        <v>45672.250448819439</v>
      </c>
      <c r="E2206" s="2">
        <v>3.12</v>
      </c>
      <c r="F2206" s="2">
        <v>58</v>
      </c>
      <c r="G2206" s="2" t="s">
        <v>983</v>
      </c>
      <c r="H2206" s="2" t="s">
        <v>984</v>
      </c>
      <c r="I2206" s="2"/>
      <c r="J2206" s="2" t="s">
        <v>33</v>
      </c>
    </row>
    <row r="2207" spans="1:10" ht="21" customHeight="1">
      <c r="A2207" s="2" t="s">
        <v>3199</v>
      </c>
      <c r="B2207" s="2" t="s">
        <v>33</v>
      </c>
      <c r="C2207" s="4">
        <v>45673.25</v>
      </c>
      <c r="D2207" s="4">
        <v>45673.250254976854</v>
      </c>
      <c r="E2207" s="2">
        <v>2.94</v>
      </c>
      <c r="F2207" s="2">
        <v>65.8</v>
      </c>
      <c r="G2207" s="2" t="s">
        <v>983</v>
      </c>
      <c r="H2207" s="2" t="s">
        <v>984</v>
      </c>
      <c r="I2207" s="2"/>
      <c r="J2207" s="2" t="s">
        <v>33</v>
      </c>
    </row>
    <row r="2208" spans="1:10" ht="21" customHeight="1">
      <c r="A2208" s="2" t="s">
        <v>3200</v>
      </c>
      <c r="B2208" s="2" t="s">
        <v>33</v>
      </c>
      <c r="C2208" s="4">
        <v>45674.25</v>
      </c>
      <c r="D2208" s="4">
        <v>45674.250061979168</v>
      </c>
      <c r="E2208" s="2">
        <v>2.64</v>
      </c>
      <c r="F2208" s="2">
        <v>58.4</v>
      </c>
      <c r="G2208" s="2" t="s">
        <v>983</v>
      </c>
      <c r="H2208" s="2" t="s">
        <v>984</v>
      </c>
      <c r="I2208" s="2"/>
      <c r="J2208" s="2" t="s">
        <v>33</v>
      </c>
    </row>
    <row r="2209" spans="1:10" ht="21" customHeight="1">
      <c r="A2209" s="2" t="s">
        <v>3201</v>
      </c>
      <c r="B2209" s="2" t="s">
        <v>33</v>
      </c>
      <c r="C2209" s="4">
        <v>45675.25</v>
      </c>
      <c r="D2209" s="4">
        <v>45675.25065775463</v>
      </c>
      <c r="E2209" s="2">
        <v>2.3199999999999998</v>
      </c>
      <c r="F2209" s="2">
        <v>61.1</v>
      </c>
      <c r="G2209" s="2" t="s">
        <v>983</v>
      </c>
      <c r="H2209" s="2" t="s">
        <v>984</v>
      </c>
      <c r="I2209" s="2" t="s">
        <v>985</v>
      </c>
      <c r="J2209" s="2" t="s">
        <v>33</v>
      </c>
    </row>
    <row r="2210" spans="1:10" ht="21" customHeight="1">
      <c r="A2210" s="2" t="s">
        <v>3202</v>
      </c>
      <c r="B2210" s="2" t="s">
        <v>33</v>
      </c>
      <c r="C2210" s="4">
        <v>45676.25</v>
      </c>
      <c r="D2210" s="4">
        <v>45676.250683460647</v>
      </c>
      <c r="E2210" s="2">
        <v>2.3199999999999998</v>
      </c>
      <c r="F2210" s="2">
        <v>63.3</v>
      </c>
      <c r="G2210" s="2" t="s">
        <v>983</v>
      </c>
      <c r="H2210" s="2" t="s">
        <v>984</v>
      </c>
      <c r="I2210" s="2"/>
      <c r="J2210" s="2" t="s">
        <v>33</v>
      </c>
    </row>
    <row r="2211" spans="1:10" ht="21" customHeight="1">
      <c r="A2211" s="2" t="s">
        <v>3203</v>
      </c>
      <c r="B2211" s="2" t="s">
        <v>33</v>
      </c>
      <c r="C2211" s="4">
        <v>45677.25</v>
      </c>
      <c r="D2211" s="4">
        <v>45677.250022812499</v>
      </c>
      <c r="E2211" s="2">
        <v>2.56</v>
      </c>
      <c r="F2211" s="2">
        <v>65.5</v>
      </c>
      <c r="G2211" s="2" t="s">
        <v>983</v>
      </c>
      <c r="H2211" s="2" t="s">
        <v>984</v>
      </c>
      <c r="I2211" s="2"/>
      <c r="J2211" s="2" t="s">
        <v>33</v>
      </c>
    </row>
    <row r="2212" spans="1:10" ht="21" customHeight="1">
      <c r="A2212" s="2" t="s">
        <v>3204</v>
      </c>
      <c r="B2212" s="2" t="s">
        <v>33</v>
      </c>
      <c r="C2212" s="4">
        <v>45678.25</v>
      </c>
      <c r="D2212" s="4">
        <v>45678.250026203707</v>
      </c>
      <c r="E2212" s="2">
        <v>2.56</v>
      </c>
      <c r="F2212" s="2">
        <v>59.4</v>
      </c>
      <c r="G2212" s="2" t="s">
        <v>983</v>
      </c>
      <c r="H2212" s="2" t="s">
        <v>984</v>
      </c>
      <c r="I2212" s="2"/>
      <c r="J2212" s="2" t="s">
        <v>33</v>
      </c>
    </row>
    <row r="2213" spans="1:10" ht="21" customHeight="1">
      <c r="A2213" s="2" t="s">
        <v>3205</v>
      </c>
      <c r="B2213" s="2" t="s">
        <v>33</v>
      </c>
      <c r="C2213" s="4">
        <v>45679.25</v>
      </c>
      <c r="D2213" s="4">
        <v>45679.250650590278</v>
      </c>
      <c r="E2213" s="2">
        <v>21.45</v>
      </c>
      <c r="F2213" s="2">
        <v>65.2</v>
      </c>
      <c r="G2213" s="2" t="s">
        <v>983</v>
      </c>
      <c r="H2213" s="2" t="s">
        <v>1022</v>
      </c>
      <c r="I2213" s="2"/>
      <c r="J2213" s="2" t="s">
        <v>33</v>
      </c>
    </row>
    <row r="2214" spans="1:10" ht="21" customHeight="1">
      <c r="A2214" s="2" t="s">
        <v>3206</v>
      </c>
      <c r="B2214" s="2" t="s">
        <v>33</v>
      </c>
      <c r="C2214" s="4">
        <v>45680.25</v>
      </c>
      <c r="D2214" s="4">
        <v>45680.250328298614</v>
      </c>
      <c r="E2214" s="2">
        <v>2.12</v>
      </c>
      <c r="F2214" s="2">
        <v>59.7</v>
      </c>
      <c r="G2214" s="2" t="s">
        <v>983</v>
      </c>
      <c r="H2214" s="2" t="s">
        <v>984</v>
      </c>
      <c r="I2214" s="2"/>
      <c r="J2214" s="2" t="s">
        <v>33</v>
      </c>
    </row>
    <row r="2215" spans="1:10" ht="21" customHeight="1">
      <c r="A2215" s="2" t="s">
        <v>3207</v>
      </c>
      <c r="B2215" s="2" t="s">
        <v>33</v>
      </c>
      <c r="C2215" s="4">
        <v>45681.25</v>
      </c>
      <c r="D2215" s="4">
        <v>45681.250227523153</v>
      </c>
      <c r="E2215" s="2">
        <v>2.39</v>
      </c>
      <c r="F2215" s="2">
        <v>59</v>
      </c>
      <c r="G2215" s="2" t="s">
        <v>983</v>
      </c>
      <c r="H2215" s="2" t="s">
        <v>984</v>
      </c>
      <c r="I2215" s="2"/>
      <c r="J2215" s="2" t="s">
        <v>33</v>
      </c>
    </row>
    <row r="2216" spans="1:10" ht="21" customHeight="1">
      <c r="A2216" s="2" t="s">
        <v>3208</v>
      </c>
      <c r="B2216" s="2" t="s">
        <v>3209</v>
      </c>
      <c r="C2216" s="4">
        <v>45682.25</v>
      </c>
      <c r="D2216" s="4">
        <v>45682.250022106484</v>
      </c>
      <c r="E2216" s="2">
        <v>2.46</v>
      </c>
      <c r="F2216" s="2">
        <v>59.3</v>
      </c>
      <c r="G2216" s="2" t="s">
        <v>983</v>
      </c>
      <c r="H2216" s="2" t="s">
        <v>984</v>
      </c>
      <c r="I2216" s="2"/>
      <c r="J2216" s="2" t="s">
        <v>33</v>
      </c>
    </row>
    <row r="2217" spans="1:10" ht="21" customHeight="1">
      <c r="A2217" s="2" t="s">
        <v>3210</v>
      </c>
      <c r="B2217" s="2" t="s">
        <v>33</v>
      </c>
      <c r="C2217" s="4">
        <v>45683.25</v>
      </c>
      <c r="D2217" s="4">
        <v>45683.250340312501</v>
      </c>
      <c r="E2217" s="2">
        <v>2.9</v>
      </c>
      <c r="F2217" s="2">
        <v>63.4</v>
      </c>
      <c r="G2217" s="2" t="s">
        <v>983</v>
      </c>
      <c r="H2217" s="2" t="s">
        <v>984</v>
      </c>
      <c r="I2217" s="2"/>
      <c r="J2217" s="2" t="s">
        <v>33</v>
      </c>
    </row>
    <row r="2218" spans="1:10" ht="21" customHeight="1">
      <c r="A2218" s="2" t="s">
        <v>3211</v>
      </c>
      <c r="B2218" s="2" t="s">
        <v>33</v>
      </c>
      <c r="C2218" s="4">
        <v>45684.25</v>
      </c>
      <c r="D2218" s="4">
        <v>45684.250020127314</v>
      </c>
      <c r="E2218" s="2">
        <v>16.75</v>
      </c>
      <c r="F2218" s="2">
        <v>60.3</v>
      </c>
      <c r="G2218" s="2" t="s">
        <v>983</v>
      </c>
      <c r="H2218" s="2" t="s">
        <v>1022</v>
      </c>
      <c r="I2218" s="2"/>
      <c r="J2218" s="2" t="s">
        <v>33</v>
      </c>
    </row>
    <row r="2219" spans="1:10" ht="21" customHeight="1">
      <c r="A2219" s="2" t="s">
        <v>3212</v>
      </c>
      <c r="B2219" s="2" t="s">
        <v>33</v>
      </c>
      <c r="C2219" s="4">
        <v>45685.25</v>
      </c>
      <c r="D2219" s="4">
        <v>45685.250286956019</v>
      </c>
      <c r="E2219" s="2">
        <v>2.15</v>
      </c>
      <c r="F2219" s="2">
        <v>59.2</v>
      </c>
      <c r="G2219" s="2" t="s">
        <v>983</v>
      </c>
      <c r="H2219" s="2" t="s">
        <v>984</v>
      </c>
      <c r="I2219" s="2"/>
      <c r="J2219" s="2" t="s">
        <v>33</v>
      </c>
    </row>
    <row r="2220" spans="1:10" ht="21" customHeight="1">
      <c r="A2220" s="2" t="s">
        <v>3213</v>
      </c>
      <c r="B2220" s="2" t="s">
        <v>33</v>
      </c>
      <c r="C2220" s="4">
        <v>45686.25</v>
      </c>
      <c r="D2220" s="4">
        <v>45686.250100821759</v>
      </c>
      <c r="E2220" s="2">
        <v>2.65</v>
      </c>
      <c r="F2220" s="2">
        <v>65.900000000000006</v>
      </c>
      <c r="G2220" s="2" t="s">
        <v>983</v>
      </c>
      <c r="H2220" s="2" t="s">
        <v>984</v>
      </c>
      <c r="I2220" s="2"/>
      <c r="J2220" s="2" t="s">
        <v>33</v>
      </c>
    </row>
    <row r="2221" spans="1:10" ht="21" customHeight="1">
      <c r="A2221" s="2" t="s">
        <v>3214</v>
      </c>
      <c r="B2221" s="2" t="s">
        <v>33</v>
      </c>
      <c r="C2221" s="4">
        <v>45687.25</v>
      </c>
      <c r="D2221" s="4">
        <v>45687.25052538194</v>
      </c>
      <c r="E2221" s="2">
        <v>2.37</v>
      </c>
      <c r="F2221" s="2">
        <v>58.8</v>
      </c>
      <c r="G2221" s="2" t="s">
        <v>983</v>
      </c>
      <c r="H2221" s="2" t="s">
        <v>984</v>
      </c>
      <c r="I2221" s="2"/>
      <c r="J2221" s="2" t="s">
        <v>33</v>
      </c>
    </row>
    <row r="2222" spans="1:10" ht="21" customHeight="1">
      <c r="A2222" s="2" t="s">
        <v>3215</v>
      </c>
      <c r="B2222" s="2" t="s">
        <v>33</v>
      </c>
      <c r="C2222" s="4">
        <v>45688.25</v>
      </c>
      <c r="D2222" s="4">
        <v>45688.250177789349</v>
      </c>
      <c r="E2222" s="2">
        <v>2.5</v>
      </c>
      <c r="F2222" s="2">
        <v>65.8</v>
      </c>
      <c r="G2222" s="2" t="s">
        <v>983</v>
      </c>
      <c r="H2222" s="2" t="s">
        <v>984</v>
      </c>
      <c r="I2222" s="2"/>
      <c r="J2222" s="2" t="s">
        <v>33</v>
      </c>
    </row>
    <row r="2223" spans="1:10" ht="21" customHeight="1">
      <c r="A2223" s="2" t="s">
        <v>3216</v>
      </c>
      <c r="B2223" s="2" t="s">
        <v>33</v>
      </c>
      <c r="C2223" s="4">
        <v>45689.25</v>
      </c>
      <c r="D2223" s="4">
        <v>45689.250047372683</v>
      </c>
      <c r="E2223" s="2">
        <v>2.12</v>
      </c>
      <c r="F2223" s="2">
        <v>62.7</v>
      </c>
      <c r="G2223" s="2" t="s">
        <v>983</v>
      </c>
      <c r="H2223" s="2" t="s">
        <v>984</v>
      </c>
      <c r="I2223" s="2"/>
      <c r="J2223" s="2" t="s">
        <v>33</v>
      </c>
    </row>
    <row r="2224" spans="1:10" ht="21" customHeight="1">
      <c r="A2224" s="2" t="s">
        <v>3217</v>
      </c>
      <c r="B2224" s="2" t="s">
        <v>33</v>
      </c>
      <c r="C2224" s="4">
        <v>45690.25</v>
      </c>
      <c r="D2224" s="4">
        <v>45690.250039189814</v>
      </c>
      <c r="E2224" s="2">
        <v>2.57</v>
      </c>
      <c r="F2224" s="2">
        <v>61.9</v>
      </c>
      <c r="G2224" s="2" t="s">
        <v>983</v>
      </c>
      <c r="H2224" s="2" t="s">
        <v>984</v>
      </c>
      <c r="I2224" s="2"/>
      <c r="J2224" s="2" t="s">
        <v>33</v>
      </c>
    </row>
    <row r="2225" spans="1:10" ht="21" customHeight="1">
      <c r="A2225" s="2" t="s">
        <v>3218</v>
      </c>
      <c r="B2225" s="2" t="s">
        <v>33</v>
      </c>
      <c r="C2225" s="4">
        <v>45691.25</v>
      </c>
      <c r="D2225" s="4">
        <v>45691.250370092588</v>
      </c>
      <c r="E2225" s="2">
        <v>2.66</v>
      </c>
      <c r="F2225" s="2">
        <v>65.5</v>
      </c>
      <c r="G2225" s="2" t="s">
        <v>983</v>
      </c>
      <c r="H2225" s="2" t="s">
        <v>984</v>
      </c>
      <c r="I2225" s="2"/>
      <c r="J2225" s="2" t="s">
        <v>33</v>
      </c>
    </row>
    <row r="2226" spans="1:10" ht="21" customHeight="1">
      <c r="A2226" s="2" t="s">
        <v>3219</v>
      </c>
      <c r="B2226" s="2" t="s">
        <v>33</v>
      </c>
      <c r="C2226" s="4">
        <v>45692.25</v>
      </c>
      <c r="D2226" s="4">
        <v>45692.250608460643</v>
      </c>
      <c r="E2226" s="2">
        <v>2.46</v>
      </c>
      <c r="F2226" s="2">
        <v>60.2</v>
      </c>
      <c r="G2226" s="2" t="s">
        <v>983</v>
      </c>
      <c r="H2226" s="2" t="s">
        <v>984</v>
      </c>
      <c r="I2226" s="2" t="s">
        <v>985</v>
      </c>
      <c r="J2226" s="2" t="s">
        <v>33</v>
      </c>
    </row>
    <row r="2227" spans="1:10" ht="21" customHeight="1">
      <c r="A2227" s="2" t="s">
        <v>3220</v>
      </c>
      <c r="B2227" s="2" t="s">
        <v>33</v>
      </c>
      <c r="C2227" s="4">
        <v>45693.25</v>
      </c>
      <c r="D2227" s="4">
        <v>45693.250521296301</v>
      </c>
      <c r="E2227" s="2">
        <v>2.62</v>
      </c>
      <c r="F2227" s="2">
        <v>59.5</v>
      </c>
      <c r="G2227" s="2" t="s">
        <v>983</v>
      </c>
      <c r="H2227" s="2" t="s">
        <v>984</v>
      </c>
      <c r="I2227" s="2"/>
      <c r="J2227" s="2" t="s">
        <v>33</v>
      </c>
    </row>
    <row r="2228" spans="1:10" ht="21" customHeight="1">
      <c r="A2228" s="2" t="s">
        <v>3221</v>
      </c>
      <c r="B2228" s="2" t="s">
        <v>33</v>
      </c>
      <c r="C2228" s="4">
        <v>45694.25</v>
      </c>
      <c r="D2228" s="4">
        <v>45694.250085648149</v>
      </c>
      <c r="E2228" s="2">
        <v>2.63</v>
      </c>
      <c r="F2228" s="2">
        <v>59.2</v>
      </c>
      <c r="G2228" s="2" t="s">
        <v>983</v>
      </c>
      <c r="H2228" s="2" t="s">
        <v>984</v>
      </c>
      <c r="I2228" s="2"/>
      <c r="J2228" s="2" t="s">
        <v>33</v>
      </c>
    </row>
    <row r="2229" spans="1:10" ht="21" customHeight="1">
      <c r="A2229" s="2" t="s">
        <v>3222</v>
      </c>
      <c r="B2229" s="2" t="s">
        <v>33</v>
      </c>
      <c r="C2229" s="4">
        <v>45695.25</v>
      </c>
      <c r="D2229" s="4">
        <v>45695.250614050921</v>
      </c>
      <c r="E2229" s="2">
        <v>3.09</v>
      </c>
      <c r="F2229" s="2">
        <v>60.4</v>
      </c>
      <c r="G2229" s="2" t="s">
        <v>983</v>
      </c>
      <c r="H2229" s="2" t="s">
        <v>984</v>
      </c>
      <c r="I2229" s="2"/>
      <c r="J2229" s="2" t="s">
        <v>33</v>
      </c>
    </row>
    <row r="2230" spans="1:10" ht="21" customHeight="1">
      <c r="A2230" s="2" t="s">
        <v>3223</v>
      </c>
      <c r="B2230" s="2" t="s">
        <v>33</v>
      </c>
      <c r="C2230" s="4">
        <v>45696.25</v>
      </c>
      <c r="D2230" s="4">
        <v>45696.250147546292</v>
      </c>
      <c r="E2230" s="2">
        <v>2.85</v>
      </c>
      <c r="F2230" s="2">
        <v>59.6</v>
      </c>
      <c r="G2230" s="2" t="s">
        <v>983</v>
      </c>
      <c r="H2230" s="2" t="s">
        <v>984</v>
      </c>
      <c r="I2230" s="2"/>
      <c r="J2230" s="2" t="s">
        <v>33</v>
      </c>
    </row>
    <row r="2231" spans="1:10" ht="21" customHeight="1">
      <c r="A2231" s="2" t="s">
        <v>3224</v>
      </c>
      <c r="B2231" s="2" t="s">
        <v>33</v>
      </c>
      <c r="C2231" s="4">
        <v>45697.25</v>
      </c>
      <c r="D2231" s="4">
        <v>45697.250540740744</v>
      </c>
      <c r="E2231" s="2">
        <v>2.5299999999999998</v>
      </c>
      <c r="F2231" s="2">
        <v>60</v>
      </c>
      <c r="G2231" s="2" t="s">
        <v>983</v>
      </c>
      <c r="H2231" s="2" t="s">
        <v>984</v>
      </c>
      <c r="I2231" s="2"/>
      <c r="J2231" s="2" t="s">
        <v>33</v>
      </c>
    </row>
    <row r="2232" spans="1:10" ht="21" customHeight="1">
      <c r="A2232" s="2" t="s">
        <v>3225</v>
      </c>
      <c r="B2232" s="2" t="s">
        <v>33</v>
      </c>
      <c r="C2232" s="4">
        <v>45698.25</v>
      </c>
      <c r="D2232" s="4">
        <v>45698.250090543981</v>
      </c>
      <c r="E2232" s="2">
        <v>2.75</v>
      </c>
      <c r="F2232" s="2">
        <v>58.3</v>
      </c>
      <c r="G2232" s="2" t="s">
        <v>983</v>
      </c>
      <c r="H2232" s="2" t="s">
        <v>984</v>
      </c>
      <c r="I2232" s="2"/>
      <c r="J2232" s="2" t="s">
        <v>33</v>
      </c>
    </row>
    <row r="2233" spans="1:10" ht="21" customHeight="1">
      <c r="A2233" s="2" t="s">
        <v>3226</v>
      </c>
      <c r="B2233" s="2" t="s">
        <v>33</v>
      </c>
      <c r="C2233" s="4">
        <v>45699.25</v>
      </c>
      <c r="D2233" s="4">
        <v>45699.250365798609</v>
      </c>
      <c r="E2233" s="2">
        <v>2.2999999999999998</v>
      </c>
      <c r="F2233" s="2">
        <v>58.1</v>
      </c>
      <c r="G2233" s="2" t="s">
        <v>983</v>
      </c>
      <c r="H2233" s="2" t="s">
        <v>984</v>
      </c>
      <c r="I2233" s="2"/>
      <c r="J2233" s="2" t="s">
        <v>33</v>
      </c>
    </row>
    <row r="2234" spans="1:10" ht="21" customHeight="1">
      <c r="A2234" s="2" t="s">
        <v>3227</v>
      </c>
      <c r="B2234" s="2" t="s">
        <v>33</v>
      </c>
      <c r="C2234" s="4">
        <v>45700.25</v>
      </c>
      <c r="D2234" s="4">
        <v>45700.250027280097</v>
      </c>
      <c r="E2234" s="2">
        <v>3.28</v>
      </c>
      <c r="F2234" s="2">
        <v>59.2</v>
      </c>
      <c r="G2234" s="2" t="s">
        <v>983</v>
      </c>
      <c r="H2234" s="2" t="s">
        <v>984</v>
      </c>
      <c r="I2234" s="2"/>
      <c r="J2234" s="2" t="s">
        <v>33</v>
      </c>
    </row>
    <row r="2235" spans="1:10" ht="21" customHeight="1">
      <c r="A2235" s="2" t="s">
        <v>3228</v>
      </c>
      <c r="B2235" s="2" t="s">
        <v>33</v>
      </c>
      <c r="C2235" s="4">
        <v>45701.25</v>
      </c>
      <c r="D2235" s="4">
        <v>45701.250648043977</v>
      </c>
      <c r="E2235" s="2">
        <v>2.23</v>
      </c>
      <c r="F2235" s="2">
        <v>61.1</v>
      </c>
      <c r="G2235" s="2" t="s">
        <v>983</v>
      </c>
      <c r="H2235" s="2" t="s">
        <v>984</v>
      </c>
      <c r="I2235" s="2"/>
      <c r="J2235" s="2" t="s">
        <v>33</v>
      </c>
    </row>
    <row r="2236" spans="1:10" ht="21" customHeight="1">
      <c r="A2236" s="2" t="s">
        <v>3229</v>
      </c>
      <c r="B2236" s="2" t="s">
        <v>33</v>
      </c>
      <c r="C2236" s="4">
        <v>45702.25</v>
      </c>
      <c r="D2236" s="4">
        <v>45702.250158877316</v>
      </c>
      <c r="E2236" s="2">
        <v>2.3199999999999998</v>
      </c>
      <c r="F2236" s="2">
        <v>60.8</v>
      </c>
      <c r="G2236" s="2" t="s">
        <v>983</v>
      </c>
      <c r="H2236" s="2" t="s">
        <v>984</v>
      </c>
      <c r="I2236" s="2"/>
      <c r="J2236" s="2" t="s">
        <v>33</v>
      </c>
    </row>
    <row r="2237" spans="1:10" ht="21" customHeight="1">
      <c r="A2237" s="2" t="s">
        <v>3230</v>
      </c>
      <c r="B2237" s="2" t="s">
        <v>33</v>
      </c>
      <c r="C2237" s="4">
        <v>45703.25</v>
      </c>
      <c r="D2237" s="4">
        <v>45703.250045104171</v>
      </c>
      <c r="E2237" s="2">
        <v>3.12</v>
      </c>
      <c r="F2237" s="2">
        <v>61.4</v>
      </c>
      <c r="G2237" s="2" t="s">
        <v>983</v>
      </c>
      <c r="H2237" s="2" t="s">
        <v>984</v>
      </c>
      <c r="I2237" s="2"/>
      <c r="J2237" s="2" t="s">
        <v>33</v>
      </c>
    </row>
    <row r="2238" spans="1:10" ht="21" customHeight="1">
      <c r="A2238" s="2" t="s">
        <v>3231</v>
      </c>
      <c r="B2238" s="2" t="s">
        <v>33</v>
      </c>
      <c r="C2238" s="4">
        <v>45704.25</v>
      </c>
      <c r="D2238" s="4">
        <v>45704.250080104168</v>
      </c>
      <c r="E2238" s="2">
        <v>3.03</v>
      </c>
      <c r="F2238" s="2">
        <v>65.099999999999994</v>
      </c>
      <c r="G2238" s="2" t="s">
        <v>983</v>
      </c>
      <c r="H2238" s="2" t="s">
        <v>984</v>
      </c>
      <c r="I2238" s="2"/>
      <c r="J2238" s="2" t="s">
        <v>33</v>
      </c>
    </row>
    <row r="2239" spans="1:10" ht="21" customHeight="1">
      <c r="A2239" s="2" t="s">
        <v>3232</v>
      </c>
      <c r="B2239" s="2" t="s">
        <v>33</v>
      </c>
      <c r="C2239" s="4">
        <v>45705.25</v>
      </c>
      <c r="D2239" s="4">
        <v>45705.250091087961</v>
      </c>
      <c r="E2239" s="2">
        <v>2.2999999999999998</v>
      </c>
      <c r="F2239" s="2">
        <v>63.8</v>
      </c>
      <c r="G2239" s="2" t="s">
        <v>983</v>
      </c>
      <c r="H2239" s="2" t="s">
        <v>984</v>
      </c>
      <c r="I2239" s="2"/>
      <c r="J2239" s="2" t="s">
        <v>33</v>
      </c>
    </row>
    <row r="2240" spans="1:10" ht="21" customHeight="1">
      <c r="A2240" s="2" t="s">
        <v>3233</v>
      </c>
      <c r="B2240" s="2" t="s">
        <v>33</v>
      </c>
      <c r="C2240" s="4">
        <v>45706.25</v>
      </c>
      <c r="D2240" s="4">
        <v>45706.250114571754</v>
      </c>
      <c r="E2240" s="2">
        <v>2.64</v>
      </c>
      <c r="F2240" s="2">
        <v>58</v>
      </c>
      <c r="G2240" s="2" t="s">
        <v>983</v>
      </c>
      <c r="H2240" s="2" t="s">
        <v>984</v>
      </c>
      <c r="I2240" s="2"/>
      <c r="J2240" s="2" t="s">
        <v>33</v>
      </c>
    </row>
    <row r="2241" spans="1:10" ht="21" customHeight="1">
      <c r="A2241" s="2" t="s">
        <v>3234</v>
      </c>
      <c r="B2241" s="2" t="s">
        <v>33</v>
      </c>
      <c r="C2241" s="4">
        <v>45707.25</v>
      </c>
      <c r="D2241" s="4">
        <v>45707.250259826389</v>
      </c>
      <c r="E2241" s="2">
        <v>3.01</v>
      </c>
      <c r="F2241" s="2">
        <v>62.9</v>
      </c>
      <c r="G2241" s="2" t="s">
        <v>983</v>
      </c>
      <c r="H2241" s="2" t="s">
        <v>984</v>
      </c>
      <c r="I2241" s="2"/>
      <c r="J2241" s="2" t="s">
        <v>33</v>
      </c>
    </row>
    <row r="2242" spans="1:10" ht="21" customHeight="1">
      <c r="A2242" s="2" t="s">
        <v>3235</v>
      </c>
      <c r="B2242" s="2" t="s">
        <v>33</v>
      </c>
      <c r="C2242" s="4">
        <v>45708.25</v>
      </c>
      <c r="D2242" s="4">
        <v>45708.250272974532</v>
      </c>
      <c r="E2242" s="2">
        <v>2.59</v>
      </c>
      <c r="F2242" s="2">
        <v>58.4</v>
      </c>
      <c r="G2242" s="2" t="s">
        <v>983</v>
      </c>
      <c r="H2242" s="2" t="s">
        <v>984</v>
      </c>
      <c r="I2242" s="2"/>
      <c r="J2242" s="2" t="s">
        <v>33</v>
      </c>
    </row>
    <row r="2243" spans="1:10" ht="21" customHeight="1">
      <c r="A2243" s="2" t="s">
        <v>3236</v>
      </c>
      <c r="B2243" s="2" t="s">
        <v>33</v>
      </c>
      <c r="C2243" s="4">
        <v>45709.25</v>
      </c>
      <c r="D2243" s="4">
        <v>45709.250025891204</v>
      </c>
      <c r="E2243" s="2">
        <v>2.78</v>
      </c>
      <c r="F2243" s="2">
        <v>63</v>
      </c>
      <c r="G2243" s="2" t="s">
        <v>983</v>
      </c>
      <c r="H2243" s="2" t="s">
        <v>984</v>
      </c>
      <c r="I2243" s="2" t="s">
        <v>985</v>
      </c>
      <c r="J2243" s="2" t="s">
        <v>33</v>
      </c>
    </row>
    <row r="2244" spans="1:10" ht="21" customHeight="1">
      <c r="A2244" s="2" t="s">
        <v>3237</v>
      </c>
      <c r="B2244" s="2" t="s">
        <v>33</v>
      </c>
      <c r="C2244" s="4">
        <v>45710.25</v>
      </c>
      <c r="D2244" s="4">
        <v>45710.250546898147</v>
      </c>
      <c r="E2244" s="2">
        <v>2.67</v>
      </c>
      <c r="F2244" s="2">
        <v>62.6</v>
      </c>
      <c r="G2244" s="2" t="s">
        <v>983</v>
      </c>
      <c r="H2244" s="2" t="s">
        <v>984</v>
      </c>
      <c r="I2244" s="2"/>
      <c r="J2244" s="2" t="s">
        <v>33</v>
      </c>
    </row>
    <row r="2245" spans="1:10" ht="21" customHeight="1">
      <c r="A2245" s="2" t="s">
        <v>3238</v>
      </c>
      <c r="B2245" s="2" t="s">
        <v>33</v>
      </c>
      <c r="C2245" s="4">
        <v>45711.25</v>
      </c>
      <c r="D2245" s="4">
        <v>45711.25060201389</v>
      </c>
      <c r="E2245" s="2">
        <v>2.6</v>
      </c>
      <c r="F2245" s="2">
        <v>62.9</v>
      </c>
      <c r="G2245" s="2" t="s">
        <v>983</v>
      </c>
      <c r="H2245" s="2" t="s">
        <v>984</v>
      </c>
      <c r="I2245" s="2"/>
      <c r="J2245" s="2" t="s">
        <v>33</v>
      </c>
    </row>
    <row r="2246" spans="1:10" ht="21" customHeight="1">
      <c r="A2246" s="2" t="s">
        <v>3239</v>
      </c>
      <c r="B2246" s="2" t="s">
        <v>33</v>
      </c>
      <c r="C2246" s="4">
        <v>45712.25</v>
      </c>
      <c r="D2246" s="4">
        <v>45712.250292118057</v>
      </c>
      <c r="E2246" s="2">
        <v>2.2000000000000002</v>
      </c>
      <c r="F2246" s="2">
        <v>65.400000000000006</v>
      </c>
      <c r="G2246" s="2" t="s">
        <v>983</v>
      </c>
      <c r="H2246" s="2" t="s">
        <v>984</v>
      </c>
      <c r="I2246" s="2"/>
      <c r="J2246" s="2" t="s">
        <v>33</v>
      </c>
    </row>
    <row r="2247" spans="1:10" ht="21" customHeight="1">
      <c r="A2247" s="2" t="s">
        <v>3240</v>
      </c>
      <c r="B2247" s="2" t="s">
        <v>33</v>
      </c>
      <c r="C2247" s="4">
        <v>45713.25</v>
      </c>
      <c r="D2247" s="4">
        <v>45713.250393784721</v>
      </c>
      <c r="E2247" s="2">
        <v>2.99</v>
      </c>
      <c r="F2247" s="2">
        <v>61.2</v>
      </c>
      <c r="G2247" s="2" t="s">
        <v>983</v>
      </c>
      <c r="H2247" s="2" t="s">
        <v>984</v>
      </c>
      <c r="I2247" s="2"/>
      <c r="J2247" s="2" t="s">
        <v>33</v>
      </c>
    </row>
    <row r="2248" spans="1:10" ht="21" customHeight="1">
      <c r="A2248" s="2" t="s">
        <v>3241</v>
      </c>
      <c r="B2248" s="2" t="s">
        <v>33</v>
      </c>
      <c r="C2248" s="4">
        <v>45714.25</v>
      </c>
      <c r="D2248" s="4">
        <v>45714.250328437498</v>
      </c>
      <c r="E2248" s="2">
        <v>3.02</v>
      </c>
      <c r="F2248" s="2">
        <v>62.4</v>
      </c>
      <c r="G2248" s="2" t="s">
        <v>983</v>
      </c>
      <c r="H2248" s="2" t="s">
        <v>984</v>
      </c>
      <c r="I2248" s="2"/>
      <c r="J2248" s="2" t="s">
        <v>33</v>
      </c>
    </row>
    <row r="2249" spans="1:10" ht="21" customHeight="1">
      <c r="A2249" s="2" t="s">
        <v>3242</v>
      </c>
      <c r="B2249" s="2" t="s">
        <v>33</v>
      </c>
      <c r="C2249" s="4">
        <v>45715.25</v>
      </c>
      <c r="D2249" s="4">
        <v>45715.250153668982</v>
      </c>
      <c r="E2249" s="2">
        <v>2.61</v>
      </c>
      <c r="F2249" s="2">
        <v>65.599999999999994</v>
      </c>
      <c r="G2249" s="2" t="s">
        <v>983</v>
      </c>
      <c r="H2249" s="2" t="s">
        <v>984</v>
      </c>
      <c r="I2249" s="2"/>
      <c r="J2249" s="2" t="s">
        <v>33</v>
      </c>
    </row>
    <row r="2250" spans="1:10" ht="21" customHeight="1">
      <c r="A2250" s="2" t="s">
        <v>3243</v>
      </c>
      <c r="B2250" s="2" t="s">
        <v>33</v>
      </c>
      <c r="C2250" s="4">
        <v>45716.25</v>
      </c>
      <c r="D2250" s="4">
        <v>45716.250487361111</v>
      </c>
      <c r="E2250" s="2">
        <v>2.7</v>
      </c>
      <c r="F2250" s="2">
        <v>61.5</v>
      </c>
      <c r="G2250" s="2" t="s">
        <v>983</v>
      </c>
      <c r="H2250" s="2" t="s">
        <v>984</v>
      </c>
      <c r="I2250" s="2"/>
      <c r="J2250" s="2" t="s">
        <v>33</v>
      </c>
    </row>
    <row r="2251" spans="1:10" ht="21" customHeight="1">
      <c r="A2251" s="2" t="s">
        <v>3244</v>
      </c>
      <c r="B2251" s="2" t="s">
        <v>33</v>
      </c>
      <c r="C2251" s="4">
        <v>45717.25</v>
      </c>
      <c r="D2251" s="4">
        <v>45717.250336689816</v>
      </c>
      <c r="E2251" s="2">
        <v>2.46</v>
      </c>
      <c r="F2251" s="2">
        <v>61</v>
      </c>
      <c r="G2251" s="2" t="s">
        <v>983</v>
      </c>
      <c r="H2251" s="2" t="s">
        <v>984</v>
      </c>
      <c r="I2251" s="2"/>
      <c r="J2251" s="2" t="s">
        <v>33</v>
      </c>
    </row>
    <row r="2252" spans="1:10" ht="21" customHeight="1">
      <c r="A2252" s="2" t="s">
        <v>3245</v>
      </c>
      <c r="B2252" s="2" t="s">
        <v>33</v>
      </c>
      <c r="C2252" s="4">
        <v>45718.25</v>
      </c>
      <c r="D2252" s="4">
        <v>45718.25025081019</v>
      </c>
      <c r="E2252" s="2">
        <v>2.57</v>
      </c>
      <c r="F2252" s="2">
        <v>59.4</v>
      </c>
      <c r="G2252" s="2" t="s">
        <v>983</v>
      </c>
      <c r="H2252" s="2" t="s">
        <v>984</v>
      </c>
      <c r="I2252" s="2"/>
      <c r="J2252" s="2" t="s">
        <v>33</v>
      </c>
    </row>
    <row r="2253" spans="1:10" ht="21" customHeight="1">
      <c r="A2253" s="2" t="s">
        <v>3246</v>
      </c>
      <c r="B2253" s="2" t="s">
        <v>33</v>
      </c>
      <c r="C2253" s="4">
        <v>45719.25</v>
      </c>
      <c r="D2253" s="4">
        <v>45719.250277326384</v>
      </c>
      <c r="E2253" s="2">
        <v>2.87</v>
      </c>
      <c r="F2253" s="2">
        <v>61.4</v>
      </c>
      <c r="G2253" s="2" t="s">
        <v>983</v>
      </c>
      <c r="H2253" s="2" t="s">
        <v>984</v>
      </c>
      <c r="I2253" s="2"/>
      <c r="J2253" s="2" t="s">
        <v>33</v>
      </c>
    </row>
    <row r="2254" spans="1:10" ht="21" customHeight="1">
      <c r="A2254" s="2" t="s">
        <v>3247</v>
      </c>
      <c r="B2254" s="2" t="s">
        <v>33</v>
      </c>
      <c r="C2254" s="4">
        <v>45720.25</v>
      </c>
      <c r="D2254" s="4">
        <v>45720.250217766203</v>
      </c>
      <c r="E2254" s="2">
        <v>6.81</v>
      </c>
      <c r="F2254" s="2">
        <v>65.099999999999994</v>
      </c>
      <c r="G2254" s="2" t="s">
        <v>983</v>
      </c>
      <c r="H2254" s="2" t="s">
        <v>984</v>
      </c>
      <c r="I2254" s="2" t="s">
        <v>1053</v>
      </c>
      <c r="J2254" s="2" t="s">
        <v>33</v>
      </c>
    </row>
    <row r="2255" spans="1:10" ht="21" customHeight="1">
      <c r="A2255" s="2" t="s">
        <v>3248</v>
      </c>
      <c r="B2255" s="2" t="s">
        <v>33</v>
      </c>
      <c r="C2255" s="4">
        <v>45721.25</v>
      </c>
      <c r="D2255" s="4">
        <v>45721.250603368055</v>
      </c>
      <c r="E2255" s="2">
        <v>5.34</v>
      </c>
      <c r="F2255" s="2">
        <v>69</v>
      </c>
      <c r="G2255" s="2" t="s">
        <v>983</v>
      </c>
      <c r="H2255" s="2" t="s">
        <v>984</v>
      </c>
      <c r="I2255" s="2"/>
      <c r="J2255" s="2" t="s">
        <v>33</v>
      </c>
    </row>
    <row r="2256" spans="1:10" ht="21" customHeight="1">
      <c r="A2256" s="2" t="s">
        <v>3249</v>
      </c>
      <c r="B2256" s="2" t="s">
        <v>33</v>
      </c>
      <c r="C2256" s="4">
        <v>45722.25</v>
      </c>
      <c r="D2256" s="4">
        <v>45722.250276261577</v>
      </c>
      <c r="E2256" s="2">
        <v>6.06</v>
      </c>
      <c r="F2256" s="2">
        <v>71.5</v>
      </c>
      <c r="G2256" s="2" t="s">
        <v>983</v>
      </c>
      <c r="H2256" s="2" t="s">
        <v>984</v>
      </c>
      <c r="I2256" s="2" t="s">
        <v>1053</v>
      </c>
      <c r="J2256" s="2" t="s">
        <v>33</v>
      </c>
    </row>
    <row r="2257" spans="1:10" ht="21" customHeight="1">
      <c r="A2257" s="2" t="s">
        <v>3250</v>
      </c>
      <c r="B2257" s="2" t="s">
        <v>3209</v>
      </c>
      <c r="C2257" s="4">
        <v>45723.25</v>
      </c>
      <c r="D2257" s="4">
        <v>45723.250185474535</v>
      </c>
      <c r="E2257" s="2">
        <v>2.68</v>
      </c>
      <c r="F2257" s="2">
        <v>62.9</v>
      </c>
      <c r="G2257" s="2" t="s">
        <v>983</v>
      </c>
      <c r="H2257" s="2" t="s">
        <v>984</v>
      </c>
      <c r="I2257" s="2"/>
      <c r="J2257" s="2" t="s">
        <v>33</v>
      </c>
    </row>
    <row r="2258" spans="1:10" ht="21" customHeight="1">
      <c r="A2258" s="2" t="s">
        <v>3251</v>
      </c>
      <c r="B2258" s="2" t="s">
        <v>33</v>
      </c>
      <c r="C2258" s="4">
        <v>45724.25</v>
      </c>
      <c r="D2258" s="4">
        <v>45724.250063101848</v>
      </c>
      <c r="E2258" s="2">
        <v>2.21</v>
      </c>
      <c r="F2258" s="2">
        <v>60.8</v>
      </c>
      <c r="G2258" s="2" t="s">
        <v>983</v>
      </c>
      <c r="H2258" s="2" t="s">
        <v>984</v>
      </c>
      <c r="I2258" s="2"/>
      <c r="J2258" s="2" t="s">
        <v>33</v>
      </c>
    </row>
    <row r="2259" spans="1:10" ht="21" customHeight="1">
      <c r="A2259" s="2" t="s">
        <v>3252</v>
      </c>
      <c r="B2259" s="2" t="s">
        <v>33</v>
      </c>
      <c r="C2259" s="4">
        <v>45725.25</v>
      </c>
      <c r="D2259" s="4">
        <v>45725.250660601851</v>
      </c>
      <c r="E2259" s="2">
        <v>2.5299999999999998</v>
      </c>
      <c r="F2259" s="2">
        <v>59.9</v>
      </c>
      <c r="G2259" s="2" t="s">
        <v>983</v>
      </c>
      <c r="H2259" s="2" t="s">
        <v>984</v>
      </c>
      <c r="I2259" s="2"/>
      <c r="J2259" s="2" t="s">
        <v>33</v>
      </c>
    </row>
    <row r="2260" spans="1:10" ht="21" customHeight="1">
      <c r="A2260" s="2" t="s">
        <v>3253</v>
      </c>
      <c r="B2260" s="2" t="s">
        <v>33</v>
      </c>
      <c r="C2260" s="4">
        <v>45726.25</v>
      </c>
      <c r="D2260" s="4">
        <v>45726.250150266205</v>
      </c>
      <c r="E2260" s="2">
        <v>2.67</v>
      </c>
      <c r="F2260" s="2">
        <v>58.7</v>
      </c>
      <c r="G2260" s="2" t="s">
        <v>983</v>
      </c>
      <c r="H2260" s="2" t="s">
        <v>984</v>
      </c>
      <c r="I2260" s="2" t="s">
        <v>985</v>
      </c>
      <c r="J2260" s="2" t="s">
        <v>33</v>
      </c>
    </row>
    <row r="2261" spans="1:10" ht="21" customHeight="1">
      <c r="A2261" s="2" t="s">
        <v>3254</v>
      </c>
      <c r="B2261" s="2" t="s">
        <v>33</v>
      </c>
      <c r="C2261" s="4">
        <v>45727.25</v>
      </c>
      <c r="D2261" s="4">
        <v>45727.250225810189</v>
      </c>
      <c r="E2261" s="2">
        <v>3.14</v>
      </c>
      <c r="F2261" s="2">
        <v>58.3</v>
      </c>
      <c r="G2261" s="2" t="s">
        <v>983</v>
      </c>
      <c r="H2261" s="2" t="s">
        <v>984</v>
      </c>
      <c r="I2261" s="2"/>
      <c r="J2261" s="2" t="s">
        <v>33</v>
      </c>
    </row>
    <row r="2262" spans="1:10" ht="21" customHeight="1">
      <c r="A2262" s="2" t="s">
        <v>3255</v>
      </c>
      <c r="B2262" s="2" t="s">
        <v>33</v>
      </c>
      <c r="C2262" s="4">
        <v>45728.25</v>
      </c>
      <c r="D2262" s="4">
        <v>45728.250549895834</v>
      </c>
      <c r="E2262" s="2">
        <v>2.83</v>
      </c>
      <c r="F2262" s="2">
        <v>63.3</v>
      </c>
      <c r="G2262" s="2" t="s">
        <v>983</v>
      </c>
      <c r="H2262" s="2" t="s">
        <v>984</v>
      </c>
      <c r="I2262" s="2"/>
      <c r="J2262" s="2" t="s">
        <v>33</v>
      </c>
    </row>
    <row r="2263" spans="1:10" ht="21" customHeight="1">
      <c r="A2263" s="2" t="s">
        <v>3256</v>
      </c>
      <c r="B2263" s="2" t="s">
        <v>33</v>
      </c>
      <c r="C2263" s="4">
        <v>45729.25</v>
      </c>
      <c r="D2263" s="4">
        <v>45729.250090231479</v>
      </c>
      <c r="E2263" s="2">
        <v>3.21</v>
      </c>
      <c r="F2263" s="2">
        <v>64.400000000000006</v>
      </c>
      <c r="G2263" s="2" t="s">
        <v>983</v>
      </c>
      <c r="H2263" s="2" t="s">
        <v>984</v>
      </c>
      <c r="I2263" s="2"/>
      <c r="J2263" s="2" t="s">
        <v>33</v>
      </c>
    </row>
    <row r="2264" spans="1:10" ht="21" customHeight="1">
      <c r="A2264" s="2" t="s">
        <v>3257</v>
      </c>
      <c r="B2264" s="2" t="s">
        <v>33</v>
      </c>
      <c r="C2264" s="4">
        <v>45730.25</v>
      </c>
      <c r="D2264" s="4">
        <v>45730.250646944449</v>
      </c>
      <c r="E2264" s="2">
        <v>2.2599999999999998</v>
      </c>
      <c r="F2264" s="2">
        <v>59.1</v>
      </c>
      <c r="G2264" s="2" t="s">
        <v>983</v>
      </c>
      <c r="H2264" s="2" t="s">
        <v>984</v>
      </c>
      <c r="I2264" s="2"/>
      <c r="J2264" s="2" t="s">
        <v>33</v>
      </c>
    </row>
    <row r="2265" spans="1:10" ht="21" customHeight="1">
      <c r="A2265" s="2" t="s">
        <v>3258</v>
      </c>
      <c r="B2265" s="2" t="s">
        <v>33</v>
      </c>
      <c r="C2265" s="4">
        <v>45731.25</v>
      </c>
      <c r="D2265" s="4">
        <v>45731.250456307869</v>
      </c>
      <c r="E2265" s="2">
        <v>2.93</v>
      </c>
      <c r="F2265" s="2">
        <v>65.5</v>
      </c>
      <c r="G2265" s="2" t="s">
        <v>983</v>
      </c>
      <c r="H2265" s="2" t="s">
        <v>984</v>
      </c>
      <c r="I2265" s="2"/>
      <c r="J2265" s="2" t="s">
        <v>33</v>
      </c>
    </row>
    <row r="2266" spans="1:10" ht="21" customHeight="1">
      <c r="A2266" s="2" t="s">
        <v>3259</v>
      </c>
      <c r="B2266" s="2" t="s">
        <v>33</v>
      </c>
      <c r="C2266" s="4">
        <v>45732.25</v>
      </c>
      <c r="D2266" s="4">
        <v>45732.250457928239</v>
      </c>
      <c r="E2266" s="2">
        <v>2.54</v>
      </c>
      <c r="F2266" s="2">
        <v>58.8</v>
      </c>
      <c r="G2266" s="2" t="s">
        <v>983</v>
      </c>
      <c r="H2266" s="2" t="s">
        <v>984</v>
      </c>
      <c r="I2266" s="2"/>
      <c r="J2266" s="2" t="s">
        <v>33</v>
      </c>
    </row>
    <row r="2267" spans="1:10" ht="21" customHeight="1">
      <c r="A2267" s="2" t="s">
        <v>3260</v>
      </c>
      <c r="B2267" s="2" t="s">
        <v>33</v>
      </c>
      <c r="C2267" s="4">
        <v>45733.25</v>
      </c>
      <c r="D2267" s="4">
        <v>45733.250021053245</v>
      </c>
      <c r="E2267" s="2">
        <v>3.28</v>
      </c>
      <c r="F2267" s="2">
        <v>62.3</v>
      </c>
      <c r="G2267" s="2" t="s">
        <v>983</v>
      </c>
      <c r="H2267" s="2" t="s">
        <v>984</v>
      </c>
      <c r="I2267" s="2"/>
      <c r="J2267" s="2" t="s">
        <v>33</v>
      </c>
    </row>
    <row r="2268" spans="1:10" ht="21" customHeight="1">
      <c r="A2268" s="2" t="s">
        <v>3261</v>
      </c>
      <c r="B2268" s="2" t="s">
        <v>33</v>
      </c>
      <c r="C2268" s="4">
        <v>45734.25</v>
      </c>
      <c r="D2268" s="4">
        <v>45734.250602175925</v>
      </c>
      <c r="E2268" s="2">
        <v>2.34</v>
      </c>
      <c r="F2268" s="2">
        <v>59</v>
      </c>
      <c r="G2268" s="2" t="s">
        <v>983</v>
      </c>
      <c r="H2268" s="2" t="s">
        <v>984</v>
      </c>
      <c r="I2268" s="2"/>
      <c r="J2268" s="2" t="s">
        <v>33</v>
      </c>
    </row>
    <row r="2269" spans="1:10" ht="21" customHeight="1">
      <c r="A2269" s="2" t="s">
        <v>3262</v>
      </c>
      <c r="B2269" s="2" t="s">
        <v>33</v>
      </c>
      <c r="C2269" s="4">
        <v>45735.25</v>
      </c>
      <c r="D2269" s="4">
        <v>45735.250324212961</v>
      </c>
      <c r="E2269" s="2">
        <v>3.05</v>
      </c>
      <c r="F2269" s="2">
        <v>64.400000000000006</v>
      </c>
      <c r="G2269" s="2" t="s">
        <v>983</v>
      </c>
      <c r="H2269" s="2" t="s">
        <v>984</v>
      </c>
      <c r="I2269" s="2"/>
      <c r="J2269" s="2" t="s">
        <v>33</v>
      </c>
    </row>
    <row r="2270" spans="1:10" ht="21" customHeight="1">
      <c r="A2270" s="2" t="s">
        <v>3263</v>
      </c>
      <c r="B2270" s="2" t="s">
        <v>33</v>
      </c>
      <c r="C2270" s="4">
        <v>45736.25</v>
      </c>
      <c r="D2270" s="4">
        <v>45736.250111111112</v>
      </c>
      <c r="E2270" s="2">
        <v>3.03</v>
      </c>
      <c r="F2270" s="2">
        <v>65.8</v>
      </c>
      <c r="G2270" s="2" t="s">
        <v>983</v>
      </c>
      <c r="H2270" s="2" t="s">
        <v>984</v>
      </c>
      <c r="I2270" s="2"/>
      <c r="J2270" s="2" t="s">
        <v>33</v>
      </c>
    </row>
    <row r="2271" spans="1:10" ht="21" customHeight="1">
      <c r="A2271" s="2" t="s">
        <v>3264</v>
      </c>
      <c r="B2271" s="2" t="s">
        <v>33</v>
      </c>
      <c r="C2271" s="4">
        <v>45737.25</v>
      </c>
      <c r="D2271" s="4">
        <v>45737.250463298609</v>
      </c>
      <c r="E2271" s="2">
        <v>2.69</v>
      </c>
      <c r="F2271" s="2">
        <v>64</v>
      </c>
      <c r="G2271" s="2" t="s">
        <v>983</v>
      </c>
      <c r="H2271" s="2" t="s">
        <v>984</v>
      </c>
      <c r="I2271" s="2"/>
      <c r="J2271" s="2" t="s">
        <v>33</v>
      </c>
    </row>
    <row r="2272" spans="1:10" ht="21" customHeight="1">
      <c r="A2272" s="2" t="s">
        <v>3265</v>
      </c>
      <c r="B2272" s="2" t="s">
        <v>33</v>
      </c>
      <c r="C2272" s="4">
        <v>45738.25</v>
      </c>
      <c r="D2272" s="4">
        <v>45738.250454791661</v>
      </c>
      <c r="E2272" s="2">
        <v>3.2</v>
      </c>
      <c r="F2272" s="2">
        <v>59.6</v>
      </c>
      <c r="G2272" s="2" t="s">
        <v>983</v>
      </c>
      <c r="H2272" s="2" t="s">
        <v>984</v>
      </c>
      <c r="I2272" s="2"/>
      <c r="J2272" s="2" t="s">
        <v>33</v>
      </c>
    </row>
    <row r="2273" spans="1:10" ht="21" customHeight="1">
      <c r="A2273" s="2" t="s">
        <v>3266</v>
      </c>
      <c r="B2273" s="2" t="s">
        <v>33</v>
      </c>
      <c r="C2273" s="4">
        <v>45739.25</v>
      </c>
      <c r="D2273" s="4">
        <v>45739.25050292824</v>
      </c>
      <c r="E2273" s="2">
        <v>2.33</v>
      </c>
      <c r="F2273" s="2">
        <v>60.4</v>
      </c>
      <c r="G2273" s="2" t="s">
        <v>983</v>
      </c>
      <c r="H2273" s="2" t="s">
        <v>984</v>
      </c>
      <c r="I2273" s="2"/>
      <c r="J2273" s="2" t="s">
        <v>33</v>
      </c>
    </row>
    <row r="2274" spans="1:10" ht="21" customHeight="1">
      <c r="A2274" s="2" t="s">
        <v>3267</v>
      </c>
      <c r="B2274" s="2" t="s">
        <v>33</v>
      </c>
      <c r="C2274" s="4">
        <v>45740.25</v>
      </c>
      <c r="D2274" s="4">
        <v>45740.250285868053</v>
      </c>
      <c r="E2274" s="2">
        <v>2.63</v>
      </c>
      <c r="F2274" s="2">
        <v>58.3</v>
      </c>
      <c r="G2274" s="2" t="s">
        <v>983</v>
      </c>
      <c r="H2274" s="2" t="s">
        <v>984</v>
      </c>
      <c r="I2274" s="2"/>
      <c r="J2274" s="2" t="s">
        <v>33</v>
      </c>
    </row>
    <row r="2275" spans="1:10" ht="21" customHeight="1">
      <c r="A2275" s="2" t="s">
        <v>3268</v>
      </c>
      <c r="B2275" s="2" t="s">
        <v>33</v>
      </c>
      <c r="C2275" s="4">
        <v>45741.25</v>
      </c>
      <c r="D2275" s="4">
        <v>45741.250049224538</v>
      </c>
      <c r="E2275" s="2">
        <v>2.95</v>
      </c>
      <c r="F2275" s="2">
        <v>60.3</v>
      </c>
      <c r="G2275" s="2" t="s">
        <v>983</v>
      </c>
      <c r="H2275" s="2" t="s">
        <v>984</v>
      </c>
      <c r="I2275" s="2"/>
      <c r="J2275" s="2" t="s">
        <v>33</v>
      </c>
    </row>
    <row r="2276" spans="1:10" ht="21" customHeight="1">
      <c r="A2276" s="2" t="s">
        <v>3269</v>
      </c>
      <c r="B2276" s="2" t="s">
        <v>33</v>
      </c>
      <c r="C2276" s="4">
        <v>45742.25</v>
      </c>
      <c r="D2276" s="4">
        <v>45742.250620636572</v>
      </c>
      <c r="E2276" s="2">
        <v>2.92</v>
      </c>
      <c r="F2276" s="2">
        <v>60.4</v>
      </c>
      <c r="G2276" s="2" t="s">
        <v>983</v>
      </c>
      <c r="H2276" s="2" t="s">
        <v>984</v>
      </c>
      <c r="I2276" s="2"/>
      <c r="J2276" s="2" t="s">
        <v>33</v>
      </c>
    </row>
    <row r="2277" spans="1:10" ht="21" customHeight="1">
      <c r="A2277" s="2" t="s">
        <v>3270</v>
      </c>
      <c r="B2277" s="2" t="s">
        <v>33</v>
      </c>
      <c r="C2277" s="4">
        <v>45743.25</v>
      </c>
      <c r="D2277" s="4">
        <v>45743.25038435185</v>
      </c>
      <c r="E2277" s="2">
        <v>2.5299999999999998</v>
      </c>
      <c r="F2277" s="2">
        <v>65.3</v>
      </c>
      <c r="G2277" s="2" t="s">
        <v>983</v>
      </c>
      <c r="H2277" s="2" t="s">
        <v>984</v>
      </c>
      <c r="I2277" s="2" t="s">
        <v>985</v>
      </c>
      <c r="J2277" s="2" t="s">
        <v>33</v>
      </c>
    </row>
    <row r="2278" spans="1:10" ht="21" customHeight="1">
      <c r="A2278" s="2" t="s">
        <v>3271</v>
      </c>
      <c r="B2278" s="2" t="s">
        <v>33</v>
      </c>
      <c r="C2278" s="4">
        <v>45744.25</v>
      </c>
      <c r="D2278" s="4">
        <v>45744.250683287042</v>
      </c>
      <c r="E2278" s="2">
        <v>2.2200000000000002</v>
      </c>
      <c r="F2278" s="2">
        <v>59.5</v>
      </c>
      <c r="G2278" s="2" t="s">
        <v>983</v>
      </c>
      <c r="H2278" s="2" t="s">
        <v>984</v>
      </c>
      <c r="I2278" s="2"/>
      <c r="J2278" s="2" t="s">
        <v>33</v>
      </c>
    </row>
    <row r="2279" spans="1:10" ht="21" customHeight="1">
      <c r="A2279" s="2" t="s">
        <v>3272</v>
      </c>
      <c r="B2279" s="2" t="s">
        <v>33</v>
      </c>
      <c r="C2279" s="4">
        <v>45745.25</v>
      </c>
      <c r="D2279" s="4">
        <v>45745.250555659717</v>
      </c>
      <c r="E2279" s="2">
        <v>3.13</v>
      </c>
      <c r="F2279" s="2">
        <v>60.4</v>
      </c>
      <c r="G2279" s="2" t="s">
        <v>983</v>
      </c>
      <c r="H2279" s="2" t="s">
        <v>984</v>
      </c>
      <c r="I2279" s="2"/>
      <c r="J2279" s="2" t="s">
        <v>33</v>
      </c>
    </row>
    <row r="2280" spans="1:10" ht="21" customHeight="1">
      <c r="A2280" s="2" t="s">
        <v>3273</v>
      </c>
      <c r="B2280" s="2" t="s">
        <v>33</v>
      </c>
      <c r="C2280" s="4">
        <v>45746.25</v>
      </c>
      <c r="D2280" s="4">
        <v>45746.250304236106</v>
      </c>
      <c r="E2280" s="2">
        <v>2.57</v>
      </c>
      <c r="F2280" s="2">
        <v>61.7</v>
      </c>
      <c r="G2280" s="2" t="s">
        <v>983</v>
      </c>
      <c r="H2280" s="2" t="s">
        <v>984</v>
      </c>
      <c r="I2280" s="2"/>
      <c r="J2280" s="2" t="s">
        <v>33</v>
      </c>
    </row>
    <row r="2281" spans="1:10" ht="21" customHeight="1">
      <c r="A2281" s="2" t="s">
        <v>3274</v>
      </c>
      <c r="B2281" s="2" t="s">
        <v>33</v>
      </c>
      <c r="C2281" s="4">
        <v>45747.25</v>
      </c>
      <c r="D2281" s="4">
        <v>45747.250140046293</v>
      </c>
      <c r="E2281" s="2">
        <v>3.25</v>
      </c>
      <c r="F2281" s="2">
        <v>64.099999999999994</v>
      </c>
      <c r="G2281" s="2" t="s">
        <v>983</v>
      </c>
      <c r="H2281" s="2" t="s">
        <v>984</v>
      </c>
      <c r="I2281" s="2"/>
      <c r="J2281" s="2" t="s">
        <v>33</v>
      </c>
    </row>
    <row r="2282" spans="1:10" ht="21" customHeight="1">
      <c r="A2282" s="2" t="s">
        <v>3275</v>
      </c>
      <c r="B2282" s="2" t="s">
        <v>33</v>
      </c>
      <c r="C2282" s="4">
        <v>45748.25</v>
      </c>
      <c r="D2282" s="4">
        <v>45748.25038484954</v>
      </c>
      <c r="E2282" s="2">
        <v>2.6</v>
      </c>
      <c r="F2282" s="2">
        <v>58</v>
      </c>
      <c r="G2282" s="2" t="s">
        <v>983</v>
      </c>
      <c r="H2282" s="2" t="s">
        <v>984</v>
      </c>
      <c r="I2282" s="2"/>
      <c r="J2282" s="2" t="s">
        <v>33</v>
      </c>
    </row>
    <row r="2283" spans="1:10" ht="21" customHeight="1">
      <c r="A2283" s="2" t="s">
        <v>3276</v>
      </c>
      <c r="B2283" s="2" t="s">
        <v>33</v>
      </c>
      <c r="C2283" s="4">
        <v>45749.25</v>
      </c>
      <c r="D2283" s="4">
        <v>45749.250072037037</v>
      </c>
      <c r="E2283" s="2">
        <v>2.63</v>
      </c>
      <c r="F2283" s="2">
        <v>60.3</v>
      </c>
      <c r="G2283" s="2" t="s">
        <v>983</v>
      </c>
      <c r="H2283" s="2" t="s">
        <v>984</v>
      </c>
      <c r="I2283" s="2"/>
      <c r="J2283" s="2" t="s">
        <v>33</v>
      </c>
    </row>
    <row r="2284" spans="1:10" ht="21" customHeight="1">
      <c r="A2284" s="2" t="s">
        <v>3277</v>
      </c>
      <c r="B2284" s="2" t="s">
        <v>33</v>
      </c>
      <c r="C2284" s="4">
        <v>45750.25</v>
      </c>
      <c r="D2284" s="4">
        <v>45750.250057094905</v>
      </c>
      <c r="E2284" s="2">
        <v>2.66</v>
      </c>
      <c r="F2284" s="2">
        <v>62.5</v>
      </c>
      <c r="G2284" s="2" t="s">
        <v>983</v>
      </c>
      <c r="H2284" s="2" t="s">
        <v>984</v>
      </c>
      <c r="I2284" s="2"/>
      <c r="J2284" s="2" t="s">
        <v>33</v>
      </c>
    </row>
    <row r="2285" spans="1:10" ht="21" customHeight="1">
      <c r="A2285" s="2" t="s">
        <v>3278</v>
      </c>
      <c r="B2285" s="2" t="s">
        <v>33</v>
      </c>
      <c r="C2285" s="4">
        <v>45751.25</v>
      </c>
      <c r="D2285" s="4">
        <v>45751.250547835647</v>
      </c>
      <c r="E2285" s="2">
        <v>2.5499999999999998</v>
      </c>
      <c r="F2285" s="2">
        <v>58.2</v>
      </c>
      <c r="G2285" s="2" t="s">
        <v>983</v>
      </c>
      <c r="H2285" s="2" t="s">
        <v>984</v>
      </c>
      <c r="I2285" s="2"/>
      <c r="J2285" s="2" t="s">
        <v>33</v>
      </c>
    </row>
    <row r="2286" spans="1:10" ht="21" customHeight="1">
      <c r="A2286" s="2" t="s">
        <v>3279</v>
      </c>
      <c r="B2286" s="2" t="s">
        <v>33</v>
      </c>
      <c r="C2286" s="4">
        <v>45752.25</v>
      </c>
      <c r="D2286" s="4">
        <v>45752.250215949069</v>
      </c>
      <c r="E2286" s="2">
        <v>3.26</v>
      </c>
      <c r="F2286" s="2">
        <v>60.8</v>
      </c>
      <c r="G2286" s="2" t="s">
        <v>983</v>
      </c>
      <c r="H2286" s="2" t="s">
        <v>984</v>
      </c>
      <c r="I2286" s="2"/>
      <c r="J2286" s="2" t="s">
        <v>33</v>
      </c>
    </row>
    <row r="2287" spans="1:10" ht="21" customHeight="1">
      <c r="A2287" s="2" t="s">
        <v>3280</v>
      </c>
      <c r="B2287" s="2" t="s">
        <v>33</v>
      </c>
      <c r="C2287" s="4">
        <v>45753.25</v>
      </c>
      <c r="D2287" s="4">
        <v>45753.250388877314</v>
      </c>
      <c r="E2287" s="2">
        <v>3.14</v>
      </c>
      <c r="F2287" s="2">
        <v>64.3</v>
      </c>
      <c r="G2287" s="2" t="s">
        <v>983</v>
      </c>
      <c r="H2287" s="2" t="s">
        <v>984</v>
      </c>
      <c r="I2287" s="2"/>
      <c r="J2287" s="2" t="s">
        <v>33</v>
      </c>
    </row>
    <row r="2288" spans="1:10" ht="21" customHeight="1">
      <c r="A2288" s="2" t="s">
        <v>3281</v>
      </c>
      <c r="B2288" s="2" t="s">
        <v>33</v>
      </c>
      <c r="C2288" s="4">
        <v>45754.25</v>
      </c>
      <c r="D2288" s="4">
        <v>45754.250455104164</v>
      </c>
      <c r="E2288" s="2">
        <v>2.86</v>
      </c>
      <c r="F2288" s="2">
        <v>62.7</v>
      </c>
      <c r="G2288" s="2" t="s">
        <v>983</v>
      </c>
      <c r="H2288" s="2" t="s">
        <v>984</v>
      </c>
      <c r="I2288" s="2"/>
      <c r="J2288" s="2" t="s">
        <v>33</v>
      </c>
    </row>
    <row r="2289" spans="1:10" ht="21" customHeight="1">
      <c r="A2289" s="2" t="s">
        <v>3282</v>
      </c>
      <c r="B2289" s="2" t="s">
        <v>33</v>
      </c>
      <c r="C2289" s="4">
        <v>45755.25</v>
      </c>
      <c r="D2289" s="4">
        <v>45755.250204085649</v>
      </c>
      <c r="E2289" s="2">
        <v>3.03</v>
      </c>
      <c r="F2289" s="2">
        <v>65.8</v>
      </c>
      <c r="G2289" s="2" t="s">
        <v>983</v>
      </c>
      <c r="H2289" s="2" t="s">
        <v>984</v>
      </c>
      <c r="I2289" s="2"/>
      <c r="J2289" s="2" t="s">
        <v>33</v>
      </c>
    </row>
    <row r="2290" spans="1:10" ht="21" customHeight="1">
      <c r="A2290" s="2" t="s">
        <v>3283</v>
      </c>
      <c r="B2290" s="2" t="s">
        <v>33</v>
      </c>
      <c r="C2290" s="4">
        <v>45756.25</v>
      </c>
      <c r="D2290" s="4">
        <v>45756.250170208332</v>
      </c>
      <c r="E2290" s="2"/>
      <c r="F2290" s="2"/>
      <c r="G2290" s="2" t="s">
        <v>983</v>
      </c>
      <c r="H2290" s="2" t="s">
        <v>1066</v>
      </c>
      <c r="I2290" s="2"/>
      <c r="J2290" s="2" t="s">
        <v>33</v>
      </c>
    </row>
    <row r="2291" spans="1:10" ht="21" customHeight="1">
      <c r="A2291" s="2" t="s">
        <v>3284</v>
      </c>
      <c r="B2291" s="2" t="s">
        <v>33</v>
      </c>
      <c r="C2291" s="4">
        <v>45757.25</v>
      </c>
      <c r="D2291" s="4">
        <v>45757.250188877311</v>
      </c>
      <c r="E2291" s="2">
        <v>2.1800000000000002</v>
      </c>
      <c r="F2291" s="2">
        <v>65.400000000000006</v>
      </c>
      <c r="G2291" s="2" t="s">
        <v>983</v>
      </c>
      <c r="H2291" s="2" t="s">
        <v>984</v>
      </c>
      <c r="I2291" s="2"/>
      <c r="J2291" s="2" t="s">
        <v>33</v>
      </c>
    </row>
    <row r="2292" spans="1:10" ht="21" customHeight="1">
      <c r="A2292" s="2" t="s">
        <v>3285</v>
      </c>
      <c r="B2292" s="2" t="s">
        <v>33</v>
      </c>
      <c r="C2292" s="4">
        <v>45758.25</v>
      </c>
      <c r="D2292" s="4">
        <v>45758.250551215278</v>
      </c>
      <c r="E2292" s="2">
        <v>2.77</v>
      </c>
      <c r="F2292" s="2">
        <v>60</v>
      </c>
      <c r="G2292" s="2" t="s">
        <v>983</v>
      </c>
      <c r="H2292" s="2" t="s">
        <v>984</v>
      </c>
      <c r="I2292" s="2"/>
      <c r="J2292" s="2" t="s">
        <v>33</v>
      </c>
    </row>
    <row r="2293" spans="1:10" ht="21" customHeight="1">
      <c r="A2293" s="2" t="s">
        <v>3286</v>
      </c>
      <c r="B2293" s="2" t="s">
        <v>33</v>
      </c>
      <c r="C2293" s="4">
        <v>45759.25</v>
      </c>
      <c r="D2293" s="4">
        <v>45759.250332083335</v>
      </c>
      <c r="E2293" s="2">
        <v>2.72</v>
      </c>
      <c r="F2293" s="2">
        <v>61.9</v>
      </c>
      <c r="G2293" s="2" t="s">
        <v>983</v>
      </c>
      <c r="H2293" s="2" t="s">
        <v>984</v>
      </c>
      <c r="I2293" s="2"/>
      <c r="J2293" s="2" t="s">
        <v>33</v>
      </c>
    </row>
    <row r="2294" spans="1:10" ht="21" customHeight="1">
      <c r="A2294" s="2" t="s">
        <v>3287</v>
      </c>
      <c r="B2294" s="2" t="s">
        <v>33</v>
      </c>
      <c r="C2294" s="4">
        <v>45760.25</v>
      </c>
      <c r="D2294" s="4">
        <v>45760.2504993287</v>
      </c>
      <c r="E2294" s="2">
        <v>3.02</v>
      </c>
      <c r="F2294" s="2">
        <v>62</v>
      </c>
      <c r="G2294" s="2" t="s">
        <v>983</v>
      </c>
      <c r="H2294" s="2" t="s">
        <v>984</v>
      </c>
      <c r="I2294" s="2" t="s">
        <v>985</v>
      </c>
      <c r="J2294" s="2" t="s">
        <v>33</v>
      </c>
    </row>
    <row r="2295" spans="1:10" ht="21" customHeight="1">
      <c r="A2295" s="2" t="s">
        <v>3288</v>
      </c>
      <c r="B2295" s="2" t="s">
        <v>33</v>
      </c>
      <c r="C2295" s="4">
        <v>45761.25</v>
      </c>
      <c r="D2295" s="4">
        <v>45761.250657268523</v>
      </c>
      <c r="E2295" s="2">
        <v>2.33</v>
      </c>
      <c r="F2295" s="2">
        <v>65.3</v>
      </c>
      <c r="G2295" s="2" t="s">
        <v>983</v>
      </c>
      <c r="H2295" s="2" t="s">
        <v>984</v>
      </c>
      <c r="I2295" s="2"/>
      <c r="J2295" s="2" t="s">
        <v>33</v>
      </c>
    </row>
    <row r="2296" spans="1:10" ht="21" customHeight="1">
      <c r="A2296" s="2" t="s">
        <v>3289</v>
      </c>
      <c r="B2296" s="2" t="s">
        <v>33</v>
      </c>
      <c r="C2296" s="4">
        <v>45762.25</v>
      </c>
      <c r="D2296" s="4">
        <v>45762.250628611117</v>
      </c>
      <c r="E2296" s="2">
        <v>3.17</v>
      </c>
      <c r="F2296" s="2">
        <v>64.2</v>
      </c>
      <c r="G2296" s="2" t="s">
        <v>983</v>
      </c>
      <c r="H2296" s="2" t="s">
        <v>984</v>
      </c>
      <c r="I2296" s="2"/>
      <c r="J2296" s="2" t="s">
        <v>33</v>
      </c>
    </row>
    <row r="2297" spans="1:10" ht="21" customHeight="1">
      <c r="A2297" s="2" t="s">
        <v>3290</v>
      </c>
      <c r="B2297" s="2" t="s">
        <v>33</v>
      </c>
      <c r="C2297" s="4">
        <v>45763.25</v>
      </c>
      <c r="D2297" s="4">
        <v>45763.25048746528</v>
      </c>
      <c r="E2297" s="2">
        <v>2.17</v>
      </c>
      <c r="F2297" s="2">
        <v>62.5</v>
      </c>
      <c r="G2297" s="2" t="s">
        <v>983</v>
      </c>
      <c r="H2297" s="2" t="s">
        <v>984</v>
      </c>
      <c r="I2297" s="2"/>
      <c r="J2297" s="2" t="s">
        <v>33</v>
      </c>
    </row>
    <row r="2298" spans="1:10" ht="21" customHeight="1">
      <c r="A2298" s="2" t="s">
        <v>3291</v>
      </c>
      <c r="B2298" s="2" t="s">
        <v>3209</v>
      </c>
      <c r="C2298" s="4">
        <v>45764.25</v>
      </c>
      <c r="D2298" s="4">
        <v>45764.250663379629</v>
      </c>
      <c r="E2298" s="2">
        <v>2.93</v>
      </c>
      <c r="F2298" s="2">
        <v>60.5</v>
      </c>
      <c r="G2298" s="2" t="s">
        <v>983</v>
      </c>
      <c r="H2298" s="2" t="s">
        <v>984</v>
      </c>
      <c r="I2298" s="2"/>
      <c r="J2298" s="2" t="s">
        <v>33</v>
      </c>
    </row>
    <row r="2299" spans="1:10" ht="21" customHeight="1">
      <c r="A2299" s="2" t="s">
        <v>3292</v>
      </c>
      <c r="B2299" s="2" t="s">
        <v>33</v>
      </c>
      <c r="C2299" s="4">
        <v>45765.25</v>
      </c>
      <c r="D2299" s="4">
        <v>45765.250301828703</v>
      </c>
      <c r="E2299" s="2">
        <v>2.73</v>
      </c>
      <c r="F2299" s="2">
        <v>65.7</v>
      </c>
      <c r="G2299" s="2" t="s">
        <v>983</v>
      </c>
      <c r="H2299" s="2" t="s">
        <v>984</v>
      </c>
      <c r="I2299" s="2"/>
      <c r="J2299" s="2" t="s">
        <v>33</v>
      </c>
    </row>
    <row r="2300" spans="1:10" ht="21" customHeight="1">
      <c r="A2300" s="2" t="s">
        <v>3293</v>
      </c>
      <c r="B2300" s="2" t="s">
        <v>33</v>
      </c>
      <c r="C2300" s="4">
        <v>45766.25</v>
      </c>
      <c r="D2300" s="4">
        <v>45766.250063437503</v>
      </c>
      <c r="E2300" s="2">
        <v>2.5299999999999998</v>
      </c>
      <c r="F2300" s="2">
        <v>58.2</v>
      </c>
      <c r="G2300" s="2" t="s">
        <v>983</v>
      </c>
      <c r="H2300" s="2" t="s">
        <v>984</v>
      </c>
      <c r="I2300" s="2"/>
      <c r="J2300" s="2" t="s">
        <v>33</v>
      </c>
    </row>
    <row r="2301" spans="1:10" ht="21" customHeight="1">
      <c r="A2301" s="2" t="s">
        <v>3294</v>
      </c>
      <c r="B2301" s="2" t="s">
        <v>33</v>
      </c>
      <c r="C2301" s="4">
        <v>45767.25</v>
      </c>
      <c r="D2301" s="4">
        <v>45767.250579340282</v>
      </c>
      <c r="E2301" s="2">
        <v>3.05</v>
      </c>
      <c r="F2301" s="2">
        <v>60.1</v>
      </c>
      <c r="G2301" s="2" t="s">
        <v>983</v>
      </c>
      <c r="H2301" s="2" t="s">
        <v>984</v>
      </c>
      <c r="I2301" s="2"/>
      <c r="J2301" s="2" t="s">
        <v>33</v>
      </c>
    </row>
    <row r="2302" spans="1:10" ht="21" customHeight="1">
      <c r="A2302" s="2" t="s">
        <v>3295</v>
      </c>
      <c r="B2302" s="2" t="s">
        <v>33</v>
      </c>
      <c r="C2302" s="4">
        <v>45768.25</v>
      </c>
      <c r="D2302" s="4">
        <v>45768.250232071761</v>
      </c>
      <c r="E2302" s="2">
        <v>2.4300000000000002</v>
      </c>
      <c r="F2302" s="2">
        <v>64.900000000000006</v>
      </c>
      <c r="G2302" s="2" t="s">
        <v>983</v>
      </c>
      <c r="H2302" s="2" t="s">
        <v>984</v>
      </c>
      <c r="I2302" s="2"/>
      <c r="J2302" s="2" t="s">
        <v>33</v>
      </c>
    </row>
    <row r="2303" spans="1:10" ht="21" customHeight="1">
      <c r="A2303" s="2" t="s">
        <v>3296</v>
      </c>
      <c r="B2303" s="2" t="s">
        <v>33</v>
      </c>
      <c r="C2303" s="4">
        <v>45769.25</v>
      </c>
      <c r="D2303" s="4">
        <v>45769.250390995367</v>
      </c>
      <c r="E2303" s="2">
        <v>2.4900000000000002</v>
      </c>
      <c r="F2303" s="2">
        <v>60.7</v>
      </c>
      <c r="G2303" s="2" t="s">
        <v>983</v>
      </c>
      <c r="H2303" s="2" t="s">
        <v>984</v>
      </c>
      <c r="I2303" s="2"/>
      <c r="J2303" s="2" t="s">
        <v>33</v>
      </c>
    </row>
    <row r="2304" spans="1:10" ht="21" customHeight="1">
      <c r="A2304" s="2" t="s">
        <v>3297</v>
      </c>
      <c r="B2304" s="2" t="s">
        <v>33</v>
      </c>
      <c r="C2304" s="4">
        <v>45770.25</v>
      </c>
      <c r="D2304" s="4">
        <v>45770.250030439813</v>
      </c>
      <c r="E2304" s="2">
        <v>3.12</v>
      </c>
      <c r="F2304" s="2">
        <v>60.6</v>
      </c>
      <c r="G2304" s="2" t="s">
        <v>983</v>
      </c>
      <c r="H2304" s="2" t="s">
        <v>984</v>
      </c>
      <c r="I2304" s="2"/>
      <c r="J2304" s="2" t="s">
        <v>33</v>
      </c>
    </row>
    <row r="2305" spans="1:10" ht="21" customHeight="1">
      <c r="A2305" s="2" t="s">
        <v>3298</v>
      </c>
      <c r="B2305" s="2" t="s">
        <v>33</v>
      </c>
      <c r="C2305" s="4">
        <v>45771.25</v>
      </c>
      <c r="D2305" s="4">
        <v>45771.250494097221</v>
      </c>
      <c r="E2305" s="2">
        <v>2.62</v>
      </c>
      <c r="F2305" s="2">
        <v>58.5</v>
      </c>
      <c r="G2305" s="2" t="s">
        <v>983</v>
      </c>
      <c r="H2305" s="2" t="s">
        <v>984</v>
      </c>
      <c r="I2305" s="2"/>
      <c r="J2305" s="2" t="s">
        <v>33</v>
      </c>
    </row>
    <row r="2306" spans="1:10" ht="21" customHeight="1">
      <c r="A2306" s="2" t="s">
        <v>3299</v>
      </c>
      <c r="B2306" s="2" t="s">
        <v>33</v>
      </c>
      <c r="C2306" s="4">
        <v>45772.25</v>
      </c>
      <c r="D2306" s="4">
        <v>45772.250445983795</v>
      </c>
      <c r="E2306" s="2">
        <v>3.08</v>
      </c>
      <c r="F2306" s="2">
        <v>65.2</v>
      </c>
      <c r="G2306" s="2" t="s">
        <v>983</v>
      </c>
      <c r="H2306" s="2" t="s">
        <v>984</v>
      </c>
      <c r="I2306" s="2"/>
      <c r="J2306" s="2" t="s">
        <v>33</v>
      </c>
    </row>
    <row r="2307" spans="1:10" ht="21" customHeight="1">
      <c r="A2307" s="2" t="s">
        <v>3300</v>
      </c>
      <c r="B2307" s="2" t="s">
        <v>33</v>
      </c>
      <c r="C2307" s="4">
        <v>45773.25</v>
      </c>
      <c r="D2307" s="4">
        <v>45773.250230972219</v>
      </c>
      <c r="E2307" s="2">
        <v>2.31</v>
      </c>
      <c r="F2307" s="2">
        <v>61.6</v>
      </c>
      <c r="G2307" s="2" t="s">
        <v>983</v>
      </c>
      <c r="H2307" s="2" t="s">
        <v>984</v>
      </c>
      <c r="I2307" s="2"/>
      <c r="J2307" s="2" t="s">
        <v>33</v>
      </c>
    </row>
    <row r="2308" spans="1:10" ht="21" customHeight="1">
      <c r="A2308" s="2" t="s">
        <v>3301</v>
      </c>
      <c r="B2308" s="2" t="s">
        <v>33</v>
      </c>
      <c r="C2308" s="4">
        <v>45774.25</v>
      </c>
      <c r="D2308" s="4">
        <v>45774.250124675928</v>
      </c>
      <c r="E2308" s="2">
        <v>3.01</v>
      </c>
      <c r="F2308" s="2">
        <v>63</v>
      </c>
      <c r="G2308" s="2" t="s">
        <v>983</v>
      </c>
      <c r="H2308" s="2" t="s">
        <v>984</v>
      </c>
      <c r="I2308" s="2"/>
      <c r="J2308" s="2" t="s">
        <v>33</v>
      </c>
    </row>
    <row r="2309" spans="1:10" ht="21" customHeight="1">
      <c r="A2309" s="2" t="s">
        <v>3302</v>
      </c>
      <c r="B2309" s="2" t="s">
        <v>33</v>
      </c>
      <c r="C2309" s="4">
        <v>45775.25</v>
      </c>
      <c r="D2309" s="4">
        <v>45775.250588032402</v>
      </c>
      <c r="E2309" s="2">
        <v>3.05</v>
      </c>
      <c r="F2309" s="2">
        <v>61.5</v>
      </c>
      <c r="G2309" s="2" t="s">
        <v>983</v>
      </c>
      <c r="H2309" s="2" t="s">
        <v>984</v>
      </c>
      <c r="I2309" s="2"/>
      <c r="J2309" s="2" t="s">
        <v>33</v>
      </c>
    </row>
    <row r="2310" spans="1:10" ht="21" customHeight="1">
      <c r="A2310" s="2" t="s">
        <v>3303</v>
      </c>
      <c r="B2310" s="2" t="s">
        <v>33</v>
      </c>
      <c r="C2310" s="4">
        <v>45776.25</v>
      </c>
      <c r="D2310" s="4">
        <v>45776.250458854163</v>
      </c>
      <c r="E2310" s="2">
        <v>2.66</v>
      </c>
      <c r="F2310" s="2">
        <v>60.5</v>
      </c>
      <c r="G2310" s="2" t="s">
        <v>983</v>
      </c>
      <c r="H2310" s="2" t="s">
        <v>984</v>
      </c>
      <c r="I2310" s="2"/>
      <c r="J2310" s="2" t="s">
        <v>33</v>
      </c>
    </row>
    <row r="2311" spans="1:10" ht="21" customHeight="1">
      <c r="A2311" s="2" t="s">
        <v>3304</v>
      </c>
      <c r="B2311" s="2" t="s">
        <v>33</v>
      </c>
      <c r="C2311" s="4">
        <v>45777.25</v>
      </c>
      <c r="D2311" s="4">
        <v>45777.250565243055</v>
      </c>
      <c r="E2311" s="2">
        <v>3.19</v>
      </c>
      <c r="F2311" s="2">
        <v>60.6</v>
      </c>
      <c r="G2311" s="2" t="s">
        <v>983</v>
      </c>
      <c r="H2311" s="2" t="s">
        <v>984</v>
      </c>
      <c r="I2311" s="2" t="s">
        <v>985</v>
      </c>
      <c r="J2311" s="2" t="s">
        <v>33</v>
      </c>
    </row>
    <row r="2312" spans="1:10" ht="21" customHeight="1">
      <c r="A2312" s="2" t="s">
        <v>3305</v>
      </c>
      <c r="B2312" s="2" t="s">
        <v>33</v>
      </c>
      <c r="C2312" s="4">
        <v>45778.25</v>
      </c>
      <c r="D2312" s="4">
        <v>45778.250368599533</v>
      </c>
      <c r="E2312" s="2">
        <v>3.27</v>
      </c>
      <c r="F2312" s="2">
        <v>65.900000000000006</v>
      </c>
      <c r="G2312" s="2" t="s">
        <v>983</v>
      </c>
      <c r="H2312" s="2" t="s">
        <v>984</v>
      </c>
      <c r="I2312" s="2"/>
      <c r="J2312" s="2" t="s">
        <v>33</v>
      </c>
    </row>
    <row r="2313" spans="1:10" ht="21" customHeight="1">
      <c r="A2313" s="2" t="s">
        <v>3306</v>
      </c>
      <c r="B2313" s="2" t="s">
        <v>33</v>
      </c>
      <c r="C2313" s="4">
        <v>45779.25</v>
      </c>
      <c r="D2313" s="4">
        <v>45779.250238252316</v>
      </c>
      <c r="E2313" s="2">
        <v>2.3199999999999998</v>
      </c>
      <c r="F2313" s="2">
        <v>61.4</v>
      </c>
      <c r="G2313" s="2" t="s">
        <v>983</v>
      </c>
      <c r="H2313" s="2" t="s">
        <v>984</v>
      </c>
      <c r="I2313" s="2"/>
      <c r="J2313" s="2" t="s">
        <v>33</v>
      </c>
    </row>
    <row r="2314" spans="1:10" ht="21" customHeight="1">
      <c r="A2314" s="2" t="s">
        <v>3307</v>
      </c>
      <c r="B2314" s="2" t="s">
        <v>33</v>
      </c>
      <c r="C2314" s="4">
        <v>45780.25</v>
      </c>
      <c r="D2314" s="4">
        <v>45780.250347152774</v>
      </c>
      <c r="E2314" s="2">
        <v>5.92</v>
      </c>
      <c r="F2314" s="2">
        <v>67.900000000000006</v>
      </c>
      <c r="G2314" s="2" t="s">
        <v>983</v>
      </c>
      <c r="H2314" s="2" t="s">
        <v>984</v>
      </c>
      <c r="I2314" s="2" t="s">
        <v>1053</v>
      </c>
      <c r="J2314" s="2" t="s">
        <v>33</v>
      </c>
    </row>
    <row r="2315" spans="1:10" ht="21" customHeight="1">
      <c r="A2315" s="2" t="s">
        <v>3308</v>
      </c>
      <c r="B2315" s="2" t="s">
        <v>33</v>
      </c>
      <c r="C2315" s="4">
        <v>45781.25</v>
      </c>
      <c r="D2315" s="4">
        <v>45781.250423773148</v>
      </c>
      <c r="E2315" s="2">
        <v>5.48</v>
      </c>
      <c r="F2315" s="2">
        <v>64.400000000000006</v>
      </c>
      <c r="G2315" s="2" t="s">
        <v>983</v>
      </c>
      <c r="H2315" s="2" t="s">
        <v>984</v>
      </c>
      <c r="I2315" s="2"/>
      <c r="J2315" s="2" t="s">
        <v>33</v>
      </c>
    </row>
    <row r="2316" spans="1:10" ht="21" customHeight="1">
      <c r="A2316" s="2" t="s">
        <v>3309</v>
      </c>
      <c r="B2316" s="2" t="s">
        <v>33</v>
      </c>
      <c r="C2316" s="4">
        <v>45782.25</v>
      </c>
      <c r="D2316" s="4">
        <v>45782.250414953705</v>
      </c>
      <c r="E2316" s="2">
        <v>6.37</v>
      </c>
      <c r="F2316" s="2">
        <v>66.599999999999994</v>
      </c>
      <c r="G2316" s="2" t="s">
        <v>983</v>
      </c>
      <c r="H2316" s="2" t="s">
        <v>984</v>
      </c>
      <c r="I2316" s="2" t="s">
        <v>1053</v>
      </c>
      <c r="J2316" s="2" t="s">
        <v>33</v>
      </c>
    </row>
    <row r="2317" spans="1:10" ht="21" customHeight="1">
      <c r="A2317" s="2" t="s">
        <v>3310</v>
      </c>
      <c r="B2317" s="2" t="s">
        <v>33</v>
      </c>
      <c r="C2317" s="4">
        <v>45783.25</v>
      </c>
      <c r="D2317" s="4">
        <v>45783.250255358798</v>
      </c>
      <c r="E2317" s="2">
        <v>2.3199999999999998</v>
      </c>
      <c r="F2317" s="2">
        <v>64.599999999999994</v>
      </c>
      <c r="G2317" s="2" t="s">
        <v>983</v>
      </c>
      <c r="H2317" s="2" t="s">
        <v>984</v>
      </c>
      <c r="I2317" s="2"/>
      <c r="J2317" s="2" t="s">
        <v>33</v>
      </c>
    </row>
    <row r="2318" spans="1:10" ht="21" customHeight="1">
      <c r="A2318" s="2" t="s">
        <v>3311</v>
      </c>
      <c r="B2318" s="2" t="s">
        <v>33</v>
      </c>
      <c r="C2318" s="4">
        <v>45784.25</v>
      </c>
      <c r="D2318" s="4">
        <v>45784.250062418985</v>
      </c>
      <c r="E2318" s="2">
        <v>2.77</v>
      </c>
      <c r="F2318" s="2">
        <v>60.1</v>
      </c>
      <c r="G2318" s="2" t="s">
        <v>983</v>
      </c>
      <c r="H2318" s="2" t="s">
        <v>984</v>
      </c>
      <c r="I2318" s="2"/>
      <c r="J2318" s="2" t="s">
        <v>33</v>
      </c>
    </row>
    <row r="2319" spans="1:10" ht="21" customHeight="1">
      <c r="A2319" s="2" t="s">
        <v>3312</v>
      </c>
      <c r="B2319" s="2" t="s">
        <v>33</v>
      </c>
      <c r="C2319" s="4">
        <v>45785.25</v>
      </c>
      <c r="D2319" s="4">
        <v>45785.250633125004</v>
      </c>
      <c r="E2319" s="2">
        <v>2.38</v>
      </c>
      <c r="F2319" s="2">
        <v>60.2</v>
      </c>
      <c r="G2319" s="2" t="s">
        <v>983</v>
      </c>
      <c r="H2319" s="2" t="s">
        <v>984</v>
      </c>
      <c r="I2319" s="2"/>
      <c r="J2319" s="2" t="s">
        <v>33</v>
      </c>
    </row>
    <row r="2320" spans="1:10" ht="21" customHeight="1">
      <c r="A2320" s="2" t="s">
        <v>3313</v>
      </c>
      <c r="B2320" s="2" t="s">
        <v>33</v>
      </c>
      <c r="C2320" s="4">
        <v>45786.25</v>
      </c>
      <c r="D2320" s="4">
        <v>45786.250471550928</v>
      </c>
      <c r="E2320" s="2">
        <v>2.2599999999999998</v>
      </c>
      <c r="F2320" s="2">
        <v>63.3</v>
      </c>
      <c r="G2320" s="2" t="s">
        <v>983</v>
      </c>
      <c r="H2320" s="2" t="s">
        <v>984</v>
      </c>
      <c r="I2320" s="2"/>
      <c r="J2320" s="2" t="s">
        <v>33</v>
      </c>
    </row>
    <row r="2321" spans="1:10" ht="21" customHeight="1">
      <c r="A2321" s="2" t="s">
        <v>3314</v>
      </c>
      <c r="B2321" s="2" t="s">
        <v>33</v>
      </c>
      <c r="C2321" s="4">
        <v>45787.25</v>
      </c>
      <c r="D2321" s="4">
        <v>45787.250065567132</v>
      </c>
      <c r="E2321" s="2">
        <v>2.2799999999999998</v>
      </c>
      <c r="F2321" s="2">
        <v>60.5</v>
      </c>
      <c r="G2321" s="2" t="s">
        <v>983</v>
      </c>
      <c r="H2321" s="2" t="s">
        <v>984</v>
      </c>
      <c r="I2321" s="2"/>
      <c r="J2321" s="2" t="s">
        <v>33</v>
      </c>
    </row>
    <row r="2322" spans="1:10" ht="21" customHeight="1">
      <c r="A2322" s="2" t="s">
        <v>3315</v>
      </c>
      <c r="B2322" s="2" t="s">
        <v>33</v>
      </c>
      <c r="C2322" s="4">
        <v>45788.25</v>
      </c>
      <c r="D2322" s="4">
        <v>45788.25015861111</v>
      </c>
      <c r="E2322" s="2">
        <v>2.4</v>
      </c>
      <c r="F2322" s="2">
        <v>58.6</v>
      </c>
      <c r="G2322" s="2" t="s">
        <v>983</v>
      </c>
      <c r="H2322" s="2" t="s">
        <v>984</v>
      </c>
      <c r="I2322" s="2"/>
      <c r="J2322" s="2" t="s">
        <v>33</v>
      </c>
    </row>
    <row r="2323" spans="1:10" ht="21" customHeight="1">
      <c r="A2323" s="2" t="s">
        <v>3316</v>
      </c>
      <c r="B2323" s="2" t="s">
        <v>33</v>
      </c>
      <c r="C2323" s="4">
        <v>45789.25</v>
      </c>
      <c r="D2323" s="4">
        <v>45789.250170162035</v>
      </c>
      <c r="E2323" s="2">
        <v>2.77</v>
      </c>
      <c r="F2323" s="2">
        <v>58.5</v>
      </c>
      <c r="G2323" s="2" t="s">
        <v>983</v>
      </c>
      <c r="H2323" s="2" t="s">
        <v>984</v>
      </c>
      <c r="I2323" s="2"/>
      <c r="J2323" s="2" t="s">
        <v>33</v>
      </c>
    </row>
    <row r="2324" spans="1:10" ht="21" customHeight="1">
      <c r="A2324" s="2" t="s">
        <v>3317</v>
      </c>
      <c r="B2324" s="2" t="s">
        <v>33</v>
      </c>
      <c r="C2324" s="4">
        <v>45790.25</v>
      </c>
      <c r="D2324" s="4">
        <v>45790.250221481481</v>
      </c>
      <c r="E2324" s="2">
        <v>2.8</v>
      </c>
      <c r="F2324" s="2">
        <v>60.9</v>
      </c>
      <c r="G2324" s="2" t="s">
        <v>983</v>
      </c>
      <c r="H2324" s="2" t="s">
        <v>984</v>
      </c>
      <c r="I2324" s="2"/>
      <c r="J2324" s="2" t="s">
        <v>33</v>
      </c>
    </row>
    <row r="2325" spans="1:10" ht="21" customHeight="1">
      <c r="A2325" s="2" t="s">
        <v>3318</v>
      </c>
      <c r="B2325" s="2" t="s">
        <v>33</v>
      </c>
      <c r="C2325" s="4">
        <v>45791.25</v>
      </c>
      <c r="D2325" s="4">
        <v>45791.250399791665</v>
      </c>
      <c r="E2325" s="2">
        <v>2.63</v>
      </c>
      <c r="F2325" s="2">
        <v>59.3</v>
      </c>
      <c r="G2325" s="2" t="s">
        <v>983</v>
      </c>
      <c r="H2325" s="2" t="s">
        <v>984</v>
      </c>
      <c r="I2325" s="2"/>
      <c r="J2325" s="2" t="s">
        <v>33</v>
      </c>
    </row>
    <row r="2326" spans="1:10" ht="21" customHeight="1">
      <c r="A2326" s="2" t="s">
        <v>3319</v>
      </c>
      <c r="B2326" s="2" t="s">
        <v>33</v>
      </c>
      <c r="C2326" s="4">
        <v>45792.25</v>
      </c>
      <c r="D2326" s="4">
        <v>45792.250662534723</v>
      </c>
      <c r="E2326" s="2">
        <v>3.17</v>
      </c>
      <c r="F2326" s="2">
        <v>62.3</v>
      </c>
      <c r="G2326" s="2" t="s">
        <v>983</v>
      </c>
      <c r="H2326" s="2" t="s">
        <v>984</v>
      </c>
      <c r="I2326" s="2"/>
      <c r="J2326" s="2" t="s">
        <v>33</v>
      </c>
    </row>
    <row r="2327" spans="1:10" ht="21" customHeight="1">
      <c r="A2327" s="2" t="s">
        <v>3320</v>
      </c>
      <c r="B2327" s="2" t="s">
        <v>33</v>
      </c>
      <c r="C2327" s="4">
        <v>45793.25</v>
      </c>
      <c r="D2327" s="4">
        <v>45793.250666898151</v>
      </c>
      <c r="E2327" s="2">
        <v>2.34</v>
      </c>
      <c r="F2327" s="2">
        <v>62.3</v>
      </c>
      <c r="G2327" s="2" t="s">
        <v>983</v>
      </c>
      <c r="H2327" s="2" t="s">
        <v>984</v>
      </c>
      <c r="I2327" s="2"/>
      <c r="J2327" s="2" t="s">
        <v>33</v>
      </c>
    </row>
    <row r="2328" spans="1:10" ht="21" customHeight="1">
      <c r="A2328" s="2" t="s">
        <v>3321</v>
      </c>
      <c r="B2328" s="2" t="s">
        <v>33</v>
      </c>
      <c r="C2328" s="4">
        <v>45794.25</v>
      </c>
      <c r="D2328" s="4">
        <v>45794.250102488426</v>
      </c>
      <c r="E2328" s="2">
        <v>3.04</v>
      </c>
      <c r="F2328" s="2">
        <v>63.1</v>
      </c>
      <c r="G2328" s="2" t="s">
        <v>983</v>
      </c>
      <c r="H2328" s="2" t="s">
        <v>984</v>
      </c>
      <c r="I2328" s="2" t="s">
        <v>985</v>
      </c>
      <c r="J2328" s="2" t="s">
        <v>33</v>
      </c>
    </row>
    <row r="2329" spans="1:10" ht="21" customHeight="1">
      <c r="A2329" s="2" t="s">
        <v>3322</v>
      </c>
      <c r="B2329" s="2" t="s">
        <v>33</v>
      </c>
      <c r="C2329" s="4">
        <v>45795.25</v>
      </c>
      <c r="D2329" s="4">
        <v>45795.250363715277</v>
      </c>
      <c r="E2329" s="2">
        <v>2.46</v>
      </c>
      <c r="F2329" s="2">
        <v>59.8</v>
      </c>
      <c r="G2329" s="2" t="s">
        <v>983</v>
      </c>
      <c r="H2329" s="2" t="s">
        <v>984</v>
      </c>
      <c r="I2329" s="2"/>
      <c r="J2329" s="2" t="s">
        <v>33</v>
      </c>
    </row>
    <row r="2330" spans="1:10" ht="21" customHeight="1">
      <c r="A2330" s="2" t="s">
        <v>3323</v>
      </c>
      <c r="B2330" s="2" t="s">
        <v>33</v>
      </c>
      <c r="C2330" s="4">
        <v>45796.25</v>
      </c>
      <c r="D2330" s="4">
        <v>45796.250626944442</v>
      </c>
      <c r="E2330" s="2">
        <v>2.21</v>
      </c>
      <c r="F2330" s="2">
        <v>63.8</v>
      </c>
      <c r="G2330" s="2" t="s">
        <v>983</v>
      </c>
      <c r="H2330" s="2" t="s">
        <v>984</v>
      </c>
      <c r="I2330" s="2"/>
      <c r="J2330" s="2" t="s">
        <v>33</v>
      </c>
    </row>
    <row r="2331" spans="1:10" ht="21" customHeight="1">
      <c r="A2331" s="2" t="s">
        <v>3324</v>
      </c>
      <c r="B2331" s="2" t="s">
        <v>33</v>
      </c>
      <c r="C2331" s="4">
        <v>45797.25</v>
      </c>
      <c r="D2331" s="4">
        <v>45797.250335844903</v>
      </c>
      <c r="E2331" s="2">
        <v>2.87</v>
      </c>
      <c r="F2331" s="2">
        <v>65.400000000000006</v>
      </c>
      <c r="G2331" s="2" t="s">
        <v>983</v>
      </c>
      <c r="H2331" s="2" t="s">
        <v>984</v>
      </c>
      <c r="I2331" s="2"/>
      <c r="J2331" s="2" t="s">
        <v>33</v>
      </c>
    </row>
    <row r="2332" spans="1:10" ht="21" customHeight="1">
      <c r="A2332" s="2" t="s">
        <v>3325</v>
      </c>
      <c r="B2332" s="2" t="s">
        <v>33</v>
      </c>
      <c r="C2332" s="4">
        <v>45798.25</v>
      </c>
      <c r="D2332" s="4">
        <v>45798.250684120372</v>
      </c>
      <c r="E2332" s="2">
        <v>2.58</v>
      </c>
      <c r="F2332" s="2">
        <v>64.900000000000006</v>
      </c>
      <c r="G2332" s="2" t="s">
        <v>983</v>
      </c>
      <c r="H2332" s="2" t="s">
        <v>984</v>
      </c>
      <c r="I2332" s="2"/>
      <c r="J2332" s="2" t="s">
        <v>33</v>
      </c>
    </row>
    <row r="2333" spans="1:10" ht="21" customHeight="1">
      <c r="A2333" s="2" t="s">
        <v>3326</v>
      </c>
      <c r="B2333" s="2" t="s">
        <v>33</v>
      </c>
      <c r="C2333" s="4">
        <v>45799.25</v>
      </c>
      <c r="D2333" s="4">
        <v>45799.250673506947</v>
      </c>
      <c r="E2333" s="2"/>
      <c r="F2333" s="2"/>
      <c r="G2333" s="2" t="s">
        <v>983</v>
      </c>
      <c r="H2333" s="2" t="s">
        <v>1066</v>
      </c>
      <c r="I2333" s="2"/>
      <c r="J2333" s="2" t="s">
        <v>33</v>
      </c>
    </row>
    <row r="2334" spans="1:10" ht="21" customHeight="1">
      <c r="A2334" s="2" t="s">
        <v>3327</v>
      </c>
      <c r="B2334" s="2" t="s">
        <v>33</v>
      </c>
      <c r="C2334" s="4">
        <v>45800.25</v>
      </c>
      <c r="D2334" s="4">
        <v>45800.250096284726</v>
      </c>
      <c r="E2334" s="2">
        <v>2.4</v>
      </c>
      <c r="F2334" s="2">
        <v>59.6</v>
      </c>
      <c r="G2334" s="2" t="s">
        <v>983</v>
      </c>
      <c r="H2334" s="2" t="s">
        <v>984</v>
      </c>
      <c r="I2334" s="2"/>
      <c r="J2334" s="2" t="s">
        <v>33</v>
      </c>
    </row>
    <row r="2335" spans="1:10" ht="21" customHeight="1">
      <c r="A2335" s="2" t="s">
        <v>3328</v>
      </c>
      <c r="B2335" s="2" t="s">
        <v>33</v>
      </c>
      <c r="C2335" s="4">
        <v>45801.25</v>
      </c>
      <c r="D2335" s="4">
        <v>45801.250363923609</v>
      </c>
      <c r="E2335" s="2">
        <v>2.83</v>
      </c>
      <c r="F2335" s="2">
        <v>59.6</v>
      </c>
      <c r="G2335" s="2" t="s">
        <v>983</v>
      </c>
      <c r="H2335" s="2" t="s">
        <v>984</v>
      </c>
      <c r="I2335" s="2"/>
      <c r="J2335" s="2" t="s">
        <v>33</v>
      </c>
    </row>
    <row r="2336" spans="1:10" ht="21" customHeight="1">
      <c r="A2336" s="2" t="s">
        <v>3329</v>
      </c>
      <c r="B2336" s="2" t="s">
        <v>33</v>
      </c>
      <c r="C2336" s="4">
        <v>45802.25</v>
      </c>
      <c r="D2336" s="4">
        <v>45802.250213553241</v>
      </c>
      <c r="E2336" s="2">
        <v>2.4700000000000002</v>
      </c>
      <c r="F2336" s="2">
        <v>64.3</v>
      </c>
      <c r="G2336" s="2" t="s">
        <v>983</v>
      </c>
      <c r="H2336" s="2" t="s">
        <v>984</v>
      </c>
      <c r="I2336" s="2"/>
      <c r="J2336" s="2" t="s">
        <v>33</v>
      </c>
    </row>
    <row r="2337" spans="1:10" ht="21" customHeight="1">
      <c r="A2337" s="2" t="s">
        <v>3330</v>
      </c>
      <c r="B2337" s="2" t="s">
        <v>33</v>
      </c>
      <c r="C2337" s="4">
        <v>45803.25</v>
      </c>
      <c r="D2337" s="4">
        <v>45803.25049737269</v>
      </c>
      <c r="E2337" s="2">
        <v>2.82</v>
      </c>
      <c r="F2337" s="2">
        <v>59.4</v>
      </c>
      <c r="G2337" s="2" t="s">
        <v>983</v>
      </c>
      <c r="H2337" s="2" t="s">
        <v>984</v>
      </c>
      <c r="I2337" s="2"/>
      <c r="J2337" s="2" t="s">
        <v>33</v>
      </c>
    </row>
    <row r="2338" spans="1:10" ht="21" customHeight="1">
      <c r="A2338" s="2" t="s">
        <v>3331</v>
      </c>
      <c r="B2338" s="2" t="s">
        <v>33</v>
      </c>
      <c r="C2338" s="4">
        <v>45804.25</v>
      </c>
      <c r="D2338" s="4">
        <v>45804.250563449074</v>
      </c>
      <c r="E2338" s="2">
        <v>2.9</v>
      </c>
      <c r="F2338" s="2">
        <v>61.6</v>
      </c>
      <c r="G2338" s="2" t="s">
        <v>983</v>
      </c>
      <c r="H2338" s="2" t="s">
        <v>984</v>
      </c>
      <c r="I2338" s="2"/>
      <c r="J2338" s="2" t="s">
        <v>33</v>
      </c>
    </row>
    <row r="2339" spans="1:10" ht="21" customHeight="1">
      <c r="A2339" s="2" t="s">
        <v>3332</v>
      </c>
      <c r="B2339" s="2" t="s">
        <v>3209</v>
      </c>
      <c r="C2339" s="4">
        <v>45805.25</v>
      </c>
      <c r="D2339" s="4">
        <v>45805.250258460648</v>
      </c>
      <c r="E2339" s="2">
        <v>2.3199999999999998</v>
      </c>
      <c r="F2339" s="2">
        <v>58.3</v>
      </c>
      <c r="G2339" s="2" t="s">
        <v>983</v>
      </c>
      <c r="H2339" s="2" t="s">
        <v>984</v>
      </c>
      <c r="I2339" s="2"/>
      <c r="J2339" s="2" t="s">
        <v>33</v>
      </c>
    </row>
    <row r="2340" spans="1:10" ht="21" customHeight="1">
      <c r="A2340" s="2" t="s">
        <v>3333</v>
      </c>
      <c r="B2340" s="2" t="s">
        <v>33</v>
      </c>
      <c r="C2340" s="4">
        <v>45806.25</v>
      </c>
      <c r="D2340" s="4">
        <v>45806.250416608797</v>
      </c>
      <c r="E2340" s="2">
        <v>2.34</v>
      </c>
      <c r="F2340" s="2">
        <v>60.1</v>
      </c>
      <c r="G2340" s="2" t="s">
        <v>983</v>
      </c>
      <c r="H2340" s="2" t="s">
        <v>984</v>
      </c>
      <c r="I2340" s="2"/>
      <c r="J2340" s="2" t="s">
        <v>33</v>
      </c>
    </row>
    <row r="2341" spans="1:10" ht="21" customHeight="1">
      <c r="A2341" s="2" t="s">
        <v>3334</v>
      </c>
      <c r="B2341" s="2" t="s">
        <v>33</v>
      </c>
      <c r="C2341" s="4">
        <v>45807.25</v>
      </c>
      <c r="D2341" s="4">
        <v>45807.250238680557</v>
      </c>
      <c r="E2341" s="2">
        <v>3.3</v>
      </c>
      <c r="F2341" s="2">
        <v>61.6</v>
      </c>
      <c r="G2341" s="2" t="s">
        <v>983</v>
      </c>
      <c r="H2341" s="2" t="s">
        <v>984</v>
      </c>
      <c r="I2341" s="2"/>
      <c r="J2341" s="2" t="s">
        <v>33</v>
      </c>
    </row>
    <row r="2342" spans="1:10" ht="21" customHeight="1">
      <c r="A2342" s="2" t="s">
        <v>3335</v>
      </c>
      <c r="B2342" s="2" t="s">
        <v>33</v>
      </c>
      <c r="C2342" s="4">
        <v>45808.25</v>
      </c>
      <c r="D2342" s="4">
        <v>45808.250341041668</v>
      </c>
      <c r="E2342" s="2">
        <v>2.73</v>
      </c>
      <c r="F2342" s="2">
        <v>62</v>
      </c>
      <c r="G2342" s="2" t="s">
        <v>983</v>
      </c>
      <c r="H2342" s="2" t="s">
        <v>984</v>
      </c>
      <c r="I2342" s="2"/>
      <c r="J2342" s="2" t="s">
        <v>33</v>
      </c>
    </row>
    <row r="2343" spans="1:10" ht="21" customHeight="1">
      <c r="A2343" s="2" t="s">
        <v>3336</v>
      </c>
      <c r="B2343" s="2" t="s">
        <v>33</v>
      </c>
      <c r="C2343" s="4">
        <v>45809.25</v>
      </c>
      <c r="D2343" s="4">
        <v>45809.25009475695</v>
      </c>
      <c r="E2343" s="2">
        <v>2.46</v>
      </c>
      <c r="F2343" s="2">
        <v>58.6</v>
      </c>
      <c r="G2343" s="2" t="s">
        <v>983</v>
      </c>
      <c r="H2343" s="2" t="s">
        <v>984</v>
      </c>
      <c r="I2343" s="2"/>
      <c r="J2343" s="2" t="s">
        <v>33</v>
      </c>
    </row>
    <row r="2344" spans="1:10" ht="21" customHeight="1">
      <c r="A2344" s="2" t="s">
        <v>3337</v>
      </c>
      <c r="B2344" s="2" t="s">
        <v>33</v>
      </c>
      <c r="C2344" s="4">
        <v>45810.25</v>
      </c>
      <c r="D2344" s="4">
        <v>45810.250686620369</v>
      </c>
      <c r="E2344" s="2">
        <v>2.98</v>
      </c>
      <c r="F2344" s="2">
        <v>59.8</v>
      </c>
      <c r="G2344" s="2" t="s">
        <v>983</v>
      </c>
      <c r="H2344" s="2" t="s">
        <v>984</v>
      </c>
      <c r="I2344" s="2"/>
      <c r="J2344" s="2" t="s">
        <v>33</v>
      </c>
    </row>
    <row r="2345" spans="1:10" ht="21" customHeight="1">
      <c r="A2345" s="2" t="s">
        <v>3338</v>
      </c>
      <c r="B2345" s="2" t="s">
        <v>33</v>
      </c>
      <c r="C2345" s="4">
        <v>45811.25</v>
      </c>
      <c r="D2345" s="4">
        <v>45811.25007170139</v>
      </c>
      <c r="E2345" s="2">
        <v>2.46</v>
      </c>
      <c r="F2345" s="2">
        <v>61.2</v>
      </c>
      <c r="G2345" s="2" t="s">
        <v>983</v>
      </c>
      <c r="H2345" s="2" t="s">
        <v>984</v>
      </c>
      <c r="I2345" s="2" t="s">
        <v>985</v>
      </c>
      <c r="J2345" s="2" t="s">
        <v>33</v>
      </c>
    </row>
    <row r="2346" spans="1:10" ht="21" customHeight="1">
      <c r="A2346" s="2" t="s">
        <v>3339</v>
      </c>
      <c r="B2346" s="2" t="s">
        <v>33</v>
      </c>
      <c r="C2346" s="4">
        <v>45812.25</v>
      </c>
      <c r="D2346" s="4">
        <v>45812.250482789357</v>
      </c>
      <c r="E2346" s="2">
        <v>2.3199999999999998</v>
      </c>
      <c r="F2346" s="2">
        <v>64.3</v>
      </c>
      <c r="G2346" s="2" t="s">
        <v>983</v>
      </c>
      <c r="H2346" s="2" t="s">
        <v>984</v>
      </c>
      <c r="I2346" s="2"/>
      <c r="J2346" s="2" t="s">
        <v>33</v>
      </c>
    </row>
    <row r="2347" spans="1:10" ht="21" customHeight="1">
      <c r="A2347" s="2" t="s">
        <v>3340</v>
      </c>
      <c r="B2347" s="2" t="s">
        <v>33</v>
      </c>
      <c r="C2347" s="4">
        <v>45813.25</v>
      </c>
      <c r="D2347" s="4">
        <v>45813.250605266207</v>
      </c>
      <c r="E2347" s="2">
        <v>2.93</v>
      </c>
      <c r="F2347" s="2">
        <v>60.2</v>
      </c>
      <c r="G2347" s="2" t="s">
        <v>983</v>
      </c>
      <c r="H2347" s="2" t="s">
        <v>984</v>
      </c>
      <c r="I2347" s="2"/>
      <c r="J2347" s="2" t="s">
        <v>33</v>
      </c>
    </row>
    <row r="2348" spans="1:10" ht="21" customHeight="1">
      <c r="A2348" s="2" t="s">
        <v>3341</v>
      </c>
      <c r="B2348" s="2" t="s">
        <v>33</v>
      </c>
      <c r="C2348" s="4">
        <v>45814.25</v>
      </c>
      <c r="D2348" s="4">
        <v>45814.250550266202</v>
      </c>
      <c r="E2348" s="2">
        <v>2.61</v>
      </c>
      <c r="F2348" s="2">
        <v>59.2</v>
      </c>
      <c r="G2348" s="2" t="s">
        <v>983</v>
      </c>
      <c r="H2348" s="2" t="s">
        <v>984</v>
      </c>
      <c r="I2348" s="2"/>
      <c r="J2348" s="2" t="s">
        <v>33</v>
      </c>
    </row>
    <row r="2349" spans="1:10" ht="21" customHeight="1">
      <c r="A2349" s="2" t="s">
        <v>3342</v>
      </c>
      <c r="B2349" s="2" t="s">
        <v>33</v>
      </c>
      <c r="C2349" s="4">
        <v>45815.25</v>
      </c>
      <c r="D2349" s="4">
        <v>45815.250186909718</v>
      </c>
      <c r="E2349" s="2">
        <v>3.02</v>
      </c>
      <c r="F2349" s="2">
        <v>59</v>
      </c>
      <c r="G2349" s="2" t="s">
        <v>983</v>
      </c>
      <c r="H2349" s="2" t="s">
        <v>984</v>
      </c>
      <c r="I2349" s="2"/>
      <c r="J2349" s="2" t="s">
        <v>33</v>
      </c>
    </row>
    <row r="2350" spans="1:10" ht="21" customHeight="1">
      <c r="A2350" s="2" t="s">
        <v>3343</v>
      </c>
      <c r="B2350" s="2" t="s">
        <v>33</v>
      </c>
      <c r="C2350" s="4">
        <v>45816.25</v>
      </c>
      <c r="D2350" s="4">
        <v>45816.250259236112</v>
      </c>
      <c r="E2350" s="2">
        <v>0</v>
      </c>
      <c r="F2350" s="2">
        <v>60.6</v>
      </c>
      <c r="G2350" s="2" t="s">
        <v>1175</v>
      </c>
      <c r="H2350" s="2" t="s">
        <v>984</v>
      </c>
      <c r="I2350" s="2"/>
      <c r="J2350" s="2" t="s">
        <v>33</v>
      </c>
    </row>
    <row r="2351" spans="1:10" ht="21" customHeight="1">
      <c r="A2351" s="2" t="s">
        <v>3344</v>
      </c>
      <c r="B2351" s="2" t="s">
        <v>33</v>
      </c>
      <c r="C2351" s="4">
        <v>45817.25</v>
      </c>
      <c r="D2351" s="4">
        <v>45817.250556527782</v>
      </c>
      <c r="E2351" s="2">
        <v>3.05</v>
      </c>
      <c r="F2351" s="2">
        <v>63.2</v>
      </c>
      <c r="G2351" s="2" t="s">
        <v>983</v>
      </c>
      <c r="H2351" s="2" t="s">
        <v>984</v>
      </c>
      <c r="I2351" s="2"/>
      <c r="J2351" s="2" t="s">
        <v>33</v>
      </c>
    </row>
    <row r="2352" spans="1:10" ht="21" customHeight="1">
      <c r="A2352" s="2" t="s">
        <v>3345</v>
      </c>
      <c r="B2352" s="2" t="s">
        <v>33</v>
      </c>
      <c r="C2352" s="4">
        <v>45818.25</v>
      </c>
      <c r="D2352" s="4">
        <v>45818.25061231482</v>
      </c>
      <c r="E2352" s="2">
        <v>2.69</v>
      </c>
      <c r="F2352" s="2">
        <v>58</v>
      </c>
      <c r="G2352" s="2" t="s">
        <v>983</v>
      </c>
      <c r="H2352" s="2" t="s">
        <v>984</v>
      </c>
      <c r="I2352" s="2"/>
      <c r="J2352" s="2" t="s">
        <v>33</v>
      </c>
    </row>
    <row r="2353" spans="1:10" ht="21" customHeight="1">
      <c r="A2353" s="2" t="s">
        <v>3346</v>
      </c>
      <c r="B2353" s="2" t="s">
        <v>33</v>
      </c>
      <c r="C2353" s="4">
        <v>45819.25</v>
      </c>
      <c r="D2353" s="4">
        <v>45819.250543368056</v>
      </c>
      <c r="E2353" s="2">
        <v>2.46</v>
      </c>
      <c r="F2353" s="2">
        <v>63</v>
      </c>
      <c r="G2353" s="2" t="s">
        <v>983</v>
      </c>
      <c r="H2353" s="2" t="s">
        <v>984</v>
      </c>
      <c r="I2353" s="2"/>
      <c r="J2353" s="2" t="s">
        <v>33</v>
      </c>
    </row>
    <row r="2354" spans="1:10" ht="21" customHeight="1">
      <c r="A2354" s="2" t="s">
        <v>3347</v>
      </c>
      <c r="B2354" s="2" t="s">
        <v>33</v>
      </c>
      <c r="C2354" s="4">
        <v>45820.25</v>
      </c>
      <c r="D2354" s="4">
        <v>45820.250253912032</v>
      </c>
      <c r="E2354" s="2"/>
      <c r="F2354" s="2"/>
      <c r="G2354" s="2" t="s">
        <v>983</v>
      </c>
      <c r="H2354" s="2" t="s">
        <v>1066</v>
      </c>
      <c r="I2354" s="2"/>
      <c r="J2354" s="2" t="s">
        <v>33</v>
      </c>
    </row>
    <row r="2355" spans="1:10" ht="21" customHeight="1">
      <c r="A2355" s="2" t="s">
        <v>3348</v>
      </c>
      <c r="B2355" s="2" t="s">
        <v>33</v>
      </c>
      <c r="C2355" s="4">
        <v>45821.25</v>
      </c>
      <c r="D2355" s="4">
        <v>45821.250062303239</v>
      </c>
      <c r="E2355" s="2">
        <v>2.33</v>
      </c>
      <c r="F2355" s="2">
        <v>61.7</v>
      </c>
      <c r="G2355" s="2" t="s">
        <v>983</v>
      </c>
      <c r="H2355" s="2" t="s">
        <v>984</v>
      </c>
      <c r="I2355" s="2"/>
      <c r="J2355" s="2" t="s">
        <v>33</v>
      </c>
    </row>
    <row r="2356" spans="1:10" ht="21" customHeight="1">
      <c r="A2356" s="2" t="s">
        <v>3349</v>
      </c>
      <c r="B2356" s="2" t="s">
        <v>33</v>
      </c>
      <c r="C2356" s="4">
        <v>45822.25</v>
      </c>
      <c r="D2356" s="4">
        <v>45822.250688009255</v>
      </c>
      <c r="E2356" s="2">
        <v>2.48</v>
      </c>
      <c r="F2356" s="2">
        <v>61.3</v>
      </c>
      <c r="G2356" s="2" t="s">
        <v>983</v>
      </c>
      <c r="H2356" s="2" t="s">
        <v>984</v>
      </c>
      <c r="I2356" s="2"/>
      <c r="J2356" s="2" t="s">
        <v>33</v>
      </c>
    </row>
    <row r="2357" spans="1:10" ht="21" customHeight="1">
      <c r="A2357" s="2" t="s">
        <v>3350</v>
      </c>
      <c r="B2357" s="2" t="s">
        <v>33</v>
      </c>
      <c r="C2357" s="4">
        <v>45823.25</v>
      </c>
      <c r="D2357" s="4">
        <v>45823.250182280091</v>
      </c>
      <c r="E2357" s="2">
        <v>2.5099999999999998</v>
      </c>
      <c r="F2357" s="2">
        <v>59</v>
      </c>
      <c r="G2357" s="2" t="s">
        <v>983</v>
      </c>
      <c r="H2357" s="2" t="s">
        <v>984</v>
      </c>
      <c r="I2357" s="2"/>
      <c r="J2357" s="2" t="s">
        <v>33</v>
      </c>
    </row>
    <row r="2358" spans="1:10" ht="21" customHeight="1">
      <c r="A2358" s="2" t="s">
        <v>3351</v>
      </c>
      <c r="B2358" s="2" t="s">
        <v>33</v>
      </c>
      <c r="C2358" s="4">
        <v>45824.25</v>
      </c>
      <c r="D2358" s="4">
        <v>45824.250070185182</v>
      </c>
      <c r="E2358" s="2">
        <v>2.65</v>
      </c>
      <c r="F2358" s="2">
        <v>65.400000000000006</v>
      </c>
      <c r="G2358" s="2" t="s">
        <v>983</v>
      </c>
      <c r="H2358" s="2" t="s">
        <v>984</v>
      </c>
      <c r="I2358" s="2"/>
      <c r="J2358" s="2" t="s">
        <v>33</v>
      </c>
    </row>
    <row r="2359" spans="1:10" ht="21" customHeight="1">
      <c r="A2359" s="2" t="s">
        <v>3352</v>
      </c>
      <c r="B2359" s="2" t="s">
        <v>33</v>
      </c>
      <c r="C2359" s="4">
        <v>45825.25</v>
      </c>
      <c r="D2359" s="4">
        <v>45825.2505987037</v>
      </c>
      <c r="E2359" s="2">
        <v>2.68</v>
      </c>
      <c r="F2359" s="2">
        <v>62.7</v>
      </c>
      <c r="G2359" s="2" t="s">
        <v>983</v>
      </c>
      <c r="H2359" s="2" t="s">
        <v>984</v>
      </c>
      <c r="I2359" s="2"/>
      <c r="J2359" s="2" t="s">
        <v>33</v>
      </c>
    </row>
    <row r="2360" spans="1:10" ht="21" customHeight="1">
      <c r="A2360" s="2" t="s">
        <v>3353</v>
      </c>
      <c r="B2360" s="2" t="s">
        <v>33</v>
      </c>
      <c r="C2360" s="4">
        <v>45826.25</v>
      </c>
      <c r="D2360" s="4">
        <v>45826.250255416671</v>
      </c>
      <c r="E2360" s="2">
        <v>2.4900000000000002</v>
      </c>
      <c r="F2360" s="2">
        <v>63.4</v>
      </c>
      <c r="G2360" s="2" t="s">
        <v>983</v>
      </c>
      <c r="H2360" s="2" t="s">
        <v>984</v>
      </c>
      <c r="I2360" s="2"/>
      <c r="J2360" s="2" t="s">
        <v>33</v>
      </c>
    </row>
    <row r="2361" spans="1:10" ht="21" customHeight="1">
      <c r="A2361" s="2" t="s">
        <v>3354</v>
      </c>
      <c r="B2361" s="2" t="s">
        <v>33</v>
      </c>
      <c r="C2361" s="4">
        <v>45827.25</v>
      </c>
      <c r="D2361" s="4">
        <v>45827.250496319444</v>
      </c>
      <c r="E2361" s="2">
        <v>2.61</v>
      </c>
      <c r="F2361" s="2">
        <v>64.7</v>
      </c>
      <c r="G2361" s="2" t="s">
        <v>983</v>
      </c>
      <c r="H2361" s="2" t="s">
        <v>984</v>
      </c>
      <c r="I2361" s="2"/>
      <c r="J2361" s="2" t="s">
        <v>33</v>
      </c>
    </row>
    <row r="2362" spans="1:10" ht="21" customHeight="1">
      <c r="A2362" s="2" t="s">
        <v>3355</v>
      </c>
      <c r="B2362" s="2" t="s">
        <v>33</v>
      </c>
      <c r="C2362" s="4">
        <v>45828.25</v>
      </c>
      <c r="D2362" s="4">
        <v>45828.250034513891</v>
      </c>
      <c r="E2362" s="2">
        <v>2.2599999999999998</v>
      </c>
      <c r="F2362" s="2">
        <v>63.5</v>
      </c>
      <c r="G2362" s="2" t="s">
        <v>983</v>
      </c>
      <c r="H2362" s="2" t="s">
        <v>984</v>
      </c>
      <c r="I2362" s="2" t="s">
        <v>985</v>
      </c>
      <c r="J2362" s="2" t="s">
        <v>33</v>
      </c>
    </row>
    <row r="2363" spans="1:10" ht="21" customHeight="1">
      <c r="A2363" s="2" t="s">
        <v>3356</v>
      </c>
      <c r="B2363" s="2" t="s">
        <v>33</v>
      </c>
      <c r="C2363" s="4">
        <v>45829.25</v>
      </c>
      <c r="D2363" s="4">
        <v>45829.250299918982</v>
      </c>
      <c r="E2363" s="2">
        <v>2.95</v>
      </c>
      <c r="F2363" s="2">
        <v>65.5</v>
      </c>
      <c r="G2363" s="2" t="s">
        <v>983</v>
      </c>
      <c r="H2363" s="2" t="s">
        <v>984</v>
      </c>
      <c r="I2363" s="2"/>
      <c r="J2363" s="2" t="s">
        <v>33</v>
      </c>
    </row>
    <row r="2364" spans="1:10" ht="21" customHeight="1">
      <c r="A2364" s="2" t="s">
        <v>3357</v>
      </c>
      <c r="B2364" s="2" t="s">
        <v>33</v>
      </c>
      <c r="C2364" s="4">
        <v>45830.25</v>
      </c>
      <c r="D2364" s="4">
        <v>45830.250283807865</v>
      </c>
      <c r="E2364" s="2">
        <v>2.4900000000000002</v>
      </c>
      <c r="F2364" s="2">
        <v>63.5</v>
      </c>
      <c r="G2364" s="2" t="s">
        <v>983</v>
      </c>
      <c r="H2364" s="2" t="s">
        <v>984</v>
      </c>
      <c r="I2364" s="2"/>
      <c r="J2364" s="2" t="s">
        <v>33</v>
      </c>
    </row>
    <row r="2365" spans="1:10" ht="21" customHeight="1">
      <c r="A2365" s="2" t="s">
        <v>3358</v>
      </c>
      <c r="B2365" s="2" t="s">
        <v>33</v>
      </c>
      <c r="C2365" s="4">
        <v>45831.25</v>
      </c>
      <c r="D2365" s="4">
        <v>45831.250356192133</v>
      </c>
      <c r="E2365" s="2">
        <v>2.78</v>
      </c>
      <c r="F2365" s="2">
        <v>61.4</v>
      </c>
      <c r="G2365" s="2" t="s">
        <v>983</v>
      </c>
      <c r="H2365" s="2" t="s">
        <v>984</v>
      </c>
      <c r="I2365" s="2"/>
      <c r="J2365" s="2" t="s">
        <v>33</v>
      </c>
    </row>
    <row r="2366" spans="1:10" ht="21" customHeight="1">
      <c r="A2366" s="2" t="s">
        <v>3359</v>
      </c>
      <c r="B2366" s="2" t="s">
        <v>33</v>
      </c>
      <c r="C2366" s="4">
        <v>45832.25</v>
      </c>
      <c r="D2366" s="4">
        <v>45832.250483391203</v>
      </c>
      <c r="E2366" s="2">
        <v>2.2599999999999998</v>
      </c>
      <c r="F2366" s="2">
        <v>61.8</v>
      </c>
      <c r="G2366" s="2" t="s">
        <v>983</v>
      </c>
      <c r="H2366" s="2" t="s">
        <v>984</v>
      </c>
      <c r="I2366" s="2"/>
      <c r="J2366" s="2" t="s">
        <v>33</v>
      </c>
    </row>
    <row r="2367" spans="1:10" ht="21" customHeight="1">
      <c r="A2367" s="2" t="s">
        <v>3360</v>
      </c>
      <c r="B2367" s="2" t="s">
        <v>33</v>
      </c>
      <c r="C2367" s="4">
        <v>45833.25</v>
      </c>
      <c r="D2367" s="4">
        <v>45833.250647916662</v>
      </c>
      <c r="E2367" s="2">
        <v>3.01</v>
      </c>
      <c r="F2367" s="2">
        <v>64.2</v>
      </c>
      <c r="G2367" s="2" t="s">
        <v>983</v>
      </c>
      <c r="H2367" s="2" t="s">
        <v>984</v>
      </c>
      <c r="I2367" s="2"/>
      <c r="J2367" s="2" t="s">
        <v>33</v>
      </c>
    </row>
    <row r="2368" spans="1:10" ht="21" customHeight="1">
      <c r="A2368" s="2" t="s">
        <v>3361</v>
      </c>
      <c r="B2368" s="2" t="s">
        <v>33</v>
      </c>
      <c r="C2368" s="4">
        <v>45834.25</v>
      </c>
      <c r="D2368" s="4">
        <v>45834.25011212963</v>
      </c>
      <c r="E2368" s="2">
        <v>2.95</v>
      </c>
      <c r="F2368" s="2">
        <v>58.6</v>
      </c>
      <c r="G2368" s="2" t="s">
        <v>983</v>
      </c>
      <c r="H2368" s="2" t="s">
        <v>984</v>
      </c>
      <c r="I2368" s="2"/>
      <c r="J2368" s="2" t="s">
        <v>33</v>
      </c>
    </row>
    <row r="2369" spans="1:10" ht="21" customHeight="1">
      <c r="A2369" s="2" t="s">
        <v>3362</v>
      </c>
      <c r="B2369" s="2" t="s">
        <v>33</v>
      </c>
      <c r="C2369" s="4">
        <v>45835.25</v>
      </c>
      <c r="D2369" s="4">
        <v>45835.250336122685</v>
      </c>
      <c r="E2369" s="2">
        <v>2.12</v>
      </c>
      <c r="F2369" s="2">
        <v>65.3</v>
      </c>
      <c r="G2369" s="2" t="s">
        <v>983</v>
      </c>
      <c r="H2369" s="2" t="s">
        <v>984</v>
      </c>
      <c r="I2369" s="2"/>
      <c r="J2369" s="2" t="s">
        <v>33</v>
      </c>
    </row>
    <row r="2370" spans="1:10" ht="21" customHeight="1">
      <c r="A2370" s="2" t="s">
        <v>3363</v>
      </c>
      <c r="B2370" s="2" t="s">
        <v>33</v>
      </c>
      <c r="C2370" s="4">
        <v>45836.25</v>
      </c>
      <c r="D2370" s="4">
        <v>45836.250033715274</v>
      </c>
      <c r="E2370" s="2">
        <v>2.57</v>
      </c>
      <c r="F2370" s="2">
        <v>63.3</v>
      </c>
      <c r="G2370" s="2" t="s">
        <v>983</v>
      </c>
      <c r="H2370" s="2" t="s">
        <v>984</v>
      </c>
      <c r="I2370" s="2"/>
      <c r="J2370" s="2" t="s">
        <v>33</v>
      </c>
    </row>
    <row r="2371" spans="1:10" ht="21" customHeight="1">
      <c r="A2371" s="2" t="s">
        <v>3364</v>
      </c>
      <c r="B2371" s="2" t="s">
        <v>33</v>
      </c>
      <c r="C2371" s="4">
        <v>45837.25</v>
      </c>
      <c r="D2371" s="4">
        <v>45837.250565092589</v>
      </c>
      <c r="E2371" s="2">
        <v>2.61</v>
      </c>
      <c r="F2371" s="2">
        <v>62.8</v>
      </c>
      <c r="G2371" s="2" t="s">
        <v>983</v>
      </c>
      <c r="H2371" s="2" t="s">
        <v>984</v>
      </c>
      <c r="I2371" s="2"/>
      <c r="J2371" s="2" t="s">
        <v>33</v>
      </c>
    </row>
    <row r="2372" spans="1:10" ht="21" customHeight="1">
      <c r="A2372" s="2" t="s">
        <v>3365</v>
      </c>
      <c r="B2372" s="2" t="s">
        <v>33</v>
      </c>
      <c r="C2372" s="4">
        <v>45838.25</v>
      </c>
      <c r="D2372" s="4">
        <v>45838.250586238428</v>
      </c>
      <c r="E2372" s="2"/>
      <c r="F2372" s="2"/>
      <c r="G2372" s="2" t="s">
        <v>983</v>
      </c>
      <c r="H2372" s="2" t="s">
        <v>1066</v>
      </c>
      <c r="I2372" s="2"/>
      <c r="J2372" s="2" t="s">
        <v>33</v>
      </c>
    </row>
    <row r="2373" spans="1:10" ht="21" customHeight="1">
      <c r="A2373" s="2" t="s">
        <v>3366</v>
      </c>
      <c r="B2373" s="2" t="s">
        <v>33</v>
      </c>
      <c r="C2373" s="4">
        <v>45839.25</v>
      </c>
      <c r="D2373" s="4">
        <v>45839.250120520832</v>
      </c>
      <c r="E2373" s="2">
        <v>2.35</v>
      </c>
      <c r="F2373" s="2">
        <v>65.2</v>
      </c>
      <c r="G2373" s="2" t="s">
        <v>983</v>
      </c>
      <c r="H2373" s="2" t="s">
        <v>984</v>
      </c>
      <c r="I2373" s="2"/>
      <c r="J2373" s="2" t="s">
        <v>33</v>
      </c>
    </row>
    <row r="2374" spans="1:10" ht="21" customHeight="1">
      <c r="A2374" s="2" t="s">
        <v>3367</v>
      </c>
      <c r="B2374" s="2" t="s">
        <v>33</v>
      </c>
      <c r="C2374" s="4">
        <v>45840.25</v>
      </c>
      <c r="D2374" s="4">
        <v>45840.250659965277</v>
      </c>
      <c r="E2374" s="2">
        <v>2.19</v>
      </c>
      <c r="F2374" s="2">
        <v>61.5</v>
      </c>
      <c r="G2374" s="2" t="s">
        <v>983</v>
      </c>
      <c r="H2374" s="2" t="s">
        <v>984</v>
      </c>
      <c r="I2374" s="2"/>
      <c r="J2374" s="2" t="s">
        <v>33</v>
      </c>
    </row>
    <row r="2375" spans="1:10" ht="21" customHeight="1">
      <c r="A2375" s="2" t="s">
        <v>3368</v>
      </c>
      <c r="B2375" s="2" t="s">
        <v>33</v>
      </c>
      <c r="C2375" s="4">
        <v>45841.25</v>
      </c>
      <c r="D2375" s="4">
        <v>45841.250620509258</v>
      </c>
      <c r="E2375" s="2">
        <v>3.14</v>
      </c>
      <c r="F2375" s="2">
        <v>65</v>
      </c>
      <c r="G2375" s="2" t="s">
        <v>983</v>
      </c>
      <c r="H2375" s="2" t="s">
        <v>984</v>
      </c>
      <c r="I2375" s="2"/>
      <c r="J2375" s="2" t="s">
        <v>33</v>
      </c>
    </row>
    <row r="2376" spans="1:10" ht="21" customHeight="1">
      <c r="A2376" s="2" t="s">
        <v>3369</v>
      </c>
      <c r="B2376" s="2" t="s">
        <v>33</v>
      </c>
      <c r="C2376" s="4">
        <v>45842.25</v>
      </c>
      <c r="D2376" s="4">
        <v>45842.250531759259</v>
      </c>
      <c r="E2376" s="2">
        <v>3.18</v>
      </c>
      <c r="F2376" s="2">
        <v>61.8</v>
      </c>
      <c r="G2376" s="2" t="s">
        <v>983</v>
      </c>
      <c r="H2376" s="2" t="s">
        <v>984</v>
      </c>
      <c r="I2376" s="2"/>
      <c r="J2376" s="2" t="s">
        <v>33</v>
      </c>
    </row>
    <row r="2377" spans="1:10" ht="21" customHeight="1">
      <c r="A2377" s="2" t="s">
        <v>3370</v>
      </c>
      <c r="B2377" s="2" t="s">
        <v>33</v>
      </c>
      <c r="C2377" s="4">
        <v>45843.25</v>
      </c>
      <c r="D2377" s="4">
        <v>45843.250430405096</v>
      </c>
      <c r="E2377" s="2">
        <v>3.1</v>
      </c>
      <c r="F2377" s="2">
        <v>62</v>
      </c>
      <c r="G2377" s="2" t="s">
        <v>983</v>
      </c>
      <c r="H2377" s="2" t="s">
        <v>984</v>
      </c>
      <c r="I2377" s="2"/>
      <c r="J2377" s="2" t="s">
        <v>33</v>
      </c>
    </row>
    <row r="2378" spans="1:10" ht="21" customHeight="1">
      <c r="A2378" s="2" t="s">
        <v>3371</v>
      </c>
      <c r="B2378" s="2" t="s">
        <v>33</v>
      </c>
      <c r="C2378" s="4">
        <v>45844.25</v>
      </c>
      <c r="D2378" s="4">
        <v>45844.250553344908</v>
      </c>
      <c r="E2378" s="2">
        <v>4.53</v>
      </c>
      <c r="F2378" s="2">
        <v>68.099999999999994</v>
      </c>
      <c r="G2378" s="2" t="s">
        <v>983</v>
      </c>
      <c r="H2378" s="2" t="s">
        <v>984</v>
      </c>
      <c r="I2378" s="2" t="s">
        <v>1053</v>
      </c>
      <c r="J2378" s="2" t="s">
        <v>33</v>
      </c>
    </row>
    <row r="2379" spans="1:10" ht="21" customHeight="1">
      <c r="A2379" s="2" t="s">
        <v>3372</v>
      </c>
      <c r="B2379" s="2" t="s">
        <v>33</v>
      </c>
      <c r="C2379" s="4">
        <v>45845.25</v>
      </c>
      <c r="D2379" s="4">
        <v>45845.250455659727</v>
      </c>
      <c r="E2379" s="2">
        <v>6.23</v>
      </c>
      <c r="F2379" s="2">
        <v>75.5</v>
      </c>
      <c r="G2379" s="2" t="s">
        <v>983</v>
      </c>
      <c r="H2379" s="2" t="s">
        <v>984</v>
      </c>
      <c r="I2379" s="2" t="s">
        <v>985</v>
      </c>
      <c r="J2379" s="2" t="s">
        <v>33</v>
      </c>
    </row>
    <row r="2380" spans="1:10" ht="21" customHeight="1">
      <c r="A2380" s="2" t="s">
        <v>3373</v>
      </c>
      <c r="B2380" s="2" t="s">
        <v>3209</v>
      </c>
      <c r="C2380" s="4">
        <v>45846.25</v>
      </c>
      <c r="D2380" s="4">
        <v>45846.250291030097</v>
      </c>
      <c r="E2380" s="2">
        <v>4.62</v>
      </c>
      <c r="F2380" s="2">
        <v>66.400000000000006</v>
      </c>
      <c r="G2380" s="2" t="s">
        <v>983</v>
      </c>
      <c r="H2380" s="2" t="s">
        <v>984</v>
      </c>
      <c r="I2380" s="2" t="s">
        <v>1053</v>
      </c>
      <c r="J2380" s="2" t="s">
        <v>33</v>
      </c>
    </row>
    <row r="2381" spans="1:10" ht="21" customHeight="1">
      <c r="A2381" s="2" t="s">
        <v>3374</v>
      </c>
      <c r="B2381" s="2" t="s">
        <v>33</v>
      </c>
      <c r="C2381" s="4">
        <v>45847.25</v>
      </c>
      <c r="D2381" s="4">
        <v>45847.25012986111</v>
      </c>
      <c r="E2381" s="2">
        <v>0</v>
      </c>
      <c r="F2381" s="2">
        <v>64.400000000000006</v>
      </c>
      <c r="G2381" s="2" t="s">
        <v>1175</v>
      </c>
      <c r="H2381" s="2" t="s">
        <v>984</v>
      </c>
      <c r="I2381" s="2"/>
      <c r="J2381" s="2" t="s">
        <v>33</v>
      </c>
    </row>
    <row r="2382" spans="1:10" ht="21" customHeight="1">
      <c r="A2382" s="2" t="s">
        <v>3375</v>
      </c>
      <c r="B2382" s="2" t="s">
        <v>33</v>
      </c>
      <c r="C2382" s="4">
        <v>45848.25</v>
      </c>
      <c r="D2382" s="4">
        <v>45848.250510925922</v>
      </c>
      <c r="E2382" s="2">
        <v>2.76</v>
      </c>
      <c r="F2382" s="2">
        <v>61.3</v>
      </c>
      <c r="G2382" s="2" t="s">
        <v>983</v>
      </c>
      <c r="H2382" s="2" t="s">
        <v>984</v>
      </c>
      <c r="I2382" s="2"/>
      <c r="J2382" s="2" t="s">
        <v>33</v>
      </c>
    </row>
    <row r="2383" spans="1:10" ht="21" customHeight="1">
      <c r="A2383" s="2" t="s">
        <v>3376</v>
      </c>
      <c r="B2383" s="2" t="s">
        <v>33</v>
      </c>
      <c r="C2383" s="4">
        <v>45849.25</v>
      </c>
      <c r="D2383" s="4">
        <v>45849.250130266199</v>
      </c>
      <c r="E2383" s="2">
        <v>3.29</v>
      </c>
      <c r="F2383" s="2">
        <v>61.5</v>
      </c>
      <c r="G2383" s="2" t="s">
        <v>983</v>
      </c>
      <c r="H2383" s="2" t="s">
        <v>984</v>
      </c>
      <c r="I2383" s="2"/>
      <c r="J2383" s="2" t="s">
        <v>33</v>
      </c>
    </row>
    <row r="2384" spans="1:10" ht="21" customHeight="1">
      <c r="A2384" s="2" t="s">
        <v>3377</v>
      </c>
      <c r="B2384" s="2" t="s">
        <v>33</v>
      </c>
      <c r="C2384" s="4">
        <v>45850.25</v>
      </c>
      <c r="D2384" s="4">
        <v>45850.250014618054</v>
      </c>
      <c r="E2384" s="2">
        <v>3.17</v>
      </c>
      <c r="F2384" s="2">
        <v>61.2</v>
      </c>
      <c r="G2384" s="2" t="s">
        <v>983</v>
      </c>
      <c r="H2384" s="2" t="s">
        <v>984</v>
      </c>
      <c r="I2384" s="2"/>
      <c r="J2384" s="2" t="s">
        <v>33</v>
      </c>
    </row>
    <row r="2385" spans="1:10" ht="21" customHeight="1">
      <c r="A2385" s="2" t="s">
        <v>3378</v>
      </c>
      <c r="B2385" s="2" t="s">
        <v>33</v>
      </c>
      <c r="C2385" s="4">
        <v>45851.25</v>
      </c>
      <c r="D2385" s="4">
        <v>45851.25048693287</v>
      </c>
      <c r="E2385" s="2">
        <v>2.2400000000000002</v>
      </c>
      <c r="F2385" s="2">
        <v>65.900000000000006</v>
      </c>
      <c r="G2385" s="2" t="s">
        <v>983</v>
      </c>
      <c r="H2385" s="2" t="s">
        <v>984</v>
      </c>
      <c r="I2385" s="2"/>
      <c r="J2385" s="2" t="s">
        <v>33</v>
      </c>
    </row>
    <row r="2386" spans="1:10" ht="21" customHeight="1">
      <c r="A2386" s="2" t="s">
        <v>3379</v>
      </c>
      <c r="B2386" s="2" t="s">
        <v>33</v>
      </c>
      <c r="C2386" s="4">
        <v>45852.25</v>
      </c>
      <c r="D2386" s="4">
        <v>45852.250368703702</v>
      </c>
      <c r="E2386" s="2">
        <v>2.44</v>
      </c>
      <c r="F2386" s="2">
        <v>61.9</v>
      </c>
      <c r="G2386" s="2" t="s">
        <v>983</v>
      </c>
      <c r="H2386" s="2" t="s">
        <v>984</v>
      </c>
      <c r="I2386" s="2"/>
      <c r="J2386" s="2" t="s">
        <v>33</v>
      </c>
    </row>
    <row r="2387" spans="1:10" ht="21" customHeight="1">
      <c r="A2387" s="2" t="s">
        <v>3380</v>
      </c>
      <c r="B2387" s="2" t="s">
        <v>33</v>
      </c>
      <c r="C2387" s="4">
        <v>45853.25</v>
      </c>
      <c r="D2387" s="4">
        <v>45853.250413981485</v>
      </c>
      <c r="E2387" s="2">
        <v>3.13</v>
      </c>
      <c r="F2387" s="2">
        <v>59.2</v>
      </c>
      <c r="G2387" s="2" t="s">
        <v>983</v>
      </c>
      <c r="H2387" s="2" t="s">
        <v>984</v>
      </c>
      <c r="I2387" s="2"/>
      <c r="J2387" s="2" t="s">
        <v>33</v>
      </c>
    </row>
    <row r="2388" spans="1:10" ht="21" customHeight="1">
      <c r="A2388" s="2" t="s">
        <v>3381</v>
      </c>
      <c r="B2388" s="2" t="s">
        <v>33</v>
      </c>
      <c r="C2388" s="4">
        <v>45854.25</v>
      </c>
      <c r="D2388" s="4">
        <v>45854.250274942126</v>
      </c>
      <c r="E2388" s="2">
        <v>2.64</v>
      </c>
      <c r="F2388" s="2">
        <v>64.5</v>
      </c>
      <c r="G2388" s="2" t="s">
        <v>983</v>
      </c>
      <c r="H2388" s="2" t="s">
        <v>984</v>
      </c>
      <c r="I2388" s="2"/>
      <c r="J2388" s="2" t="s">
        <v>33</v>
      </c>
    </row>
    <row r="2389" spans="1:10" ht="21" customHeight="1">
      <c r="A2389" s="2" t="s">
        <v>3382</v>
      </c>
      <c r="B2389" s="2" t="s">
        <v>33</v>
      </c>
      <c r="C2389" s="4">
        <v>45855.25</v>
      </c>
      <c r="D2389" s="4">
        <v>45855.250644837965</v>
      </c>
      <c r="E2389" s="2">
        <v>2.94</v>
      </c>
      <c r="F2389" s="2">
        <v>65.900000000000006</v>
      </c>
      <c r="G2389" s="2" t="s">
        <v>983</v>
      </c>
      <c r="H2389" s="2" t="s">
        <v>984</v>
      </c>
      <c r="I2389" s="2"/>
      <c r="J2389" s="2" t="s">
        <v>33</v>
      </c>
    </row>
    <row r="2390" spans="1:10" ht="21" customHeight="1">
      <c r="A2390" s="2" t="s">
        <v>3383</v>
      </c>
      <c r="B2390" s="2" t="s">
        <v>33</v>
      </c>
      <c r="C2390" s="4">
        <v>45856.25</v>
      </c>
      <c r="D2390" s="4">
        <v>45856.250376365744</v>
      </c>
      <c r="E2390" s="2"/>
      <c r="F2390" s="2"/>
      <c r="G2390" s="2" t="s">
        <v>983</v>
      </c>
      <c r="H2390" s="2" t="s">
        <v>1066</v>
      </c>
      <c r="I2390" s="2"/>
      <c r="J2390" s="2" t="s">
        <v>33</v>
      </c>
    </row>
    <row r="2391" spans="1:10" ht="21" customHeight="1">
      <c r="A2391" s="2" t="s">
        <v>3384</v>
      </c>
      <c r="B2391" s="2" t="s">
        <v>33</v>
      </c>
      <c r="C2391" s="4">
        <v>45857.25</v>
      </c>
      <c r="D2391" s="4">
        <v>45857.250452650464</v>
      </c>
      <c r="E2391" s="2">
        <v>2.52</v>
      </c>
      <c r="F2391" s="2">
        <v>64.099999999999994</v>
      </c>
      <c r="G2391" s="2" t="s">
        <v>983</v>
      </c>
      <c r="H2391" s="2" t="s">
        <v>984</v>
      </c>
      <c r="I2391" s="2"/>
      <c r="J2391" s="2" t="s">
        <v>33</v>
      </c>
    </row>
    <row r="2392" spans="1:10" ht="21" customHeight="1">
      <c r="A2392" s="2" t="s">
        <v>3385</v>
      </c>
      <c r="B2392" s="2" t="s">
        <v>33</v>
      </c>
      <c r="C2392" s="4">
        <v>45858.25</v>
      </c>
      <c r="D2392" s="4">
        <v>45858.250206701385</v>
      </c>
      <c r="E2392" s="2">
        <v>3.16</v>
      </c>
      <c r="F2392" s="2">
        <v>59.1</v>
      </c>
      <c r="G2392" s="2" t="s">
        <v>983</v>
      </c>
      <c r="H2392" s="2" t="s">
        <v>984</v>
      </c>
      <c r="I2392" s="2"/>
      <c r="J2392" s="2" t="s">
        <v>33</v>
      </c>
    </row>
    <row r="2393" spans="1:10" ht="21" customHeight="1">
      <c r="A2393" s="2" t="s">
        <v>3386</v>
      </c>
      <c r="B2393" s="2" t="s">
        <v>33</v>
      </c>
      <c r="C2393" s="4">
        <v>45859.25</v>
      </c>
      <c r="D2393" s="4">
        <v>45859.250399004624</v>
      </c>
      <c r="E2393" s="2">
        <v>2.37</v>
      </c>
      <c r="F2393" s="2">
        <v>61.7</v>
      </c>
      <c r="G2393" s="2" t="s">
        <v>983</v>
      </c>
      <c r="H2393" s="2" t="s">
        <v>984</v>
      </c>
      <c r="I2393" s="2"/>
      <c r="J2393" s="2" t="s">
        <v>33</v>
      </c>
    </row>
    <row r="2394" spans="1:10" ht="21" customHeight="1">
      <c r="A2394" s="2" t="s">
        <v>3387</v>
      </c>
      <c r="B2394" s="2" t="s">
        <v>33</v>
      </c>
      <c r="C2394" s="4">
        <v>45860.25</v>
      </c>
      <c r="D2394" s="4">
        <v>45860.250631342591</v>
      </c>
      <c r="E2394" s="2">
        <v>2.61</v>
      </c>
      <c r="F2394" s="2">
        <v>62.4</v>
      </c>
      <c r="G2394" s="2" t="s">
        <v>983</v>
      </c>
      <c r="H2394" s="2" t="s">
        <v>984</v>
      </c>
      <c r="I2394" s="2"/>
      <c r="J2394" s="2" t="s">
        <v>33</v>
      </c>
    </row>
    <row r="2395" spans="1:10" ht="21" customHeight="1">
      <c r="A2395" s="2" t="s">
        <v>3388</v>
      </c>
      <c r="B2395" s="2" t="s">
        <v>33</v>
      </c>
      <c r="C2395" s="4">
        <v>45861.25</v>
      </c>
      <c r="D2395" s="4">
        <v>45861.250277604166</v>
      </c>
      <c r="E2395" s="2">
        <v>2.78</v>
      </c>
      <c r="F2395" s="2">
        <v>62.8</v>
      </c>
      <c r="G2395" s="2" t="s">
        <v>983</v>
      </c>
      <c r="H2395" s="2" t="s">
        <v>984</v>
      </c>
      <c r="I2395" s="2"/>
      <c r="J2395" s="2" t="s">
        <v>33</v>
      </c>
    </row>
    <row r="2396" spans="1:10" ht="21" customHeight="1">
      <c r="A2396" s="2" t="s">
        <v>3389</v>
      </c>
      <c r="B2396" s="2" t="s">
        <v>33</v>
      </c>
      <c r="C2396" s="4">
        <v>45862.25</v>
      </c>
      <c r="D2396" s="4">
        <v>45862.250418912037</v>
      </c>
      <c r="E2396" s="2">
        <v>2.73</v>
      </c>
      <c r="F2396" s="2">
        <v>60.2</v>
      </c>
      <c r="G2396" s="2" t="s">
        <v>983</v>
      </c>
      <c r="H2396" s="2" t="s">
        <v>984</v>
      </c>
      <c r="I2396" s="2" t="s">
        <v>985</v>
      </c>
      <c r="J2396" s="2" t="s">
        <v>33</v>
      </c>
    </row>
    <row r="2397" spans="1:10" ht="21" customHeight="1">
      <c r="A2397" s="2" t="s">
        <v>3390</v>
      </c>
      <c r="B2397" s="2" t="s">
        <v>33</v>
      </c>
      <c r="C2397" s="4">
        <v>45863.25</v>
      </c>
      <c r="D2397" s="4">
        <v>45863.250443356483</v>
      </c>
      <c r="E2397" s="2">
        <v>3.23</v>
      </c>
      <c r="F2397" s="2">
        <v>62.7</v>
      </c>
      <c r="G2397" s="2" t="s">
        <v>983</v>
      </c>
      <c r="H2397" s="2" t="s">
        <v>984</v>
      </c>
      <c r="I2397" s="2"/>
      <c r="J2397" s="2" t="s">
        <v>33</v>
      </c>
    </row>
    <row r="2398" spans="1:10" ht="21" customHeight="1">
      <c r="A2398" s="2" t="s">
        <v>3391</v>
      </c>
      <c r="B2398" s="2" t="s">
        <v>33</v>
      </c>
      <c r="C2398" s="4">
        <v>45864.25</v>
      </c>
      <c r="D2398" s="4">
        <v>45864.250206099532</v>
      </c>
      <c r="E2398" s="2">
        <v>2.13</v>
      </c>
      <c r="F2398" s="2">
        <v>65</v>
      </c>
      <c r="G2398" s="2" t="s">
        <v>983</v>
      </c>
      <c r="H2398" s="2" t="s">
        <v>984</v>
      </c>
      <c r="I2398" s="2"/>
      <c r="J2398" s="2" t="s">
        <v>33</v>
      </c>
    </row>
    <row r="2399" spans="1:10" ht="21" customHeight="1">
      <c r="A2399" s="2" t="s">
        <v>3392</v>
      </c>
      <c r="B2399" s="2" t="s">
        <v>33</v>
      </c>
      <c r="C2399" s="4">
        <v>45865.25</v>
      </c>
      <c r="D2399" s="4">
        <v>45865.250546759256</v>
      </c>
      <c r="E2399" s="2">
        <v>3.27</v>
      </c>
      <c r="F2399" s="2">
        <v>58</v>
      </c>
      <c r="G2399" s="2" t="s">
        <v>983</v>
      </c>
      <c r="H2399" s="2" t="s">
        <v>984</v>
      </c>
      <c r="I2399" s="2"/>
      <c r="J2399" s="2" t="s">
        <v>33</v>
      </c>
    </row>
    <row r="2400" spans="1:10" ht="21" customHeight="1">
      <c r="A2400" s="2" t="s">
        <v>3393</v>
      </c>
      <c r="B2400" s="2" t="s">
        <v>33</v>
      </c>
      <c r="C2400" s="4">
        <v>45866.25</v>
      </c>
      <c r="D2400" s="4">
        <v>45866.250250104167</v>
      </c>
      <c r="E2400" s="2">
        <v>3.13</v>
      </c>
      <c r="F2400" s="2">
        <v>63.2</v>
      </c>
      <c r="G2400" s="2" t="s">
        <v>983</v>
      </c>
      <c r="H2400" s="2" t="s">
        <v>984</v>
      </c>
      <c r="I2400" s="2"/>
      <c r="J2400" s="2" t="s">
        <v>33</v>
      </c>
    </row>
    <row r="2401" spans="1:10" ht="21" customHeight="1">
      <c r="A2401" s="2" t="s">
        <v>3394</v>
      </c>
      <c r="B2401" s="2" t="s">
        <v>33</v>
      </c>
      <c r="C2401" s="4">
        <v>45867.25</v>
      </c>
      <c r="D2401" s="4">
        <v>45867.25065887731</v>
      </c>
      <c r="E2401" s="2">
        <v>2.83</v>
      </c>
      <c r="F2401" s="2">
        <v>62.8</v>
      </c>
      <c r="G2401" s="2" t="s">
        <v>983</v>
      </c>
      <c r="H2401" s="2" t="s">
        <v>984</v>
      </c>
      <c r="I2401" s="2"/>
      <c r="J2401" s="2" t="s">
        <v>33</v>
      </c>
    </row>
    <row r="2402" spans="1:10" ht="21" customHeight="1">
      <c r="A2402" s="2" t="s">
        <v>3395</v>
      </c>
      <c r="B2402" s="2" t="s">
        <v>33</v>
      </c>
      <c r="C2402" s="4">
        <v>45868.25</v>
      </c>
      <c r="D2402" s="4">
        <v>45868.250219664347</v>
      </c>
      <c r="E2402" s="2">
        <v>2.23</v>
      </c>
      <c r="F2402" s="2">
        <v>61.2</v>
      </c>
      <c r="G2402" s="2" t="s">
        <v>983</v>
      </c>
      <c r="H2402" s="2" t="s">
        <v>984</v>
      </c>
      <c r="I2402" s="2"/>
      <c r="J2402" s="2" t="s">
        <v>33</v>
      </c>
    </row>
    <row r="2403" spans="1:10" ht="21" customHeight="1">
      <c r="A2403" s="2" t="s">
        <v>3396</v>
      </c>
      <c r="B2403" s="2" t="s">
        <v>33</v>
      </c>
      <c r="C2403" s="4">
        <v>45869.25</v>
      </c>
      <c r="D2403" s="4">
        <v>45869.250083402774</v>
      </c>
      <c r="E2403" s="2">
        <v>2.54</v>
      </c>
      <c r="F2403" s="2">
        <v>65</v>
      </c>
      <c r="G2403" s="2" t="s">
        <v>983</v>
      </c>
      <c r="H2403" s="2" t="s">
        <v>984</v>
      </c>
      <c r="I2403" s="2"/>
      <c r="J2403" s="2" t="s">
        <v>33</v>
      </c>
    </row>
    <row r="2404" spans="1:10" ht="21" customHeight="1">
      <c r="A2404" s="2" t="s">
        <v>3397</v>
      </c>
      <c r="B2404" s="2" t="s">
        <v>33</v>
      </c>
      <c r="C2404" s="4">
        <v>45870.25</v>
      </c>
      <c r="D2404" s="4">
        <v>45870.250560671295</v>
      </c>
      <c r="E2404" s="2">
        <v>2.37</v>
      </c>
      <c r="F2404" s="2">
        <v>59.7</v>
      </c>
      <c r="G2404" s="2" t="s">
        <v>983</v>
      </c>
      <c r="H2404" s="2" t="s">
        <v>984</v>
      </c>
      <c r="I2404" s="2"/>
      <c r="J2404" s="2" t="s">
        <v>33</v>
      </c>
    </row>
    <row r="2405" spans="1:10" ht="21" customHeight="1">
      <c r="A2405" s="2" t="s">
        <v>3398</v>
      </c>
      <c r="B2405" s="2" t="s">
        <v>33</v>
      </c>
      <c r="C2405" s="4">
        <v>45871.25</v>
      </c>
      <c r="D2405" s="4">
        <v>45871.250171388892</v>
      </c>
      <c r="E2405" s="2">
        <v>3.2</v>
      </c>
      <c r="F2405" s="2">
        <v>64.099999999999994</v>
      </c>
      <c r="G2405" s="2" t="s">
        <v>983</v>
      </c>
      <c r="H2405" s="2" t="s">
        <v>984</v>
      </c>
      <c r="I2405" s="2"/>
      <c r="J2405" s="2" t="s">
        <v>33</v>
      </c>
    </row>
    <row r="2406" spans="1:10" ht="21" customHeight="1">
      <c r="A2406" s="2" t="s">
        <v>3399</v>
      </c>
      <c r="B2406" s="2" t="s">
        <v>33</v>
      </c>
      <c r="C2406" s="4">
        <v>45872.25</v>
      </c>
      <c r="D2406" s="4">
        <v>45872.250624398148</v>
      </c>
      <c r="E2406" s="2">
        <v>2.56</v>
      </c>
      <c r="F2406" s="2">
        <v>65.099999999999994</v>
      </c>
      <c r="G2406" s="2" t="s">
        <v>983</v>
      </c>
      <c r="H2406" s="2" t="s">
        <v>984</v>
      </c>
      <c r="I2406" s="2"/>
      <c r="J2406" s="2" t="s">
        <v>33</v>
      </c>
    </row>
    <row r="2407" spans="1:10" ht="21" customHeight="1">
      <c r="A2407" s="2" t="s">
        <v>3400</v>
      </c>
      <c r="B2407" s="2" t="s">
        <v>33</v>
      </c>
      <c r="C2407" s="4">
        <v>45873.25</v>
      </c>
      <c r="D2407" s="4">
        <v>45873.250544618058</v>
      </c>
      <c r="E2407" s="2">
        <v>5.28</v>
      </c>
      <c r="F2407" s="2">
        <v>73.599999999999994</v>
      </c>
      <c r="G2407" s="2" t="s">
        <v>983</v>
      </c>
      <c r="H2407" s="2" t="s">
        <v>984</v>
      </c>
      <c r="I2407" s="2"/>
      <c r="J2407" s="2" t="s">
        <v>33</v>
      </c>
    </row>
    <row r="2408" spans="1:10" ht="21" customHeight="1">
      <c r="A2408" s="2" t="s">
        <v>3401</v>
      </c>
      <c r="B2408" s="2" t="s">
        <v>33</v>
      </c>
      <c r="C2408" s="4">
        <v>45874.25</v>
      </c>
      <c r="D2408" s="4">
        <v>45874.2500315625</v>
      </c>
      <c r="E2408" s="2">
        <v>6.16</v>
      </c>
      <c r="F2408" s="2">
        <v>68.099999999999994</v>
      </c>
      <c r="G2408" s="2" t="s">
        <v>983</v>
      </c>
      <c r="H2408" s="2" t="s">
        <v>984</v>
      </c>
      <c r="I2408" s="2" t="s">
        <v>1053</v>
      </c>
      <c r="J2408" s="2" t="s">
        <v>33</v>
      </c>
    </row>
    <row r="2409" spans="1:10" ht="21" customHeight="1">
      <c r="A2409" s="2" t="s">
        <v>3402</v>
      </c>
      <c r="B2409" s="2" t="s">
        <v>33</v>
      </c>
      <c r="C2409" s="4">
        <v>45875.25</v>
      </c>
      <c r="D2409" s="4">
        <v>45875.250202337964</v>
      </c>
      <c r="E2409" s="2">
        <v>22.71</v>
      </c>
      <c r="F2409" s="2">
        <v>64.5</v>
      </c>
      <c r="G2409" s="2" t="s">
        <v>983</v>
      </c>
      <c r="H2409" s="2" t="s">
        <v>1022</v>
      </c>
      <c r="I2409" s="2"/>
      <c r="J2409" s="2" t="s">
        <v>33</v>
      </c>
    </row>
    <row r="2410" spans="1:10" ht="21" customHeight="1">
      <c r="A2410" s="2" t="s">
        <v>3403</v>
      </c>
      <c r="B2410" s="2" t="s">
        <v>33</v>
      </c>
      <c r="C2410" s="4">
        <v>45876.25</v>
      </c>
      <c r="D2410" s="4">
        <v>45876.250102800928</v>
      </c>
      <c r="E2410" s="2">
        <v>2.57</v>
      </c>
      <c r="F2410" s="2">
        <v>60.2</v>
      </c>
      <c r="G2410" s="2" t="s">
        <v>983</v>
      </c>
      <c r="H2410" s="2" t="s">
        <v>984</v>
      </c>
      <c r="I2410" s="2"/>
      <c r="J2410" s="2" t="s">
        <v>33</v>
      </c>
    </row>
    <row r="2411" spans="1:10" ht="21" customHeight="1">
      <c r="A2411" s="2" t="s">
        <v>3404</v>
      </c>
      <c r="B2411" s="2" t="s">
        <v>33</v>
      </c>
      <c r="C2411" s="4">
        <v>45877.25</v>
      </c>
      <c r="D2411" s="4">
        <v>45877.250230057871</v>
      </c>
      <c r="E2411" s="2">
        <v>2.41</v>
      </c>
      <c r="F2411" s="2">
        <v>58</v>
      </c>
      <c r="G2411" s="2" t="s">
        <v>983</v>
      </c>
      <c r="H2411" s="2" t="s">
        <v>984</v>
      </c>
      <c r="I2411" s="2"/>
      <c r="J2411" s="2" t="s">
        <v>33</v>
      </c>
    </row>
    <row r="2412" spans="1:10" ht="21" customHeight="1">
      <c r="A2412" s="2" t="s">
        <v>3405</v>
      </c>
      <c r="B2412" s="2" t="s">
        <v>33</v>
      </c>
      <c r="C2412" s="4">
        <v>45878.25</v>
      </c>
      <c r="D2412" s="4">
        <v>45878.250486215278</v>
      </c>
      <c r="E2412" s="2">
        <v>2.7</v>
      </c>
      <c r="F2412" s="2">
        <v>62.3</v>
      </c>
      <c r="G2412" s="2" t="s">
        <v>983</v>
      </c>
      <c r="H2412" s="2" t="s">
        <v>984</v>
      </c>
      <c r="I2412" s="2"/>
      <c r="J2412" s="2" t="s">
        <v>33</v>
      </c>
    </row>
    <row r="2413" spans="1:10" ht="21" customHeight="1">
      <c r="A2413" s="2" t="s">
        <v>3406</v>
      </c>
      <c r="B2413" s="2" t="s">
        <v>33</v>
      </c>
      <c r="C2413" s="4">
        <v>45879.25</v>
      </c>
      <c r="D2413" s="4">
        <v>45879.250410277775</v>
      </c>
      <c r="E2413" s="2">
        <v>3.03</v>
      </c>
      <c r="F2413" s="2">
        <v>60.8</v>
      </c>
      <c r="G2413" s="2" t="s">
        <v>983</v>
      </c>
      <c r="H2413" s="2" t="s">
        <v>984</v>
      </c>
      <c r="I2413" s="2" t="s">
        <v>985</v>
      </c>
      <c r="J2413" s="2" t="s">
        <v>33</v>
      </c>
    </row>
    <row r="2414" spans="1:10" ht="21" customHeight="1">
      <c r="A2414" s="2" t="s">
        <v>3407</v>
      </c>
      <c r="B2414" s="2" t="s">
        <v>33</v>
      </c>
      <c r="C2414" s="4">
        <v>45880.25</v>
      </c>
      <c r="D2414" s="4">
        <v>45880.250247800926</v>
      </c>
      <c r="E2414" s="2">
        <v>2.94</v>
      </c>
      <c r="F2414" s="2">
        <v>65.8</v>
      </c>
      <c r="G2414" s="2" t="s">
        <v>983</v>
      </c>
      <c r="H2414" s="2" t="s">
        <v>984</v>
      </c>
      <c r="I2414" s="2"/>
      <c r="J2414" s="2" t="s">
        <v>33</v>
      </c>
    </row>
    <row r="2415" spans="1:10" ht="21" customHeight="1">
      <c r="A2415" s="2" t="s">
        <v>3408</v>
      </c>
      <c r="B2415" s="2" t="s">
        <v>33</v>
      </c>
      <c r="C2415" s="4">
        <v>45881.25</v>
      </c>
      <c r="D2415" s="4">
        <v>45881.250250625002</v>
      </c>
      <c r="E2415" s="2">
        <v>2.38</v>
      </c>
      <c r="F2415" s="2">
        <v>58.6</v>
      </c>
      <c r="G2415" s="2" t="s">
        <v>983</v>
      </c>
      <c r="H2415" s="2" t="s">
        <v>984</v>
      </c>
      <c r="I2415" s="2"/>
      <c r="J2415" s="2" t="s">
        <v>33</v>
      </c>
    </row>
    <row r="2416" spans="1:10" ht="21" customHeight="1">
      <c r="A2416" s="2" t="s">
        <v>3409</v>
      </c>
      <c r="B2416" s="2" t="s">
        <v>33</v>
      </c>
      <c r="C2416" s="4">
        <v>45882.25</v>
      </c>
      <c r="D2416" s="4">
        <v>45882.25056399306</v>
      </c>
      <c r="E2416" s="2">
        <v>2.2000000000000002</v>
      </c>
      <c r="F2416" s="2">
        <v>64.599999999999994</v>
      </c>
      <c r="G2416" s="2" t="s">
        <v>983</v>
      </c>
      <c r="H2416" s="2" t="s">
        <v>984</v>
      </c>
      <c r="I2416" s="2"/>
      <c r="J2416" s="2" t="s">
        <v>33</v>
      </c>
    </row>
    <row r="2417" spans="1:10" ht="21" customHeight="1">
      <c r="A2417" s="2" t="s">
        <v>3410</v>
      </c>
      <c r="B2417" s="2" t="s">
        <v>33</v>
      </c>
      <c r="C2417" s="4">
        <v>45883.25</v>
      </c>
      <c r="D2417" s="4">
        <v>45883.250483402779</v>
      </c>
      <c r="E2417" s="2">
        <v>2.14</v>
      </c>
      <c r="F2417" s="2">
        <v>65.2</v>
      </c>
      <c r="G2417" s="2" t="s">
        <v>983</v>
      </c>
      <c r="H2417" s="2" t="s">
        <v>984</v>
      </c>
      <c r="I2417" s="2"/>
      <c r="J2417" s="2" t="s">
        <v>33</v>
      </c>
    </row>
    <row r="2418" spans="1:10" ht="21" customHeight="1">
      <c r="A2418" s="2" t="s">
        <v>3411</v>
      </c>
      <c r="B2418" s="2" t="s">
        <v>33</v>
      </c>
      <c r="C2418" s="4">
        <v>45884.25</v>
      </c>
      <c r="D2418" s="4">
        <v>45884.250152870372</v>
      </c>
      <c r="E2418" s="2">
        <v>3.08</v>
      </c>
      <c r="F2418" s="2">
        <v>58.5</v>
      </c>
      <c r="G2418" s="2" t="s">
        <v>983</v>
      </c>
      <c r="H2418" s="2" t="s">
        <v>984</v>
      </c>
      <c r="I2418" s="2"/>
      <c r="J2418" s="2" t="s">
        <v>33</v>
      </c>
    </row>
    <row r="2419" spans="1:10" ht="21" customHeight="1">
      <c r="A2419" s="2" t="s">
        <v>3412</v>
      </c>
      <c r="B2419" s="2" t="s">
        <v>33</v>
      </c>
      <c r="C2419" s="4">
        <v>45885.25</v>
      </c>
      <c r="D2419" s="4">
        <v>45885.25029916667</v>
      </c>
      <c r="E2419" s="2">
        <v>3.29</v>
      </c>
      <c r="F2419" s="2">
        <v>58.6</v>
      </c>
      <c r="G2419" s="2" t="s">
        <v>983</v>
      </c>
      <c r="H2419" s="2" t="s">
        <v>984</v>
      </c>
      <c r="I2419" s="2"/>
      <c r="J2419" s="2" t="s">
        <v>33</v>
      </c>
    </row>
    <row r="2420" spans="1:10" ht="21" customHeight="1">
      <c r="A2420" s="2" t="s">
        <v>3413</v>
      </c>
      <c r="B2420" s="2" t="s">
        <v>33</v>
      </c>
      <c r="C2420" s="4">
        <v>45886.25</v>
      </c>
      <c r="D2420" s="4">
        <v>45886.250468009261</v>
      </c>
      <c r="E2420" s="2">
        <v>2.52</v>
      </c>
      <c r="F2420" s="2">
        <v>61.1</v>
      </c>
      <c r="G2420" s="2" t="s">
        <v>983</v>
      </c>
      <c r="H2420" s="2" t="s">
        <v>984</v>
      </c>
      <c r="I2420" s="2"/>
      <c r="J2420" s="2" t="s">
        <v>33</v>
      </c>
    </row>
    <row r="2421" spans="1:10" ht="21" customHeight="1">
      <c r="A2421" s="2" t="s">
        <v>3414</v>
      </c>
      <c r="B2421" s="2" t="s">
        <v>3209</v>
      </c>
      <c r="C2421" s="4">
        <v>45887.25</v>
      </c>
      <c r="D2421" s="4">
        <v>45887.250517314817</v>
      </c>
      <c r="E2421" s="2">
        <v>2.59</v>
      </c>
      <c r="F2421" s="2">
        <v>62.2</v>
      </c>
      <c r="G2421" s="2" t="s">
        <v>983</v>
      </c>
      <c r="H2421" s="2" t="s">
        <v>984</v>
      </c>
      <c r="I2421" s="2"/>
      <c r="J2421" s="2" t="s">
        <v>33</v>
      </c>
    </row>
    <row r="2422" spans="1:10" ht="21" customHeight="1">
      <c r="A2422" s="2" t="s">
        <v>3415</v>
      </c>
      <c r="B2422" s="2" t="s">
        <v>33</v>
      </c>
      <c r="C2422" s="4">
        <v>45888.25</v>
      </c>
      <c r="D2422" s="4">
        <v>45888.250120393517</v>
      </c>
      <c r="E2422" s="2">
        <v>3.27</v>
      </c>
      <c r="F2422" s="2">
        <v>58.9</v>
      </c>
      <c r="G2422" s="2" t="s">
        <v>983</v>
      </c>
      <c r="H2422" s="2" t="s">
        <v>984</v>
      </c>
      <c r="I2422" s="2"/>
      <c r="J2422" s="2" t="s">
        <v>33</v>
      </c>
    </row>
    <row r="2423" spans="1:10" ht="21" customHeight="1">
      <c r="A2423" s="2" t="s">
        <v>3416</v>
      </c>
      <c r="B2423" s="2" t="s">
        <v>33</v>
      </c>
      <c r="C2423" s="4">
        <v>45889.25</v>
      </c>
      <c r="D2423" s="4">
        <v>45889.250648472225</v>
      </c>
      <c r="E2423" s="2">
        <v>3.27</v>
      </c>
      <c r="F2423" s="2">
        <v>59.5</v>
      </c>
      <c r="G2423" s="2" t="s">
        <v>983</v>
      </c>
      <c r="H2423" s="2" t="s">
        <v>984</v>
      </c>
      <c r="I2423" s="2"/>
      <c r="J2423" s="2" t="s">
        <v>33</v>
      </c>
    </row>
    <row r="2424" spans="1:10" ht="21" customHeight="1">
      <c r="A2424" s="2" t="s">
        <v>3417</v>
      </c>
      <c r="B2424" s="2" t="s">
        <v>33</v>
      </c>
      <c r="C2424" s="4">
        <v>45890.25</v>
      </c>
      <c r="D2424" s="4">
        <v>45890.250164814817</v>
      </c>
      <c r="E2424" s="2">
        <v>2.74</v>
      </c>
      <c r="F2424" s="2">
        <v>59.7</v>
      </c>
      <c r="G2424" s="2" t="s">
        <v>983</v>
      </c>
      <c r="H2424" s="2" t="s">
        <v>984</v>
      </c>
      <c r="I2424" s="2"/>
      <c r="J2424" s="2" t="s">
        <v>33</v>
      </c>
    </row>
    <row r="2425" spans="1:10" ht="21" customHeight="1">
      <c r="A2425" s="2" t="s">
        <v>3418</v>
      </c>
      <c r="B2425" s="2" t="s">
        <v>33</v>
      </c>
      <c r="C2425" s="4">
        <v>45891.25</v>
      </c>
      <c r="D2425" s="4">
        <v>45891.250121273144</v>
      </c>
      <c r="E2425" s="2">
        <v>3.04</v>
      </c>
      <c r="F2425" s="2">
        <v>65.8</v>
      </c>
      <c r="G2425" s="2" t="s">
        <v>983</v>
      </c>
      <c r="H2425" s="2" t="s">
        <v>984</v>
      </c>
      <c r="I2425" s="2"/>
      <c r="J2425" s="2" t="s">
        <v>33</v>
      </c>
    </row>
    <row r="2426" spans="1:10" ht="21" customHeight="1">
      <c r="A2426" s="2" t="s">
        <v>3419</v>
      </c>
      <c r="B2426" s="2" t="s">
        <v>33</v>
      </c>
      <c r="C2426" s="4">
        <v>45892.25</v>
      </c>
      <c r="D2426" s="4">
        <v>45892.25008539352</v>
      </c>
      <c r="E2426" s="2">
        <v>3.21</v>
      </c>
      <c r="F2426" s="2">
        <v>63.7</v>
      </c>
      <c r="G2426" s="2" t="s">
        <v>983</v>
      </c>
      <c r="H2426" s="2" t="s">
        <v>984</v>
      </c>
      <c r="I2426" s="2"/>
      <c r="J2426" s="2" t="s">
        <v>33</v>
      </c>
    </row>
    <row r="2427" spans="1:10" ht="21" customHeight="1">
      <c r="A2427" s="2" t="s">
        <v>3420</v>
      </c>
      <c r="B2427" s="2" t="s">
        <v>33</v>
      </c>
      <c r="C2427" s="4">
        <v>45893.25</v>
      </c>
      <c r="D2427" s="4">
        <v>45893.250006493057</v>
      </c>
      <c r="E2427" s="2">
        <v>3.03</v>
      </c>
      <c r="F2427" s="2">
        <v>64</v>
      </c>
      <c r="G2427" s="2" t="s">
        <v>983</v>
      </c>
      <c r="H2427" s="2" t="s">
        <v>984</v>
      </c>
      <c r="I2427" s="2"/>
      <c r="J2427" s="2" t="s">
        <v>33</v>
      </c>
    </row>
    <row r="2428" spans="1:10" ht="21" customHeight="1">
      <c r="A2428" s="2" t="s">
        <v>3421</v>
      </c>
      <c r="B2428" s="2" t="s">
        <v>33</v>
      </c>
      <c r="C2428" s="4">
        <v>45894.25</v>
      </c>
      <c r="D2428" s="4">
        <v>45894.250557071762</v>
      </c>
      <c r="E2428" s="2">
        <v>2.12</v>
      </c>
      <c r="F2428" s="2">
        <v>58</v>
      </c>
      <c r="G2428" s="2" t="s">
        <v>983</v>
      </c>
      <c r="H2428" s="2" t="s">
        <v>984</v>
      </c>
      <c r="I2428" s="2"/>
      <c r="J2428" s="2" t="s">
        <v>33</v>
      </c>
    </row>
    <row r="2429" spans="1:10" ht="21" customHeight="1">
      <c r="A2429" s="2" t="s">
        <v>3422</v>
      </c>
      <c r="B2429" s="2" t="s">
        <v>33</v>
      </c>
      <c r="C2429" s="4">
        <v>45895.25</v>
      </c>
      <c r="D2429" s="4">
        <v>45895.250549375</v>
      </c>
      <c r="E2429" s="2">
        <v>2.27</v>
      </c>
      <c r="F2429" s="2">
        <v>64.8</v>
      </c>
      <c r="G2429" s="2" t="s">
        <v>983</v>
      </c>
      <c r="H2429" s="2" t="s">
        <v>984</v>
      </c>
      <c r="I2429" s="2"/>
      <c r="J2429" s="2" t="s">
        <v>33</v>
      </c>
    </row>
    <row r="2430" spans="1:10" ht="21" customHeight="1">
      <c r="A2430" s="2" t="s">
        <v>3423</v>
      </c>
      <c r="B2430" s="2" t="s">
        <v>33</v>
      </c>
      <c r="C2430" s="4">
        <v>45896.25</v>
      </c>
      <c r="D2430" s="4">
        <v>45896.250680451391</v>
      </c>
      <c r="E2430" s="2">
        <v>2.7</v>
      </c>
      <c r="F2430" s="2">
        <v>59.7</v>
      </c>
      <c r="G2430" s="2" t="s">
        <v>983</v>
      </c>
      <c r="H2430" s="2" t="s">
        <v>984</v>
      </c>
      <c r="I2430" s="2" t="s">
        <v>985</v>
      </c>
      <c r="J2430" s="2" t="s">
        <v>33</v>
      </c>
    </row>
    <row r="2431" spans="1:10" ht="21" customHeight="1">
      <c r="A2431" s="2" t="s">
        <v>3424</v>
      </c>
      <c r="B2431" s="2" t="s">
        <v>33</v>
      </c>
      <c r="C2431" s="4">
        <v>45897.25</v>
      </c>
      <c r="D2431" s="4">
        <v>45897.250544953698</v>
      </c>
      <c r="E2431" s="2">
        <v>2.66</v>
      </c>
      <c r="F2431" s="2">
        <v>61.9</v>
      </c>
      <c r="G2431" s="2" t="s">
        <v>983</v>
      </c>
      <c r="H2431" s="2" t="s">
        <v>984</v>
      </c>
      <c r="I2431" s="2"/>
      <c r="J2431" s="2" t="s">
        <v>33</v>
      </c>
    </row>
    <row r="2432" spans="1:10" ht="21" customHeight="1">
      <c r="A2432" s="2" t="s">
        <v>3425</v>
      </c>
      <c r="B2432" s="2" t="s">
        <v>33</v>
      </c>
      <c r="C2432" s="4">
        <v>45898.25</v>
      </c>
      <c r="D2432" s="4">
        <v>45898.250402453705</v>
      </c>
      <c r="E2432" s="2">
        <v>2.68</v>
      </c>
      <c r="F2432" s="2">
        <v>65.400000000000006</v>
      </c>
      <c r="G2432" s="2" t="s">
        <v>983</v>
      </c>
      <c r="H2432" s="2" t="s">
        <v>984</v>
      </c>
      <c r="I2432" s="2"/>
      <c r="J2432" s="2" t="s">
        <v>33</v>
      </c>
    </row>
    <row r="2433" spans="1:10" ht="21" customHeight="1">
      <c r="A2433" s="2" t="s">
        <v>3426</v>
      </c>
      <c r="B2433" s="2" t="s">
        <v>33</v>
      </c>
      <c r="C2433" s="4">
        <v>45899.25</v>
      </c>
      <c r="D2433" s="4">
        <v>45899.250541747686</v>
      </c>
      <c r="E2433" s="2">
        <v>2.62</v>
      </c>
      <c r="F2433" s="2">
        <v>63</v>
      </c>
      <c r="G2433" s="2" t="s">
        <v>983</v>
      </c>
      <c r="H2433" s="2" t="s">
        <v>984</v>
      </c>
      <c r="I2433" s="2"/>
      <c r="J2433" s="2" t="s">
        <v>33</v>
      </c>
    </row>
    <row r="2434" spans="1:10" ht="21" customHeight="1">
      <c r="A2434" s="2" t="s">
        <v>3427</v>
      </c>
      <c r="B2434" s="2" t="s">
        <v>33</v>
      </c>
      <c r="C2434" s="4">
        <v>45900.25</v>
      </c>
      <c r="D2434" s="4">
        <v>45900.250579525462</v>
      </c>
      <c r="E2434" s="2">
        <v>2.65</v>
      </c>
      <c r="F2434" s="2">
        <v>60.4</v>
      </c>
      <c r="G2434" s="2" t="s">
        <v>983</v>
      </c>
      <c r="H2434" s="2" t="s">
        <v>984</v>
      </c>
      <c r="I2434" s="2"/>
      <c r="J2434" s="2" t="s">
        <v>33</v>
      </c>
    </row>
    <row r="2435" spans="1:10" ht="21" customHeight="1">
      <c r="A2435" s="2" t="s">
        <v>3428</v>
      </c>
      <c r="B2435" s="2" t="s">
        <v>33</v>
      </c>
      <c r="C2435" s="4">
        <v>45901.25</v>
      </c>
      <c r="D2435" s="4">
        <v>45901.250198171299</v>
      </c>
      <c r="E2435" s="2">
        <v>2.62</v>
      </c>
      <c r="F2435" s="2">
        <v>65.400000000000006</v>
      </c>
      <c r="G2435" s="2" t="s">
        <v>983</v>
      </c>
      <c r="H2435" s="2" t="s">
        <v>984</v>
      </c>
      <c r="I2435" s="2"/>
      <c r="J2435" s="2" t="s">
        <v>33</v>
      </c>
    </row>
    <row r="2436" spans="1:10" ht="21" customHeight="1">
      <c r="A2436" s="2" t="s">
        <v>3429</v>
      </c>
      <c r="B2436" s="2" t="s">
        <v>33</v>
      </c>
      <c r="C2436" s="4">
        <v>45902.25</v>
      </c>
      <c r="D2436" s="4">
        <v>45902.250324224537</v>
      </c>
      <c r="E2436" s="2">
        <v>2.42</v>
      </c>
      <c r="F2436" s="2">
        <v>60.2</v>
      </c>
      <c r="G2436" s="2" t="s">
        <v>983</v>
      </c>
      <c r="H2436" s="2" t="s">
        <v>984</v>
      </c>
      <c r="I2436" s="2"/>
      <c r="J2436" s="2" t="s">
        <v>33</v>
      </c>
    </row>
    <row r="2437" spans="1:10" ht="21" customHeight="1">
      <c r="A2437" s="2" t="s">
        <v>3430</v>
      </c>
      <c r="B2437" s="2" t="s">
        <v>33</v>
      </c>
      <c r="C2437" s="4">
        <v>45903.25</v>
      </c>
      <c r="D2437" s="4">
        <v>45903.250296273152</v>
      </c>
      <c r="E2437" s="2">
        <v>2.4300000000000002</v>
      </c>
      <c r="F2437" s="2">
        <v>63.2</v>
      </c>
      <c r="G2437" s="2" t="s">
        <v>983</v>
      </c>
      <c r="H2437" s="2" t="s">
        <v>984</v>
      </c>
      <c r="I2437" s="2"/>
      <c r="J2437" s="2" t="s">
        <v>33</v>
      </c>
    </row>
    <row r="2438" spans="1:10" ht="21" customHeight="1">
      <c r="A2438" s="2" t="s">
        <v>3431</v>
      </c>
      <c r="B2438" s="2" t="s">
        <v>33</v>
      </c>
      <c r="C2438" s="4">
        <v>45904.25</v>
      </c>
      <c r="D2438" s="4">
        <v>45904.250678414348</v>
      </c>
      <c r="E2438" s="2">
        <v>3.27</v>
      </c>
      <c r="F2438" s="2">
        <v>62.3</v>
      </c>
      <c r="G2438" s="2" t="s">
        <v>983</v>
      </c>
      <c r="H2438" s="2" t="s">
        <v>984</v>
      </c>
      <c r="I2438" s="2"/>
      <c r="J2438" s="2" t="s">
        <v>33</v>
      </c>
    </row>
    <row r="2439" spans="1:10" ht="21" customHeight="1">
      <c r="A2439" s="2" t="s">
        <v>3432</v>
      </c>
      <c r="B2439" s="2" t="s">
        <v>33</v>
      </c>
      <c r="C2439" s="4">
        <v>45905.25</v>
      </c>
      <c r="D2439" s="4">
        <v>45905.250628136579</v>
      </c>
      <c r="E2439" s="2">
        <v>3.16</v>
      </c>
      <c r="F2439" s="2">
        <v>58.8</v>
      </c>
      <c r="G2439" s="2" t="s">
        <v>983</v>
      </c>
      <c r="H2439" s="2" t="s">
        <v>984</v>
      </c>
      <c r="I2439" s="2"/>
      <c r="J2439" s="2" t="s">
        <v>33</v>
      </c>
    </row>
    <row r="2440" spans="1:10" ht="21" customHeight="1">
      <c r="A2440" s="2" t="s">
        <v>3433</v>
      </c>
      <c r="B2440" s="2" t="s">
        <v>33</v>
      </c>
      <c r="C2440" s="4">
        <v>45906.25</v>
      </c>
      <c r="D2440" s="4">
        <v>45906.250276250001</v>
      </c>
      <c r="E2440" s="2">
        <v>4.3600000000000003</v>
      </c>
      <c r="F2440" s="2">
        <v>71.099999999999994</v>
      </c>
      <c r="G2440" s="2" t="s">
        <v>983</v>
      </c>
      <c r="H2440" s="2" t="s">
        <v>984</v>
      </c>
      <c r="I2440" s="2" t="s">
        <v>1053</v>
      </c>
      <c r="J2440" s="2" t="s">
        <v>33</v>
      </c>
    </row>
    <row r="2441" spans="1:10" ht="21" customHeight="1">
      <c r="A2441" s="2" t="s">
        <v>3434</v>
      </c>
      <c r="B2441" s="2" t="s">
        <v>33</v>
      </c>
      <c r="C2441" s="4">
        <v>45907.25</v>
      </c>
      <c r="D2441" s="4">
        <v>45907.25001797454</v>
      </c>
      <c r="E2441" s="2">
        <v>5.34</v>
      </c>
      <c r="F2441" s="2">
        <v>66.8</v>
      </c>
      <c r="G2441" s="2" t="s">
        <v>983</v>
      </c>
      <c r="H2441" s="2" t="s">
        <v>984</v>
      </c>
      <c r="I2441" s="2"/>
      <c r="J2441" s="2" t="s">
        <v>33</v>
      </c>
    </row>
    <row r="2442" spans="1:10" ht="21" customHeight="1">
      <c r="A2442" s="2" t="s">
        <v>3435</v>
      </c>
      <c r="B2442" s="2" t="s">
        <v>33</v>
      </c>
      <c r="C2442" s="4">
        <v>45908.25</v>
      </c>
      <c r="D2442" s="4">
        <v>45908.250634490745</v>
      </c>
      <c r="E2442" s="2">
        <v>6.09</v>
      </c>
      <c r="F2442" s="2">
        <v>66</v>
      </c>
      <c r="G2442" s="2" t="s">
        <v>983</v>
      </c>
      <c r="H2442" s="2" t="s">
        <v>984</v>
      </c>
      <c r="I2442" s="2" t="s">
        <v>1053</v>
      </c>
      <c r="J2442" s="2" t="s">
        <v>33</v>
      </c>
    </row>
    <row r="2443" spans="1:10" ht="21" customHeight="1">
      <c r="A2443" s="2" t="s">
        <v>3436</v>
      </c>
      <c r="B2443" s="2" t="s">
        <v>33</v>
      </c>
      <c r="C2443" s="4">
        <v>45909.25</v>
      </c>
      <c r="D2443" s="4">
        <v>45909.250553576392</v>
      </c>
      <c r="E2443" s="2">
        <v>2.33</v>
      </c>
      <c r="F2443" s="2">
        <v>64.3</v>
      </c>
      <c r="G2443" s="2" t="s">
        <v>983</v>
      </c>
      <c r="H2443" s="2" t="s">
        <v>984</v>
      </c>
      <c r="I2443" s="2"/>
      <c r="J2443" s="2" t="s">
        <v>33</v>
      </c>
    </row>
    <row r="2444" spans="1:10" ht="21" customHeight="1">
      <c r="A2444" s="2" t="s">
        <v>3437</v>
      </c>
      <c r="B2444" s="2" t="s">
        <v>33</v>
      </c>
      <c r="C2444" s="4">
        <v>45910.25</v>
      </c>
      <c r="D2444" s="4">
        <v>45910.250333773147</v>
      </c>
      <c r="E2444" s="2">
        <v>2.61</v>
      </c>
      <c r="F2444" s="2">
        <v>65.2</v>
      </c>
      <c r="G2444" s="2" t="s">
        <v>983</v>
      </c>
      <c r="H2444" s="2" t="s">
        <v>984</v>
      </c>
      <c r="I2444" s="2"/>
      <c r="J2444" s="2" t="s">
        <v>33</v>
      </c>
    </row>
    <row r="2445" spans="1:10" ht="21" customHeight="1">
      <c r="A2445" s="2" t="s">
        <v>3438</v>
      </c>
      <c r="B2445" s="2" t="s">
        <v>33</v>
      </c>
      <c r="C2445" s="4">
        <v>45911.25</v>
      </c>
      <c r="D2445" s="4">
        <v>45911.25009725694</v>
      </c>
      <c r="E2445" s="2">
        <v>2.77</v>
      </c>
      <c r="F2445" s="2">
        <v>61.5</v>
      </c>
      <c r="G2445" s="2" t="s">
        <v>983</v>
      </c>
      <c r="H2445" s="2" t="s">
        <v>984</v>
      </c>
      <c r="I2445" s="2"/>
      <c r="J2445" s="2" t="s">
        <v>33</v>
      </c>
    </row>
    <row r="2446" spans="1:10" ht="21" customHeight="1">
      <c r="A2446" s="2" t="s">
        <v>3439</v>
      </c>
      <c r="B2446" s="2" t="s">
        <v>33</v>
      </c>
      <c r="C2446" s="4">
        <v>45912.25</v>
      </c>
      <c r="D2446" s="4">
        <v>45912.250385486113</v>
      </c>
      <c r="E2446" s="2">
        <v>3.07</v>
      </c>
      <c r="F2446" s="2">
        <v>62.5</v>
      </c>
      <c r="G2446" s="2" t="s">
        <v>983</v>
      </c>
      <c r="H2446" s="2" t="s">
        <v>984</v>
      </c>
      <c r="I2446" s="2"/>
      <c r="J2446" s="2" t="s">
        <v>33</v>
      </c>
    </row>
    <row r="2447" spans="1:10" ht="21" customHeight="1">
      <c r="A2447" s="2" t="s">
        <v>3440</v>
      </c>
      <c r="B2447" s="2" t="s">
        <v>33</v>
      </c>
      <c r="C2447" s="4">
        <v>45913.25</v>
      </c>
      <c r="D2447" s="4">
        <v>45913.250661562503</v>
      </c>
      <c r="E2447" s="2">
        <v>2.7</v>
      </c>
      <c r="F2447" s="2">
        <v>64.2</v>
      </c>
      <c r="G2447" s="2" t="s">
        <v>983</v>
      </c>
      <c r="H2447" s="2" t="s">
        <v>984</v>
      </c>
      <c r="I2447" s="2" t="s">
        <v>985</v>
      </c>
      <c r="J2447" s="2" t="s">
        <v>33</v>
      </c>
    </row>
    <row r="2448" spans="1:10" ht="21" customHeight="1">
      <c r="A2448" s="2" t="s">
        <v>3441</v>
      </c>
      <c r="B2448" s="2" t="s">
        <v>33</v>
      </c>
      <c r="C2448" s="4">
        <v>45914.25</v>
      </c>
      <c r="D2448" s="4">
        <v>45914.250440648146</v>
      </c>
      <c r="E2448" s="2">
        <v>2.42</v>
      </c>
      <c r="F2448" s="2">
        <v>58.4</v>
      </c>
      <c r="G2448" s="2" t="s">
        <v>983</v>
      </c>
      <c r="H2448" s="2" t="s">
        <v>984</v>
      </c>
      <c r="I2448" s="2"/>
      <c r="J2448" s="2" t="s">
        <v>33</v>
      </c>
    </row>
    <row r="2449" spans="1:10" ht="21" customHeight="1">
      <c r="A2449" s="2" t="s">
        <v>3442</v>
      </c>
      <c r="B2449" s="2" t="s">
        <v>33</v>
      </c>
      <c r="C2449" s="4">
        <v>45915.25</v>
      </c>
      <c r="D2449" s="4">
        <v>45915.250379178236</v>
      </c>
      <c r="E2449" s="2">
        <v>2.66</v>
      </c>
      <c r="F2449" s="2">
        <v>64.900000000000006</v>
      </c>
      <c r="G2449" s="2" t="s">
        <v>983</v>
      </c>
      <c r="H2449" s="2" t="s">
        <v>984</v>
      </c>
      <c r="I2449" s="2"/>
      <c r="J2449" s="2" t="s">
        <v>33</v>
      </c>
    </row>
    <row r="2450" spans="1:10" ht="21" customHeight="1">
      <c r="A2450" s="2" t="s">
        <v>3443</v>
      </c>
      <c r="B2450" s="2" t="s">
        <v>33</v>
      </c>
      <c r="C2450" s="4">
        <v>45916.25</v>
      </c>
      <c r="D2450" s="4">
        <v>45916.250125868057</v>
      </c>
      <c r="E2450" s="2">
        <v>3.1</v>
      </c>
      <c r="F2450" s="2">
        <v>64.7</v>
      </c>
      <c r="G2450" s="2" t="s">
        <v>983</v>
      </c>
      <c r="H2450" s="2" t="s">
        <v>984</v>
      </c>
      <c r="I2450" s="2"/>
      <c r="J2450" s="2" t="s">
        <v>33</v>
      </c>
    </row>
    <row r="2451" spans="1:10" ht="21" customHeight="1">
      <c r="A2451" s="2" t="s">
        <v>3444</v>
      </c>
      <c r="B2451" s="2" t="s">
        <v>33</v>
      </c>
      <c r="C2451" s="4">
        <v>45917.25</v>
      </c>
      <c r="D2451" s="4">
        <v>45917.250235381944</v>
      </c>
      <c r="E2451" s="2">
        <v>2.4300000000000002</v>
      </c>
      <c r="F2451" s="2">
        <v>65.599999999999994</v>
      </c>
      <c r="G2451" s="2" t="s">
        <v>983</v>
      </c>
      <c r="H2451" s="2" t="s">
        <v>984</v>
      </c>
      <c r="I2451" s="2"/>
      <c r="J2451" s="2" t="s">
        <v>33</v>
      </c>
    </row>
    <row r="2452" spans="1:10" ht="21" customHeight="1">
      <c r="A2452" s="2" t="s">
        <v>3445</v>
      </c>
      <c r="B2452" s="2" t="s">
        <v>33</v>
      </c>
      <c r="C2452" s="4">
        <v>45918.25</v>
      </c>
      <c r="D2452" s="4">
        <v>45918.250415972223</v>
      </c>
      <c r="E2452" s="2">
        <v>3.18</v>
      </c>
      <c r="F2452" s="2">
        <v>63.1</v>
      </c>
      <c r="G2452" s="2" t="s">
        <v>983</v>
      </c>
      <c r="H2452" s="2" t="s">
        <v>984</v>
      </c>
      <c r="I2452" s="2"/>
      <c r="J2452" s="2" t="s">
        <v>33</v>
      </c>
    </row>
    <row r="2453" spans="1:10" ht="21" customHeight="1">
      <c r="A2453" s="2" t="s">
        <v>3446</v>
      </c>
      <c r="B2453" s="2" t="s">
        <v>33</v>
      </c>
      <c r="C2453" s="4">
        <v>45919.25</v>
      </c>
      <c r="D2453" s="4">
        <v>45919.250626759254</v>
      </c>
      <c r="E2453" s="2">
        <v>2.84</v>
      </c>
      <c r="F2453" s="2">
        <v>59.5</v>
      </c>
      <c r="G2453" s="2" t="s">
        <v>983</v>
      </c>
      <c r="H2453" s="2" t="s">
        <v>984</v>
      </c>
      <c r="I2453" s="2"/>
      <c r="J2453" s="2" t="s">
        <v>33</v>
      </c>
    </row>
    <row r="2454" spans="1:10" ht="21" customHeight="1">
      <c r="A2454" s="2" t="s">
        <v>3447</v>
      </c>
      <c r="B2454" s="2" t="s">
        <v>33</v>
      </c>
      <c r="C2454" s="4">
        <v>45920.25</v>
      </c>
      <c r="D2454" s="4">
        <v>45920.250058749996</v>
      </c>
      <c r="E2454" s="2">
        <v>2.54</v>
      </c>
      <c r="F2454" s="2">
        <v>64</v>
      </c>
      <c r="G2454" s="2" t="s">
        <v>983</v>
      </c>
      <c r="H2454" s="2" t="s">
        <v>984</v>
      </c>
      <c r="I2454" s="2"/>
      <c r="J2454" s="2" t="s">
        <v>33</v>
      </c>
    </row>
    <row r="2455" spans="1:10" ht="21" customHeight="1">
      <c r="A2455" s="2" t="s">
        <v>3448</v>
      </c>
      <c r="B2455" s="2" t="s">
        <v>33</v>
      </c>
      <c r="C2455" s="4">
        <v>45921.25</v>
      </c>
      <c r="D2455" s="4">
        <v>45921.250633657408</v>
      </c>
      <c r="E2455" s="2">
        <v>2.89</v>
      </c>
      <c r="F2455" s="2">
        <v>63.4</v>
      </c>
      <c r="G2455" s="2" t="s">
        <v>983</v>
      </c>
      <c r="H2455" s="2" t="s">
        <v>984</v>
      </c>
      <c r="I2455" s="2"/>
      <c r="J2455" s="2" t="s">
        <v>33</v>
      </c>
    </row>
    <row r="2456" spans="1:10" ht="21" customHeight="1">
      <c r="A2456" s="2" t="s">
        <v>3449</v>
      </c>
      <c r="B2456" s="2" t="s">
        <v>33</v>
      </c>
      <c r="C2456" s="4">
        <v>45922.25</v>
      </c>
      <c r="D2456" s="4">
        <v>45922.25020761574</v>
      </c>
      <c r="E2456" s="2">
        <v>2.86</v>
      </c>
      <c r="F2456" s="2">
        <v>60.1</v>
      </c>
      <c r="G2456" s="2" t="s">
        <v>983</v>
      </c>
      <c r="H2456" s="2" t="s">
        <v>984</v>
      </c>
      <c r="I2456" s="2"/>
      <c r="J2456" s="2" t="s">
        <v>33</v>
      </c>
    </row>
    <row r="2457" spans="1:10" ht="21" customHeight="1">
      <c r="A2457" s="2" t="s">
        <v>3450</v>
      </c>
      <c r="B2457" s="2" t="s">
        <v>33</v>
      </c>
      <c r="C2457" s="4">
        <v>45923.25</v>
      </c>
      <c r="D2457" s="4">
        <v>45923.250064884254</v>
      </c>
      <c r="E2457" s="2">
        <v>2.76</v>
      </c>
      <c r="F2457" s="2">
        <v>62.8</v>
      </c>
      <c r="G2457" s="2" t="s">
        <v>983</v>
      </c>
      <c r="H2457" s="2" t="s">
        <v>984</v>
      </c>
      <c r="I2457" s="2"/>
      <c r="J2457" s="2" t="s">
        <v>33</v>
      </c>
    </row>
    <row r="2458" spans="1:10" ht="21" customHeight="1">
      <c r="A2458" s="2" t="s">
        <v>3451</v>
      </c>
      <c r="B2458" s="2" t="s">
        <v>33</v>
      </c>
      <c r="C2458" s="4">
        <v>45924.25</v>
      </c>
      <c r="D2458" s="4">
        <v>45924.250677037038</v>
      </c>
      <c r="E2458" s="2">
        <v>3.25</v>
      </c>
      <c r="F2458" s="2">
        <v>61.1</v>
      </c>
      <c r="G2458" s="2" t="s">
        <v>983</v>
      </c>
      <c r="H2458" s="2" t="s">
        <v>984</v>
      </c>
      <c r="I2458" s="2"/>
      <c r="J2458" s="2" t="s">
        <v>33</v>
      </c>
    </row>
    <row r="2459" spans="1:10" ht="21" customHeight="1">
      <c r="A2459" s="2" t="s">
        <v>3452</v>
      </c>
      <c r="B2459" s="2" t="s">
        <v>33</v>
      </c>
      <c r="C2459" s="4">
        <v>45925.25</v>
      </c>
      <c r="D2459" s="4">
        <v>45925.250219293986</v>
      </c>
      <c r="E2459" s="2">
        <v>2.2799999999999998</v>
      </c>
      <c r="F2459" s="2">
        <v>65.2</v>
      </c>
      <c r="G2459" s="2" t="s">
        <v>983</v>
      </c>
      <c r="H2459" s="2" t="s">
        <v>984</v>
      </c>
      <c r="I2459" s="2"/>
      <c r="J2459" s="2" t="s">
        <v>33</v>
      </c>
    </row>
    <row r="2460" spans="1:10" ht="21" customHeight="1">
      <c r="A2460" s="2" t="s">
        <v>3453</v>
      </c>
      <c r="B2460" s="2" t="s">
        <v>33</v>
      </c>
      <c r="C2460" s="4">
        <v>45926.25</v>
      </c>
      <c r="D2460" s="4">
        <v>45926.250397534721</v>
      </c>
      <c r="E2460" s="2">
        <v>3.13</v>
      </c>
      <c r="F2460" s="2">
        <v>62.5</v>
      </c>
      <c r="G2460" s="2" t="s">
        <v>983</v>
      </c>
      <c r="H2460" s="2" t="s">
        <v>984</v>
      </c>
      <c r="I2460" s="2"/>
      <c r="J2460" s="2" t="s">
        <v>33</v>
      </c>
    </row>
    <row r="2461" spans="1:10" ht="21" customHeight="1">
      <c r="A2461" s="2" t="s">
        <v>3454</v>
      </c>
      <c r="B2461" s="2" t="s">
        <v>33</v>
      </c>
      <c r="C2461" s="4">
        <v>45927.25</v>
      </c>
      <c r="D2461" s="4">
        <v>45927.250255601852</v>
      </c>
      <c r="E2461" s="2">
        <v>3.22</v>
      </c>
      <c r="F2461" s="2">
        <v>59.6</v>
      </c>
      <c r="G2461" s="2" t="s">
        <v>983</v>
      </c>
      <c r="H2461" s="2" t="s">
        <v>984</v>
      </c>
      <c r="I2461" s="2"/>
      <c r="J2461" s="2" t="s">
        <v>33</v>
      </c>
    </row>
    <row r="2462" spans="1:10" ht="21" customHeight="1">
      <c r="A2462" s="2" t="s">
        <v>3455</v>
      </c>
      <c r="B2462" s="2" t="s">
        <v>3209</v>
      </c>
      <c r="C2462" s="4">
        <v>45928.25</v>
      </c>
      <c r="D2462" s="4">
        <v>45928.250671759262</v>
      </c>
      <c r="E2462" s="2">
        <v>2.2599999999999998</v>
      </c>
      <c r="F2462" s="2">
        <v>59.9</v>
      </c>
      <c r="G2462" s="2" t="s">
        <v>983</v>
      </c>
      <c r="H2462" s="2" t="s">
        <v>984</v>
      </c>
      <c r="I2462" s="2"/>
      <c r="J2462" s="2" t="s">
        <v>33</v>
      </c>
    </row>
    <row r="2463" spans="1:10" ht="21" customHeight="1">
      <c r="A2463" s="2" t="s">
        <v>3456</v>
      </c>
      <c r="B2463" s="2" t="s">
        <v>33</v>
      </c>
      <c r="C2463" s="4">
        <v>45929.25</v>
      </c>
      <c r="D2463" s="4">
        <v>45929.250274814811</v>
      </c>
      <c r="E2463" s="2">
        <v>2.44</v>
      </c>
      <c r="F2463" s="2">
        <v>64.900000000000006</v>
      </c>
      <c r="G2463" s="2" t="s">
        <v>983</v>
      </c>
      <c r="H2463" s="2" t="s">
        <v>984</v>
      </c>
      <c r="I2463" s="2"/>
      <c r="J2463" s="2" t="s">
        <v>33</v>
      </c>
    </row>
    <row r="2464" spans="1:10" ht="21" customHeight="1">
      <c r="A2464" s="2" t="s">
        <v>3457</v>
      </c>
      <c r="B2464" s="2" t="s">
        <v>33</v>
      </c>
      <c r="C2464" s="4">
        <v>45930.25</v>
      </c>
      <c r="D2464" s="4">
        <v>45930.250334386576</v>
      </c>
      <c r="E2464" s="2">
        <v>2.73</v>
      </c>
      <c r="F2464" s="2">
        <v>64.099999999999994</v>
      </c>
      <c r="G2464" s="2" t="s">
        <v>983</v>
      </c>
      <c r="H2464" s="2" t="s">
        <v>984</v>
      </c>
      <c r="I2464" s="2" t="s">
        <v>985</v>
      </c>
      <c r="J2464" s="2" t="s">
        <v>33</v>
      </c>
    </row>
    <row r="2465" spans="1:10" ht="21" customHeight="1">
      <c r="A2465" s="2" t="s">
        <v>3458</v>
      </c>
      <c r="B2465" s="2" t="s">
        <v>33</v>
      </c>
      <c r="C2465" s="4">
        <v>45931.25</v>
      </c>
      <c r="D2465" s="4">
        <v>45931.250607974536</v>
      </c>
      <c r="E2465" s="2">
        <v>2.46</v>
      </c>
      <c r="F2465" s="2">
        <v>58.7</v>
      </c>
      <c r="G2465" s="2" t="s">
        <v>983</v>
      </c>
      <c r="H2465" s="2" t="s">
        <v>984</v>
      </c>
      <c r="I2465" s="2"/>
      <c r="J2465" s="2" t="s">
        <v>33</v>
      </c>
    </row>
    <row r="2466" spans="1:10" ht="21" customHeight="1">
      <c r="A2466" s="2" t="s">
        <v>3459</v>
      </c>
      <c r="B2466" s="2" t="s">
        <v>33</v>
      </c>
      <c r="C2466" s="4">
        <v>45932.25</v>
      </c>
      <c r="D2466" s="4">
        <v>45932.250271956014</v>
      </c>
      <c r="E2466" s="2">
        <v>2.2200000000000002</v>
      </c>
      <c r="F2466" s="2">
        <v>61.5</v>
      </c>
      <c r="G2466" s="2" t="s">
        <v>983</v>
      </c>
      <c r="H2466" s="2" t="s">
        <v>984</v>
      </c>
      <c r="I2466" s="2"/>
      <c r="J2466" s="2" t="s">
        <v>33</v>
      </c>
    </row>
    <row r="2467" spans="1:10" ht="21" customHeight="1">
      <c r="A2467" s="2" t="s">
        <v>3460</v>
      </c>
      <c r="B2467" s="2" t="s">
        <v>33</v>
      </c>
      <c r="C2467" s="4">
        <v>45933.25</v>
      </c>
      <c r="D2467" s="4">
        <v>45933.250070462964</v>
      </c>
      <c r="E2467" s="2">
        <v>2.2000000000000002</v>
      </c>
      <c r="F2467" s="2">
        <v>63.9</v>
      </c>
      <c r="G2467" s="2" t="s">
        <v>983</v>
      </c>
      <c r="H2467" s="2" t="s">
        <v>984</v>
      </c>
      <c r="I2467" s="2"/>
      <c r="J2467" s="2" t="s">
        <v>33</v>
      </c>
    </row>
    <row r="2468" spans="1:10" ht="21" customHeight="1">
      <c r="A2468" s="2" t="s">
        <v>3461</v>
      </c>
      <c r="B2468" s="2" t="s">
        <v>33</v>
      </c>
      <c r="C2468" s="4">
        <v>45934.25</v>
      </c>
      <c r="D2468" s="4">
        <v>45934.250661157406</v>
      </c>
      <c r="E2468" s="2">
        <v>3.13</v>
      </c>
      <c r="F2468" s="2">
        <v>61.8</v>
      </c>
      <c r="G2468" s="2" t="s">
        <v>983</v>
      </c>
      <c r="H2468" s="2" t="s">
        <v>984</v>
      </c>
      <c r="I2468" s="2"/>
      <c r="J2468" s="2" t="s">
        <v>33</v>
      </c>
    </row>
    <row r="2469" spans="1:10" ht="21" customHeight="1">
      <c r="A2469" s="2" t="s">
        <v>3462</v>
      </c>
      <c r="B2469" s="2" t="s">
        <v>33</v>
      </c>
      <c r="C2469" s="4">
        <v>45935.25</v>
      </c>
      <c r="D2469" s="4">
        <v>45935.250682002312</v>
      </c>
      <c r="E2469" s="2">
        <v>6.35</v>
      </c>
      <c r="F2469" s="2">
        <v>69.400000000000006</v>
      </c>
      <c r="G2469" s="2" t="s">
        <v>983</v>
      </c>
      <c r="H2469" s="2" t="s">
        <v>984</v>
      </c>
      <c r="I2469" s="2"/>
      <c r="J2469" s="2" t="s">
        <v>33</v>
      </c>
    </row>
    <row r="2470" spans="1:10" ht="21" customHeight="1">
      <c r="A2470" s="2" t="s">
        <v>3463</v>
      </c>
      <c r="B2470" s="2" t="s">
        <v>33</v>
      </c>
      <c r="C2470" s="4">
        <v>45936.25</v>
      </c>
      <c r="D2470" s="4">
        <v>45936.250070266207</v>
      </c>
      <c r="E2470" s="2">
        <v>4.2699999999999996</v>
      </c>
      <c r="F2470" s="2">
        <v>67.7</v>
      </c>
      <c r="G2470" s="2" t="s">
        <v>983</v>
      </c>
      <c r="H2470" s="2" t="s">
        <v>984</v>
      </c>
      <c r="I2470" s="2" t="s">
        <v>1053</v>
      </c>
      <c r="J2470" s="2" t="s">
        <v>33</v>
      </c>
    </row>
    <row r="2471" spans="1:10" ht="21" customHeight="1">
      <c r="A2471" s="2" t="s">
        <v>3464</v>
      </c>
      <c r="B2471" s="2" t="s">
        <v>33</v>
      </c>
      <c r="C2471" s="4">
        <v>45937.25</v>
      </c>
      <c r="D2471" s="4">
        <v>45937.250686238425</v>
      </c>
      <c r="E2471" s="2">
        <v>5.65</v>
      </c>
      <c r="F2471" s="2">
        <v>66.900000000000006</v>
      </c>
      <c r="G2471" s="2" t="s">
        <v>983</v>
      </c>
      <c r="H2471" s="2" t="s">
        <v>984</v>
      </c>
      <c r="I2471" s="2"/>
      <c r="J2471" s="2" t="s">
        <v>33</v>
      </c>
    </row>
    <row r="2472" spans="1:10" ht="21" customHeight="1">
      <c r="A2472" s="2" t="s">
        <v>3465</v>
      </c>
      <c r="B2472" s="2" t="s">
        <v>33</v>
      </c>
      <c r="C2472" s="4">
        <v>45938.25</v>
      </c>
      <c r="D2472" s="4">
        <v>45938.250118506941</v>
      </c>
      <c r="E2472" s="2">
        <v>2.83</v>
      </c>
      <c r="F2472" s="2">
        <v>63</v>
      </c>
      <c r="G2472" s="2" t="s">
        <v>983</v>
      </c>
      <c r="H2472" s="2" t="s">
        <v>984</v>
      </c>
      <c r="I2472" s="2"/>
      <c r="J2472" s="2" t="s">
        <v>33</v>
      </c>
    </row>
    <row r="2473" spans="1:10" ht="21" customHeight="1">
      <c r="A2473" s="2" t="s">
        <v>3466</v>
      </c>
      <c r="B2473" s="2" t="s">
        <v>33</v>
      </c>
      <c r="C2473" s="4">
        <v>45939.25</v>
      </c>
      <c r="D2473" s="4">
        <v>45939.250478773145</v>
      </c>
      <c r="E2473" s="2"/>
      <c r="F2473" s="2"/>
      <c r="G2473" s="2" t="s">
        <v>983</v>
      </c>
      <c r="H2473" s="2" t="s">
        <v>1066</v>
      </c>
      <c r="I2473" s="2"/>
      <c r="J2473" s="2" t="s">
        <v>33</v>
      </c>
    </row>
    <row r="2474" spans="1:10" ht="21" customHeight="1">
      <c r="A2474" s="2" t="s">
        <v>3467</v>
      </c>
      <c r="B2474" s="2" t="s">
        <v>33</v>
      </c>
      <c r="C2474" s="4">
        <v>45940.25</v>
      </c>
      <c r="D2474" s="4">
        <v>45940.250122060184</v>
      </c>
      <c r="E2474" s="2">
        <v>3.27</v>
      </c>
      <c r="F2474" s="2">
        <v>62.1</v>
      </c>
      <c r="G2474" s="2" t="s">
        <v>983</v>
      </c>
      <c r="H2474" s="2" t="s">
        <v>984</v>
      </c>
      <c r="I2474" s="2"/>
      <c r="J2474" s="2" t="s">
        <v>33</v>
      </c>
    </row>
    <row r="2475" spans="1:10" ht="21" customHeight="1">
      <c r="A2475" s="2" t="s">
        <v>3468</v>
      </c>
      <c r="B2475" s="2" t="s">
        <v>33</v>
      </c>
      <c r="C2475" s="4">
        <v>45941.25</v>
      </c>
      <c r="D2475" s="4">
        <v>45941.250262106478</v>
      </c>
      <c r="E2475" s="2">
        <v>2.44</v>
      </c>
      <c r="F2475" s="2">
        <v>62.1</v>
      </c>
      <c r="G2475" s="2" t="s">
        <v>983</v>
      </c>
      <c r="H2475" s="2" t="s">
        <v>984</v>
      </c>
      <c r="I2475" s="2"/>
      <c r="J2475" s="2" t="s">
        <v>33</v>
      </c>
    </row>
    <row r="2476" spans="1:10" ht="21" customHeight="1">
      <c r="A2476" s="2" t="s">
        <v>3469</v>
      </c>
      <c r="B2476" s="2" t="s">
        <v>33</v>
      </c>
      <c r="C2476" s="4">
        <v>45942.25</v>
      </c>
      <c r="D2476" s="4">
        <v>45942.250423576392</v>
      </c>
      <c r="E2476" s="2">
        <v>2.83</v>
      </c>
      <c r="F2476" s="2">
        <v>61.4</v>
      </c>
      <c r="G2476" s="2" t="s">
        <v>983</v>
      </c>
      <c r="H2476" s="2" t="s">
        <v>984</v>
      </c>
      <c r="I2476" s="2"/>
      <c r="J2476" s="2" t="s">
        <v>33</v>
      </c>
    </row>
    <row r="2477" spans="1:10" ht="21" customHeight="1">
      <c r="A2477" s="2" t="s">
        <v>3470</v>
      </c>
      <c r="B2477" s="2" t="s">
        <v>33</v>
      </c>
      <c r="C2477" s="4">
        <v>45943.25</v>
      </c>
      <c r="D2477" s="4">
        <v>45943.250110891204</v>
      </c>
      <c r="E2477" s="2">
        <v>2.5</v>
      </c>
      <c r="F2477" s="2">
        <v>62.7</v>
      </c>
      <c r="G2477" s="2" t="s">
        <v>983</v>
      </c>
      <c r="H2477" s="2" t="s">
        <v>984</v>
      </c>
      <c r="I2477" s="2"/>
      <c r="J2477" s="2" t="s">
        <v>33</v>
      </c>
    </row>
    <row r="2478" spans="1:10" ht="21" customHeight="1">
      <c r="A2478" s="2" t="s">
        <v>3471</v>
      </c>
      <c r="B2478" s="2" t="s">
        <v>33</v>
      </c>
      <c r="C2478" s="4">
        <v>45944.25</v>
      </c>
      <c r="D2478" s="4">
        <v>45944.250293935183</v>
      </c>
      <c r="E2478" s="2">
        <v>3.11</v>
      </c>
      <c r="F2478" s="2">
        <v>59.3</v>
      </c>
      <c r="G2478" s="2" t="s">
        <v>983</v>
      </c>
      <c r="H2478" s="2" t="s">
        <v>984</v>
      </c>
      <c r="I2478" s="2"/>
      <c r="J2478" s="2" t="s">
        <v>33</v>
      </c>
    </row>
    <row r="2479" spans="1:10" ht="21" customHeight="1">
      <c r="A2479" s="2" t="s">
        <v>3472</v>
      </c>
      <c r="B2479" s="2" t="s">
        <v>33</v>
      </c>
      <c r="C2479" s="4">
        <v>45945.25</v>
      </c>
      <c r="D2479" s="4">
        <v>45945.250256990737</v>
      </c>
      <c r="E2479" s="2">
        <v>2.5499999999999998</v>
      </c>
      <c r="F2479" s="2">
        <v>64.900000000000006</v>
      </c>
      <c r="G2479" s="2" t="s">
        <v>983</v>
      </c>
      <c r="H2479" s="2" t="s">
        <v>984</v>
      </c>
      <c r="I2479" s="2"/>
      <c r="J2479" s="2" t="s">
        <v>33</v>
      </c>
    </row>
    <row r="2480" spans="1:10" ht="21" customHeight="1">
      <c r="A2480" s="2" t="s">
        <v>3473</v>
      </c>
      <c r="B2480" s="2" t="s">
        <v>33</v>
      </c>
      <c r="C2480" s="4">
        <v>45946.25</v>
      </c>
      <c r="D2480" s="4">
        <v>45946.250395937503</v>
      </c>
      <c r="E2480" s="2">
        <v>2.34</v>
      </c>
      <c r="F2480" s="2">
        <v>58.9</v>
      </c>
      <c r="G2480" s="2" t="s">
        <v>983</v>
      </c>
      <c r="H2480" s="2" t="s">
        <v>984</v>
      </c>
      <c r="I2480" s="2"/>
      <c r="J2480" s="2" t="s">
        <v>33</v>
      </c>
    </row>
    <row r="2481" spans="1:10" ht="21" customHeight="1">
      <c r="A2481" s="2" t="s">
        <v>3474</v>
      </c>
      <c r="B2481" s="2" t="s">
        <v>33</v>
      </c>
      <c r="C2481" s="4">
        <v>45947.25</v>
      </c>
      <c r="D2481" s="4">
        <v>45947.250426782412</v>
      </c>
      <c r="E2481" s="2">
        <v>3.14</v>
      </c>
      <c r="F2481" s="2">
        <v>61.6</v>
      </c>
      <c r="G2481" s="2" t="s">
        <v>983</v>
      </c>
      <c r="H2481" s="2" t="s">
        <v>984</v>
      </c>
      <c r="I2481" s="2" t="s">
        <v>985</v>
      </c>
      <c r="J2481" s="2" t="s">
        <v>33</v>
      </c>
    </row>
    <row r="2482" spans="1:10" ht="21" customHeight="1">
      <c r="A2482" s="2" t="s">
        <v>3475</v>
      </c>
      <c r="B2482" s="2" t="s">
        <v>33</v>
      </c>
      <c r="C2482" s="4">
        <v>45948.25</v>
      </c>
      <c r="D2482" s="4">
        <v>45948.250004988426</v>
      </c>
      <c r="E2482" s="2">
        <v>3.05</v>
      </c>
      <c r="F2482" s="2">
        <v>65.400000000000006</v>
      </c>
      <c r="G2482" s="2" t="s">
        <v>983</v>
      </c>
      <c r="H2482" s="2" t="s">
        <v>984</v>
      </c>
      <c r="I2482" s="2"/>
      <c r="J2482" s="2" t="s">
        <v>33</v>
      </c>
    </row>
    <row r="2483" spans="1:10" ht="21" customHeight="1">
      <c r="A2483" s="2" t="s">
        <v>3476</v>
      </c>
      <c r="B2483" s="2" t="s">
        <v>33</v>
      </c>
      <c r="C2483" s="4">
        <v>45949.25</v>
      </c>
      <c r="D2483" s="4">
        <v>45949.250156851849</v>
      </c>
      <c r="E2483" s="2">
        <v>3.11</v>
      </c>
      <c r="F2483" s="2">
        <v>62.1</v>
      </c>
      <c r="G2483" s="2" t="s">
        <v>983</v>
      </c>
      <c r="H2483" s="2" t="s">
        <v>984</v>
      </c>
      <c r="I2483" s="2"/>
      <c r="J2483" s="2" t="s">
        <v>33</v>
      </c>
    </row>
    <row r="2484" spans="1:10" ht="21" customHeight="1">
      <c r="A2484" s="2" t="s">
        <v>3477</v>
      </c>
      <c r="B2484" s="2" t="s">
        <v>33</v>
      </c>
      <c r="C2484" s="4">
        <v>45950.25</v>
      </c>
      <c r="D2484" s="4">
        <v>45950.250251736114</v>
      </c>
      <c r="E2484" s="2">
        <v>2.34</v>
      </c>
      <c r="F2484" s="2">
        <v>63.1</v>
      </c>
      <c r="G2484" s="2" t="s">
        <v>983</v>
      </c>
      <c r="H2484" s="2" t="s">
        <v>984</v>
      </c>
      <c r="I2484" s="2"/>
      <c r="J2484" s="2" t="s">
        <v>33</v>
      </c>
    </row>
    <row r="2485" spans="1:10" ht="21" customHeight="1">
      <c r="A2485" s="2" t="s">
        <v>3478</v>
      </c>
      <c r="B2485" s="2" t="s">
        <v>33</v>
      </c>
      <c r="C2485" s="4">
        <v>45951.25</v>
      </c>
      <c r="D2485" s="4">
        <v>45951.250147407409</v>
      </c>
      <c r="E2485" s="2">
        <v>2.84</v>
      </c>
      <c r="F2485" s="2">
        <v>65.3</v>
      </c>
      <c r="G2485" s="2" t="s">
        <v>983</v>
      </c>
      <c r="H2485" s="2" t="s">
        <v>984</v>
      </c>
      <c r="I2485" s="2"/>
      <c r="J2485" s="2" t="s">
        <v>33</v>
      </c>
    </row>
    <row r="2486" spans="1:10" ht="21" customHeight="1">
      <c r="A2486" s="2" t="s">
        <v>3479</v>
      </c>
      <c r="B2486" s="2" t="s">
        <v>33</v>
      </c>
      <c r="C2486" s="4">
        <v>45952.25</v>
      </c>
      <c r="D2486" s="4">
        <v>45952.250336840283</v>
      </c>
      <c r="E2486" s="2">
        <v>2.72</v>
      </c>
      <c r="F2486" s="2">
        <v>64.2</v>
      </c>
      <c r="G2486" s="2" t="s">
        <v>983</v>
      </c>
      <c r="H2486" s="2" t="s">
        <v>984</v>
      </c>
      <c r="I2486" s="2"/>
      <c r="J2486" s="2" t="s">
        <v>33</v>
      </c>
    </row>
    <row r="2487" spans="1:10" ht="21" customHeight="1">
      <c r="A2487" s="2" t="s">
        <v>3480</v>
      </c>
      <c r="B2487" s="2" t="s">
        <v>33</v>
      </c>
      <c r="C2487" s="4">
        <v>45953.25</v>
      </c>
      <c r="D2487" s="4">
        <v>45953.250213206018</v>
      </c>
      <c r="E2487" s="2">
        <v>2.87</v>
      </c>
      <c r="F2487" s="2">
        <v>58.8</v>
      </c>
      <c r="G2487" s="2" t="s">
        <v>983</v>
      </c>
      <c r="H2487" s="2" t="s">
        <v>984</v>
      </c>
      <c r="I2487" s="2"/>
      <c r="J2487" s="2" t="s">
        <v>33</v>
      </c>
    </row>
    <row r="2488" spans="1:10" ht="21" customHeight="1">
      <c r="A2488" s="2" t="s">
        <v>3481</v>
      </c>
      <c r="B2488" s="2" t="s">
        <v>33</v>
      </c>
      <c r="C2488" s="4">
        <v>45954.25</v>
      </c>
      <c r="D2488" s="4">
        <v>45954.250339479171</v>
      </c>
      <c r="E2488" s="2">
        <v>2.5099999999999998</v>
      </c>
      <c r="F2488" s="2">
        <v>63.8</v>
      </c>
      <c r="G2488" s="2" t="s">
        <v>983</v>
      </c>
      <c r="H2488" s="2" t="s">
        <v>984</v>
      </c>
      <c r="I2488" s="2"/>
      <c r="J2488" s="2" t="s">
        <v>33</v>
      </c>
    </row>
    <row r="2489" spans="1:10" ht="21" customHeight="1">
      <c r="A2489" s="2" t="s">
        <v>3482</v>
      </c>
      <c r="B2489" s="2" t="s">
        <v>33</v>
      </c>
      <c r="C2489" s="4">
        <v>45955.25</v>
      </c>
      <c r="D2489" s="4">
        <v>45955.250414016205</v>
      </c>
      <c r="E2489" s="2">
        <v>2.54</v>
      </c>
      <c r="F2489" s="2">
        <v>61.5</v>
      </c>
      <c r="G2489" s="2" t="s">
        <v>983</v>
      </c>
      <c r="H2489" s="2" t="s">
        <v>984</v>
      </c>
      <c r="I2489" s="2"/>
      <c r="J2489" s="2" t="s">
        <v>33</v>
      </c>
    </row>
    <row r="2490" spans="1:10" ht="21" customHeight="1">
      <c r="A2490" s="2" t="s">
        <v>3483</v>
      </c>
      <c r="B2490" s="2" t="s">
        <v>33</v>
      </c>
      <c r="C2490" s="4">
        <v>45956.25</v>
      </c>
      <c r="D2490" s="4">
        <v>45956.250007291666</v>
      </c>
      <c r="E2490" s="2">
        <v>2.2599999999999998</v>
      </c>
      <c r="F2490" s="2">
        <v>59.8</v>
      </c>
      <c r="G2490" s="2" t="s">
        <v>983</v>
      </c>
      <c r="H2490" s="2" t="s">
        <v>984</v>
      </c>
      <c r="I2490" s="2"/>
      <c r="J2490" s="2" t="s">
        <v>33</v>
      </c>
    </row>
    <row r="2491" spans="1:10" ht="21" customHeight="1">
      <c r="A2491" s="2" t="s">
        <v>3484</v>
      </c>
      <c r="B2491" s="2" t="s">
        <v>33</v>
      </c>
      <c r="C2491" s="4">
        <v>45957.25</v>
      </c>
      <c r="D2491" s="4">
        <v>45957.250513460647</v>
      </c>
      <c r="E2491" s="2">
        <v>2.56</v>
      </c>
      <c r="F2491" s="2">
        <v>61.9</v>
      </c>
      <c r="G2491" s="2" t="s">
        <v>983</v>
      </c>
      <c r="H2491" s="2" t="s">
        <v>984</v>
      </c>
      <c r="I2491" s="2"/>
      <c r="J2491" s="2" t="s">
        <v>33</v>
      </c>
    </row>
    <row r="2492" spans="1:10" ht="21" customHeight="1">
      <c r="A2492" s="2" t="s">
        <v>3485</v>
      </c>
      <c r="B2492" s="2" t="s">
        <v>33</v>
      </c>
      <c r="C2492" s="4">
        <v>45958.25</v>
      </c>
      <c r="D2492" s="4">
        <v>45958.250178958333</v>
      </c>
      <c r="E2492" s="2">
        <v>2.57</v>
      </c>
      <c r="F2492" s="2">
        <v>58.3</v>
      </c>
      <c r="G2492" s="2" t="s">
        <v>983</v>
      </c>
      <c r="H2492" s="2" t="s">
        <v>984</v>
      </c>
      <c r="I2492" s="2"/>
      <c r="J2492" s="2" t="s">
        <v>33</v>
      </c>
    </row>
    <row r="2493" spans="1:10" ht="21" customHeight="1">
      <c r="A2493" s="2" t="s">
        <v>3486</v>
      </c>
      <c r="B2493" s="2" t="s">
        <v>33</v>
      </c>
      <c r="C2493" s="4">
        <v>45959.25</v>
      </c>
      <c r="D2493" s="4">
        <v>45959.250562766203</v>
      </c>
      <c r="E2493" s="2">
        <v>2.5</v>
      </c>
      <c r="F2493" s="2">
        <v>65.599999999999994</v>
      </c>
      <c r="G2493" s="2" t="s">
        <v>983</v>
      </c>
      <c r="H2493" s="2" t="s">
        <v>984</v>
      </c>
      <c r="I2493" s="2"/>
      <c r="J2493" s="2" t="s">
        <v>33</v>
      </c>
    </row>
    <row r="2494" spans="1:10" ht="21" customHeight="1">
      <c r="A2494" s="2" t="s">
        <v>3487</v>
      </c>
      <c r="B2494" s="2" t="s">
        <v>33</v>
      </c>
      <c r="C2494" s="4">
        <v>45960.25</v>
      </c>
      <c r="D2494" s="4">
        <v>45960.250422314813</v>
      </c>
      <c r="E2494" s="2">
        <v>3.12</v>
      </c>
      <c r="F2494" s="2">
        <v>63.3</v>
      </c>
      <c r="G2494" s="2" t="s">
        <v>983</v>
      </c>
      <c r="H2494" s="2" t="s">
        <v>984</v>
      </c>
      <c r="I2494" s="2"/>
      <c r="J2494" s="2" t="s">
        <v>33</v>
      </c>
    </row>
    <row r="2495" spans="1:10" ht="21" customHeight="1">
      <c r="A2495" s="2" t="s">
        <v>3488</v>
      </c>
      <c r="B2495" s="2" t="s">
        <v>33</v>
      </c>
      <c r="C2495" s="4">
        <v>45961.25</v>
      </c>
      <c r="D2495" s="4">
        <v>45961.250407141204</v>
      </c>
      <c r="E2495" s="2">
        <v>3.17</v>
      </c>
      <c r="F2495" s="2">
        <v>58.2</v>
      </c>
      <c r="G2495" s="2" t="s">
        <v>983</v>
      </c>
      <c r="H2495" s="2" t="s">
        <v>984</v>
      </c>
      <c r="I2495" s="2"/>
      <c r="J2495" s="2" t="s">
        <v>33</v>
      </c>
    </row>
    <row r="2496" spans="1:10" ht="21" customHeight="1">
      <c r="A2496" s="2" t="s">
        <v>3489</v>
      </c>
      <c r="B2496" s="2" t="s">
        <v>33</v>
      </c>
      <c r="C2496" s="4">
        <v>45962.25</v>
      </c>
      <c r="D2496" s="4">
        <v>45962.250056157412</v>
      </c>
      <c r="E2496" s="2">
        <v>2.12</v>
      </c>
      <c r="F2496" s="2">
        <v>59.7</v>
      </c>
      <c r="G2496" s="2" t="s">
        <v>983</v>
      </c>
      <c r="H2496" s="2" t="s">
        <v>984</v>
      </c>
      <c r="I2496" s="2"/>
      <c r="J2496" s="2" t="s">
        <v>33</v>
      </c>
    </row>
    <row r="2497" spans="1:10" ht="21" customHeight="1">
      <c r="A2497" s="2" t="s">
        <v>3490</v>
      </c>
      <c r="B2497" s="2" t="s">
        <v>33</v>
      </c>
      <c r="C2497" s="4">
        <v>45963.25</v>
      </c>
      <c r="D2497" s="4">
        <v>45963.250359108795</v>
      </c>
      <c r="E2497" s="2">
        <v>3.24</v>
      </c>
      <c r="F2497" s="2">
        <v>62.5</v>
      </c>
      <c r="G2497" s="2" t="s">
        <v>983</v>
      </c>
      <c r="H2497" s="2" t="s">
        <v>984</v>
      </c>
      <c r="I2497" s="2"/>
      <c r="J2497" s="2" t="s">
        <v>33</v>
      </c>
    </row>
    <row r="2498" spans="1:10" ht="21" customHeight="1">
      <c r="A2498" s="2" t="s">
        <v>3491</v>
      </c>
      <c r="B2498" s="2" t="s">
        <v>33</v>
      </c>
      <c r="C2498" s="4">
        <v>45964.25</v>
      </c>
      <c r="D2498" s="4">
        <v>45964.250355243057</v>
      </c>
      <c r="E2498" s="2">
        <v>2.84</v>
      </c>
      <c r="F2498" s="2">
        <v>59</v>
      </c>
      <c r="G2498" s="2" t="s">
        <v>983</v>
      </c>
      <c r="H2498" s="2" t="s">
        <v>984</v>
      </c>
      <c r="I2498" s="2" t="s">
        <v>985</v>
      </c>
      <c r="J2498" s="2" t="s">
        <v>33</v>
      </c>
    </row>
    <row r="2499" spans="1:10" ht="21" customHeight="1">
      <c r="A2499" s="2" t="s">
        <v>3492</v>
      </c>
      <c r="B2499" s="2" t="s">
        <v>33</v>
      </c>
      <c r="C2499" s="4">
        <v>45965.25</v>
      </c>
      <c r="D2499" s="4">
        <v>45965.250642916668</v>
      </c>
      <c r="E2499" s="2">
        <v>2.79</v>
      </c>
      <c r="F2499" s="2">
        <v>63.6</v>
      </c>
      <c r="G2499" s="2" t="s">
        <v>983</v>
      </c>
      <c r="H2499" s="2" t="s">
        <v>984</v>
      </c>
      <c r="I2499" s="2"/>
      <c r="J2499" s="2" t="s">
        <v>33</v>
      </c>
    </row>
    <row r="2500" spans="1:10" ht="21" customHeight="1">
      <c r="A2500" s="2" t="s">
        <v>3493</v>
      </c>
      <c r="B2500" s="2" t="s">
        <v>33</v>
      </c>
      <c r="C2500" s="4">
        <v>45966.25</v>
      </c>
      <c r="D2500" s="4">
        <v>45966.250540983798</v>
      </c>
      <c r="E2500" s="2">
        <v>2.41</v>
      </c>
      <c r="F2500" s="2">
        <v>58.3</v>
      </c>
      <c r="G2500" s="2" t="s">
        <v>983</v>
      </c>
      <c r="H2500" s="2" t="s">
        <v>984</v>
      </c>
      <c r="I2500" s="2"/>
      <c r="J2500" s="2" t="s">
        <v>33</v>
      </c>
    </row>
    <row r="2501" spans="1:10" ht="21" customHeight="1">
      <c r="A2501" s="2" t="s">
        <v>3494</v>
      </c>
      <c r="B2501" s="2" t="s">
        <v>33</v>
      </c>
      <c r="C2501" s="4">
        <v>45967.25</v>
      </c>
      <c r="D2501" s="4">
        <v>45967.250021782413</v>
      </c>
      <c r="E2501" s="2">
        <v>2.36</v>
      </c>
      <c r="F2501" s="2">
        <v>58.8</v>
      </c>
      <c r="G2501" s="2" t="s">
        <v>983</v>
      </c>
      <c r="H2501" s="2" t="s">
        <v>984</v>
      </c>
      <c r="I2501" s="2"/>
      <c r="J2501" s="2" t="s">
        <v>33</v>
      </c>
    </row>
    <row r="2502" spans="1:10" ht="21" customHeight="1">
      <c r="A2502" s="2" t="s">
        <v>3495</v>
      </c>
      <c r="B2502" s="2" t="s">
        <v>33</v>
      </c>
      <c r="C2502" s="4">
        <v>45968.25</v>
      </c>
      <c r="D2502" s="4">
        <v>45968.250359907412</v>
      </c>
      <c r="E2502" s="2">
        <v>3.21</v>
      </c>
      <c r="F2502" s="2">
        <v>61.2</v>
      </c>
      <c r="G2502" s="2" t="s">
        <v>983</v>
      </c>
      <c r="H2502" s="2" t="s">
        <v>984</v>
      </c>
      <c r="I2502" s="2"/>
      <c r="J2502" s="2" t="s">
        <v>33</v>
      </c>
    </row>
    <row r="2503" spans="1:10" ht="21" customHeight="1">
      <c r="A2503" s="2" t="s">
        <v>3496</v>
      </c>
      <c r="B2503" s="2" t="s">
        <v>3209</v>
      </c>
      <c r="C2503" s="4">
        <v>45969.25</v>
      </c>
      <c r="D2503" s="4">
        <v>45969.250327731483</v>
      </c>
      <c r="E2503" s="2">
        <v>2.81</v>
      </c>
      <c r="F2503" s="2">
        <v>60.4</v>
      </c>
      <c r="G2503" s="2" t="s">
        <v>983</v>
      </c>
      <c r="H2503" s="2" t="s">
        <v>984</v>
      </c>
      <c r="I2503" s="2"/>
      <c r="J2503" s="2" t="s">
        <v>33</v>
      </c>
    </row>
    <row r="2504" spans="1:10" ht="21" customHeight="1">
      <c r="A2504" s="2" t="s">
        <v>3497</v>
      </c>
      <c r="B2504" s="2" t="s">
        <v>33</v>
      </c>
      <c r="C2504" s="4">
        <v>45970.25</v>
      </c>
      <c r="D2504" s="4">
        <v>45970.250329166665</v>
      </c>
      <c r="E2504" s="2">
        <v>0</v>
      </c>
      <c r="F2504" s="2">
        <v>59.2</v>
      </c>
      <c r="G2504" s="2" t="s">
        <v>1175</v>
      </c>
      <c r="H2504" s="2" t="s">
        <v>984</v>
      </c>
      <c r="I2504" s="2"/>
      <c r="J2504" s="2" t="s">
        <v>33</v>
      </c>
    </row>
    <row r="2505" spans="1:10" ht="21" customHeight="1">
      <c r="A2505" s="2" t="s">
        <v>3498</v>
      </c>
      <c r="B2505" s="2" t="s">
        <v>33</v>
      </c>
      <c r="C2505" s="4">
        <v>45971.25</v>
      </c>
      <c r="D2505" s="4">
        <v>45971.25065188657</v>
      </c>
      <c r="E2505" s="2">
        <v>2.33</v>
      </c>
      <c r="F2505" s="2">
        <v>63.2</v>
      </c>
      <c r="G2505" s="2" t="s">
        <v>983</v>
      </c>
      <c r="H2505" s="2" t="s">
        <v>984</v>
      </c>
      <c r="I2505" s="2"/>
      <c r="J2505" s="2" t="s">
        <v>33</v>
      </c>
    </row>
    <row r="2506" spans="1:10" ht="21" customHeight="1">
      <c r="A2506" s="2" t="s">
        <v>3499</v>
      </c>
      <c r="B2506" s="2" t="s">
        <v>33</v>
      </c>
      <c r="C2506" s="4">
        <v>45972.25</v>
      </c>
      <c r="D2506" s="4">
        <v>45972.250391817128</v>
      </c>
      <c r="E2506" s="2">
        <v>2.33</v>
      </c>
      <c r="F2506" s="2">
        <v>61.7</v>
      </c>
      <c r="G2506" s="2" t="s">
        <v>983</v>
      </c>
      <c r="H2506" s="2" t="s">
        <v>984</v>
      </c>
      <c r="I2506" s="2"/>
      <c r="J2506" s="2" t="s">
        <v>33</v>
      </c>
    </row>
    <row r="2507" spans="1:10" ht="21" customHeight="1">
      <c r="A2507" s="2" t="s">
        <v>3500</v>
      </c>
      <c r="B2507" s="2" t="s">
        <v>33</v>
      </c>
      <c r="C2507" s="4">
        <v>45973.25</v>
      </c>
      <c r="D2507" s="4">
        <v>45973.250437650466</v>
      </c>
      <c r="E2507" s="2">
        <v>2.19</v>
      </c>
      <c r="F2507" s="2">
        <v>64.400000000000006</v>
      </c>
      <c r="G2507" s="2" t="s">
        <v>983</v>
      </c>
      <c r="H2507" s="2" t="s">
        <v>984</v>
      </c>
      <c r="I2507" s="2"/>
      <c r="J2507" s="2" t="s">
        <v>33</v>
      </c>
    </row>
    <row r="2508" spans="1:10" ht="21" customHeight="1">
      <c r="A2508" s="2" t="s">
        <v>3501</v>
      </c>
      <c r="B2508" s="2" t="s">
        <v>33</v>
      </c>
      <c r="C2508" s="4">
        <v>45974.25</v>
      </c>
      <c r="D2508" s="4">
        <v>45974.25062244213</v>
      </c>
      <c r="E2508" s="2">
        <v>2.79</v>
      </c>
      <c r="F2508" s="2">
        <v>58.1</v>
      </c>
      <c r="G2508" s="2" t="s">
        <v>983</v>
      </c>
      <c r="H2508" s="2" t="s">
        <v>984</v>
      </c>
      <c r="I2508" s="2"/>
      <c r="J2508" s="2" t="s">
        <v>33</v>
      </c>
    </row>
    <row r="2509" spans="1:10" ht="21" customHeight="1">
      <c r="A2509" s="2" t="s">
        <v>3502</v>
      </c>
      <c r="B2509" s="2" t="s">
        <v>33</v>
      </c>
      <c r="C2509" s="4">
        <v>45975.25</v>
      </c>
      <c r="D2509" s="4">
        <v>45975.250216446759</v>
      </c>
      <c r="E2509" s="2">
        <v>2.86</v>
      </c>
      <c r="F2509" s="2">
        <v>60.8</v>
      </c>
      <c r="G2509" s="2" t="s">
        <v>983</v>
      </c>
      <c r="H2509" s="2" t="s">
        <v>984</v>
      </c>
      <c r="I2509" s="2"/>
      <c r="J2509" s="2" t="s">
        <v>33</v>
      </c>
    </row>
    <row r="2510" spans="1:10" ht="21" customHeight="1">
      <c r="A2510" s="2" t="s">
        <v>3503</v>
      </c>
      <c r="B2510" s="2" t="s">
        <v>33</v>
      </c>
      <c r="C2510" s="4">
        <v>45976.25</v>
      </c>
      <c r="D2510" s="4">
        <v>45976.250674351853</v>
      </c>
      <c r="E2510" s="2">
        <v>2.33</v>
      </c>
      <c r="F2510" s="2">
        <v>63</v>
      </c>
      <c r="G2510" s="2" t="s">
        <v>983</v>
      </c>
      <c r="H2510" s="2" t="s">
        <v>984</v>
      </c>
      <c r="I2510" s="2"/>
      <c r="J2510" s="2" t="s">
        <v>33</v>
      </c>
    </row>
    <row r="2511" spans="1:10" ht="21" customHeight="1">
      <c r="A2511" s="2" t="s">
        <v>3504</v>
      </c>
      <c r="B2511" s="2" t="s">
        <v>33</v>
      </c>
      <c r="C2511" s="4">
        <v>45977.25</v>
      </c>
      <c r="D2511" s="4">
        <v>45977.25008943287</v>
      </c>
      <c r="E2511" s="2">
        <v>2.33</v>
      </c>
      <c r="F2511" s="2">
        <v>61.7</v>
      </c>
      <c r="G2511" s="2" t="s">
        <v>983</v>
      </c>
      <c r="H2511" s="2" t="s">
        <v>984</v>
      </c>
      <c r="I2511" s="2"/>
      <c r="J2511" s="2" t="s">
        <v>33</v>
      </c>
    </row>
    <row r="2512" spans="1:10" ht="21" customHeight="1">
      <c r="A2512" s="2" t="s">
        <v>3505</v>
      </c>
      <c r="B2512" s="2" t="s">
        <v>33</v>
      </c>
      <c r="C2512" s="4">
        <v>45978.25</v>
      </c>
      <c r="D2512" s="4">
        <v>45978.250128993051</v>
      </c>
      <c r="E2512" s="2">
        <v>2.46</v>
      </c>
      <c r="F2512" s="2">
        <v>58.7</v>
      </c>
      <c r="G2512" s="2" t="s">
        <v>983</v>
      </c>
      <c r="H2512" s="2" t="s">
        <v>984</v>
      </c>
      <c r="I2512" s="2"/>
      <c r="J2512" s="2" t="s">
        <v>33</v>
      </c>
    </row>
    <row r="2513" spans="1:10" ht="21" customHeight="1">
      <c r="A2513" s="2" t="s">
        <v>3506</v>
      </c>
      <c r="B2513" s="2" t="s">
        <v>33</v>
      </c>
      <c r="C2513" s="4">
        <v>45979.25</v>
      </c>
      <c r="D2513" s="4">
        <v>45979.250548842596</v>
      </c>
      <c r="E2513" s="2">
        <v>3.28</v>
      </c>
      <c r="F2513" s="2">
        <v>60.1</v>
      </c>
      <c r="G2513" s="2" t="s">
        <v>983</v>
      </c>
      <c r="H2513" s="2" t="s">
        <v>984</v>
      </c>
      <c r="I2513" s="2"/>
      <c r="J2513" s="2" t="s">
        <v>33</v>
      </c>
    </row>
    <row r="2514" spans="1:10" ht="21" customHeight="1">
      <c r="A2514" s="2" t="s">
        <v>3507</v>
      </c>
      <c r="B2514" s="2" t="s">
        <v>33</v>
      </c>
      <c r="C2514" s="4">
        <v>45980.25</v>
      </c>
      <c r="D2514" s="4">
        <v>45980.25004835648</v>
      </c>
      <c r="E2514" s="2">
        <v>2.93</v>
      </c>
      <c r="F2514" s="2">
        <v>65.599999999999994</v>
      </c>
      <c r="G2514" s="2" t="s">
        <v>983</v>
      </c>
      <c r="H2514" s="2" t="s">
        <v>984</v>
      </c>
      <c r="I2514" s="2"/>
      <c r="J2514" s="2" t="s">
        <v>33</v>
      </c>
    </row>
    <row r="2515" spans="1:10" ht="21" customHeight="1">
      <c r="A2515" s="2" t="s">
        <v>3508</v>
      </c>
      <c r="B2515" s="2" t="s">
        <v>33</v>
      </c>
      <c r="C2515" s="4">
        <v>45981.25</v>
      </c>
      <c r="D2515" s="4">
        <v>45981.250427071762</v>
      </c>
      <c r="E2515" s="2">
        <v>2.86</v>
      </c>
      <c r="F2515" s="2">
        <v>62.5</v>
      </c>
      <c r="G2515" s="2" t="s">
        <v>983</v>
      </c>
      <c r="H2515" s="2" t="s">
        <v>984</v>
      </c>
      <c r="I2515" s="2" t="s">
        <v>985</v>
      </c>
      <c r="J2515" s="2" t="s">
        <v>33</v>
      </c>
    </row>
    <row r="2516" spans="1:10" ht="21" customHeight="1">
      <c r="A2516" s="2" t="s">
        <v>3509</v>
      </c>
      <c r="B2516" s="2" t="s">
        <v>33</v>
      </c>
      <c r="C2516" s="4">
        <v>45982.25</v>
      </c>
      <c r="D2516" s="4">
        <v>45982.250356354169</v>
      </c>
      <c r="E2516" s="2">
        <v>2.48</v>
      </c>
      <c r="F2516" s="2">
        <v>60.8</v>
      </c>
      <c r="G2516" s="2" t="s">
        <v>983</v>
      </c>
      <c r="H2516" s="2" t="s">
        <v>984</v>
      </c>
      <c r="I2516" s="2"/>
      <c r="J2516" s="2" t="s">
        <v>33</v>
      </c>
    </row>
    <row r="2517" spans="1:10" ht="21" customHeight="1">
      <c r="A2517" s="2" t="s">
        <v>3510</v>
      </c>
      <c r="B2517" s="2" t="s">
        <v>33</v>
      </c>
      <c r="C2517" s="4">
        <v>45983.25</v>
      </c>
      <c r="D2517" s="4">
        <v>45983.250029710645</v>
      </c>
      <c r="E2517" s="2">
        <v>2.31</v>
      </c>
      <c r="F2517" s="2">
        <v>58.1</v>
      </c>
      <c r="G2517" s="2" t="s">
        <v>983</v>
      </c>
      <c r="H2517" s="2" t="s">
        <v>984</v>
      </c>
      <c r="I2517" s="2"/>
      <c r="J2517" s="2" t="s">
        <v>33</v>
      </c>
    </row>
    <row r="2518" spans="1:10" ht="21" customHeight="1">
      <c r="A2518" s="2" t="s">
        <v>3511</v>
      </c>
      <c r="B2518" s="2" t="s">
        <v>33</v>
      </c>
      <c r="C2518" s="4">
        <v>45984.25</v>
      </c>
      <c r="D2518" s="4">
        <v>45984.25010578704</v>
      </c>
      <c r="E2518" s="2">
        <v>2.31</v>
      </c>
      <c r="F2518" s="2">
        <v>64.2</v>
      </c>
      <c r="G2518" s="2" t="s">
        <v>983</v>
      </c>
      <c r="H2518" s="2" t="s">
        <v>984</v>
      </c>
      <c r="I2518" s="2"/>
      <c r="J2518" s="2" t="s">
        <v>33</v>
      </c>
    </row>
    <row r="2519" spans="1:10" ht="21" customHeight="1">
      <c r="A2519" s="2" t="s">
        <v>3512</v>
      </c>
      <c r="B2519" s="2" t="s">
        <v>33</v>
      </c>
      <c r="C2519" s="4">
        <v>45985.25</v>
      </c>
      <c r="D2519" s="4">
        <v>45985.250596284721</v>
      </c>
      <c r="E2519" s="2">
        <v>3.05</v>
      </c>
      <c r="F2519" s="2">
        <v>62.4</v>
      </c>
      <c r="G2519" s="2" t="s">
        <v>983</v>
      </c>
      <c r="H2519" s="2" t="s">
        <v>984</v>
      </c>
      <c r="I2519" s="2"/>
      <c r="J2519" s="2" t="s">
        <v>33</v>
      </c>
    </row>
    <row r="2520" spans="1:10" ht="21" customHeight="1">
      <c r="A2520" s="2" t="s">
        <v>3513</v>
      </c>
      <c r="B2520" s="2" t="s">
        <v>33</v>
      </c>
      <c r="C2520" s="4">
        <v>45986.25</v>
      </c>
      <c r="D2520" s="4">
        <v>45986.250070740745</v>
      </c>
      <c r="E2520" s="2">
        <v>2.77</v>
      </c>
      <c r="F2520" s="2">
        <v>64.3</v>
      </c>
      <c r="G2520" s="2" t="s">
        <v>983</v>
      </c>
      <c r="H2520" s="2" t="s">
        <v>984</v>
      </c>
      <c r="I2520" s="2"/>
      <c r="J2520" s="2" t="s">
        <v>33</v>
      </c>
    </row>
    <row r="2521" spans="1:10" ht="21" customHeight="1">
      <c r="A2521" s="2" t="s">
        <v>3514</v>
      </c>
      <c r="B2521" s="2" t="s">
        <v>33</v>
      </c>
      <c r="C2521" s="4">
        <v>45987.25</v>
      </c>
      <c r="D2521" s="4">
        <v>45987.250257812499</v>
      </c>
      <c r="E2521" s="2">
        <v>3.16</v>
      </c>
      <c r="F2521" s="2">
        <v>62</v>
      </c>
      <c r="G2521" s="2" t="s">
        <v>983</v>
      </c>
      <c r="H2521" s="2" t="s">
        <v>984</v>
      </c>
      <c r="I2521" s="2"/>
      <c r="J2521" s="2" t="s">
        <v>33</v>
      </c>
    </row>
    <row r="2522" spans="1:10" ht="21" customHeight="1">
      <c r="A2522" s="2" t="s">
        <v>3515</v>
      </c>
      <c r="B2522" s="2" t="s">
        <v>33</v>
      </c>
      <c r="C2522" s="4">
        <v>45988.25</v>
      </c>
      <c r="D2522" s="4">
        <v>45988.250665150466</v>
      </c>
      <c r="E2522" s="2">
        <v>2.31</v>
      </c>
      <c r="F2522" s="2">
        <v>61.4</v>
      </c>
      <c r="G2522" s="2" t="s">
        <v>983</v>
      </c>
      <c r="H2522" s="2" t="s">
        <v>984</v>
      </c>
      <c r="I2522" s="2"/>
      <c r="J2522" s="2" t="s">
        <v>33</v>
      </c>
    </row>
    <row r="2523" spans="1:10" ht="21" customHeight="1">
      <c r="A2523" s="2" t="s">
        <v>3516</v>
      </c>
      <c r="B2523" s="2" t="s">
        <v>33</v>
      </c>
      <c r="C2523" s="4">
        <v>45989.25</v>
      </c>
      <c r="D2523" s="4">
        <v>45989.250314120371</v>
      </c>
      <c r="E2523" s="2">
        <v>3.12</v>
      </c>
      <c r="F2523" s="2">
        <v>58.2</v>
      </c>
      <c r="G2523" s="2" t="s">
        <v>983</v>
      </c>
      <c r="H2523" s="2" t="s">
        <v>984</v>
      </c>
      <c r="I2523" s="2"/>
      <c r="J2523" s="2" t="s">
        <v>33</v>
      </c>
    </row>
    <row r="2524" spans="1:10" ht="21" customHeight="1">
      <c r="A2524" s="2" t="s">
        <v>3517</v>
      </c>
      <c r="B2524" s="2" t="s">
        <v>33</v>
      </c>
      <c r="C2524" s="4">
        <v>45990.25</v>
      </c>
      <c r="D2524" s="4">
        <v>45990.250330868061</v>
      </c>
      <c r="E2524" s="2">
        <v>2.72</v>
      </c>
      <c r="F2524" s="2">
        <v>60.8</v>
      </c>
      <c r="G2524" s="2" t="s">
        <v>983</v>
      </c>
      <c r="H2524" s="2" t="s">
        <v>984</v>
      </c>
      <c r="I2524" s="2"/>
      <c r="J2524" s="2" t="s">
        <v>33</v>
      </c>
    </row>
    <row r="2525" spans="1:10" ht="21" customHeight="1">
      <c r="A2525" s="2" t="s">
        <v>3518</v>
      </c>
      <c r="B2525" s="2" t="s">
        <v>33</v>
      </c>
      <c r="C2525" s="4">
        <v>45991.25</v>
      </c>
      <c r="D2525" s="4">
        <v>45991.25033274306</v>
      </c>
      <c r="E2525" s="2">
        <v>2.4700000000000002</v>
      </c>
      <c r="F2525" s="2">
        <v>58.5</v>
      </c>
      <c r="G2525" s="2" t="s">
        <v>983</v>
      </c>
      <c r="H2525" s="2" t="s">
        <v>984</v>
      </c>
      <c r="I2525" s="2"/>
      <c r="J2525" s="2" t="s">
        <v>33</v>
      </c>
    </row>
    <row r="2526" spans="1:10" ht="21" customHeight="1">
      <c r="A2526" s="2" t="s">
        <v>3519</v>
      </c>
      <c r="B2526" s="2" t="s">
        <v>33</v>
      </c>
      <c r="C2526" s="4">
        <v>45992.25</v>
      </c>
      <c r="D2526" s="4">
        <v>45992.250097951386</v>
      </c>
      <c r="E2526" s="2">
        <v>3.22</v>
      </c>
      <c r="F2526" s="2">
        <v>61.3</v>
      </c>
      <c r="G2526" s="2" t="s">
        <v>983</v>
      </c>
      <c r="H2526" s="2" t="s">
        <v>984</v>
      </c>
      <c r="I2526" s="2"/>
      <c r="J2526" s="2" t="s">
        <v>33</v>
      </c>
    </row>
    <row r="2527" spans="1:10" ht="21" customHeight="1">
      <c r="A2527" s="2" t="s">
        <v>3520</v>
      </c>
      <c r="B2527" s="2" t="s">
        <v>33</v>
      </c>
      <c r="C2527" s="4">
        <v>45993.25</v>
      </c>
      <c r="D2527" s="4">
        <v>45993.250103622689</v>
      </c>
      <c r="E2527" s="2">
        <v>2.5499999999999998</v>
      </c>
      <c r="F2527" s="2">
        <v>58.7</v>
      </c>
      <c r="G2527" s="2" t="s">
        <v>983</v>
      </c>
      <c r="H2527" s="2" t="s">
        <v>984</v>
      </c>
      <c r="I2527" s="2"/>
      <c r="J2527" s="2" t="s">
        <v>33</v>
      </c>
    </row>
    <row r="2528" spans="1:10" ht="21" customHeight="1">
      <c r="A2528" s="2" t="s">
        <v>3521</v>
      </c>
      <c r="B2528" s="2" t="s">
        <v>33</v>
      </c>
      <c r="C2528" s="4">
        <v>45994.25</v>
      </c>
      <c r="D2528" s="4">
        <v>45994.250012025463</v>
      </c>
      <c r="E2528" s="2"/>
      <c r="F2528" s="2"/>
      <c r="G2528" s="2" t="s">
        <v>983</v>
      </c>
      <c r="H2528" s="2" t="s">
        <v>1066</v>
      </c>
      <c r="I2528" s="2"/>
      <c r="J2528" s="2" t="s">
        <v>33</v>
      </c>
    </row>
    <row r="2529" spans="1:10" ht="21" customHeight="1">
      <c r="A2529" s="2" t="s">
        <v>3522</v>
      </c>
      <c r="B2529" s="2" t="s">
        <v>33</v>
      </c>
      <c r="C2529" s="4">
        <v>45995.25</v>
      </c>
      <c r="D2529" s="4">
        <v>45995.250461874995</v>
      </c>
      <c r="E2529" s="2">
        <v>2.75</v>
      </c>
      <c r="F2529" s="2">
        <v>62.6</v>
      </c>
      <c r="G2529" s="2" t="s">
        <v>983</v>
      </c>
      <c r="H2529" s="2" t="s">
        <v>984</v>
      </c>
      <c r="I2529" s="2"/>
      <c r="J2529" s="2" t="s">
        <v>33</v>
      </c>
    </row>
    <row r="2530" spans="1:10" ht="21" customHeight="1">
      <c r="A2530" s="2" t="s">
        <v>3523</v>
      </c>
      <c r="B2530" s="2" t="s">
        <v>33</v>
      </c>
      <c r="C2530" s="4">
        <v>45996.25</v>
      </c>
      <c r="D2530" s="4">
        <v>45996.250299837964</v>
      </c>
      <c r="E2530" s="2">
        <v>2.13</v>
      </c>
      <c r="F2530" s="2">
        <v>64.099999999999994</v>
      </c>
      <c r="G2530" s="2" t="s">
        <v>983</v>
      </c>
      <c r="H2530" s="2" t="s">
        <v>984</v>
      </c>
      <c r="I2530" s="2"/>
      <c r="J2530" s="2" t="s">
        <v>33</v>
      </c>
    </row>
    <row r="2531" spans="1:10" ht="21" customHeight="1">
      <c r="A2531" s="2" t="s">
        <v>3524</v>
      </c>
      <c r="B2531" s="2" t="s">
        <v>33</v>
      </c>
      <c r="C2531" s="4">
        <v>45997.25</v>
      </c>
      <c r="D2531" s="4">
        <v>45997.250159340278</v>
      </c>
      <c r="E2531" s="2">
        <v>2.54</v>
      </c>
      <c r="F2531" s="2">
        <v>63.9</v>
      </c>
      <c r="G2531" s="2" t="s">
        <v>983</v>
      </c>
      <c r="H2531" s="2" t="s">
        <v>984</v>
      </c>
      <c r="I2531" s="2"/>
      <c r="J2531" s="2" t="s">
        <v>33</v>
      </c>
    </row>
    <row r="2532" spans="1:10" ht="21" customHeight="1">
      <c r="A2532" s="2" t="s">
        <v>3525</v>
      </c>
      <c r="B2532" s="2" t="s">
        <v>33</v>
      </c>
      <c r="C2532" s="4">
        <v>45998.25</v>
      </c>
      <c r="D2532" s="4">
        <v>45998.250064884254</v>
      </c>
      <c r="E2532" s="2">
        <v>5.0599999999999996</v>
      </c>
      <c r="F2532" s="2">
        <v>63.3</v>
      </c>
      <c r="G2532" s="2" t="s">
        <v>983</v>
      </c>
      <c r="H2532" s="2" t="s">
        <v>984</v>
      </c>
      <c r="I2532" s="2" t="s">
        <v>1053</v>
      </c>
      <c r="J2532" s="2" t="s">
        <v>33</v>
      </c>
    </row>
    <row r="2533" spans="1:10" ht="21" customHeight="1">
      <c r="A2533" s="2" t="s">
        <v>3526</v>
      </c>
      <c r="B2533" s="2" t="s">
        <v>33</v>
      </c>
      <c r="C2533" s="4">
        <v>45999.25</v>
      </c>
      <c r="D2533" s="4">
        <v>45999.250520289352</v>
      </c>
      <c r="E2533" s="2">
        <v>6.6</v>
      </c>
      <c r="F2533" s="2">
        <v>69.7</v>
      </c>
      <c r="G2533" s="2" t="s">
        <v>983</v>
      </c>
      <c r="H2533" s="2" t="s">
        <v>984</v>
      </c>
      <c r="I2533" s="2"/>
      <c r="J2533" s="2" t="s">
        <v>33</v>
      </c>
    </row>
    <row r="2534" spans="1:10" ht="21" customHeight="1">
      <c r="A2534" s="2" t="s">
        <v>3527</v>
      </c>
      <c r="B2534" s="2" t="s">
        <v>33</v>
      </c>
      <c r="C2534" s="4">
        <v>46000.25</v>
      </c>
      <c r="D2534" s="4">
        <v>46000.250412534719</v>
      </c>
      <c r="E2534" s="2">
        <v>5.62</v>
      </c>
      <c r="F2534" s="2">
        <v>68.5</v>
      </c>
      <c r="G2534" s="2" t="s">
        <v>983</v>
      </c>
      <c r="H2534" s="2" t="s">
        <v>984</v>
      </c>
      <c r="I2534" s="2" t="s">
        <v>1053</v>
      </c>
      <c r="J2534" s="2" t="s">
        <v>33</v>
      </c>
    </row>
    <row r="2535" spans="1:10" ht="21" customHeight="1">
      <c r="A2535" s="2" t="s">
        <v>3528</v>
      </c>
      <c r="B2535" s="2" t="s">
        <v>33</v>
      </c>
      <c r="C2535" s="4">
        <v>46001.25</v>
      </c>
      <c r="D2535" s="4">
        <v>46001.250646689819</v>
      </c>
      <c r="E2535" s="2">
        <v>2.35</v>
      </c>
      <c r="F2535" s="2">
        <v>63.5</v>
      </c>
      <c r="G2535" s="2" t="s">
        <v>983</v>
      </c>
      <c r="H2535" s="2" t="s">
        <v>984</v>
      </c>
      <c r="I2535" s="2"/>
      <c r="J2535" s="2" t="s">
        <v>33</v>
      </c>
    </row>
    <row r="2536" spans="1:10" ht="21" customHeight="1">
      <c r="A2536" s="2" t="s">
        <v>3529</v>
      </c>
      <c r="B2536" s="2" t="s">
        <v>33</v>
      </c>
      <c r="C2536" s="4">
        <v>46002.25</v>
      </c>
      <c r="D2536" s="4">
        <v>46002.250600914354</v>
      </c>
      <c r="E2536" s="2">
        <v>2.4</v>
      </c>
      <c r="F2536" s="2">
        <v>59.6</v>
      </c>
      <c r="G2536" s="2" t="s">
        <v>983</v>
      </c>
      <c r="H2536" s="2" t="s">
        <v>984</v>
      </c>
      <c r="I2536" s="2"/>
      <c r="J2536" s="2" t="s">
        <v>33</v>
      </c>
    </row>
    <row r="2537" spans="1:10" ht="21" customHeight="1">
      <c r="A2537" s="2" t="s">
        <v>3530</v>
      </c>
      <c r="B2537" s="2" t="s">
        <v>33</v>
      </c>
      <c r="C2537" s="4">
        <v>46003.25</v>
      </c>
      <c r="D2537" s="4">
        <v>46003.250016516206</v>
      </c>
      <c r="E2537" s="2">
        <v>2.38</v>
      </c>
      <c r="F2537" s="2">
        <v>64.8</v>
      </c>
      <c r="G2537" s="2" t="s">
        <v>983</v>
      </c>
      <c r="H2537" s="2" t="s">
        <v>984</v>
      </c>
      <c r="I2537" s="2"/>
      <c r="J2537" s="2" t="s">
        <v>33</v>
      </c>
    </row>
    <row r="2538" spans="1:10" ht="21" customHeight="1">
      <c r="A2538" s="2" t="s">
        <v>3531</v>
      </c>
      <c r="B2538" s="2" t="s">
        <v>33</v>
      </c>
      <c r="C2538" s="4">
        <v>46004.25</v>
      </c>
      <c r="D2538" s="4">
        <v>46004.250008981486</v>
      </c>
      <c r="E2538" s="2">
        <v>2.81</v>
      </c>
      <c r="F2538" s="2">
        <v>58.7</v>
      </c>
      <c r="G2538" s="2" t="s">
        <v>983</v>
      </c>
      <c r="H2538" s="2" t="s">
        <v>984</v>
      </c>
      <c r="I2538" s="2"/>
      <c r="J2538" s="2" t="s">
        <v>33</v>
      </c>
    </row>
    <row r="2539" spans="1:10" ht="21" customHeight="1">
      <c r="A2539" s="2" t="s">
        <v>3532</v>
      </c>
      <c r="B2539" s="2" t="s">
        <v>33</v>
      </c>
      <c r="C2539" s="4">
        <v>46005.25</v>
      </c>
      <c r="D2539" s="4">
        <v>46005.250075775461</v>
      </c>
      <c r="E2539" s="2">
        <v>3.03</v>
      </c>
      <c r="F2539" s="2">
        <v>58.1</v>
      </c>
      <c r="G2539" s="2" t="s">
        <v>983</v>
      </c>
      <c r="H2539" s="2" t="s">
        <v>984</v>
      </c>
      <c r="I2539" s="2"/>
      <c r="J2539" s="2" t="s">
        <v>33</v>
      </c>
    </row>
    <row r="2540" spans="1:10" ht="21" customHeight="1">
      <c r="A2540" s="2" t="s">
        <v>3533</v>
      </c>
      <c r="B2540" s="2" t="s">
        <v>33</v>
      </c>
      <c r="C2540" s="4">
        <v>46006.25</v>
      </c>
      <c r="D2540" s="4">
        <v>46006.250628587964</v>
      </c>
      <c r="E2540" s="2">
        <v>2.68</v>
      </c>
      <c r="F2540" s="2">
        <v>63</v>
      </c>
      <c r="G2540" s="2" t="s">
        <v>983</v>
      </c>
      <c r="H2540" s="2" t="s">
        <v>984</v>
      </c>
      <c r="I2540" s="2"/>
      <c r="J2540" s="2" t="s">
        <v>33</v>
      </c>
    </row>
    <row r="2541" spans="1:10" ht="21" customHeight="1">
      <c r="A2541" s="2" t="s">
        <v>3534</v>
      </c>
      <c r="B2541" s="2" t="s">
        <v>33</v>
      </c>
      <c r="C2541" s="4">
        <v>46007.25</v>
      </c>
      <c r="D2541" s="4">
        <v>46007.250666215274</v>
      </c>
      <c r="E2541" s="2">
        <v>2.16</v>
      </c>
      <c r="F2541" s="2">
        <v>62</v>
      </c>
      <c r="G2541" s="2" t="s">
        <v>983</v>
      </c>
      <c r="H2541" s="2" t="s">
        <v>984</v>
      </c>
      <c r="I2541" s="2"/>
      <c r="J2541" s="2" t="s">
        <v>33</v>
      </c>
    </row>
    <row r="2542" spans="1:10" ht="21" customHeight="1">
      <c r="A2542" s="2" t="s">
        <v>3535</v>
      </c>
      <c r="B2542" s="2" t="s">
        <v>33</v>
      </c>
      <c r="C2542" s="4">
        <v>46008.25</v>
      </c>
      <c r="D2542" s="4">
        <v>46008.250361631945</v>
      </c>
      <c r="E2542" s="2">
        <v>2.14</v>
      </c>
      <c r="F2542" s="2">
        <v>59.5</v>
      </c>
      <c r="G2542" s="2" t="s">
        <v>983</v>
      </c>
      <c r="H2542" s="2" t="s">
        <v>984</v>
      </c>
      <c r="I2542" s="2"/>
      <c r="J2542" s="2" t="s">
        <v>33</v>
      </c>
    </row>
    <row r="2543" spans="1:10" ht="21" customHeight="1">
      <c r="A2543" s="2" t="s">
        <v>3536</v>
      </c>
      <c r="B2543" s="2" t="s">
        <v>33</v>
      </c>
      <c r="C2543" s="4">
        <v>46009.25</v>
      </c>
      <c r="D2543" s="4">
        <v>46009.250289039352</v>
      </c>
      <c r="E2543" s="2">
        <v>2.37</v>
      </c>
      <c r="F2543" s="2">
        <v>63.6</v>
      </c>
      <c r="G2543" s="2" t="s">
        <v>983</v>
      </c>
      <c r="H2543" s="2" t="s">
        <v>984</v>
      </c>
      <c r="I2543" s="2"/>
      <c r="J2543" s="2" t="s">
        <v>33</v>
      </c>
    </row>
    <row r="2544" spans="1:10" ht="21" customHeight="1">
      <c r="A2544" s="2" t="s">
        <v>3537</v>
      </c>
      <c r="B2544" s="2" t="s">
        <v>3209</v>
      </c>
      <c r="C2544" s="4">
        <v>46010.25</v>
      </c>
      <c r="D2544" s="4">
        <v>46010.250327453701</v>
      </c>
      <c r="E2544" s="2">
        <v>2.2400000000000002</v>
      </c>
      <c r="F2544" s="2">
        <v>64</v>
      </c>
      <c r="G2544" s="2" t="s">
        <v>983</v>
      </c>
      <c r="H2544" s="2" t="s">
        <v>984</v>
      </c>
      <c r="I2544" s="2"/>
      <c r="J2544" s="2" t="s">
        <v>33</v>
      </c>
    </row>
    <row r="2545" spans="1:10" ht="21" customHeight="1">
      <c r="A2545" s="2" t="s">
        <v>3538</v>
      </c>
      <c r="B2545" s="2" t="s">
        <v>33</v>
      </c>
      <c r="C2545" s="4">
        <v>46011.25</v>
      </c>
      <c r="D2545" s="4">
        <v>46011.250414097223</v>
      </c>
      <c r="E2545" s="2">
        <v>2.73</v>
      </c>
      <c r="F2545" s="2">
        <v>59.3</v>
      </c>
      <c r="G2545" s="2" t="s">
        <v>983</v>
      </c>
      <c r="H2545" s="2" t="s">
        <v>984</v>
      </c>
      <c r="I2545" s="2"/>
      <c r="J2545" s="2" t="s">
        <v>33</v>
      </c>
    </row>
    <row r="2546" spans="1:10" ht="21" customHeight="1">
      <c r="A2546" s="2" t="s">
        <v>3539</v>
      </c>
      <c r="B2546" s="2" t="s">
        <v>33</v>
      </c>
      <c r="C2546" s="4">
        <v>46012.25</v>
      </c>
      <c r="D2546" s="4">
        <v>46012.250460648153</v>
      </c>
      <c r="E2546" s="2">
        <v>2.93</v>
      </c>
      <c r="F2546" s="2">
        <v>59.2</v>
      </c>
      <c r="G2546" s="2" t="s">
        <v>983</v>
      </c>
      <c r="H2546" s="2" t="s">
        <v>984</v>
      </c>
      <c r="I2546" s="2"/>
      <c r="J2546" s="2" t="s">
        <v>33</v>
      </c>
    </row>
    <row r="2547" spans="1:10" ht="21" customHeight="1">
      <c r="A2547" s="2" t="s">
        <v>3540</v>
      </c>
      <c r="B2547" s="2" t="s">
        <v>33</v>
      </c>
      <c r="C2547" s="4">
        <v>46013.25</v>
      </c>
      <c r="D2547" s="4">
        <v>46013.250333206015</v>
      </c>
      <c r="E2547" s="2">
        <v>2.6</v>
      </c>
      <c r="F2547" s="2">
        <v>65.5</v>
      </c>
      <c r="G2547" s="2" t="s">
        <v>983</v>
      </c>
      <c r="H2547" s="2" t="s">
        <v>984</v>
      </c>
      <c r="I2547" s="2"/>
      <c r="J2547" s="2" t="s">
        <v>33</v>
      </c>
    </row>
    <row r="2548" spans="1:10" ht="21" customHeight="1">
      <c r="A2548" s="2" t="s">
        <v>3541</v>
      </c>
      <c r="B2548" s="2" t="s">
        <v>33</v>
      </c>
      <c r="C2548" s="4">
        <v>46014.25</v>
      </c>
      <c r="D2548" s="4">
        <v>46014.250035567129</v>
      </c>
      <c r="E2548" s="2">
        <v>3.24</v>
      </c>
      <c r="F2548" s="2">
        <v>58.6</v>
      </c>
      <c r="G2548" s="2" t="s">
        <v>983</v>
      </c>
      <c r="H2548" s="2" t="s">
        <v>984</v>
      </c>
      <c r="I2548" s="2"/>
      <c r="J2548" s="2" t="s">
        <v>33</v>
      </c>
    </row>
    <row r="2549" spans="1:10" ht="21" customHeight="1">
      <c r="A2549" s="2" t="s">
        <v>3542</v>
      </c>
      <c r="B2549" s="2" t="s">
        <v>33</v>
      </c>
      <c r="C2549" s="4">
        <v>46015.25</v>
      </c>
      <c r="D2549" s="4">
        <v>46015.250040173611</v>
      </c>
      <c r="E2549" s="2">
        <v>2.84</v>
      </c>
      <c r="F2549" s="2">
        <v>63.4</v>
      </c>
      <c r="G2549" s="2" t="s">
        <v>983</v>
      </c>
      <c r="H2549" s="2" t="s">
        <v>984</v>
      </c>
      <c r="I2549" s="2" t="s">
        <v>985</v>
      </c>
      <c r="J2549" s="2" t="s">
        <v>33</v>
      </c>
    </row>
    <row r="2550" spans="1:10" ht="21" customHeight="1">
      <c r="A2550" s="2" t="s">
        <v>3543</v>
      </c>
      <c r="B2550" s="2" t="s">
        <v>33</v>
      </c>
      <c r="C2550" s="4">
        <v>46016.25</v>
      </c>
      <c r="D2550" s="4">
        <v>46016.250667928238</v>
      </c>
      <c r="E2550" s="2">
        <v>2.11</v>
      </c>
      <c r="F2550" s="2">
        <v>58.8</v>
      </c>
      <c r="G2550" s="2" t="s">
        <v>983</v>
      </c>
      <c r="H2550" s="2" t="s">
        <v>984</v>
      </c>
      <c r="I2550" s="2"/>
      <c r="J2550" s="2" t="s">
        <v>33</v>
      </c>
    </row>
    <row r="2551" spans="1:10" ht="21" customHeight="1">
      <c r="A2551" s="2" t="s">
        <v>3544</v>
      </c>
      <c r="B2551" s="2" t="s">
        <v>33</v>
      </c>
      <c r="C2551" s="4">
        <v>46017.25</v>
      </c>
      <c r="D2551" s="4">
        <v>46017.250177650465</v>
      </c>
      <c r="E2551" s="2">
        <v>2.65</v>
      </c>
      <c r="F2551" s="2">
        <v>58.5</v>
      </c>
      <c r="G2551" s="2" t="s">
        <v>983</v>
      </c>
      <c r="H2551" s="2" t="s">
        <v>984</v>
      </c>
      <c r="I2551" s="2"/>
      <c r="J2551" s="2" t="s">
        <v>33</v>
      </c>
    </row>
    <row r="2552" spans="1:10" ht="21" customHeight="1">
      <c r="A2552" s="2" t="s">
        <v>3545</v>
      </c>
      <c r="B2552" s="2" t="s">
        <v>33</v>
      </c>
      <c r="C2552" s="4">
        <v>46018.25</v>
      </c>
      <c r="D2552" s="4">
        <v>46018.250376793978</v>
      </c>
      <c r="E2552" s="2">
        <v>2.77</v>
      </c>
      <c r="F2552" s="2">
        <v>61.7</v>
      </c>
      <c r="G2552" s="2" t="s">
        <v>983</v>
      </c>
      <c r="H2552" s="2" t="s">
        <v>984</v>
      </c>
      <c r="I2552" s="2"/>
      <c r="J2552" s="2" t="s">
        <v>33</v>
      </c>
    </row>
    <row r="2553" spans="1:10" ht="21" customHeight="1">
      <c r="A2553" s="2" t="s">
        <v>3546</v>
      </c>
      <c r="B2553" s="2" t="s">
        <v>33</v>
      </c>
      <c r="C2553" s="4">
        <v>46019.25</v>
      </c>
      <c r="D2553" s="4">
        <v>46019.25064943287</v>
      </c>
      <c r="E2553" s="2">
        <v>2.4</v>
      </c>
      <c r="F2553" s="2">
        <v>65.8</v>
      </c>
      <c r="G2553" s="2" t="s">
        <v>983</v>
      </c>
      <c r="H2553" s="2" t="s">
        <v>984</v>
      </c>
      <c r="I2553" s="2"/>
      <c r="J2553" s="2" t="s">
        <v>33</v>
      </c>
    </row>
    <row r="2554" spans="1:10" ht="21" customHeight="1">
      <c r="A2554" s="2" t="s">
        <v>3547</v>
      </c>
      <c r="B2554" s="2" t="s">
        <v>33</v>
      </c>
      <c r="C2554" s="4">
        <v>46020.25</v>
      </c>
      <c r="D2554" s="4">
        <v>46020.250428726853</v>
      </c>
      <c r="E2554" s="2">
        <v>3.05</v>
      </c>
      <c r="F2554" s="2">
        <v>58.1</v>
      </c>
      <c r="G2554" s="2" t="s">
        <v>983</v>
      </c>
      <c r="H2554" s="2" t="s">
        <v>984</v>
      </c>
      <c r="I2554" s="2"/>
      <c r="J2554" s="2" t="s">
        <v>33</v>
      </c>
    </row>
    <row r="2555" spans="1:10" ht="21" customHeight="1">
      <c r="A2555" s="2" t="s">
        <v>3548</v>
      </c>
      <c r="B2555" s="2" t="s">
        <v>33</v>
      </c>
      <c r="C2555" s="4">
        <v>46021.25</v>
      </c>
      <c r="D2555" s="4">
        <v>46021.250145092592</v>
      </c>
      <c r="E2555" s="2">
        <v>2.8</v>
      </c>
      <c r="F2555" s="2">
        <v>58.9</v>
      </c>
      <c r="G2555" s="2" t="s">
        <v>983</v>
      </c>
      <c r="H2555" s="2" t="s">
        <v>984</v>
      </c>
      <c r="I2555" s="2"/>
      <c r="J2555" s="2" t="s">
        <v>33</v>
      </c>
    </row>
    <row r="2556" spans="1:10" ht="21" customHeight="1">
      <c r="A2556" s="2" t="s">
        <v>3549</v>
      </c>
      <c r="B2556" s="2" t="s">
        <v>33</v>
      </c>
      <c r="C2556" s="4">
        <v>46022.25</v>
      </c>
      <c r="D2556" s="4">
        <v>46022.250098969904</v>
      </c>
      <c r="E2556" s="2">
        <v>2.9</v>
      </c>
      <c r="F2556" s="2">
        <v>62.3</v>
      </c>
      <c r="G2556" s="2" t="s">
        <v>983</v>
      </c>
      <c r="H2556" s="2" t="s">
        <v>984</v>
      </c>
      <c r="I2556" s="2"/>
      <c r="J2556" s="2" t="s">
        <v>33</v>
      </c>
    </row>
    <row r="2557" spans="1:10" ht="21" customHeight="1">
      <c r="A2557" s="2" t="s">
        <v>3550</v>
      </c>
      <c r="B2557" s="2" t="s">
        <v>36</v>
      </c>
      <c r="C2557" s="4">
        <v>45658.25</v>
      </c>
      <c r="D2557" s="4">
        <v>45658.250281655091</v>
      </c>
      <c r="E2557" s="2"/>
      <c r="F2557" s="2"/>
      <c r="G2557" s="2" t="s">
        <v>983</v>
      </c>
      <c r="H2557" s="2" t="s">
        <v>1066</v>
      </c>
      <c r="I2557" s="2" t="s">
        <v>985</v>
      </c>
      <c r="J2557" s="2" t="s">
        <v>36</v>
      </c>
    </row>
    <row r="2558" spans="1:10" ht="21" customHeight="1">
      <c r="A2558" s="2" t="s">
        <v>3551</v>
      </c>
      <c r="B2558" s="2" t="s">
        <v>36</v>
      </c>
      <c r="C2558" s="4">
        <v>45659.25</v>
      </c>
      <c r="D2558" s="4">
        <v>45659.250438368057</v>
      </c>
      <c r="E2558" s="2">
        <v>2.94</v>
      </c>
      <c r="F2558" s="2">
        <v>65.8</v>
      </c>
      <c r="G2558" s="2" t="s">
        <v>983</v>
      </c>
      <c r="H2558" s="2" t="s">
        <v>984</v>
      </c>
      <c r="I2558" s="2"/>
      <c r="J2558" s="2" t="s">
        <v>36</v>
      </c>
    </row>
    <row r="2559" spans="1:10" ht="21" customHeight="1">
      <c r="A2559" s="2" t="s">
        <v>3552</v>
      </c>
      <c r="B2559" s="2" t="s">
        <v>36</v>
      </c>
      <c r="C2559" s="4">
        <v>45660.25</v>
      </c>
      <c r="D2559" s="4">
        <v>45660.250494525462</v>
      </c>
      <c r="E2559" s="2">
        <v>5.34</v>
      </c>
      <c r="F2559" s="2">
        <v>70.2</v>
      </c>
      <c r="G2559" s="2" t="s">
        <v>983</v>
      </c>
      <c r="H2559" s="2" t="s">
        <v>984</v>
      </c>
      <c r="I2559" s="2" t="s">
        <v>1053</v>
      </c>
      <c r="J2559" s="2" t="s">
        <v>36</v>
      </c>
    </row>
    <row r="2560" spans="1:10" ht="21" customHeight="1">
      <c r="A2560" s="2" t="s">
        <v>3553</v>
      </c>
      <c r="B2560" s="2" t="s">
        <v>36</v>
      </c>
      <c r="C2560" s="4">
        <v>45661.25</v>
      </c>
      <c r="D2560" s="4">
        <v>45661.250501932867</v>
      </c>
      <c r="E2560" s="2">
        <v>6.34</v>
      </c>
      <c r="F2560" s="2">
        <v>66</v>
      </c>
      <c r="G2560" s="2" t="s">
        <v>983</v>
      </c>
      <c r="H2560" s="2" t="s">
        <v>984</v>
      </c>
      <c r="I2560" s="2"/>
      <c r="J2560" s="2" t="s">
        <v>36</v>
      </c>
    </row>
    <row r="2561" spans="1:10" ht="21" customHeight="1">
      <c r="A2561" s="2" t="s">
        <v>3554</v>
      </c>
      <c r="B2561" s="2" t="s">
        <v>36</v>
      </c>
      <c r="C2561" s="4">
        <v>45662.25</v>
      </c>
      <c r="D2561" s="4">
        <v>45662.250510057871</v>
      </c>
      <c r="E2561" s="2">
        <v>5.78</v>
      </c>
      <c r="F2561" s="2">
        <v>68.8</v>
      </c>
      <c r="G2561" s="2" t="s">
        <v>983</v>
      </c>
      <c r="H2561" s="2" t="s">
        <v>984</v>
      </c>
      <c r="I2561" s="2" t="s">
        <v>1053</v>
      </c>
      <c r="J2561" s="2" t="s">
        <v>36</v>
      </c>
    </row>
    <row r="2562" spans="1:10" ht="21" customHeight="1">
      <c r="A2562" s="2" t="s">
        <v>3555</v>
      </c>
      <c r="B2562" s="2" t="s">
        <v>36</v>
      </c>
      <c r="C2562" s="4">
        <v>45663.25</v>
      </c>
      <c r="D2562" s="4">
        <v>45663.250442326389</v>
      </c>
      <c r="E2562" s="2">
        <v>3.15</v>
      </c>
      <c r="F2562" s="2">
        <v>62.2</v>
      </c>
      <c r="G2562" s="2" t="s">
        <v>983</v>
      </c>
      <c r="H2562" s="2" t="s">
        <v>984</v>
      </c>
      <c r="I2562" s="2"/>
      <c r="J2562" s="2" t="s">
        <v>36</v>
      </c>
    </row>
    <row r="2563" spans="1:10" ht="21" customHeight="1">
      <c r="A2563" s="2" t="s">
        <v>3556</v>
      </c>
      <c r="B2563" s="2" t="s">
        <v>36</v>
      </c>
      <c r="C2563" s="4">
        <v>45664.25</v>
      </c>
      <c r="D2563" s="4">
        <v>45664.250329999995</v>
      </c>
      <c r="E2563" s="2">
        <v>2.79</v>
      </c>
      <c r="F2563" s="2">
        <v>63</v>
      </c>
      <c r="G2563" s="2" t="s">
        <v>983</v>
      </c>
      <c r="H2563" s="2" t="s">
        <v>984</v>
      </c>
      <c r="I2563" s="2"/>
      <c r="J2563" s="2" t="s">
        <v>36</v>
      </c>
    </row>
    <row r="2564" spans="1:10" ht="21" customHeight="1">
      <c r="A2564" s="2" t="s">
        <v>3557</v>
      </c>
      <c r="B2564" s="2" t="s">
        <v>36</v>
      </c>
      <c r="C2564" s="4">
        <v>45665.25</v>
      </c>
      <c r="D2564" s="4">
        <v>45665.250212916668</v>
      </c>
      <c r="E2564" s="2">
        <v>2.48</v>
      </c>
      <c r="F2564" s="2">
        <v>65.400000000000006</v>
      </c>
      <c r="G2564" s="2" t="s">
        <v>983</v>
      </c>
      <c r="H2564" s="2" t="s">
        <v>984</v>
      </c>
      <c r="I2564" s="2"/>
      <c r="J2564" s="2" t="s">
        <v>36</v>
      </c>
    </row>
    <row r="2565" spans="1:10" ht="21" customHeight="1">
      <c r="A2565" s="2" t="s">
        <v>3558</v>
      </c>
      <c r="B2565" s="2" t="s">
        <v>36</v>
      </c>
      <c r="C2565" s="4">
        <v>45666.25</v>
      </c>
      <c r="D2565" s="4">
        <v>45666.25066730324</v>
      </c>
      <c r="E2565" s="2">
        <v>2.2400000000000002</v>
      </c>
      <c r="F2565" s="2">
        <v>64.900000000000006</v>
      </c>
      <c r="G2565" s="2" t="s">
        <v>983</v>
      </c>
      <c r="H2565" s="2" t="s">
        <v>984</v>
      </c>
      <c r="I2565" s="2"/>
      <c r="J2565" s="2" t="s">
        <v>36</v>
      </c>
    </row>
    <row r="2566" spans="1:10" ht="21" customHeight="1">
      <c r="A2566" s="2" t="s">
        <v>3559</v>
      </c>
      <c r="B2566" s="2" t="s">
        <v>36</v>
      </c>
      <c r="C2566" s="4">
        <v>45667.25</v>
      </c>
      <c r="D2566" s="4">
        <v>45667.250387361113</v>
      </c>
      <c r="E2566" s="2">
        <v>2.11</v>
      </c>
      <c r="F2566" s="2">
        <v>60.8</v>
      </c>
      <c r="G2566" s="2" t="s">
        <v>983</v>
      </c>
      <c r="H2566" s="2" t="s">
        <v>984</v>
      </c>
      <c r="I2566" s="2"/>
      <c r="J2566" s="2" t="s">
        <v>36</v>
      </c>
    </row>
    <row r="2567" spans="1:10" ht="21" customHeight="1">
      <c r="A2567" s="2" t="s">
        <v>3560</v>
      </c>
      <c r="B2567" s="2" t="s">
        <v>36</v>
      </c>
      <c r="C2567" s="4">
        <v>45668.25</v>
      </c>
      <c r="D2567" s="4">
        <v>45668.250402048609</v>
      </c>
      <c r="E2567" s="2">
        <v>2.12</v>
      </c>
      <c r="F2567" s="2">
        <v>61.3</v>
      </c>
      <c r="G2567" s="2" t="s">
        <v>983</v>
      </c>
      <c r="H2567" s="2" t="s">
        <v>984</v>
      </c>
      <c r="I2567" s="2"/>
      <c r="J2567" s="2" t="s">
        <v>36</v>
      </c>
    </row>
    <row r="2568" spans="1:10" ht="21" customHeight="1">
      <c r="A2568" s="2" t="s">
        <v>3561</v>
      </c>
      <c r="B2568" s="2" t="s">
        <v>36</v>
      </c>
      <c r="C2568" s="4">
        <v>45669.25</v>
      </c>
      <c r="D2568" s="4">
        <v>45669.250565995375</v>
      </c>
      <c r="E2568" s="2">
        <v>2.86</v>
      </c>
      <c r="F2568" s="2">
        <v>63.5</v>
      </c>
      <c r="G2568" s="2" t="s">
        <v>983</v>
      </c>
      <c r="H2568" s="2" t="s">
        <v>984</v>
      </c>
      <c r="I2568" s="2"/>
      <c r="J2568" s="2" t="s">
        <v>36</v>
      </c>
    </row>
    <row r="2569" spans="1:10" ht="21" customHeight="1">
      <c r="A2569" s="2" t="s">
        <v>3562</v>
      </c>
      <c r="B2569" s="2" t="s">
        <v>36</v>
      </c>
      <c r="C2569" s="4">
        <v>45670.25</v>
      </c>
      <c r="D2569" s="4">
        <v>45670.250609953699</v>
      </c>
      <c r="E2569" s="2">
        <v>2.98</v>
      </c>
      <c r="F2569" s="2">
        <v>64.2</v>
      </c>
      <c r="G2569" s="2" t="s">
        <v>983</v>
      </c>
      <c r="H2569" s="2" t="s">
        <v>984</v>
      </c>
      <c r="I2569" s="2"/>
      <c r="J2569" s="2" t="s">
        <v>36</v>
      </c>
    </row>
    <row r="2570" spans="1:10" ht="21" customHeight="1">
      <c r="A2570" s="2" t="s">
        <v>3563</v>
      </c>
      <c r="B2570" s="2" t="s">
        <v>36</v>
      </c>
      <c r="C2570" s="4">
        <v>45671.25</v>
      </c>
      <c r="D2570" s="4">
        <v>45671.250622719905</v>
      </c>
      <c r="E2570" s="2">
        <v>2.59</v>
      </c>
      <c r="F2570" s="2">
        <v>59.3</v>
      </c>
      <c r="G2570" s="2" t="s">
        <v>983</v>
      </c>
      <c r="H2570" s="2" t="s">
        <v>984</v>
      </c>
      <c r="I2570" s="2"/>
      <c r="J2570" s="2" t="s">
        <v>36</v>
      </c>
    </row>
    <row r="2571" spans="1:10" ht="21" customHeight="1">
      <c r="A2571" s="2" t="s">
        <v>3564</v>
      </c>
      <c r="B2571" s="2" t="s">
        <v>36</v>
      </c>
      <c r="C2571" s="4">
        <v>45672.25</v>
      </c>
      <c r="D2571" s="4">
        <v>45672.250228414356</v>
      </c>
      <c r="E2571" s="2">
        <v>3.22</v>
      </c>
      <c r="F2571" s="2">
        <v>59.2</v>
      </c>
      <c r="G2571" s="2" t="s">
        <v>983</v>
      </c>
      <c r="H2571" s="2" t="s">
        <v>984</v>
      </c>
      <c r="I2571" s="2"/>
      <c r="J2571" s="2" t="s">
        <v>36</v>
      </c>
    </row>
    <row r="2572" spans="1:10" ht="21" customHeight="1">
      <c r="A2572" s="2" t="s">
        <v>3565</v>
      </c>
      <c r="B2572" s="2" t="s">
        <v>36</v>
      </c>
      <c r="C2572" s="4">
        <v>45673.25</v>
      </c>
      <c r="D2572" s="4">
        <v>45673.250572604171</v>
      </c>
      <c r="E2572" s="2">
        <v>2.39</v>
      </c>
      <c r="F2572" s="2">
        <v>62.1</v>
      </c>
      <c r="G2572" s="2" t="s">
        <v>983</v>
      </c>
      <c r="H2572" s="2" t="s">
        <v>984</v>
      </c>
      <c r="I2572" s="2"/>
      <c r="J2572" s="2" t="s">
        <v>36</v>
      </c>
    </row>
    <row r="2573" spans="1:10" ht="21" customHeight="1">
      <c r="A2573" s="2" t="s">
        <v>3566</v>
      </c>
      <c r="B2573" s="2" t="s">
        <v>36</v>
      </c>
      <c r="C2573" s="4">
        <v>45674.25</v>
      </c>
      <c r="D2573" s="4">
        <v>45674.250587233793</v>
      </c>
      <c r="E2573" s="2">
        <v>2.4700000000000002</v>
      </c>
      <c r="F2573" s="2">
        <v>58.6</v>
      </c>
      <c r="G2573" s="2" t="s">
        <v>983</v>
      </c>
      <c r="H2573" s="2" t="s">
        <v>984</v>
      </c>
      <c r="I2573" s="2"/>
      <c r="J2573" s="2" t="s">
        <v>36</v>
      </c>
    </row>
    <row r="2574" spans="1:10" ht="21" customHeight="1">
      <c r="A2574" s="2" t="s">
        <v>3567</v>
      </c>
      <c r="B2574" s="2" t="s">
        <v>36</v>
      </c>
      <c r="C2574" s="4">
        <v>45675.25</v>
      </c>
      <c r="D2574" s="4">
        <v>45675.250133738431</v>
      </c>
      <c r="E2574" s="2">
        <v>2.78</v>
      </c>
      <c r="F2574" s="2">
        <v>64.3</v>
      </c>
      <c r="G2574" s="2" t="s">
        <v>983</v>
      </c>
      <c r="H2574" s="2" t="s">
        <v>984</v>
      </c>
      <c r="I2574" s="2" t="s">
        <v>985</v>
      </c>
      <c r="J2574" s="2" t="s">
        <v>36</v>
      </c>
    </row>
    <row r="2575" spans="1:10" ht="21" customHeight="1">
      <c r="A2575" s="2" t="s">
        <v>3568</v>
      </c>
      <c r="B2575" s="2" t="s">
        <v>36</v>
      </c>
      <c r="C2575" s="4">
        <v>45676.25</v>
      </c>
      <c r="D2575" s="4">
        <v>45676.250101967591</v>
      </c>
      <c r="E2575" s="2">
        <v>2.2999999999999998</v>
      </c>
      <c r="F2575" s="2">
        <v>60.7</v>
      </c>
      <c r="G2575" s="2" t="s">
        <v>983</v>
      </c>
      <c r="H2575" s="2" t="s">
        <v>984</v>
      </c>
      <c r="I2575" s="2"/>
      <c r="J2575" s="2" t="s">
        <v>36</v>
      </c>
    </row>
    <row r="2576" spans="1:10" ht="21" customHeight="1">
      <c r="A2576" s="2" t="s">
        <v>3569</v>
      </c>
      <c r="B2576" s="2" t="s">
        <v>36</v>
      </c>
      <c r="C2576" s="4">
        <v>45677.25</v>
      </c>
      <c r="D2576" s="4">
        <v>45677.250527916665</v>
      </c>
      <c r="E2576" s="2">
        <v>2.11</v>
      </c>
      <c r="F2576" s="2">
        <v>63.9</v>
      </c>
      <c r="G2576" s="2" t="s">
        <v>983</v>
      </c>
      <c r="H2576" s="2" t="s">
        <v>984</v>
      </c>
      <c r="I2576" s="2"/>
      <c r="J2576" s="2" t="s">
        <v>36</v>
      </c>
    </row>
    <row r="2577" spans="1:10" ht="21" customHeight="1">
      <c r="A2577" s="2" t="s">
        <v>3570</v>
      </c>
      <c r="B2577" s="2" t="s">
        <v>36</v>
      </c>
      <c r="C2577" s="4">
        <v>45678.25</v>
      </c>
      <c r="D2577" s="4">
        <v>45678.250670752313</v>
      </c>
      <c r="E2577" s="2">
        <v>2.12</v>
      </c>
      <c r="F2577" s="2">
        <v>61.6</v>
      </c>
      <c r="G2577" s="2" t="s">
        <v>983</v>
      </c>
      <c r="H2577" s="2" t="s">
        <v>984</v>
      </c>
      <c r="I2577" s="2"/>
      <c r="J2577" s="2" t="s">
        <v>36</v>
      </c>
    </row>
    <row r="2578" spans="1:10" ht="21" customHeight="1">
      <c r="A2578" s="2" t="s">
        <v>3571</v>
      </c>
      <c r="B2578" s="2" t="s">
        <v>36</v>
      </c>
      <c r="C2578" s="4">
        <v>45679.25</v>
      </c>
      <c r="D2578" s="4">
        <v>45679.250209212958</v>
      </c>
      <c r="E2578" s="2">
        <v>0</v>
      </c>
      <c r="F2578" s="2">
        <v>61.6</v>
      </c>
      <c r="G2578" s="2" t="s">
        <v>1175</v>
      </c>
      <c r="H2578" s="2" t="s">
        <v>984</v>
      </c>
      <c r="I2578" s="2"/>
      <c r="J2578" s="2" t="s">
        <v>36</v>
      </c>
    </row>
    <row r="2579" spans="1:10" ht="21" customHeight="1">
      <c r="A2579" s="2" t="s">
        <v>3572</v>
      </c>
      <c r="B2579" s="2" t="s">
        <v>36</v>
      </c>
      <c r="C2579" s="4">
        <v>45680.25</v>
      </c>
      <c r="D2579" s="4">
        <v>45680.250259872686</v>
      </c>
      <c r="E2579" s="2">
        <v>2.61</v>
      </c>
      <c r="F2579" s="2">
        <v>60</v>
      </c>
      <c r="G2579" s="2" t="s">
        <v>983</v>
      </c>
      <c r="H2579" s="2" t="s">
        <v>984</v>
      </c>
      <c r="I2579" s="2"/>
      <c r="J2579" s="2" t="s">
        <v>36</v>
      </c>
    </row>
    <row r="2580" spans="1:10" ht="21" customHeight="1">
      <c r="A2580" s="2" t="s">
        <v>3573</v>
      </c>
      <c r="B2580" s="2" t="s">
        <v>36</v>
      </c>
      <c r="C2580" s="4">
        <v>45681.25</v>
      </c>
      <c r="D2580" s="4">
        <v>45681.250689537039</v>
      </c>
      <c r="E2580" s="2">
        <v>3.23</v>
      </c>
      <c r="F2580" s="2">
        <v>61.7</v>
      </c>
      <c r="G2580" s="2" t="s">
        <v>983</v>
      </c>
      <c r="H2580" s="2" t="s">
        <v>984</v>
      </c>
      <c r="I2580" s="2"/>
      <c r="J2580" s="2" t="s">
        <v>36</v>
      </c>
    </row>
    <row r="2581" spans="1:10" ht="21" customHeight="1">
      <c r="A2581" s="2" t="s">
        <v>3574</v>
      </c>
      <c r="B2581" s="2" t="s">
        <v>36</v>
      </c>
      <c r="C2581" s="4">
        <v>45682.25</v>
      </c>
      <c r="D2581" s="4">
        <v>45682.250566354167</v>
      </c>
      <c r="E2581" s="2">
        <v>3.19</v>
      </c>
      <c r="F2581" s="2">
        <v>59.5</v>
      </c>
      <c r="G2581" s="2" t="s">
        <v>983</v>
      </c>
      <c r="H2581" s="2" t="s">
        <v>984</v>
      </c>
      <c r="I2581" s="2"/>
      <c r="J2581" s="2" t="s">
        <v>36</v>
      </c>
    </row>
    <row r="2582" spans="1:10" ht="21" customHeight="1">
      <c r="A2582" s="2" t="s">
        <v>3575</v>
      </c>
      <c r="B2582" s="2" t="s">
        <v>36</v>
      </c>
      <c r="C2582" s="4">
        <v>45683.25</v>
      </c>
      <c r="D2582" s="4">
        <v>45683.250224687501</v>
      </c>
      <c r="E2582" s="2">
        <v>2.2999999999999998</v>
      </c>
      <c r="F2582" s="2">
        <v>64.599999999999994</v>
      </c>
      <c r="G2582" s="2" t="s">
        <v>983</v>
      </c>
      <c r="H2582" s="2" t="s">
        <v>984</v>
      </c>
      <c r="I2582" s="2"/>
      <c r="J2582" s="2" t="s">
        <v>36</v>
      </c>
    </row>
    <row r="2583" spans="1:10" ht="21" customHeight="1">
      <c r="A2583" s="2" t="s">
        <v>3576</v>
      </c>
      <c r="B2583" s="2" t="s">
        <v>36</v>
      </c>
      <c r="C2583" s="4">
        <v>45684.25</v>
      </c>
      <c r="D2583" s="4">
        <v>45684.250142291668</v>
      </c>
      <c r="E2583" s="2">
        <v>2.4900000000000002</v>
      </c>
      <c r="F2583" s="2">
        <v>58.5</v>
      </c>
      <c r="G2583" s="2" t="s">
        <v>983</v>
      </c>
      <c r="H2583" s="2" t="s">
        <v>984</v>
      </c>
      <c r="I2583" s="2"/>
      <c r="J2583" s="2" t="s">
        <v>36</v>
      </c>
    </row>
    <row r="2584" spans="1:10" ht="21" customHeight="1">
      <c r="A2584" s="2" t="s">
        <v>3577</v>
      </c>
      <c r="B2584" s="2" t="s">
        <v>36</v>
      </c>
      <c r="C2584" s="4">
        <v>45685.25</v>
      </c>
      <c r="D2584" s="4">
        <v>45685.250488599537</v>
      </c>
      <c r="E2584" s="2">
        <v>2.36</v>
      </c>
      <c r="F2584" s="2">
        <v>58.6</v>
      </c>
      <c r="G2584" s="2" t="s">
        <v>983</v>
      </c>
      <c r="H2584" s="2" t="s">
        <v>984</v>
      </c>
      <c r="I2584" s="2"/>
      <c r="J2584" s="2" t="s">
        <v>36</v>
      </c>
    </row>
    <row r="2585" spans="1:10" ht="21" customHeight="1">
      <c r="A2585" s="2" t="s">
        <v>3578</v>
      </c>
      <c r="B2585" s="2" t="s">
        <v>3579</v>
      </c>
      <c r="C2585" s="4">
        <v>45686.25</v>
      </c>
      <c r="D2585" s="4">
        <v>45686.250297453706</v>
      </c>
      <c r="E2585" s="2">
        <v>2.85</v>
      </c>
      <c r="F2585" s="2">
        <v>65.5</v>
      </c>
      <c r="G2585" s="2" t="s">
        <v>983</v>
      </c>
      <c r="H2585" s="2" t="s">
        <v>984</v>
      </c>
      <c r="I2585" s="2"/>
      <c r="J2585" s="2" t="s">
        <v>36</v>
      </c>
    </row>
    <row r="2586" spans="1:10" ht="21" customHeight="1">
      <c r="A2586" s="2" t="s">
        <v>3580</v>
      </c>
      <c r="B2586" s="2" t="s">
        <v>36</v>
      </c>
      <c r="C2586" s="4">
        <v>45687.25</v>
      </c>
      <c r="D2586" s="4">
        <v>45687.250164837962</v>
      </c>
      <c r="E2586" s="2">
        <v>2.3199999999999998</v>
      </c>
      <c r="F2586" s="2">
        <v>62.8</v>
      </c>
      <c r="G2586" s="2" t="s">
        <v>983</v>
      </c>
      <c r="H2586" s="2" t="s">
        <v>984</v>
      </c>
      <c r="I2586" s="2"/>
      <c r="J2586" s="2" t="s">
        <v>36</v>
      </c>
    </row>
    <row r="2587" spans="1:10" ht="21" customHeight="1">
      <c r="A2587" s="2" t="s">
        <v>3581</v>
      </c>
      <c r="B2587" s="2" t="s">
        <v>36</v>
      </c>
      <c r="C2587" s="4">
        <v>45688.25</v>
      </c>
      <c r="D2587" s="4">
        <v>45688.250068912035</v>
      </c>
      <c r="E2587" s="2">
        <v>2.5499999999999998</v>
      </c>
      <c r="F2587" s="2">
        <v>60.2</v>
      </c>
      <c r="G2587" s="2" t="s">
        <v>983</v>
      </c>
      <c r="H2587" s="2" t="s">
        <v>984</v>
      </c>
      <c r="I2587" s="2"/>
      <c r="J2587" s="2" t="s">
        <v>36</v>
      </c>
    </row>
    <row r="2588" spans="1:10" ht="21" customHeight="1">
      <c r="A2588" s="2" t="s">
        <v>3582</v>
      </c>
      <c r="B2588" s="2" t="s">
        <v>36</v>
      </c>
      <c r="C2588" s="4">
        <v>45689.25</v>
      </c>
      <c r="D2588" s="4">
        <v>45689.250362118051</v>
      </c>
      <c r="E2588" s="2">
        <v>2.87</v>
      </c>
      <c r="F2588" s="2">
        <v>59.5</v>
      </c>
      <c r="G2588" s="2" t="s">
        <v>983</v>
      </c>
      <c r="H2588" s="2" t="s">
        <v>984</v>
      </c>
      <c r="I2588" s="2"/>
      <c r="J2588" s="2" t="s">
        <v>36</v>
      </c>
    </row>
    <row r="2589" spans="1:10" ht="21" customHeight="1">
      <c r="A2589" s="2" t="s">
        <v>3583</v>
      </c>
      <c r="B2589" s="2" t="s">
        <v>36</v>
      </c>
      <c r="C2589" s="4">
        <v>45690.25</v>
      </c>
      <c r="D2589" s="4">
        <v>45690.250208067126</v>
      </c>
      <c r="E2589" s="2">
        <v>3.29</v>
      </c>
      <c r="F2589" s="2">
        <v>61.5</v>
      </c>
      <c r="G2589" s="2" t="s">
        <v>983</v>
      </c>
      <c r="H2589" s="2" t="s">
        <v>984</v>
      </c>
      <c r="I2589" s="2"/>
      <c r="J2589" s="2" t="s">
        <v>36</v>
      </c>
    </row>
    <row r="2590" spans="1:10" ht="21" customHeight="1">
      <c r="A2590" s="2" t="s">
        <v>3584</v>
      </c>
      <c r="B2590" s="2" t="s">
        <v>36</v>
      </c>
      <c r="C2590" s="4">
        <v>45691.25</v>
      </c>
      <c r="D2590" s="4">
        <v>45691.250303530091</v>
      </c>
      <c r="E2590" s="2">
        <v>2.12</v>
      </c>
      <c r="F2590" s="2">
        <v>62</v>
      </c>
      <c r="G2590" s="2" t="s">
        <v>983</v>
      </c>
      <c r="H2590" s="2" t="s">
        <v>984</v>
      </c>
      <c r="I2590" s="2"/>
      <c r="J2590" s="2" t="s">
        <v>36</v>
      </c>
    </row>
    <row r="2591" spans="1:10" ht="21" customHeight="1">
      <c r="A2591" s="2" t="s">
        <v>3585</v>
      </c>
      <c r="B2591" s="2" t="s">
        <v>36</v>
      </c>
      <c r="C2591" s="4">
        <v>45692.25</v>
      </c>
      <c r="D2591" s="4">
        <v>45692.250396006944</v>
      </c>
      <c r="E2591" s="2">
        <v>2.52</v>
      </c>
      <c r="F2591" s="2">
        <v>64.900000000000006</v>
      </c>
      <c r="G2591" s="2" t="s">
        <v>983</v>
      </c>
      <c r="H2591" s="2" t="s">
        <v>984</v>
      </c>
      <c r="I2591" s="2" t="s">
        <v>985</v>
      </c>
      <c r="J2591" s="2" t="s">
        <v>36</v>
      </c>
    </row>
    <row r="2592" spans="1:10" ht="21" customHeight="1">
      <c r="A2592" s="2" t="s">
        <v>3586</v>
      </c>
      <c r="B2592" s="2" t="s">
        <v>36</v>
      </c>
      <c r="C2592" s="4">
        <v>45693.25</v>
      </c>
      <c r="D2592" s="4">
        <v>45693.250531458332</v>
      </c>
      <c r="E2592" s="2">
        <v>3.21</v>
      </c>
      <c r="F2592" s="2">
        <v>61</v>
      </c>
      <c r="G2592" s="2" t="s">
        <v>983</v>
      </c>
      <c r="H2592" s="2" t="s">
        <v>984</v>
      </c>
      <c r="I2592" s="2"/>
      <c r="J2592" s="2" t="s">
        <v>36</v>
      </c>
    </row>
    <row r="2593" spans="1:10" ht="21" customHeight="1">
      <c r="A2593" s="2" t="s">
        <v>3587</v>
      </c>
      <c r="B2593" s="2" t="s">
        <v>36</v>
      </c>
      <c r="C2593" s="4">
        <v>45694.25</v>
      </c>
      <c r="D2593" s="4">
        <v>45694.250296631944</v>
      </c>
      <c r="E2593" s="2">
        <v>2.62</v>
      </c>
      <c r="F2593" s="2">
        <v>60.8</v>
      </c>
      <c r="G2593" s="2" t="s">
        <v>983</v>
      </c>
      <c r="H2593" s="2" t="s">
        <v>984</v>
      </c>
      <c r="I2593" s="2"/>
      <c r="J2593" s="2" t="s">
        <v>36</v>
      </c>
    </row>
    <row r="2594" spans="1:10" ht="21" customHeight="1">
      <c r="A2594" s="2" t="s">
        <v>3588</v>
      </c>
      <c r="B2594" s="2" t="s">
        <v>36</v>
      </c>
      <c r="C2594" s="4">
        <v>45695.25</v>
      </c>
      <c r="D2594" s="4">
        <v>45695.250439814816</v>
      </c>
      <c r="E2594" s="2">
        <v>2.72</v>
      </c>
      <c r="F2594" s="2">
        <v>59.9</v>
      </c>
      <c r="G2594" s="2" t="s">
        <v>983</v>
      </c>
      <c r="H2594" s="2" t="s">
        <v>984</v>
      </c>
      <c r="I2594" s="2"/>
      <c r="J2594" s="2" t="s">
        <v>36</v>
      </c>
    </row>
    <row r="2595" spans="1:10" ht="21" customHeight="1">
      <c r="A2595" s="2" t="s">
        <v>3589</v>
      </c>
      <c r="B2595" s="2" t="s">
        <v>36</v>
      </c>
      <c r="C2595" s="4">
        <v>45696.25</v>
      </c>
      <c r="D2595" s="4">
        <v>45696.250335127319</v>
      </c>
      <c r="E2595" s="2">
        <v>0</v>
      </c>
      <c r="F2595" s="2">
        <v>63.3</v>
      </c>
      <c r="G2595" s="2" t="s">
        <v>1175</v>
      </c>
      <c r="H2595" s="2" t="s">
        <v>984</v>
      </c>
      <c r="I2595" s="2"/>
      <c r="J2595" s="2" t="s">
        <v>36</v>
      </c>
    </row>
    <row r="2596" spans="1:10" ht="21" customHeight="1">
      <c r="A2596" s="2" t="s">
        <v>3590</v>
      </c>
      <c r="B2596" s="2" t="s">
        <v>36</v>
      </c>
      <c r="C2596" s="4">
        <v>45697.25</v>
      </c>
      <c r="D2596" s="4">
        <v>45697.250253483799</v>
      </c>
      <c r="E2596" s="2">
        <v>2.88</v>
      </c>
      <c r="F2596" s="2">
        <v>65.400000000000006</v>
      </c>
      <c r="G2596" s="2" t="s">
        <v>983</v>
      </c>
      <c r="H2596" s="2" t="s">
        <v>984</v>
      </c>
      <c r="I2596" s="2"/>
      <c r="J2596" s="2" t="s">
        <v>36</v>
      </c>
    </row>
    <row r="2597" spans="1:10" ht="21" customHeight="1">
      <c r="A2597" s="2" t="s">
        <v>3591</v>
      </c>
      <c r="B2597" s="2" t="s">
        <v>36</v>
      </c>
      <c r="C2597" s="4">
        <v>45698.25</v>
      </c>
      <c r="D2597" s="4">
        <v>45698.250453668981</v>
      </c>
      <c r="E2597" s="2"/>
      <c r="F2597" s="2"/>
      <c r="G2597" s="2" t="s">
        <v>983</v>
      </c>
      <c r="H2597" s="2" t="s">
        <v>1066</v>
      </c>
      <c r="I2597" s="2"/>
      <c r="J2597" s="2" t="s">
        <v>36</v>
      </c>
    </row>
    <row r="2598" spans="1:10" ht="21" customHeight="1">
      <c r="A2598" s="2" t="s">
        <v>3592</v>
      </c>
      <c r="B2598" s="2" t="s">
        <v>36</v>
      </c>
      <c r="C2598" s="4">
        <v>45699.25</v>
      </c>
      <c r="D2598" s="4">
        <v>45699.25056670139</v>
      </c>
      <c r="E2598" s="2">
        <v>2.81</v>
      </c>
      <c r="F2598" s="2">
        <v>65.599999999999994</v>
      </c>
      <c r="G2598" s="2" t="s">
        <v>983</v>
      </c>
      <c r="H2598" s="2" t="s">
        <v>984</v>
      </c>
      <c r="I2598" s="2"/>
      <c r="J2598" s="2" t="s">
        <v>36</v>
      </c>
    </row>
    <row r="2599" spans="1:10" ht="21" customHeight="1">
      <c r="A2599" s="2" t="s">
        <v>3593</v>
      </c>
      <c r="B2599" s="2" t="s">
        <v>36</v>
      </c>
      <c r="C2599" s="4">
        <v>45700.25</v>
      </c>
      <c r="D2599" s="4">
        <v>45700.250176840273</v>
      </c>
      <c r="E2599" s="2">
        <v>2.87</v>
      </c>
      <c r="F2599" s="2">
        <v>62.9</v>
      </c>
      <c r="G2599" s="2" t="s">
        <v>983</v>
      </c>
      <c r="H2599" s="2" t="s">
        <v>984</v>
      </c>
      <c r="I2599" s="2"/>
      <c r="J2599" s="2" t="s">
        <v>36</v>
      </c>
    </row>
    <row r="2600" spans="1:10" ht="21" customHeight="1">
      <c r="A2600" s="2" t="s">
        <v>3594</v>
      </c>
      <c r="B2600" s="2" t="s">
        <v>36</v>
      </c>
      <c r="C2600" s="4">
        <v>45701.25</v>
      </c>
      <c r="D2600" s="4">
        <v>45701.250550081022</v>
      </c>
      <c r="E2600" s="2">
        <v>3.16</v>
      </c>
      <c r="F2600" s="2">
        <v>62.7</v>
      </c>
      <c r="G2600" s="2" t="s">
        <v>983</v>
      </c>
      <c r="H2600" s="2" t="s">
        <v>984</v>
      </c>
      <c r="I2600" s="2"/>
      <c r="J2600" s="2" t="s">
        <v>36</v>
      </c>
    </row>
    <row r="2601" spans="1:10" ht="21" customHeight="1">
      <c r="A2601" s="2" t="s">
        <v>3595</v>
      </c>
      <c r="B2601" s="2" t="s">
        <v>36</v>
      </c>
      <c r="C2601" s="4">
        <v>45702.25</v>
      </c>
      <c r="D2601" s="4">
        <v>45702.250572789351</v>
      </c>
      <c r="E2601" s="2">
        <v>2.79</v>
      </c>
      <c r="F2601" s="2">
        <v>59.4</v>
      </c>
      <c r="G2601" s="2" t="s">
        <v>983</v>
      </c>
      <c r="H2601" s="2" t="s">
        <v>984</v>
      </c>
      <c r="I2601" s="2"/>
      <c r="J2601" s="2" t="s">
        <v>36</v>
      </c>
    </row>
    <row r="2602" spans="1:10" ht="21" customHeight="1">
      <c r="A2602" s="2" t="s">
        <v>3596</v>
      </c>
      <c r="B2602" s="2" t="s">
        <v>36</v>
      </c>
      <c r="C2602" s="4">
        <v>45703.25</v>
      </c>
      <c r="D2602" s="4">
        <v>45703.250162800927</v>
      </c>
      <c r="E2602" s="2">
        <v>2.23</v>
      </c>
      <c r="F2602" s="2">
        <v>65.2</v>
      </c>
      <c r="G2602" s="2" t="s">
        <v>983</v>
      </c>
      <c r="H2602" s="2" t="s">
        <v>984</v>
      </c>
      <c r="I2602" s="2"/>
      <c r="J2602" s="2" t="s">
        <v>36</v>
      </c>
    </row>
    <row r="2603" spans="1:10" ht="21" customHeight="1">
      <c r="A2603" s="2" t="s">
        <v>3597</v>
      </c>
      <c r="B2603" s="2" t="s">
        <v>36</v>
      </c>
      <c r="C2603" s="4">
        <v>45704.25</v>
      </c>
      <c r="D2603" s="4">
        <v>45704.250419988428</v>
      </c>
      <c r="E2603" s="2">
        <v>2.9</v>
      </c>
      <c r="F2603" s="2">
        <v>58.2</v>
      </c>
      <c r="G2603" s="2" t="s">
        <v>983</v>
      </c>
      <c r="H2603" s="2" t="s">
        <v>984</v>
      </c>
      <c r="I2603" s="2"/>
      <c r="J2603" s="2" t="s">
        <v>36</v>
      </c>
    </row>
    <row r="2604" spans="1:10" ht="21" customHeight="1">
      <c r="A2604" s="2" t="s">
        <v>3598</v>
      </c>
      <c r="B2604" s="2" t="s">
        <v>36</v>
      </c>
      <c r="C2604" s="4">
        <v>45705.25</v>
      </c>
      <c r="D2604" s="4">
        <v>45705.250400821758</v>
      </c>
      <c r="E2604" s="2">
        <v>2.92</v>
      </c>
      <c r="F2604" s="2">
        <v>65.3</v>
      </c>
      <c r="G2604" s="2" t="s">
        <v>983</v>
      </c>
      <c r="H2604" s="2" t="s">
        <v>984</v>
      </c>
      <c r="I2604" s="2"/>
      <c r="J2604" s="2" t="s">
        <v>36</v>
      </c>
    </row>
    <row r="2605" spans="1:10" ht="21" customHeight="1">
      <c r="A2605" s="2" t="s">
        <v>3599</v>
      </c>
      <c r="B2605" s="2" t="s">
        <v>36</v>
      </c>
      <c r="C2605" s="4">
        <v>45706.25</v>
      </c>
      <c r="D2605" s="4">
        <v>45706.250371944443</v>
      </c>
      <c r="E2605" s="2">
        <v>2.57</v>
      </c>
      <c r="F2605" s="2">
        <v>61.1</v>
      </c>
      <c r="G2605" s="2" t="s">
        <v>983</v>
      </c>
      <c r="H2605" s="2" t="s">
        <v>984</v>
      </c>
      <c r="I2605" s="2"/>
      <c r="J2605" s="2" t="s">
        <v>36</v>
      </c>
    </row>
    <row r="2606" spans="1:10" ht="21" customHeight="1">
      <c r="A2606" s="2" t="s">
        <v>3600</v>
      </c>
      <c r="B2606" s="2" t="s">
        <v>36</v>
      </c>
      <c r="C2606" s="4">
        <v>45707.25</v>
      </c>
      <c r="D2606" s="4">
        <v>45707.25041414352</v>
      </c>
      <c r="E2606" s="2">
        <v>2.54</v>
      </c>
      <c r="F2606" s="2">
        <v>62.5</v>
      </c>
      <c r="G2606" s="2" t="s">
        <v>983</v>
      </c>
      <c r="H2606" s="2" t="s">
        <v>984</v>
      </c>
      <c r="I2606" s="2"/>
      <c r="J2606" s="2" t="s">
        <v>36</v>
      </c>
    </row>
    <row r="2607" spans="1:10" ht="21" customHeight="1">
      <c r="A2607" s="2" t="s">
        <v>3601</v>
      </c>
      <c r="B2607" s="2" t="s">
        <v>36</v>
      </c>
      <c r="C2607" s="4">
        <v>45708.25</v>
      </c>
      <c r="D2607" s="4">
        <v>45708.250508368059</v>
      </c>
      <c r="E2607" s="2">
        <v>2.96</v>
      </c>
      <c r="F2607" s="2">
        <v>59.2</v>
      </c>
      <c r="G2607" s="2" t="s">
        <v>983</v>
      </c>
      <c r="H2607" s="2" t="s">
        <v>984</v>
      </c>
      <c r="I2607" s="2"/>
      <c r="J2607" s="2" t="s">
        <v>36</v>
      </c>
    </row>
    <row r="2608" spans="1:10" ht="21" customHeight="1">
      <c r="A2608" s="2" t="s">
        <v>3602</v>
      </c>
      <c r="B2608" s="2" t="s">
        <v>36</v>
      </c>
      <c r="C2608" s="4">
        <v>45709.25</v>
      </c>
      <c r="D2608" s="4">
        <v>45709.250168206017</v>
      </c>
      <c r="E2608" s="2">
        <v>2.27</v>
      </c>
      <c r="F2608" s="2">
        <v>64.7</v>
      </c>
      <c r="G2608" s="2" t="s">
        <v>983</v>
      </c>
      <c r="H2608" s="2" t="s">
        <v>984</v>
      </c>
      <c r="I2608" s="2" t="s">
        <v>985</v>
      </c>
      <c r="J2608" s="2" t="s">
        <v>36</v>
      </c>
    </row>
    <row r="2609" spans="1:10" ht="21" customHeight="1">
      <c r="A2609" s="2" t="s">
        <v>3603</v>
      </c>
      <c r="B2609" s="2" t="s">
        <v>36</v>
      </c>
      <c r="C2609" s="4">
        <v>45710.25</v>
      </c>
      <c r="D2609" s="4">
        <v>45710.250325000001</v>
      </c>
      <c r="E2609" s="2">
        <v>3.22</v>
      </c>
      <c r="F2609" s="2">
        <v>59.5</v>
      </c>
      <c r="G2609" s="2" t="s">
        <v>983</v>
      </c>
      <c r="H2609" s="2" t="s">
        <v>984</v>
      </c>
      <c r="I2609" s="2"/>
      <c r="J2609" s="2" t="s">
        <v>36</v>
      </c>
    </row>
    <row r="2610" spans="1:10" ht="21" customHeight="1">
      <c r="A2610" s="2" t="s">
        <v>3604</v>
      </c>
      <c r="B2610" s="2" t="s">
        <v>36</v>
      </c>
      <c r="C2610" s="4">
        <v>45711.25</v>
      </c>
      <c r="D2610" s="4">
        <v>45711.250653344905</v>
      </c>
      <c r="E2610" s="2">
        <v>2.97</v>
      </c>
      <c r="F2610" s="2">
        <v>60.9</v>
      </c>
      <c r="G2610" s="2" t="s">
        <v>983</v>
      </c>
      <c r="H2610" s="2" t="s">
        <v>984</v>
      </c>
      <c r="I2610" s="2"/>
      <c r="J2610" s="2" t="s">
        <v>36</v>
      </c>
    </row>
    <row r="2611" spans="1:10" ht="21" customHeight="1">
      <c r="A2611" s="2" t="s">
        <v>3605</v>
      </c>
      <c r="B2611" s="2" t="s">
        <v>36</v>
      </c>
      <c r="C2611" s="4">
        <v>45712.25</v>
      </c>
      <c r="D2611" s="4">
        <v>45712.250050023147</v>
      </c>
      <c r="E2611" s="2">
        <v>2.9</v>
      </c>
      <c r="F2611" s="2">
        <v>61.3</v>
      </c>
      <c r="G2611" s="2" t="s">
        <v>983</v>
      </c>
      <c r="H2611" s="2" t="s">
        <v>984</v>
      </c>
      <c r="I2611" s="2"/>
      <c r="J2611" s="2" t="s">
        <v>36</v>
      </c>
    </row>
    <row r="2612" spans="1:10" ht="21" customHeight="1">
      <c r="A2612" s="2" t="s">
        <v>3606</v>
      </c>
      <c r="B2612" s="2" t="s">
        <v>36</v>
      </c>
      <c r="C2612" s="4">
        <v>45713.25</v>
      </c>
      <c r="D2612" s="4">
        <v>45713.250504351847</v>
      </c>
      <c r="E2612" s="2">
        <v>2.69</v>
      </c>
      <c r="F2612" s="2">
        <v>61.8</v>
      </c>
      <c r="G2612" s="2" t="s">
        <v>983</v>
      </c>
      <c r="H2612" s="2" t="s">
        <v>984</v>
      </c>
      <c r="I2612" s="2"/>
      <c r="J2612" s="2" t="s">
        <v>36</v>
      </c>
    </row>
    <row r="2613" spans="1:10" ht="21" customHeight="1">
      <c r="A2613" s="2" t="s">
        <v>3607</v>
      </c>
      <c r="B2613" s="2" t="s">
        <v>36</v>
      </c>
      <c r="C2613" s="4">
        <v>45714.25</v>
      </c>
      <c r="D2613" s="4">
        <v>45714.250415636576</v>
      </c>
      <c r="E2613" s="2">
        <v>2.38</v>
      </c>
      <c r="F2613" s="2">
        <v>66</v>
      </c>
      <c r="G2613" s="2" t="s">
        <v>983</v>
      </c>
      <c r="H2613" s="2" t="s">
        <v>984</v>
      </c>
      <c r="I2613" s="2"/>
      <c r="J2613" s="2" t="s">
        <v>36</v>
      </c>
    </row>
    <row r="2614" spans="1:10" ht="21" customHeight="1">
      <c r="A2614" s="2" t="s">
        <v>3608</v>
      </c>
      <c r="B2614" s="2" t="s">
        <v>36</v>
      </c>
      <c r="C2614" s="4">
        <v>45715.25</v>
      </c>
      <c r="D2614" s="4">
        <v>45715.250615416662</v>
      </c>
      <c r="E2614" s="2">
        <v>2.46</v>
      </c>
      <c r="F2614" s="2">
        <v>63.8</v>
      </c>
      <c r="G2614" s="2" t="s">
        <v>983</v>
      </c>
      <c r="H2614" s="2" t="s">
        <v>984</v>
      </c>
      <c r="I2614" s="2"/>
      <c r="J2614" s="2" t="s">
        <v>36</v>
      </c>
    </row>
    <row r="2615" spans="1:10" ht="21" customHeight="1">
      <c r="A2615" s="2" t="s">
        <v>3609</v>
      </c>
      <c r="B2615" s="2" t="s">
        <v>36</v>
      </c>
      <c r="C2615" s="4">
        <v>45716.25</v>
      </c>
      <c r="D2615" s="4">
        <v>45716.250012997683</v>
      </c>
      <c r="E2615" s="2">
        <v>2.4900000000000002</v>
      </c>
      <c r="F2615" s="2">
        <v>59.2</v>
      </c>
      <c r="G2615" s="2" t="s">
        <v>983</v>
      </c>
      <c r="H2615" s="2" t="s">
        <v>984</v>
      </c>
      <c r="I2615" s="2"/>
      <c r="J2615" s="2" t="s">
        <v>36</v>
      </c>
    </row>
    <row r="2616" spans="1:10" ht="21" customHeight="1">
      <c r="A2616" s="2" t="s">
        <v>3610</v>
      </c>
      <c r="B2616" s="2" t="s">
        <v>36</v>
      </c>
      <c r="C2616" s="4">
        <v>45717.25</v>
      </c>
      <c r="D2616" s="4">
        <v>45717.25043915509</v>
      </c>
      <c r="E2616" s="2">
        <v>2.8</v>
      </c>
      <c r="F2616" s="2">
        <v>60.4</v>
      </c>
      <c r="G2616" s="2" t="s">
        <v>983</v>
      </c>
      <c r="H2616" s="2" t="s">
        <v>984</v>
      </c>
      <c r="I2616" s="2"/>
      <c r="J2616" s="2" t="s">
        <v>36</v>
      </c>
    </row>
    <row r="2617" spans="1:10" ht="21" customHeight="1">
      <c r="A2617" s="2" t="s">
        <v>3611</v>
      </c>
      <c r="B2617" s="2" t="s">
        <v>36</v>
      </c>
      <c r="C2617" s="4">
        <v>45718.25</v>
      </c>
      <c r="D2617" s="4">
        <v>45718.250543935181</v>
      </c>
      <c r="E2617" s="2">
        <v>2.99</v>
      </c>
      <c r="F2617" s="2">
        <v>58.5</v>
      </c>
      <c r="G2617" s="2" t="s">
        <v>983</v>
      </c>
      <c r="H2617" s="2" t="s">
        <v>984</v>
      </c>
      <c r="I2617" s="2"/>
      <c r="J2617" s="2" t="s">
        <v>36</v>
      </c>
    </row>
    <row r="2618" spans="1:10" ht="21" customHeight="1">
      <c r="A2618" s="2" t="s">
        <v>3612</v>
      </c>
      <c r="B2618" s="2" t="s">
        <v>36</v>
      </c>
      <c r="C2618" s="4">
        <v>45719.25</v>
      </c>
      <c r="D2618" s="4">
        <v>45719.250465046294</v>
      </c>
      <c r="E2618" s="2">
        <v>18.489999999999998</v>
      </c>
      <c r="F2618" s="2">
        <v>60.2</v>
      </c>
      <c r="G2618" s="2" t="s">
        <v>983</v>
      </c>
      <c r="H2618" s="2" t="s">
        <v>1022</v>
      </c>
      <c r="I2618" s="2"/>
      <c r="J2618" s="2" t="s">
        <v>36</v>
      </c>
    </row>
    <row r="2619" spans="1:10" ht="21" customHeight="1">
      <c r="A2619" s="2" t="s">
        <v>3613</v>
      </c>
      <c r="B2619" s="2" t="s">
        <v>36</v>
      </c>
      <c r="C2619" s="4">
        <v>45720.25</v>
      </c>
      <c r="D2619" s="4">
        <v>45720.2505303125</v>
      </c>
      <c r="E2619" s="2">
        <v>2.13</v>
      </c>
      <c r="F2619" s="2">
        <v>60.4</v>
      </c>
      <c r="G2619" s="2" t="s">
        <v>983</v>
      </c>
      <c r="H2619" s="2" t="s">
        <v>984</v>
      </c>
      <c r="I2619" s="2"/>
      <c r="J2619" s="2" t="s">
        <v>36</v>
      </c>
    </row>
    <row r="2620" spans="1:10" ht="21" customHeight="1">
      <c r="A2620" s="2" t="s">
        <v>3614</v>
      </c>
      <c r="B2620" s="2" t="s">
        <v>36</v>
      </c>
      <c r="C2620" s="4">
        <v>45721.25</v>
      </c>
      <c r="D2620" s="4">
        <v>45721.250692326386</v>
      </c>
      <c r="E2620" s="2">
        <v>2.4</v>
      </c>
      <c r="F2620" s="2">
        <v>65.099999999999994</v>
      </c>
      <c r="G2620" s="2" t="s">
        <v>983</v>
      </c>
      <c r="H2620" s="2" t="s">
        <v>984</v>
      </c>
      <c r="I2620" s="2"/>
      <c r="J2620" s="2" t="s">
        <v>36</v>
      </c>
    </row>
    <row r="2621" spans="1:10" ht="21" customHeight="1">
      <c r="A2621" s="2" t="s">
        <v>3615</v>
      </c>
      <c r="B2621" s="2" t="s">
        <v>36</v>
      </c>
      <c r="C2621" s="4">
        <v>45722.25</v>
      </c>
      <c r="D2621" s="4">
        <v>45722.250390300927</v>
      </c>
      <c r="E2621" s="2">
        <v>2.52</v>
      </c>
      <c r="F2621" s="2">
        <v>58.1</v>
      </c>
      <c r="G2621" s="2" t="s">
        <v>983</v>
      </c>
      <c r="H2621" s="2" t="s">
        <v>984</v>
      </c>
      <c r="I2621" s="2"/>
      <c r="J2621" s="2" t="s">
        <v>36</v>
      </c>
    </row>
    <row r="2622" spans="1:10" ht="21" customHeight="1">
      <c r="A2622" s="2" t="s">
        <v>3616</v>
      </c>
      <c r="B2622" s="2" t="s">
        <v>36</v>
      </c>
      <c r="C2622" s="4">
        <v>45723.25</v>
      </c>
      <c r="D2622" s="4">
        <v>45723.250314826393</v>
      </c>
      <c r="E2622" s="2">
        <v>2.21</v>
      </c>
      <c r="F2622" s="2">
        <v>64.7</v>
      </c>
      <c r="G2622" s="2" t="s">
        <v>983</v>
      </c>
      <c r="H2622" s="2" t="s">
        <v>984</v>
      </c>
      <c r="I2622" s="2"/>
      <c r="J2622" s="2" t="s">
        <v>36</v>
      </c>
    </row>
    <row r="2623" spans="1:10" ht="21" customHeight="1">
      <c r="A2623" s="2" t="s">
        <v>3617</v>
      </c>
      <c r="B2623" s="2" t="s">
        <v>36</v>
      </c>
      <c r="C2623" s="4">
        <v>45724.25</v>
      </c>
      <c r="D2623" s="4">
        <v>45724.250567777781</v>
      </c>
      <c r="E2623" s="2">
        <v>2.19</v>
      </c>
      <c r="F2623" s="2">
        <v>58.2</v>
      </c>
      <c r="G2623" s="2" t="s">
        <v>983</v>
      </c>
      <c r="H2623" s="2" t="s">
        <v>984</v>
      </c>
      <c r="I2623" s="2"/>
      <c r="J2623" s="2" t="s">
        <v>36</v>
      </c>
    </row>
    <row r="2624" spans="1:10" ht="21" customHeight="1">
      <c r="A2624" s="2" t="s">
        <v>3618</v>
      </c>
      <c r="B2624" s="2" t="s">
        <v>36</v>
      </c>
      <c r="C2624" s="4">
        <v>45725.25</v>
      </c>
      <c r="D2624" s="4">
        <v>45725.250388321758</v>
      </c>
      <c r="E2624" s="2">
        <v>2.4300000000000002</v>
      </c>
      <c r="F2624" s="2">
        <v>64.8</v>
      </c>
      <c r="G2624" s="2" t="s">
        <v>983</v>
      </c>
      <c r="H2624" s="2" t="s">
        <v>984</v>
      </c>
      <c r="I2624" s="2"/>
      <c r="J2624" s="2" t="s">
        <v>36</v>
      </c>
    </row>
    <row r="2625" spans="1:10" ht="21" customHeight="1">
      <c r="A2625" s="2" t="s">
        <v>3619</v>
      </c>
      <c r="B2625" s="2" t="s">
        <v>36</v>
      </c>
      <c r="C2625" s="4">
        <v>45726.25</v>
      </c>
      <c r="D2625" s="4">
        <v>45726.250164571757</v>
      </c>
      <c r="E2625" s="2">
        <v>3.04</v>
      </c>
      <c r="F2625" s="2">
        <v>61.3</v>
      </c>
      <c r="G2625" s="2" t="s">
        <v>983</v>
      </c>
      <c r="H2625" s="2" t="s">
        <v>984</v>
      </c>
      <c r="I2625" s="2" t="s">
        <v>985</v>
      </c>
      <c r="J2625" s="2" t="s">
        <v>36</v>
      </c>
    </row>
    <row r="2626" spans="1:10" ht="21" customHeight="1">
      <c r="A2626" s="2" t="s">
        <v>3620</v>
      </c>
      <c r="B2626" s="2" t="s">
        <v>3579</v>
      </c>
      <c r="C2626" s="4">
        <v>45727.25</v>
      </c>
      <c r="D2626" s="4">
        <v>45727.250045277775</v>
      </c>
      <c r="E2626" s="2">
        <v>2.81</v>
      </c>
      <c r="F2626" s="2">
        <v>63.7</v>
      </c>
      <c r="G2626" s="2" t="s">
        <v>983</v>
      </c>
      <c r="H2626" s="2" t="s">
        <v>984</v>
      </c>
      <c r="I2626" s="2"/>
      <c r="J2626" s="2" t="s">
        <v>36</v>
      </c>
    </row>
    <row r="2627" spans="1:10" ht="21" customHeight="1">
      <c r="A2627" s="2" t="s">
        <v>3621</v>
      </c>
      <c r="B2627" s="2" t="s">
        <v>36</v>
      </c>
      <c r="C2627" s="4">
        <v>45728.25</v>
      </c>
      <c r="D2627" s="4">
        <v>45728.250627291665</v>
      </c>
      <c r="E2627" s="2">
        <v>2.3199999999999998</v>
      </c>
      <c r="F2627" s="2">
        <v>62.7</v>
      </c>
      <c r="G2627" s="2" t="s">
        <v>983</v>
      </c>
      <c r="H2627" s="2" t="s">
        <v>984</v>
      </c>
      <c r="I2627" s="2"/>
      <c r="J2627" s="2" t="s">
        <v>36</v>
      </c>
    </row>
    <row r="2628" spans="1:10" ht="21" customHeight="1">
      <c r="A2628" s="2" t="s">
        <v>3622</v>
      </c>
      <c r="B2628" s="2" t="s">
        <v>36</v>
      </c>
      <c r="C2628" s="4">
        <v>45729.25</v>
      </c>
      <c r="D2628" s="4">
        <v>45729.250609039351</v>
      </c>
      <c r="E2628" s="2">
        <v>2.71</v>
      </c>
      <c r="F2628" s="2">
        <v>65.900000000000006</v>
      </c>
      <c r="G2628" s="2" t="s">
        <v>983</v>
      </c>
      <c r="H2628" s="2" t="s">
        <v>984</v>
      </c>
      <c r="I2628" s="2"/>
      <c r="J2628" s="2" t="s">
        <v>36</v>
      </c>
    </row>
    <row r="2629" spans="1:10" ht="21" customHeight="1">
      <c r="A2629" s="2" t="s">
        <v>3623</v>
      </c>
      <c r="B2629" s="2" t="s">
        <v>36</v>
      </c>
      <c r="C2629" s="4">
        <v>45730.25</v>
      </c>
      <c r="D2629" s="4">
        <v>45730.250294583333</v>
      </c>
      <c r="E2629" s="2">
        <v>2.69</v>
      </c>
      <c r="F2629" s="2">
        <v>60.6</v>
      </c>
      <c r="G2629" s="2" t="s">
        <v>983</v>
      </c>
      <c r="H2629" s="2" t="s">
        <v>984</v>
      </c>
      <c r="I2629" s="2"/>
      <c r="J2629" s="2" t="s">
        <v>36</v>
      </c>
    </row>
    <row r="2630" spans="1:10" ht="21" customHeight="1">
      <c r="A2630" s="2" t="s">
        <v>3624</v>
      </c>
      <c r="B2630" s="2" t="s">
        <v>36</v>
      </c>
      <c r="C2630" s="4">
        <v>45731.25</v>
      </c>
      <c r="D2630" s="4">
        <v>45731.250117523145</v>
      </c>
      <c r="E2630" s="2">
        <v>2.63</v>
      </c>
      <c r="F2630" s="2">
        <v>59.7</v>
      </c>
      <c r="G2630" s="2" t="s">
        <v>983</v>
      </c>
      <c r="H2630" s="2" t="s">
        <v>984</v>
      </c>
      <c r="I2630" s="2"/>
      <c r="J2630" s="2" t="s">
        <v>36</v>
      </c>
    </row>
    <row r="2631" spans="1:10" ht="21" customHeight="1">
      <c r="A2631" s="2" t="s">
        <v>3625</v>
      </c>
      <c r="B2631" s="2" t="s">
        <v>36</v>
      </c>
      <c r="C2631" s="4">
        <v>45732.25</v>
      </c>
      <c r="D2631" s="4">
        <v>45732.250614629629</v>
      </c>
      <c r="E2631" s="2">
        <v>2.82</v>
      </c>
      <c r="F2631" s="2">
        <v>63.7</v>
      </c>
      <c r="G2631" s="2" t="s">
        <v>983</v>
      </c>
      <c r="H2631" s="2" t="s">
        <v>984</v>
      </c>
      <c r="I2631" s="2"/>
      <c r="J2631" s="2" t="s">
        <v>36</v>
      </c>
    </row>
    <row r="2632" spans="1:10" ht="21" customHeight="1">
      <c r="A2632" s="2" t="s">
        <v>3626</v>
      </c>
      <c r="B2632" s="2" t="s">
        <v>36</v>
      </c>
      <c r="C2632" s="4">
        <v>45733.25</v>
      </c>
      <c r="D2632" s="4">
        <v>45733.250634594908</v>
      </c>
      <c r="E2632" s="2">
        <v>2.27</v>
      </c>
      <c r="F2632" s="2">
        <v>59.8</v>
      </c>
      <c r="G2632" s="2" t="s">
        <v>983</v>
      </c>
      <c r="H2632" s="2" t="s">
        <v>984</v>
      </c>
      <c r="I2632" s="2"/>
      <c r="J2632" s="2" t="s">
        <v>36</v>
      </c>
    </row>
    <row r="2633" spans="1:10" ht="21" customHeight="1">
      <c r="A2633" s="2" t="s">
        <v>3627</v>
      </c>
      <c r="B2633" s="2" t="s">
        <v>36</v>
      </c>
      <c r="C2633" s="4">
        <v>45734.25</v>
      </c>
      <c r="D2633" s="4">
        <v>45734.250494479165</v>
      </c>
      <c r="E2633" s="2">
        <v>2.11</v>
      </c>
      <c r="F2633" s="2">
        <v>63.9</v>
      </c>
      <c r="G2633" s="2" t="s">
        <v>983</v>
      </c>
      <c r="H2633" s="2" t="s">
        <v>984</v>
      </c>
      <c r="I2633" s="2"/>
      <c r="J2633" s="2" t="s">
        <v>36</v>
      </c>
    </row>
    <row r="2634" spans="1:10" ht="21" customHeight="1">
      <c r="A2634" s="2" t="s">
        <v>3628</v>
      </c>
      <c r="B2634" s="2" t="s">
        <v>36</v>
      </c>
      <c r="C2634" s="4">
        <v>45735.25</v>
      </c>
      <c r="D2634" s="4">
        <v>45735.250556481478</v>
      </c>
      <c r="E2634" s="2">
        <v>2.57</v>
      </c>
      <c r="F2634" s="2">
        <v>60.1</v>
      </c>
      <c r="G2634" s="2" t="s">
        <v>983</v>
      </c>
      <c r="H2634" s="2" t="s">
        <v>984</v>
      </c>
      <c r="I2634" s="2"/>
      <c r="J2634" s="2" t="s">
        <v>36</v>
      </c>
    </row>
    <row r="2635" spans="1:10" ht="21" customHeight="1">
      <c r="A2635" s="2" t="s">
        <v>3629</v>
      </c>
      <c r="B2635" s="2" t="s">
        <v>36</v>
      </c>
      <c r="C2635" s="4">
        <v>45736.25</v>
      </c>
      <c r="D2635" s="4">
        <v>45736.250523333336</v>
      </c>
      <c r="E2635" s="2">
        <v>2.79</v>
      </c>
      <c r="F2635" s="2">
        <v>65.2</v>
      </c>
      <c r="G2635" s="2" t="s">
        <v>983</v>
      </c>
      <c r="H2635" s="2" t="s">
        <v>984</v>
      </c>
      <c r="I2635" s="2"/>
      <c r="J2635" s="2" t="s">
        <v>36</v>
      </c>
    </row>
    <row r="2636" spans="1:10" ht="21" customHeight="1">
      <c r="A2636" s="2" t="s">
        <v>3630</v>
      </c>
      <c r="B2636" s="2" t="s">
        <v>36</v>
      </c>
      <c r="C2636" s="4">
        <v>45737.25</v>
      </c>
      <c r="D2636" s="4">
        <v>45737.250358368052</v>
      </c>
      <c r="E2636" s="2">
        <v>2.61</v>
      </c>
      <c r="F2636" s="2">
        <v>65.900000000000006</v>
      </c>
      <c r="G2636" s="2" t="s">
        <v>983</v>
      </c>
      <c r="H2636" s="2" t="s">
        <v>984</v>
      </c>
      <c r="I2636" s="2"/>
      <c r="J2636" s="2" t="s">
        <v>36</v>
      </c>
    </row>
    <row r="2637" spans="1:10" ht="21" customHeight="1">
      <c r="A2637" s="2" t="s">
        <v>3631</v>
      </c>
      <c r="B2637" s="2" t="s">
        <v>36</v>
      </c>
      <c r="C2637" s="4">
        <v>45738.25</v>
      </c>
      <c r="D2637" s="4">
        <v>45738.250113657406</v>
      </c>
      <c r="E2637" s="2">
        <v>2.85</v>
      </c>
      <c r="F2637" s="2">
        <v>58.3</v>
      </c>
      <c r="G2637" s="2" t="s">
        <v>983</v>
      </c>
      <c r="H2637" s="2" t="s">
        <v>984</v>
      </c>
      <c r="I2637" s="2"/>
      <c r="J2637" s="2" t="s">
        <v>36</v>
      </c>
    </row>
    <row r="2638" spans="1:10" ht="21" customHeight="1">
      <c r="A2638" s="2" t="s">
        <v>3632</v>
      </c>
      <c r="B2638" s="2" t="s">
        <v>36</v>
      </c>
      <c r="C2638" s="4">
        <v>45739.25</v>
      </c>
      <c r="D2638" s="4">
        <v>45739.250587430557</v>
      </c>
      <c r="E2638" s="2">
        <v>2.2400000000000002</v>
      </c>
      <c r="F2638" s="2">
        <v>59.5</v>
      </c>
      <c r="G2638" s="2" t="s">
        <v>983</v>
      </c>
      <c r="H2638" s="2" t="s">
        <v>984</v>
      </c>
      <c r="I2638" s="2"/>
      <c r="J2638" s="2" t="s">
        <v>36</v>
      </c>
    </row>
    <row r="2639" spans="1:10" ht="21" customHeight="1">
      <c r="A2639" s="2" t="s">
        <v>3633</v>
      </c>
      <c r="B2639" s="2" t="s">
        <v>36</v>
      </c>
      <c r="C2639" s="4">
        <v>45740.25</v>
      </c>
      <c r="D2639" s="4">
        <v>45740.250053402779</v>
      </c>
      <c r="E2639" s="2">
        <v>2.48</v>
      </c>
      <c r="F2639" s="2">
        <v>62.6</v>
      </c>
      <c r="G2639" s="2" t="s">
        <v>983</v>
      </c>
      <c r="H2639" s="2" t="s">
        <v>984</v>
      </c>
      <c r="I2639" s="2"/>
      <c r="J2639" s="2" t="s">
        <v>36</v>
      </c>
    </row>
    <row r="2640" spans="1:10" ht="21" customHeight="1">
      <c r="A2640" s="2" t="s">
        <v>3634</v>
      </c>
      <c r="B2640" s="2" t="s">
        <v>36</v>
      </c>
      <c r="C2640" s="4">
        <v>45741.25</v>
      </c>
      <c r="D2640" s="4">
        <v>45741.250680671292</v>
      </c>
      <c r="E2640" s="2">
        <v>2.79</v>
      </c>
      <c r="F2640" s="2">
        <v>66</v>
      </c>
      <c r="G2640" s="2" t="s">
        <v>983</v>
      </c>
      <c r="H2640" s="2" t="s">
        <v>984</v>
      </c>
      <c r="I2640" s="2"/>
      <c r="J2640" s="2" t="s">
        <v>36</v>
      </c>
    </row>
    <row r="2641" spans="1:10" ht="21" customHeight="1">
      <c r="A2641" s="2" t="s">
        <v>3635</v>
      </c>
      <c r="B2641" s="2" t="s">
        <v>36</v>
      </c>
      <c r="C2641" s="4">
        <v>45742.25</v>
      </c>
      <c r="D2641" s="4">
        <v>45742.250117210649</v>
      </c>
      <c r="E2641" s="2">
        <v>2.17</v>
      </c>
      <c r="F2641" s="2">
        <v>65.400000000000006</v>
      </c>
      <c r="G2641" s="2" t="s">
        <v>983</v>
      </c>
      <c r="H2641" s="2" t="s">
        <v>984</v>
      </c>
      <c r="I2641" s="2"/>
      <c r="J2641" s="2" t="s">
        <v>36</v>
      </c>
    </row>
    <row r="2642" spans="1:10" ht="21" customHeight="1">
      <c r="A2642" s="2" t="s">
        <v>3636</v>
      </c>
      <c r="B2642" s="2" t="s">
        <v>36</v>
      </c>
      <c r="C2642" s="4">
        <v>45743.25</v>
      </c>
      <c r="D2642" s="4">
        <v>45743.250614305551</v>
      </c>
      <c r="E2642" s="2">
        <v>2.52</v>
      </c>
      <c r="F2642" s="2">
        <v>61.2</v>
      </c>
      <c r="G2642" s="2" t="s">
        <v>983</v>
      </c>
      <c r="H2642" s="2" t="s">
        <v>984</v>
      </c>
      <c r="I2642" s="2" t="s">
        <v>985</v>
      </c>
      <c r="J2642" s="2" t="s">
        <v>36</v>
      </c>
    </row>
    <row r="2643" spans="1:10" ht="21" customHeight="1">
      <c r="A2643" s="2" t="s">
        <v>3637</v>
      </c>
      <c r="B2643" s="2" t="s">
        <v>36</v>
      </c>
      <c r="C2643" s="4">
        <v>45744.25</v>
      </c>
      <c r="D2643" s="4">
        <v>45744.250037395832</v>
      </c>
      <c r="E2643" s="2">
        <v>3.16</v>
      </c>
      <c r="F2643" s="2">
        <v>59.2</v>
      </c>
      <c r="G2643" s="2" t="s">
        <v>983</v>
      </c>
      <c r="H2643" s="2" t="s">
        <v>984</v>
      </c>
      <c r="I2643" s="2"/>
      <c r="J2643" s="2" t="s">
        <v>36</v>
      </c>
    </row>
    <row r="2644" spans="1:10" ht="21" customHeight="1">
      <c r="A2644" s="2" t="s">
        <v>3638</v>
      </c>
      <c r="B2644" s="2" t="s">
        <v>36</v>
      </c>
      <c r="C2644" s="4">
        <v>45745.25</v>
      </c>
      <c r="D2644" s="4">
        <v>45745.250455312504</v>
      </c>
      <c r="E2644" s="2">
        <v>2.72</v>
      </c>
      <c r="F2644" s="2">
        <v>59.7</v>
      </c>
      <c r="G2644" s="2" t="s">
        <v>983</v>
      </c>
      <c r="H2644" s="2" t="s">
        <v>984</v>
      </c>
      <c r="I2644" s="2"/>
      <c r="J2644" s="2" t="s">
        <v>36</v>
      </c>
    </row>
    <row r="2645" spans="1:10" ht="21" customHeight="1">
      <c r="A2645" s="2" t="s">
        <v>3639</v>
      </c>
      <c r="B2645" s="2" t="s">
        <v>36</v>
      </c>
      <c r="C2645" s="4">
        <v>45746.25</v>
      </c>
      <c r="D2645" s="4">
        <v>45746.250455578702</v>
      </c>
      <c r="E2645" s="2">
        <v>2.57</v>
      </c>
      <c r="F2645" s="2">
        <v>59.3</v>
      </c>
      <c r="G2645" s="2" t="s">
        <v>983</v>
      </c>
      <c r="H2645" s="2" t="s">
        <v>984</v>
      </c>
      <c r="I2645" s="2"/>
      <c r="J2645" s="2" t="s">
        <v>36</v>
      </c>
    </row>
    <row r="2646" spans="1:10" ht="21" customHeight="1">
      <c r="A2646" s="2" t="s">
        <v>3640</v>
      </c>
      <c r="B2646" s="2" t="s">
        <v>36</v>
      </c>
      <c r="C2646" s="4">
        <v>45747.25</v>
      </c>
      <c r="D2646" s="4">
        <v>45747.250387268519</v>
      </c>
      <c r="E2646" s="2">
        <v>3.25</v>
      </c>
      <c r="F2646" s="2">
        <v>60.8</v>
      </c>
      <c r="G2646" s="2" t="s">
        <v>983</v>
      </c>
      <c r="H2646" s="2" t="s">
        <v>984</v>
      </c>
      <c r="I2646" s="2"/>
      <c r="J2646" s="2" t="s">
        <v>36</v>
      </c>
    </row>
    <row r="2647" spans="1:10" ht="21" customHeight="1">
      <c r="A2647" s="2" t="s">
        <v>3641</v>
      </c>
      <c r="B2647" s="2" t="s">
        <v>36</v>
      </c>
      <c r="C2647" s="4">
        <v>45748.25</v>
      </c>
      <c r="D2647" s="4">
        <v>45748.250172488421</v>
      </c>
      <c r="E2647" s="2">
        <v>2.94</v>
      </c>
      <c r="F2647" s="2">
        <v>58.9</v>
      </c>
      <c r="G2647" s="2" t="s">
        <v>983</v>
      </c>
      <c r="H2647" s="2" t="s">
        <v>984</v>
      </c>
      <c r="I2647" s="2"/>
      <c r="J2647" s="2" t="s">
        <v>36</v>
      </c>
    </row>
    <row r="2648" spans="1:10" ht="21" customHeight="1">
      <c r="A2648" s="2" t="s">
        <v>3642</v>
      </c>
      <c r="B2648" s="2" t="s">
        <v>36</v>
      </c>
      <c r="C2648" s="4">
        <v>45749.25</v>
      </c>
      <c r="D2648" s="4">
        <v>45749.250590289354</v>
      </c>
      <c r="E2648" s="2">
        <v>2.89</v>
      </c>
      <c r="F2648" s="2">
        <v>64.099999999999994</v>
      </c>
      <c r="G2648" s="2" t="s">
        <v>983</v>
      </c>
      <c r="H2648" s="2" t="s">
        <v>984</v>
      </c>
      <c r="I2648" s="2"/>
      <c r="J2648" s="2" t="s">
        <v>36</v>
      </c>
    </row>
    <row r="2649" spans="1:10" ht="21" customHeight="1">
      <c r="A2649" s="2" t="s">
        <v>3643</v>
      </c>
      <c r="B2649" s="2" t="s">
        <v>36</v>
      </c>
      <c r="C2649" s="4">
        <v>45750.25</v>
      </c>
      <c r="D2649" s="4">
        <v>45750.25025592593</v>
      </c>
      <c r="E2649" s="2">
        <v>3.13</v>
      </c>
      <c r="F2649" s="2">
        <v>64.599999999999994</v>
      </c>
      <c r="G2649" s="2" t="s">
        <v>983</v>
      </c>
      <c r="H2649" s="2" t="s">
        <v>984</v>
      </c>
      <c r="I2649" s="2"/>
      <c r="J2649" s="2" t="s">
        <v>36</v>
      </c>
    </row>
    <row r="2650" spans="1:10" ht="21" customHeight="1">
      <c r="A2650" s="2" t="s">
        <v>3644</v>
      </c>
      <c r="B2650" s="2" t="s">
        <v>36</v>
      </c>
      <c r="C2650" s="4">
        <v>45751.25</v>
      </c>
      <c r="D2650" s="4">
        <v>45751.250575486112</v>
      </c>
      <c r="E2650" s="2">
        <v>2.97</v>
      </c>
      <c r="F2650" s="2">
        <v>60.4</v>
      </c>
      <c r="G2650" s="2" t="s">
        <v>983</v>
      </c>
      <c r="H2650" s="2" t="s">
        <v>984</v>
      </c>
      <c r="I2650" s="2"/>
      <c r="J2650" s="2" t="s">
        <v>36</v>
      </c>
    </row>
    <row r="2651" spans="1:10" ht="21" customHeight="1">
      <c r="A2651" s="2" t="s">
        <v>3645</v>
      </c>
      <c r="B2651" s="2" t="s">
        <v>36</v>
      </c>
      <c r="C2651" s="4">
        <v>45752.25</v>
      </c>
      <c r="D2651" s="4">
        <v>45752.250230879625</v>
      </c>
      <c r="E2651" s="2">
        <v>2.94</v>
      </c>
      <c r="F2651" s="2">
        <v>58.6</v>
      </c>
      <c r="G2651" s="2" t="s">
        <v>983</v>
      </c>
      <c r="H2651" s="2" t="s">
        <v>984</v>
      </c>
      <c r="I2651" s="2"/>
      <c r="J2651" s="2" t="s">
        <v>36</v>
      </c>
    </row>
    <row r="2652" spans="1:10" ht="21" customHeight="1">
      <c r="A2652" s="2" t="s">
        <v>3646</v>
      </c>
      <c r="B2652" s="2" t="s">
        <v>36</v>
      </c>
      <c r="C2652" s="4">
        <v>45753.25</v>
      </c>
      <c r="D2652" s="4">
        <v>45753.250382534723</v>
      </c>
      <c r="E2652" s="2">
        <v>2.2400000000000002</v>
      </c>
      <c r="F2652" s="2">
        <v>63.9</v>
      </c>
      <c r="G2652" s="2" t="s">
        <v>983</v>
      </c>
      <c r="H2652" s="2" t="s">
        <v>984</v>
      </c>
      <c r="I2652" s="2"/>
      <c r="J2652" s="2" t="s">
        <v>36</v>
      </c>
    </row>
    <row r="2653" spans="1:10" ht="21" customHeight="1">
      <c r="A2653" s="2" t="s">
        <v>3647</v>
      </c>
      <c r="B2653" s="2" t="s">
        <v>36</v>
      </c>
      <c r="C2653" s="4">
        <v>45754.25</v>
      </c>
      <c r="D2653" s="4">
        <v>45754.250624374996</v>
      </c>
      <c r="E2653" s="2">
        <v>6.56</v>
      </c>
      <c r="F2653" s="2">
        <v>66.7</v>
      </c>
      <c r="G2653" s="2" t="s">
        <v>983</v>
      </c>
      <c r="H2653" s="2" t="s">
        <v>984</v>
      </c>
      <c r="I2653" s="2" t="s">
        <v>1053</v>
      </c>
      <c r="J2653" s="2" t="s">
        <v>36</v>
      </c>
    </row>
    <row r="2654" spans="1:10" ht="21" customHeight="1">
      <c r="A2654" s="2" t="s">
        <v>3648</v>
      </c>
      <c r="B2654" s="2" t="s">
        <v>36</v>
      </c>
      <c r="C2654" s="4">
        <v>45755.25</v>
      </c>
      <c r="D2654" s="4">
        <v>45755.250580740743</v>
      </c>
      <c r="E2654" s="2">
        <v>6.69</v>
      </c>
      <c r="F2654" s="2">
        <v>73.099999999999994</v>
      </c>
      <c r="G2654" s="2" t="s">
        <v>983</v>
      </c>
      <c r="H2654" s="2" t="s">
        <v>984</v>
      </c>
      <c r="I2654" s="2"/>
      <c r="J2654" s="2" t="s">
        <v>36</v>
      </c>
    </row>
    <row r="2655" spans="1:10" ht="21" customHeight="1">
      <c r="A2655" s="2" t="s">
        <v>3649</v>
      </c>
      <c r="B2655" s="2" t="s">
        <v>36</v>
      </c>
      <c r="C2655" s="4">
        <v>45756.25</v>
      </c>
      <c r="D2655" s="4">
        <v>45756.250417199073</v>
      </c>
      <c r="E2655" s="2">
        <v>4.26</v>
      </c>
      <c r="F2655" s="2">
        <v>70.7</v>
      </c>
      <c r="G2655" s="2" t="s">
        <v>983</v>
      </c>
      <c r="H2655" s="2" t="s">
        <v>984</v>
      </c>
      <c r="I2655" s="2" t="s">
        <v>1053</v>
      </c>
      <c r="J2655" s="2" t="s">
        <v>36</v>
      </c>
    </row>
    <row r="2656" spans="1:10" ht="21" customHeight="1">
      <c r="A2656" s="2" t="s">
        <v>3650</v>
      </c>
      <c r="B2656" s="2" t="s">
        <v>36</v>
      </c>
      <c r="C2656" s="4">
        <v>45757.25</v>
      </c>
      <c r="D2656" s="4">
        <v>45757.250463483797</v>
      </c>
      <c r="E2656" s="2">
        <v>2.81</v>
      </c>
      <c r="F2656" s="2">
        <v>63.2</v>
      </c>
      <c r="G2656" s="2" t="s">
        <v>983</v>
      </c>
      <c r="H2656" s="2" t="s">
        <v>984</v>
      </c>
      <c r="I2656" s="2"/>
      <c r="J2656" s="2" t="s">
        <v>36</v>
      </c>
    </row>
    <row r="2657" spans="1:10" ht="21" customHeight="1">
      <c r="A2657" s="2" t="s">
        <v>3651</v>
      </c>
      <c r="B2657" s="2" t="s">
        <v>36</v>
      </c>
      <c r="C2657" s="4">
        <v>45758.25</v>
      </c>
      <c r="D2657" s="4">
        <v>45758.250191574072</v>
      </c>
      <c r="E2657" s="2">
        <v>3.23</v>
      </c>
      <c r="F2657" s="2">
        <v>60.6</v>
      </c>
      <c r="G2657" s="2" t="s">
        <v>983</v>
      </c>
      <c r="H2657" s="2" t="s">
        <v>984</v>
      </c>
      <c r="I2657" s="2"/>
      <c r="J2657" s="2" t="s">
        <v>36</v>
      </c>
    </row>
    <row r="2658" spans="1:10" ht="21" customHeight="1">
      <c r="A2658" s="2" t="s">
        <v>3652</v>
      </c>
      <c r="B2658" s="2" t="s">
        <v>36</v>
      </c>
      <c r="C2658" s="4">
        <v>45759.25</v>
      </c>
      <c r="D2658" s="4">
        <v>45759.250137129631</v>
      </c>
      <c r="E2658" s="2">
        <v>2.2799999999999998</v>
      </c>
      <c r="F2658" s="2">
        <v>61.9</v>
      </c>
      <c r="G2658" s="2" t="s">
        <v>983</v>
      </c>
      <c r="H2658" s="2" t="s">
        <v>984</v>
      </c>
      <c r="I2658" s="2"/>
      <c r="J2658" s="2" t="s">
        <v>36</v>
      </c>
    </row>
    <row r="2659" spans="1:10" ht="21" customHeight="1">
      <c r="A2659" s="2" t="s">
        <v>3653</v>
      </c>
      <c r="B2659" s="2" t="s">
        <v>36</v>
      </c>
      <c r="C2659" s="4">
        <v>45760.25</v>
      </c>
      <c r="D2659" s="4">
        <v>45760.250190636572</v>
      </c>
      <c r="E2659" s="2">
        <v>2.34</v>
      </c>
      <c r="F2659" s="2">
        <v>63.5</v>
      </c>
      <c r="G2659" s="2" t="s">
        <v>983</v>
      </c>
      <c r="H2659" s="2" t="s">
        <v>984</v>
      </c>
      <c r="I2659" s="2" t="s">
        <v>985</v>
      </c>
      <c r="J2659" s="2" t="s">
        <v>36</v>
      </c>
    </row>
    <row r="2660" spans="1:10" ht="21" customHeight="1">
      <c r="A2660" s="2" t="s">
        <v>3654</v>
      </c>
      <c r="B2660" s="2" t="s">
        <v>36</v>
      </c>
      <c r="C2660" s="4">
        <v>45761.25</v>
      </c>
      <c r="D2660" s="4">
        <v>45761.250237731481</v>
      </c>
      <c r="E2660" s="2">
        <v>2.2799999999999998</v>
      </c>
      <c r="F2660" s="2">
        <v>62.1</v>
      </c>
      <c r="G2660" s="2" t="s">
        <v>983</v>
      </c>
      <c r="H2660" s="2" t="s">
        <v>984</v>
      </c>
      <c r="I2660" s="2"/>
      <c r="J2660" s="2" t="s">
        <v>36</v>
      </c>
    </row>
    <row r="2661" spans="1:10" ht="21" customHeight="1">
      <c r="A2661" s="2" t="s">
        <v>3655</v>
      </c>
      <c r="B2661" s="2" t="s">
        <v>36</v>
      </c>
      <c r="C2661" s="4">
        <v>45762.25</v>
      </c>
      <c r="D2661" s="4">
        <v>45762.250027557871</v>
      </c>
      <c r="E2661" s="2">
        <v>2.97</v>
      </c>
      <c r="F2661" s="2">
        <v>64.3</v>
      </c>
      <c r="G2661" s="2" t="s">
        <v>983</v>
      </c>
      <c r="H2661" s="2" t="s">
        <v>984</v>
      </c>
      <c r="I2661" s="2"/>
      <c r="J2661" s="2" t="s">
        <v>36</v>
      </c>
    </row>
    <row r="2662" spans="1:10" ht="21" customHeight="1">
      <c r="A2662" s="2" t="s">
        <v>3656</v>
      </c>
      <c r="B2662" s="2" t="s">
        <v>36</v>
      </c>
      <c r="C2662" s="4">
        <v>45763.25</v>
      </c>
      <c r="D2662" s="4">
        <v>45763.250011793978</v>
      </c>
      <c r="E2662" s="2">
        <v>2.2599999999999998</v>
      </c>
      <c r="F2662" s="2">
        <v>62.2</v>
      </c>
      <c r="G2662" s="2" t="s">
        <v>983</v>
      </c>
      <c r="H2662" s="2" t="s">
        <v>984</v>
      </c>
      <c r="I2662" s="2"/>
      <c r="J2662" s="2" t="s">
        <v>36</v>
      </c>
    </row>
    <row r="2663" spans="1:10" ht="21" customHeight="1">
      <c r="A2663" s="2" t="s">
        <v>3657</v>
      </c>
      <c r="B2663" s="2" t="s">
        <v>36</v>
      </c>
      <c r="C2663" s="4">
        <v>45764.25</v>
      </c>
      <c r="D2663" s="4">
        <v>45764.250379317135</v>
      </c>
      <c r="E2663" s="2">
        <v>3.23</v>
      </c>
      <c r="F2663" s="2">
        <v>63.1</v>
      </c>
      <c r="G2663" s="2" t="s">
        <v>983</v>
      </c>
      <c r="H2663" s="2" t="s">
        <v>984</v>
      </c>
      <c r="I2663" s="2"/>
      <c r="J2663" s="2" t="s">
        <v>36</v>
      </c>
    </row>
    <row r="2664" spans="1:10" ht="21" customHeight="1">
      <c r="A2664" s="2" t="s">
        <v>3658</v>
      </c>
      <c r="B2664" s="2" t="s">
        <v>36</v>
      </c>
      <c r="C2664" s="4">
        <v>45765.25</v>
      </c>
      <c r="D2664" s="4">
        <v>45765.250475416666</v>
      </c>
      <c r="E2664" s="2">
        <v>2.65</v>
      </c>
      <c r="F2664" s="2">
        <v>59.9</v>
      </c>
      <c r="G2664" s="2" t="s">
        <v>983</v>
      </c>
      <c r="H2664" s="2" t="s">
        <v>984</v>
      </c>
      <c r="I2664" s="2"/>
      <c r="J2664" s="2" t="s">
        <v>36</v>
      </c>
    </row>
    <row r="2665" spans="1:10" ht="21" customHeight="1">
      <c r="A2665" s="2" t="s">
        <v>3659</v>
      </c>
      <c r="B2665" s="2" t="s">
        <v>36</v>
      </c>
      <c r="C2665" s="4">
        <v>45766.25</v>
      </c>
      <c r="D2665" s="4">
        <v>45766.250296759259</v>
      </c>
      <c r="E2665" s="2">
        <v>3.16</v>
      </c>
      <c r="F2665" s="2">
        <v>64.5</v>
      </c>
      <c r="G2665" s="2" t="s">
        <v>983</v>
      </c>
      <c r="H2665" s="2" t="s">
        <v>984</v>
      </c>
      <c r="I2665" s="2"/>
      <c r="J2665" s="2" t="s">
        <v>36</v>
      </c>
    </row>
    <row r="2666" spans="1:10" ht="21" customHeight="1">
      <c r="A2666" s="2" t="s">
        <v>3660</v>
      </c>
      <c r="B2666" s="2" t="s">
        <v>36</v>
      </c>
      <c r="C2666" s="4">
        <v>45767.25</v>
      </c>
      <c r="D2666" s="4">
        <v>45767.250516701388</v>
      </c>
      <c r="E2666" s="2">
        <v>2.67</v>
      </c>
      <c r="F2666" s="2">
        <v>65</v>
      </c>
      <c r="G2666" s="2" t="s">
        <v>983</v>
      </c>
      <c r="H2666" s="2" t="s">
        <v>984</v>
      </c>
      <c r="I2666" s="2"/>
      <c r="J2666" s="2" t="s">
        <v>36</v>
      </c>
    </row>
    <row r="2667" spans="1:10" ht="21" customHeight="1">
      <c r="A2667" s="2" t="s">
        <v>3661</v>
      </c>
      <c r="B2667" s="2" t="s">
        <v>3579</v>
      </c>
      <c r="C2667" s="4">
        <v>45768.25</v>
      </c>
      <c r="D2667" s="4">
        <v>45768.250345902779</v>
      </c>
      <c r="E2667" s="2">
        <v>2.66</v>
      </c>
      <c r="F2667" s="2">
        <v>64.2</v>
      </c>
      <c r="G2667" s="2" t="s">
        <v>983</v>
      </c>
      <c r="H2667" s="2" t="s">
        <v>984</v>
      </c>
      <c r="I2667" s="2"/>
      <c r="J2667" s="2" t="s">
        <v>36</v>
      </c>
    </row>
    <row r="2668" spans="1:10" ht="21" customHeight="1">
      <c r="A2668" s="2" t="s">
        <v>3662</v>
      </c>
      <c r="B2668" s="2" t="s">
        <v>36</v>
      </c>
      <c r="C2668" s="4">
        <v>45769.25</v>
      </c>
      <c r="D2668" s="4">
        <v>45769.25043738426</v>
      </c>
      <c r="E2668" s="2">
        <v>2.83</v>
      </c>
      <c r="F2668" s="2">
        <v>63.3</v>
      </c>
      <c r="G2668" s="2" t="s">
        <v>983</v>
      </c>
      <c r="H2668" s="2" t="s">
        <v>984</v>
      </c>
      <c r="I2668" s="2"/>
      <c r="J2668" s="2" t="s">
        <v>36</v>
      </c>
    </row>
    <row r="2669" spans="1:10" ht="21" customHeight="1">
      <c r="A2669" s="2" t="s">
        <v>3663</v>
      </c>
      <c r="B2669" s="2" t="s">
        <v>36</v>
      </c>
      <c r="C2669" s="4">
        <v>45770.25</v>
      </c>
      <c r="D2669" s="4">
        <v>45770.250135925926</v>
      </c>
      <c r="E2669" s="2">
        <v>2.75</v>
      </c>
      <c r="F2669" s="2">
        <v>59.8</v>
      </c>
      <c r="G2669" s="2" t="s">
        <v>983</v>
      </c>
      <c r="H2669" s="2" t="s">
        <v>984</v>
      </c>
      <c r="I2669" s="2"/>
      <c r="J2669" s="2" t="s">
        <v>36</v>
      </c>
    </row>
    <row r="2670" spans="1:10" ht="21" customHeight="1">
      <c r="A2670" s="2" t="s">
        <v>3664</v>
      </c>
      <c r="B2670" s="2" t="s">
        <v>36</v>
      </c>
      <c r="C2670" s="4">
        <v>45771.25</v>
      </c>
      <c r="D2670" s="4">
        <v>45771.25014048611</v>
      </c>
      <c r="E2670" s="2">
        <v>3.2</v>
      </c>
      <c r="F2670" s="2">
        <v>63.4</v>
      </c>
      <c r="G2670" s="2" t="s">
        <v>983</v>
      </c>
      <c r="H2670" s="2" t="s">
        <v>984</v>
      </c>
      <c r="I2670" s="2"/>
      <c r="J2670" s="2" t="s">
        <v>36</v>
      </c>
    </row>
    <row r="2671" spans="1:10" ht="21" customHeight="1">
      <c r="A2671" s="2" t="s">
        <v>3665</v>
      </c>
      <c r="B2671" s="2" t="s">
        <v>36</v>
      </c>
      <c r="C2671" s="4">
        <v>45772.25</v>
      </c>
      <c r="D2671" s="4">
        <v>45772.250637743055</v>
      </c>
      <c r="E2671" s="2">
        <v>2.87</v>
      </c>
      <c r="F2671" s="2">
        <v>64.400000000000006</v>
      </c>
      <c r="G2671" s="2" t="s">
        <v>983</v>
      </c>
      <c r="H2671" s="2" t="s">
        <v>984</v>
      </c>
      <c r="I2671" s="2"/>
      <c r="J2671" s="2" t="s">
        <v>36</v>
      </c>
    </row>
    <row r="2672" spans="1:10" ht="21" customHeight="1">
      <c r="A2672" s="2" t="s">
        <v>3666</v>
      </c>
      <c r="B2672" s="2" t="s">
        <v>36</v>
      </c>
      <c r="C2672" s="4">
        <v>45773.25</v>
      </c>
      <c r="D2672" s="4">
        <v>45773.2506693287</v>
      </c>
      <c r="E2672" s="2">
        <v>3.26</v>
      </c>
      <c r="F2672" s="2">
        <v>61.1</v>
      </c>
      <c r="G2672" s="2" t="s">
        <v>983</v>
      </c>
      <c r="H2672" s="2" t="s">
        <v>984</v>
      </c>
      <c r="I2672" s="2"/>
      <c r="J2672" s="2" t="s">
        <v>36</v>
      </c>
    </row>
    <row r="2673" spans="1:10" ht="21" customHeight="1">
      <c r="A2673" s="2" t="s">
        <v>3667</v>
      </c>
      <c r="B2673" s="2" t="s">
        <v>36</v>
      </c>
      <c r="C2673" s="4">
        <v>45774.25</v>
      </c>
      <c r="D2673" s="4">
        <v>45774.250234768522</v>
      </c>
      <c r="E2673" s="2">
        <v>2.5</v>
      </c>
      <c r="F2673" s="2">
        <v>60.8</v>
      </c>
      <c r="G2673" s="2" t="s">
        <v>983</v>
      </c>
      <c r="H2673" s="2" t="s">
        <v>984</v>
      </c>
      <c r="I2673" s="2"/>
      <c r="J2673" s="2" t="s">
        <v>36</v>
      </c>
    </row>
    <row r="2674" spans="1:10" ht="21" customHeight="1">
      <c r="A2674" s="2" t="s">
        <v>3668</v>
      </c>
      <c r="B2674" s="2" t="s">
        <v>36</v>
      </c>
      <c r="C2674" s="4">
        <v>45775.25</v>
      </c>
      <c r="D2674" s="4">
        <v>45775.250309988427</v>
      </c>
      <c r="E2674" s="2">
        <v>3.06</v>
      </c>
      <c r="F2674" s="2">
        <v>61</v>
      </c>
      <c r="G2674" s="2" t="s">
        <v>983</v>
      </c>
      <c r="H2674" s="2" t="s">
        <v>984</v>
      </c>
      <c r="I2674" s="2"/>
      <c r="J2674" s="2" t="s">
        <v>36</v>
      </c>
    </row>
    <row r="2675" spans="1:10" ht="21" customHeight="1">
      <c r="A2675" s="2" t="s">
        <v>3669</v>
      </c>
      <c r="B2675" s="2" t="s">
        <v>36</v>
      </c>
      <c r="C2675" s="4">
        <v>45776.25</v>
      </c>
      <c r="D2675" s="4">
        <v>45776.250038437502</v>
      </c>
      <c r="E2675" s="2">
        <v>2.15</v>
      </c>
      <c r="F2675" s="2">
        <v>61.5</v>
      </c>
      <c r="G2675" s="2" t="s">
        <v>983</v>
      </c>
      <c r="H2675" s="2" t="s">
        <v>984</v>
      </c>
      <c r="I2675" s="2"/>
      <c r="J2675" s="2" t="s">
        <v>36</v>
      </c>
    </row>
    <row r="2676" spans="1:10" ht="21" customHeight="1">
      <c r="A2676" s="2" t="s">
        <v>3670</v>
      </c>
      <c r="B2676" s="2" t="s">
        <v>36</v>
      </c>
      <c r="C2676" s="4">
        <v>45777.25</v>
      </c>
      <c r="D2676" s="4">
        <v>45777.25006204861</v>
      </c>
      <c r="E2676" s="2">
        <v>3.02</v>
      </c>
      <c r="F2676" s="2">
        <v>64.599999999999994</v>
      </c>
      <c r="G2676" s="2" t="s">
        <v>983</v>
      </c>
      <c r="H2676" s="2" t="s">
        <v>984</v>
      </c>
      <c r="I2676" s="2" t="s">
        <v>985</v>
      </c>
      <c r="J2676" s="2" t="s">
        <v>36</v>
      </c>
    </row>
    <row r="2677" spans="1:10" ht="21" customHeight="1">
      <c r="A2677" s="2" t="s">
        <v>3671</v>
      </c>
      <c r="B2677" s="2" t="s">
        <v>36</v>
      </c>
      <c r="C2677" s="4">
        <v>45778.25</v>
      </c>
      <c r="D2677" s="4">
        <v>45778.250353032403</v>
      </c>
      <c r="E2677" s="2">
        <v>2.6</v>
      </c>
      <c r="F2677" s="2">
        <v>65.8</v>
      </c>
      <c r="G2677" s="2" t="s">
        <v>983</v>
      </c>
      <c r="H2677" s="2" t="s">
        <v>984</v>
      </c>
      <c r="I2677" s="2"/>
      <c r="J2677" s="2" t="s">
        <v>36</v>
      </c>
    </row>
    <row r="2678" spans="1:10" ht="21" customHeight="1">
      <c r="A2678" s="2" t="s">
        <v>3672</v>
      </c>
      <c r="B2678" s="2" t="s">
        <v>36</v>
      </c>
      <c r="C2678" s="4">
        <v>45779.25</v>
      </c>
      <c r="D2678" s="4">
        <v>45779.25060890046</v>
      </c>
      <c r="E2678" s="2">
        <v>2.71</v>
      </c>
      <c r="F2678" s="2">
        <v>58.2</v>
      </c>
      <c r="G2678" s="2" t="s">
        <v>983</v>
      </c>
      <c r="H2678" s="2" t="s">
        <v>984</v>
      </c>
      <c r="I2678" s="2"/>
      <c r="J2678" s="2" t="s">
        <v>36</v>
      </c>
    </row>
    <row r="2679" spans="1:10" ht="21" customHeight="1">
      <c r="A2679" s="2" t="s">
        <v>3673</v>
      </c>
      <c r="B2679" s="2" t="s">
        <v>36</v>
      </c>
      <c r="C2679" s="4">
        <v>45780.25</v>
      </c>
      <c r="D2679" s="4">
        <v>45780.250291493052</v>
      </c>
      <c r="E2679" s="2">
        <v>2.4700000000000002</v>
      </c>
      <c r="F2679" s="2">
        <v>61.6</v>
      </c>
      <c r="G2679" s="2" t="s">
        <v>983</v>
      </c>
      <c r="H2679" s="2" t="s">
        <v>984</v>
      </c>
      <c r="I2679" s="2"/>
      <c r="J2679" s="2" t="s">
        <v>36</v>
      </c>
    </row>
    <row r="2680" spans="1:10" ht="21" customHeight="1">
      <c r="A2680" s="2" t="s">
        <v>3674</v>
      </c>
      <c r="B2680" s="2" t="s">
        <v>36</v>
      </c>
      <c r="C2680" s="4">
        <v>45781.25</v>
      </c>
      <c r="D2680" s="4">
        <v>45781.250168668979</v>
      </c>
      <c r="E2680" s="2">
        <v>3.15</v>
      </c>
      <c r="F2680" s="2">
        <v>58.8</v>
      </c>
      <c r="G2680" s="2" t="s">
        <v>983</v>
      </c>
      <c r="H2680" s="2" t="s">
        <v>984</v>
      </c>
      <c r="I2680" s="2"/>
      <c r="J2680" s="2" t="s">
        <v>36</v>
      </c>
    </row>
    <row r="2681" spans="1:10" ht="21" customHeight="1">
      <c r="A2681" s="2" t="s">
        <v>3675</v>
      </c>
      <c r="B2681" s="2" t="s">
        <v>36</v>
      </c>
      <c r="C2681" s="4">
        <v>45782.25</v>
      </c>
      <c r="D2681" s="4">
        <v>45782.250218321758</v>
      </c>
      <c r="E2681" s="2">
        <v>2.74</v>
      </c>
      <c r="F2681" s="2">
        <v>64.099999999999994</v>
      </c>
      <c r="G2681" s="2" t="s">
        <v>983</v>
      </c>
      <c r="H2681" s="2" t="s">
        <v>984</v>
      </c>
      <c r="I2681" s="2"/>
      <c r="J2681" s="2" t="s">
        <v>36</v>
      </c>
    </row>
    <row r="2682" spans="1:10" ht="21" customHeight="1">
      <c r="A2682" s="2" t="s">
        <v>3676</v>
      </c>
      <c r="B2682" s="2" t="s">
        <v>36</v>
      </c>
      <c r="C2682" s="4">
        <v>45783.25</v>
      </c>
      <c r="D2682" s="4">
        <v>45783.250065231477</v>
      </c>
      <c r="E2682" s="2">
        <v>2.8</v>
      </c>
      <c r="F2682" s="2">
        <v>61.6</v>
      </c>
      <c r="G2682" s="2" t="s">
        <v>983</v>
      </c>
      <c r="H2682" s="2" t="s">
        <v>984</v>
      </c>
      <c r="I2682" s="2"/>
      <c r="J2682" s="2" t="s">
        <v>36</v>
      </c>
    </row>
    <row r="2683" spans="1:10" ht="21" customHeight="1">
      <c r="A2683" s="2" t="s">
        <v>3677</v>
      </c>
      <c r="B2683" s="2" t="s">
        <v>36</v>
      </c>
      <c r="C2683" s="4">
        <v>45784.25</v>
      </c>
      <c r="D2683" s="4">
        <v>45784.250234328705</v>
      </c>
      <c r="E2683" s="2">
        <v>2.5499999999999998</v>
      </c>
      <c r="F2683" s="2">
        <v>61</v>
      </c>
      <c r="G2683" s="2" t="s">
        <v>983</v>
      </c>
      <c r="H2683" s="2" t="s">
        <v>984</v>
      </c>
      <c r="I2683" s="2"/>
      <c r="J2683" s="2" t="s">
        <v>36</v>
      </c>
    </row>
    <row r="2684" spans="1:10" ht="21" customHeight="1">
      <c r="A2684" s="2" t="s">
        <v>3678</v>
      </c>
      <c r="B2684" s="2" t="s">
        <v>36</v>
      </c>
      <c r="C2684" s="4">
        <v>45785.25</v>
      </c>
      <c r="D2684" s="4">
        <v>45785.250167280094</v>
      </c>
      <c r="E2684" s="2">
        <v>4.68</v>
      </c>
      <c r="F2684" s="2">
        <v>68.2</v>
      </c>
      <c r="G2684" s="2" t="s">
        <v>983</v>
      </c>
      <c r="H2684" s="2" t="s">
        <v>984</v>
      </c>
      <c r="I2684" s="2"/>
      <c r="J2684" s="2" t="s">
        <v>36</v>
      </c>
    </row>
    <row r="2685" spans="1:10" ht="21" customHeight="1">
      <c r="A2685" s="2" t="s">
        <v>3679</v>
      </c>
      <c r="B2685" s="2" t="s">
        <v>36</v>
      </c>
      <c r="C2685" s="4">
        <v>45786.25</v>
      </c>
      <c r="D2685" s="4">
        <v>45786.250045636574</v>
      </c>
      <c r="E2685" s="2">
        <v>6.46</v>
      </c>
      <c r="F2685" s="2">
        <v>68</v>
      </c>
      <c r="G2685" s="2" t="s">
        <v>983</v>
      </c>
      <c r="H2685" s="2" t="s">
        <v>984</v>
      </c>
      <c r="I2685" s="2" t="s">
        <v>1053</v>
      </c>
      <c r="J2685" s="2" t="s">
        <v>36</v>
      </c>
    </row>
    <row r="2686" spans="1:10" ht="21" customHeight="1">
      <c r="A2686" s="2" t="s">
        <v>3680</v>
      </c>
      <c r="B2686" s="2" t="s">
        <v>36</v>
      </c>
      <c r="C2686" s="4">
        <v>45787.25</v>
      </c>
      <c r="D2686" s="4">
        <v>45787.250487939818</v>
      </c>
      <c r="E2686" s="2"/>
      <c r="F2686" s="2"/>
      <c r="G2686" s="2" t="s">
        <v>983</v>
      </c>
      <c r="H2686" s="2" t="s">
        <v>1066</v>
      </c>
      <c r="I2686" s="2"/>
      <c r="J2686" s="2" t="s">
        <v>36</v>
      </c>
    </row>
    <row r="2687" spans="1:10" ht="21" customHeight="1">
      <c r="A2687" s="2" t="s">
        <v>3681</v>
      </c>
      <c r="B2687" s="2" t="s">
        <v>36</v>
      </c>
      <c r="C2687" s="4">
        <v>45788.25</v>
      </c>
      <c r="D2687" s="4">
        <v>45788.250482210649</v>
      </c>
      <c r="E2687" s="2">
        <v>2.58</v>
      </c>
      <c r="F2687" s="2">
        <v>63.4</v>
      </c>
      <c r="G2687" s="2" t="s">
        <v>983</v>
      </c>
      <c r="H2687" s="2" t="s">
        <v>984</v>
      </c>
      <c r="I2687" s="2"/>
      <c r="J2687" s="2" t="s">
        <v>36</v>
      </c>
    </row>
    <row r="2688" spans="1:10" ht="21" customHeight="1">
      <c r="A2688" s="2" t="s">
        <v>3682</v>
      </c>
      <c r="B2688" s="2" t="s">
        <v>36</v>
      </c>
      <c r="C2688" s="4">
        <v>45789.25</v>
      </c>
      <c r="D2688" s="4">
        <v>45789.250189687504</v>
      </c>
      <c r="E2688" s="2">
        <v>3.07</v>
      </c>
      <c r="F2688" s="2">
        <v>65.3</v>
      </c>
      <c r="G2688" s="2" t="s">
        <v>983</v>
      </c>
      <c r="H2688" s="2" t="s">
        <v>984</v>
      </c>
      <c r="I2688" s="2"/>
      <c r="J2688" s="2" t="s">
        <v>36</v>
      </c>
    </row>
    <row r="2689" spans="1:10" ht="21" customHeight="1">
      <c r="A2689" s="2" t="s">
        <v>3683</v>
      </c>
      <c r="B2689" s="2" t="s">
        <v>36</v>
      </c>
      <c r="C2689" s="4">
        <v>45790.25</v>
      </c>
      <c r="D2689" s="4">
        <v>45790.250266643518</v>
      </c>
      <c r="E2689" s="2">
        <v>2.13</v>
      </c>
      <c r="F2689" s="2">
        <v>64.900000000000006</v>
      </c>
      <c r="G2689" s="2" t="s">
        <v>983</v>
      </c>
      <c r="H2689" s="2" t="s">
        <v>984</v>
      </c>
      <c r="I2689" s="2"/>
      <c r="J2689" s="2" t="s">
        <v>36</v>
      </c>
    </row>
    <row r="2690" spans="1:10" ht="21" customHeight="1">
      <c r="A2690" s="2" t="s">
        <v>3684</v>
      </c>
      <c r="B2690" s="2" t="s">
        <v>36</v>
      </c>
      <c r="C2690" s="4">
        <v>45791.25</v>
      </c>
      <c r="D2690" s="4">
        <v>45791.250289050928</v>
      </c>
      <c r="E2690" s="2">
        <v>3.26</v>
      </c>
      <c r="F2690" s="2">
        <v>59.3</v>
      </c>
      <c r="G2690" s="2" t="s">
        <v>983</v>
      </c>
      <c r="H2690" s="2" t="s">
        <v>984</v>
      </c>
      <c r="I2690" s="2"/>
      <c r="J2690" s="2" t="s">
        <v>36</v>
      </c>
    </row>
    <row r="2691" spans="1:10" ht="21" customHeight="1">
      <c r="A2691" s="2" t="s">
        <v>3685</v>
      </c>
      <c r="B2691" s="2" t="s">
        <v>36</v>
      </c>
      <c r="C2691" s="4">
        <v>45792.25</v>
      </c>
      <c r="D2691" s="4">
        <v>45792.250083634259</v>
      </c>
      <c r="E2691" s="2">
        <v>3.22</v>
      </c>
      <c r="F2691" s="2">
        <v>58.7</v>
      </c>
      <c r="G2691" s="2" t="s">
        <v>983</v>
      </c>
      <c r="H2691" s="2" t="s">
        <v>984</v>
      </c>
      <c r="I2691" s="2"/>
      <c r="J2691" s="2" t="s">
        <v>36</v>
      </c>
    </row>
    <row r="2692" spans="1:10" ht="21" customHeight="1">
      <c r="A2692" s="2" t="s">
        <v>3686</v>
      </c>
      <c r="B2692" s="2" t="s">
        <v>36</v>
      </c>
      <c r="C2692" s="4">
        <v>45793.25</v>
      </c>
      <c r="D2692" s="4">
        <v>45793.250455358793</v>
      </c>
      <c r="E2692" s="2">
        <v>2.2000000000000002</v>
      </c>
      <c r="F2692" s="2">
        <v>62.7</v>
      </c>
      <c r="G2692" s="2" t="s">
        <v>983</v>
      </c>
      <c r="H2692" s="2" t="s">
        <v>984</v>
      </c>
      <c r="I2692" s="2"/>
      <c r="J2692" s="2" t="s">
        <v>36</v>
      </c>
    </row>
    <row r="2693" spans="1:10" ht="21" customHeight="1">
      <c r="A2693" s="2" t="s">
        <v>3687</v>
      </c>
      <c r="B2693" s="2" t="s">
        <v>36</v>
      </c>
      <c r="C2693" s="4">
        <v>45794.25</v>
      </c>
      <c r="D2693" s="4">
        <v>45794.250560057873</v>
      </c>
      <c r="E2693" s="2">
        <v>2.82</v>
      </c>
      <c r="F2693" s="2">
        <v>63.8</v>
      </c>
      <c r="G2693" s="2" t="s">
        <v>983</v>
      </c>
      <c r="H2693" s="2" t="s">
        <v>984</v>
      </c>
      <c r="I2693" s="2" t="s">
        <v>985</v>
      </c>
      <c r="J2693" s="2" t="s">
        <v>36</v>
      </c>
    </row>
    <row r="2694" spans="1:10" ht="21" customHeight="1">
      <c r="A2694" s="2" t="s">
        <v>3688</v>
      </c>
      <c r="B2694" s="2" t="s">
        <v>36</v>
      </c>
      <c r="C2694" s="4">
        <v>45795.25</v>
      </c>
      <c r="D2694" s="4">
        <v>45795.250433344903</v>
      </c>
      <c r="E2694" s="2">
        <v>2.84</v>
      </c>
      <c r="F2694" s="2">
        <v>64.599999999999994</v>
      </c>
      <c r="G2694" s="2" t="s">
        <v>983</v>
      </c>
      <c r="H2694" s="2" t="s">
        <v>984</v>
      </c>
      <c r="I2694" s="2"/>
      <c r="J2694" s="2" t="s">
        <v>36</v>
      </c>
    </row>
    <row r="2695" spans="1:10" ht="21" customHeight="1">
      <c r="A2695" s="2" t="s">
        <v>3689</v>
      </c>
      <c r="B2695" s="2" t="s">
        <v>36</v>
      </c>
      <c r="C2695" s="4">
        <v>45796.25</v>
      </c>
      <c r="D2695" s="4">
        <v>45796.250573680554</v>
      </c>
      <c r="E2695" s="2">
        <v>2.13</v>
      </c>
      <c r="F2695" s="2">
        <v>61.5</v>
      </c>
      <c r="G2695" s="2" t="s">
        <v>983</v>
      </c>
      <c r="H2695" s="2" t="s">
        <v>984</v>
      </c>
      <c r="I2695" s="2"/>
      <c r="J2695" s="2" t="s">
        <v>36</v>
      </c>
    </row>
    <row r="2696" spans="1:10" ht="21" customHeight="1">
      <c r="A2696" s="2" t="s">
        <v>3690</v>
      </c>
      <c r="B2696" s="2" t="s">
        <v>36</v>
      </c>
      <c r="C2696" s="4">
        <v>45797.25</v>
      </c>
      <c r="D2696" s="4">
        <v>45797.250378425924</v>
      </c>
      <c r="E2696" s="2">
        <v>2.44</v>
      </c>
      <c r="F2696" s="2">
        <v>60.3</v>
      </c>
      <c r="G2696" s="2" t="s">
        <v>983</v>
      </c>
      <c r="H2696" s="2" t="s">
        <v>984</v>
      </c>
      <c r="I2696" s="2"/>
      <c r="J2696" s="2" t="s">
        <v>36</v>
      </c>
    </row>
    <row r="2697" spans="1:10" ht="21" customHeight="1">
      <c r="A2697" s="2" t="s">
        <v>3691</v>
      </c>
      <c r="B2697" s="2" t="s">
        <v>36</v>
      </c>
      <c r="C2697" s="4">
        <v>45798.25</v>
      </c>
      <c r="D2697" s="4">
        <v>45798.250429988431</v>
      </c>
      <c r="E2697" s="2">
        <v>3.1</v>
      </c>
      <c r="F2697" s="2">
        <v>63.2</v>
      </c>
      <c r="G2697" s="2" t="s">
        <v>983</v>
      </c>
      <c r="H2697" s="2" t="s">
        <v>984</v>
      </c>
      <c r="I2697" s="2"/>
      <c r="J2697" s="2" t="s">
        <v>36</v>
      </c>
    </row>
    <row r="2698" spans="1:10" ht="21" customHeight="1">
      <c r="A2698" s="2" t="s">
        <v>3692</v>
      </c>
      <c r="B2698" s="2" t="s">
        <v>36</v>
      </c>
      <c r="C2698" s="4">
        <v>45799.25</v>
      </c>
      <c r="D2698" s="4">
        <v>45799.250356620367</v>
      </c>
      <c r="E2698" s="2">
        <v>3</v>
      </c>
      <c r="F2698" s="2">
        <v>64.099999999999994</v>
      </c>
      <c r="G2698" s="2" t="s">
        <v>983</v>
      </c>
      <c r="H2698" s="2" t="s">
        <v>984</v>
      </c>
      <c r="I2698" s="2"/>
      <c r="J2698" s="2" t="s">
        <v>36</v>
      </c>
    </row>
    <row r="2699" spans="1:10" ht="21" customHeight="1">
      <c r="A2699" s="2" t="s">
        <v>3693</v>
      </c>
      <c r="B2699" s="2" t="s">
        <v>36</v>
      </c>
      <c r="C2699" s="4">
        <v>45800.25</v>
      </c>
      <c r="D2699" s="4">
        <v>45800.250382928236</v>
      </c>
      <c r="E2699" s="2">
        <v>2.8</v>
      </c>
      <c r="F2699" s="2">
        <v>63.5</v>
      </c>
      <c r="G2699" s="2" t="s">
        <v>983</v>
      </c>
      <c r="H2699" s="2" t="s">
        <v>984</v>
      </c>
      <c r="I2699" s="2"/>
      <c r="J2699" s="2" t="s">
        <v>36</v>
      </c>
    </row>
    <row r="2700" spans="1:10" ht="21" customHeight="1">
      <c r="A2700" s="2" t="s">
        <v>3694</v>
      </c>
      <c r="B2700" s="2" t="s">
        <v>36</v>
      </c>
      <c r="C2700" s="4">
        <v>45801.25</v>
      </c>
      <c r="D2700" s="4">
        <v>45801.25054306713</v>
      </c>
      <c r="E2700" s="2">
        <v>2.2400000000000002</v>
      </c>
      <c r="F2700" s="2">
        <v>59.7</v>
      </c>
      <c r="G2700" s="2" t="s">
        <v>983</v>
      </c>
      <c r="H2700" s="2" t="s">
        <v>984</v>
      </c>
      <c r="I2700" s="2"/>
      <c r="J2700" s="2" t="s">
        <v>36</v>
      </c>
    </row>
    <row r="2701" spans="1:10" ht="21" customHeight="1">
      <c r="A2701" s="2" t="s">
        <v>3695</v>
      </c>
      <c r="B2701" s="2" t="s">
        <v>36</v>
      </c>
      <c r="C2701" s="4">
        <v>45802.25</v>
      </c>
      <c r="D2701" s="4">
        <v>45802.250507789351</v>
      </c>
      <c r="E2701" s="2">
        <v>2.16</v>
      </c>
      <c r="F2701" s="2">
        <v>62.3</v>
      </c>
      <c r="G2701" s="2" t="s">
        <v>983</v>
      </c>
      <c r="H2701" s="2" t="s">
        <v>984</v>
      </c>
      <c r="I2701" s="2"/>
      <c r="J2701" s="2" t="s">
        <v>36</v>
      </c>
    </row>
    <row r="2702" spans="1:10" ht="21" customHeight="1">
      <c r="A2702" s="2" t="s">
        <v>3696</v>
      </c>
      <c r="B2702" s="2" t="s">
        <v>36</v>
      </c>
      <c r="C2702" s="4">
        <v>45803.25</v>
      </c>
      <c r="D2702" s="4">
        <v>45803.250617905098</v>
      </c>
      <c r="E2702" s="2">
        <v>2.25</v>
      </c>
      <c r="F2702" s="2">
        <v>65.099999999999994</v>
      </c>
      <c r="G2702" s="2" t="s">
        <v>983</v>
      </c>
      <c r="H2702" s="2" t="s">
        <v>984</v>
      </c>
      <c r="I2702" s="2"/>
      <c r="J2702" s="2" t="s">
        <v>36</v>
      </c>
    </row>
    <row r="2703" spans="1:10" ht="21" customHeight="1">
      <c r="A2703" s="2" t="s">
        <v>3697</v>
      </c>
      <c r="B2703" s="2" t="s">
        <v>36</v>
      </c>
      <c r="C2703" s="4">
        <v>45804.25</v>
      </c>
      <c r="D2703" s="4">
        <v>45804.250002835644</v>
      </c>
      <c r="E2703" s="2"/>
      <c r="F2703" s="2"/>
      <c r="G2703" s="2" t="s">
        <v>983</v>
      </c>
      <c r="H2703" s="2" t="s">
        <v>1066</v>
      </c>
      <c r="I2703" s="2"/>
      <c r="J2703" s="2" t="s">
        <v>36</v>
      </c>
    </row>
    <row r="2704" spans="1:10" ht="21" customHeight="1">
      <c r="A2704" s="2" t="s">
        <v>3698</v>
      </c>
      <c r="B2704" s="2" t="s">
        <v>36</v>
      </c>
      <c r="C2704" s="4">
        <v>45805.25</v>
      </c>
      <c r="D2704" s="4">
        <v>45805.250231134254</v>
      </c>
      <c r="E2704" s="2">
        <v>2.15</v>
      </c>
      <c r="F2704" s="2">
        <v>59.5</v>
      </c>
      <c r="G2704" s="2" t="s">
        <v>983</v>
      </c>
      <c r="H2704" s="2" t="s">
        <v>984</v>
      </c>
      <c r="I2704" s="2"/>
      <c r="J2704" s="2" t="s">
        <v>36</v>
      </c>
    </row>
    <row r="2705" spans="1:10" ht="21" customHeight="1">
      <c r="A2705" s="2" t="s">
        <v>3699</v>
      </c>
      <c r="B2705" s="2" t="s">
        <v>36</v>
      </c>
      <c r="C2705" s="4">
        <v>45806.25</v>
      </c>
      <c r="D2705" s="4">
        <v>45806.250003124995</v>
      </c>
      <c r="E2705" s="2">
        <v>2.83</v>
      </c>
      <c r="F2705" s="2">
        <v>61.3</v>
      </c>
      <c r="G2705" s="2" t="s">
        <v>983</v>
      </c>
      <c r="H2705" s="2" t="s">
        <v>984</v>
      </c>
      <c r="I2705" s="2"/>
      <c r="J2705" s="2" t="s">
        <v>36</v>
      </c>
    </row>
    <row r="2706" spans="1:10" ht="21" customHeight="1">
      <c r="A2706" s="2" t="s">
        <v>3700</v>
      </c>
      <c r="B2706" s="2" t="s">
        <v>36</v>
      </c>
      <c r="C2706" s="4">
        <v>45807.25</v>
      </c>
      <c r="D2706" s="4">
        <v>45807.25059920139</v>
      </c>
      <c r="E2706" s="2">
        <v>2.93</v>
      </c>
      <c r="F2706" s="2">
        <v>61.6</v>
      </c>
      <c r="G2706" s="2" t="s">
        <v>983</v>
      </c>
      <c r="H2706" s="2" t="s">
        <v>984</v>
      </c>
      <c r="I2706" s="2"/>
      <c r="J2706" s="2" t="s">
        <v>36</v>
      </c>
    </row>
    <row r="2707" spans="1:10" ht="21" customHeight="1">
      <c r="A2707" s="2" t="s">
        <v>3701</v>
      </c>
      <c r="B2707" s="2" t="s">
        <v>36</v>
      </c>
      <c r="C2707" s="4">
        <v>45808.25</v>
      </c>
      <c r="D2707" s="4">
        <v>45808.250644166663</v>
      </c>
      <c r="E2707" s="2">
        <v>2.36</v>
      </c>
      <c r="F2707" s="2">
        <v>65.8</v>
      </c>
      <c r="G2707" s="2" t="s">
        <v>983</v>
      </c>
      <c r="H2707" s="2" t="s">
        <v>984</v>
      </c>
      <c r="I2707" s="2"/>
      <c r="J2707" s="2" t="s">
        <v>36</v>
      </c>
    </row>
    <row r="2708" spans="1:10" ht="21" customHeight="1">
      <c r="A2708" s="2" t="s">
        <v>3702</v>
      </c>
      <c r="B2708" s="2" t="s">
        <v>3579</v>
      </c>
      <c r="C2708" s="4">
        <v>45809.25</v>
      </c>
      <c r="D2708" s="4">
        <v>45809.250176030095</v>
      </c>
      <c r="E2708" s="2">
        <v>2.67</v>
      </c>
      <c r="F2708" s="2">
        <v>60.9</v>
      </c>
      <c r="G2708" s="2" t="s">
        <v>983</v>
      </c>
      <c r="H2708" s="2" t="s">
        <v>984</v>
      </c>
      <c r="I2708" s="2"/>
      <c r="J2708" s="2" t="s">
        <v>36</v>
      </c>
    </row>
    <row r="2709" spans="1:10" ht="21" customHeight="1">
      <c r="A2709" s="2" t="s">
        <v>3703</v>
      </c>
      <c r="B2709" s="2" t="s">
        <v>36</v>
      </c>
      <c r="C2709" s="4">
        <v>45810.25</v>
      </c>
      <c r="D2709" s="4">
        <v>45810.250111307869</v>
      </c>
      <c r="E2709" s="2">
        <v>2.13</v>
      </c>
      <c r="F2709" s="2">
        <v>64.3</v>
      </c>
      <c r="G2709" s="2" t="s">
        <v>983</v>
      </c>
      <c r="H2709" s="2" t="s">
        <v>984</v>
      </c>
      <c r="I2709" s="2"/>
      <c r="J2709" s="2" t="s">
        <v>36</v>
      </c>
    </row>
    <row r="2710" spans="1:10" ht="21" customHeight="1">
      <c r="A2710" s="2" t="s">
        <v>3704</v>
      </c>
      <c r="B2710" s="2" t="s">
        <v>36</v>
      </c>
      <c r="C2710" s="4">
        <v>45811.25</v>
      </c>
      <c r="D2710" s="4">
        <v>45811.250543460643</v>
      </c>
      <c r="E2710" s="2">
        <v>3.27</v>
      </c>
      <c r="F2710" s="2">
        <v>65.599999999999994</v>
      </c>
      <c r="G2710" s="2" t="s">
        <v>983</v>
      </c>
      <c r="H2710" s="2" t="s">
        <v>984</v>
      </c>
      <c r="I2710" s="2" t="s">
        <v>985</v>
      </c>
      <c r="J2710" s="2" t="s">
        <v>36</v>
      </c>
    </row>
    <row r="2711" spans="1:10" ht="21" customHeight="1">
      <c r="A2711" s="2" t="s">
        <v>3705</v>
      </c>
      <c r="B2711" s="2" t="s">
        <v>36</v>
      </c>
      <c r="C2711" s="4">
        <v>45812.25</v>
      </c>
      <c r="D2711" s="4">
        <v>45812.250137372685</v>
      </c>
      <c r="E2711" s="2">
        <v>4.5199999999999996</v>
      </c>
      <c r="F2711" s="2">
        <v>68.3</v>
      </c>
      <c r="G2711" s="2" t="s">
        <v>983</v>
      </c>
      <c r="H2711" s="2" t="s">
        <v>984</v>
      </c>
      <c r="I2711" s="2" t="s">
        <v>1053</v>
      </c>
      <c r="J2711" s="2" t="s">
        <v>36</v>
      </c>
    </row>
    <row r="2712" spans="1:10" ht="21" customHeight="1">
      <c r="A2712" s="2" t="s">
        <v>3706</v>
      </c>
      <c r="B2712" s="2" t="s">
        <v>36</v>
      </c>
      <c r="C2712" s="4">
        <v>45813.25</v>
      </c>
      <c r="D2712" s="4">
        <v>45813.250357881945</v>
      </c>
      <c r="E2712" s="2">
        <v>6.03</v>
      </c>
      <c r="F2712" s="2">
        <v>62.3</v>
      </c>
      <c r="G2712" s="2" t="s">
        <v>983</v>
      </c>
      <c r="H2712" s="2" t="s">
        <v>984</v>
      </c>
      <c r="I2712" s="2"/>
      <c r="J2712" s="2" t="s">
        <v>36</v>
      </c>
    </row>
    <row r="2713" spans="1:10" ht="21" customHeight="1">
      <c r="A2713" s="2" t="s">
        <v>3707</v>
      </c>
      <c r="B2713" s="2" t="s">
        <v>36</v>
      </c>
      <c r="C2713" s="4">
        <v>45814.25</v>
      </c>
      <c r="D2713" s="4">
        <v>45814.25055759259</v>
      </c>
      <c r="E2713" s="2">
        <v>5.63</v>
      </c>
      <c r="F2713" s="2">
        <v>64.3</v>
      </c>
      <c r="G2713" s="2" t="s">
        <v>983</v>
      </c>
      <c r="H2713" s="2" t="s">
        <v>984</v>
      </c>
      <c r="I2713" s="2" t="s">
        <v>1053</v>
      </c>
      <c r="J2713" s="2" t="s">
        <v>36</v>
      </c>
    </row>
    <row r="2714" spans="1:10" ht="21" customHeight="1">
      <c r="A2714" s="2" t="s">
        <v>3708</v>
      </c>
      <c r="B2714" s="2" t="s">
        <v>36</v>
      </c>
      <c r="C2714" s="4">
        <v>45815.25</v>
      </c>
      <c r="D2714" s="4">
        <v>45815.250277916668</v>
      </c>
      <c r="E2714" s="2">
        <v>2.86</v>
      </c>
      <c r="F2714" s="2">
        <v>58.6</v>
      </c>
      <c r="G2714" s="2" t="s">
        <v>983</v>
      </c>
      <c r="H2714" s="2" t="s">
        <v>984</v>
      </c>
      <c r="I2714" s="2"/>
      <c r="J2714" s="2" t="s">
        <v>36</v>
      </c>
    </row>
    <row r="2715" spans="1:10" ht="21" customHeight="1">
      <c r="A2715" s="2" t="s">
        <v>3709</v>
      </c>
      <c r="B2715" s="2" t="s">
        <v>36</v>
      </c>
      <c r="C2715" s="4">
        <v>45816.25</v>
      </c>
      <c r="D2715" s="4">
        <v>45816.250162291668</v>
      </c>
      <c r="E2715" s="2">
        <v>2.5099999999999998</v>
      </c>
      <c r="F2715" s="2">
        <v>63.4</v>
      </c>
      <c r="G2715" s="2" t="s">
        <v>983</v>
      </c>
      <c r="H2715" s="2" t="s">
        <v>984</v>
      </c>
      <c r="I2715" s="2"/>
      <c r="J2715" s="2" t="s">
        <v>36</v>
      </c>
    </row>
    <row r="2716" spans="1:10" ht="21" customHeight="1">
      <c r="A2716" s="2" t="s">
        <v>3710</v>
      </c>
      <c r="B2716" s="2" t="s">
        <v>36</v>
      </c>
      <c r="C2716" s="4">
        <v>45817.25</v>
      </c>
      <c r="D2716" s="4">
        <v>45817.250204131946</v>
      </c>
      <c r="E2716" s="2">
        <v>2.13</v>
      </c>
      <c r="F2716" s="2">
        <v>61.3</v>
      </c>
      <c r="G2716" s="2" t="s">
        <v>983</v>
      </c>
      <c r="H2716" s="2" t="s">
        <v>984</v>
      </c>
      <c r="I2716" s="2"/>
      <c r="J2716" s="2" t="s">
        <v>36</v>
      </c>
    </row>
    <row r="2717" spans="1:10" ht="21" customHeight="1">
      <c r="A2717" s="2" t="s">
        <v>3711</v>
      </c>
      <c r="B2717" s="2" t="s">
        <v>36</v>
      </c>
      <c r="C2717" s="4">
        <v>45818.25</v>
      </c>
      <c r="D2717" s="4">
        <v>45818.250457847222</v>
      </c>
      <c r="E2717" s="2">
        <v>2.36</v>
      </c>
      <c r="F2717" s="2">
        <v>65.099999999999994</v>
      </c>
      <c r="G2717" s="2" t="s">
        <v>983</v>
      </c>
      <c r="H2717" s="2" t="s">
        <v>984</v>
      </c>
      <c r="I2717" s="2"/>
      <c r="J2717" s="2" t="s">
        <v>36</v>
      </c>
    </row>
    <row r="2718" spans="1:10" ht="21" customHeight="1">
      <c r="A2718" s="2" t="s">
        <v>3712</v>
      </c>
      <c r="B2718" s="2" t="s">
        <v>36</v>
      </c>
      <c r="C2718" s="4">
        <v>45819.25</v>
      </c>
      <c r="D2718" s="4">
        <v>45819.25035130787</v>
      </c>
      <c r="E2718" s="2">
        <v>2.16</v>
      </c>
      <c r="F2718" s="2">
        <v>58.9</v>
      </c>
      <c r="G2718" s="2" t="s">
        <v>983</v>
      </c>
      <c r="H2718" s="2" t="s">
        <v>984</v>
      </c>
      <c r="I2718" s="2"/>
      <c r="J2718" s="2" t="s">
        <v>36</v>
      </c>
    </row>
    <row r="2719" spans="1:10" ht="21" customHeight="1">
      <c r="A2719" s="2" t="s">
        <v>3713</v>
      </c>
      <c r="B2719" s="2" t="s">
        <v>36</v>
      </c>
      <c r="C2719" s="4">
        <v>45820.25</v>
      </c>
      <c r="D2719" s="4">
        <v>45820.250691388894</v>
      </c>
      <c r="E2719" s="2">
        <v>2.68</v>
      </c>
      <c r="F2719" s="2">
        <v>61.9</v>
      </c>
      <c r="G2719" s="2" t="s">
        <v>983</v>
      </c>
      <c r="H2719" s="2" t="s">
        <v>984</v>
      </c>
      <c r="I2719" s="2"/>
      <c r="J2719" s="2" t="s">
        <v>36</v>
      </c>
    </row>
    <row r="2720" spans="1:10" ht="21" customHeight="1">
      <c r="A2720" s="2" t="s">
        <v>3714</v>
      </c>
      <c r="B2720" s="2" t="s">
        <v>36</v>
      </c>
      <c r="C2720" s="4">
        <v>45821.25</v>
      </c>
      <c r="D2720" s="4">
        <v>45821.250351828705</v>
      </c>
      <c r="E2720" s="2">
        <v>2.83</v>
      </c>
      <c r="F2720" s="2">
        <v>62.8</v>
      </c>
      <c r="G2720" s="2" t="s">
        <v>983</v>
      </c>
      <c r="H2720" s="2" t="s">
        <v>984</v>
      </c>
      <c r="I2720" s="2"/>
      <c r="J2720" s="2" t="s">
        <v>36</v>
      </c>
    </row>
    <row r="2721" spans="1:10" ht="21" customHeight="1">
      <c r="A2721" s="2" t="s">
        <v>3715</v>
      </c>
      <c r="B2721" s="2" t="s">
        <v>36</v>
      </c>
      <c r="C2721" s="4">
        <v>45822.25</v>
      </c>
      <c r="D2721" s="4">
        <v>45822.250300555555</v>
      </c>
      <c r="E2721" s="2">
        <v>2.82</v>
      </c>
      <c r="F2721" s="2">
        <v>63.1</v>
      </c>
      <c r="G2721" s="2" t="s">
        <v>983</v>
      </c>
      <c r="H2721" s="2" t="s">
        <v>984</v>
      </c>
      <c r="I2721" s="2"/>
      <c r="J2721" s="2" t="s">
        <v>36</v>
      </c>
    </row>
    <row r="2722" spans="1:10" ht="21" customHeight="1">
      <c r="A2722" s="2" t="s">
        <v>3716</v>
      </c>
      <c r="B2722" s="2" t="s">
        <v>36</v>
      </c>
      <c r="C2722" s="4">
        <v>45823.25</v>
      </c>
      <c r="D2722" s="4">
        <v>45823.250604583329</v>
      </c>
      <c r="E2722" s="2">
        <v>2.15</v>
      </c>
      <c r="F2722" s="2">
        <v>64.2</v>
      </c>
      <c r="G2722" s="2" t="s">
        <v>983</v>
      </c>
      <c r="H2722" s="2" t="s">
        <v>984</v>
      </c>
      <c r="I2722" s="2"/>
      <c r="J2722" s="2" t="s">
        <v>36</v>
      </c>
    </row>
    <row r="2723" spans="1:10" ht="21" customHeight="1">
      <c r="A2723" s="2" t="s">
        <v>3717</v>
      </c>
      <c r="B2723" s="2" t="s">
        <v>36</v>
      </c>
      <c r="C2723" s="4">
        <v>45824.25</v>
      </c>
      <c r="D2723" s="4">
        <v>45824.250052708332</v>
      </c>
      <c r="E2723" s="2">
        <v>3.24</v>
      </c>
      <c r="F2723" s="2">
        <v>65.599999999999994</v>
      </c>
      <c r="G2723" s="2" t="s">
        <v>983</v>
      </c>
      <c r="H2723" s="2" t="s">
        <v>984</v>
      </c>
      <c r="I2723" s="2"/>
      <c r="J2723" s="2" t="s">
        <v>36</v>
      </c>
    </row>
    <row r="2724" spans="1:10" ht="21" customHeight="1">
      <c r="A2724" s="2" t="s">
        <v>3718</v>
      </c>
      <c r="B2724" s="2" t="s">
        <v>36</v>
      </c>
      <c r="C2724" s="4">
        <v>45825.25</v>
      </c>
      <c r="D2724" s="4">
        <v>45825.250567337964</v>
      </c>
      <c r="E2724" s="2">
        <v>3.21</v>
      </c>
      <c r="F2724" s="2">
        <v>60.3</v>
      </c>
      <c r="G2724" s="2" t="s">
        <v>983</v>
      </c>
      <c r="H2724" s="2" t="s">
        <v>984</v>
      </c>
      <c r="I2724" s="2"/>
      <c r="J2724" s="2" t="s">
        <v>36</v>
      </c>
    </row>
    <row r="2725" spans="1:10" ht="21" customHeight="1">
      <c r="A2725" s="2" t="s">
        <v>3719</v>
      </c>
      <c r="B2725" s="2" t="s">
        <v>36</v>
      </c>
      <c r="C2725" s="4">
        <v>45826.25</v>
      </c>
      <c r="D2725" s="4">
        <v>45826.250497951391</v>
      </c>
      <c r="E2725" s="2">
        <v>2.67</v>
      </c>
      <c r="F2725" s="2">
        <v>63.8</v>
      </c>
      <c r="G2725" s="2" t="s">
        <v>983</v>
      </c>
      <c r="H2725" s="2" t="s">
        <v>984</v>
      </c>
      <c r="I2725" s="2"/>
      <c r="J2725" s="2" t="s">
        <v>36</v>
      </c>
    </row>
    <row r="2726" spans="1:10" ht="21" customHeight="1">
      <c r="A2726" s="2" t="s">
        <v>3720</v>
      </c>
      <c r="B2726" s="2" t="s">
        <v>36</v>
      </c>
      <c r="C2726" s="4">
        <v>45827.25</v>
      </c>
      <c r="D2726" s="4">
        <v>45827.250377881945</v>
      </c>
      <c r="E2726" s="2">
        <v>2.65</v>
      </c>
      <c r="F2726" s="2">
        <v>58.3</v>
      </c>
      <c r="G2726" s="2" t="s">
        <v>983</v>
      </c>
      <c r="H2726" s="2" t="s">
        <v>984</v>
      </c>
      <c r="I2726" s="2"/>
      <c r="J2726" s="2" t="s">
        <v>36</v>
      </c>
    </row>
    <row r="2727" spans="1:10" ht="21" customHeight="1">
      <c r="A2727" s="2" t="s">
        <v>3721</v>
      </c>
      <c r="B2727" s="2" t="s">
        <v>36</v>
      </c>
      <c r="C2727" s="4">
        <v>45828.25</v>
      </c>
      <c r="D2727" s="4">
        <v>45828.250556620369</v>
      </c>
      <c r="E2727" s="2">
        <v>3.14</v>
      </c>
      <c r="F2727" s="2">
        <v>62.8</v>
      </c>
      <c r="G2727" s="2" t="s">
        <v>983</v>
      </c>
      <c r="H2727" s="2" t="s">
        <v>984</v>
      </c>
      <c r="I2727" s="2" t="s">
        <v>985</v>
      </c>
      <c r="J2727" s="2" t="s">
        <v>36</v>
      </c>
    </row>
    <row r="2728" spans="1:10" ht="21" customHeight="1">
      <c r="A2728" s="2" t="s">
        <v>3722</v>
      </c>
      <c r="B2728" s="2" t="s">
        <v>36</v>
      </c>
      <c r="C2728" s="4">
        <v>45829.25</v>
      </c>
      <c r="D2728" s="4">
        <v>45829.250236585649</v>
      </c>
      <c r="E2728" s="2">
        <v>3.17</v>
      </c>
      <c r="F2728" s="2">
        <v>64.3</v>
      </c>
      <c r="G2728" s="2" t="s">
        <v>983</v>
      </c>
      <c r="H2728" s="2" t="s">
        <v>984</v>
      </c>
      <c r="I2728" s="2"/>
      <c r="J2728" s="2" t="s">
        <v>36</v>
      </c>
    </row>
    <row r="2729" spans="1:10" ht="21" customHeight="1">
      <c r="A2729" s="2" t="s">
        <v>3723</v>
      </c>
      <c r="B2729" s="2" t="s">
        <v>36</v>
      </c>
      <c r="C2729" s="4">
        <v>45830.25</v>
      </c>
      <c r="D2729" s="4">
        <v>45830.250179826384</v>
      </c>
      <c r="E2729" s="2">
        <v>2.97</v>
      </c>
      <c r="F2729" s="2">
        <v>62.1</v>
      </c>
      <c r="G2729" s="2" t="s">
        <v>983</v>
      </c>
      <c r="H2729" s="2" t="s">
        <v>984</v>
      </c>
      <c r="I2729" s="2"/>
      <c r="J2729" s="2" t="s">
        <v>36</v>
      </c>
    </row>
    <row r="2730" spans="1:10" ht="21" customHeight="1">
      <c r="A2730" s="2" t="s">
        <v>3724</v>
      </c>
      <c r="B2730" s="2" t="s">
        <v>36</v>
      </c>
      <c r="C2730" s="4">
        <v>45831.25</v>
      </c>
      <c r="D2730" s="4">
        <v>45831.250151585649</v>
      </c>
      <c r="E2730" s="2">
        <v>2.29</v>
      </c>
      <c r="F2730" s="2">
        <v>61.9</v>
      </c>
      <c r="G2730" s="2" t="s">
        <v>983</v>
      </c>
      <c r="H2730" s="2" t="s">
        <v>984</v>
      </c>
      <c r="I2730" s="2"/>
      <c r="J2730" s="2" t="s">
        <v>36</v>
      </c>
    </row>
    <row r="2731" spans="1:10" ht="21" customHeight="1">
      <c r="A2731" s="2" t="s">
        <v>3725</v>
      </c>
      <c r="B2731" s="2" t="s">
        <v>36</v>
      </c>
      <c r="C2731" s="4">
        <v>45832.25</v>
      </c>
      <c r="D2731" s="4">
        <v>45832.25055759259</v>
      </c>
      <c r="E2731" s="2">
        <v>2.33</v>
      </c>
      <c r="F2731" s="2">
        <v>60.2</v>
      </c>
      <c r="G2731" s="2" t="s">
        <v>983</v>
      </c>
      <c r="H2731" s="2" t="s">
        <v>984</v>
      </c>
      <c r="I2731" s="2"/>
      <c r="J2731" s="2" t="s">
        <v>36</v>
      </c>
    </row>
    <row r="2732" spans="1:10" ht="21" customHeight="1">
      <c r="A2732" s="2" t="s">
        <v>3726</v>
      </c>
      <c r="B2732" s="2" t="s">
        <v>36</v>
      </c>
      <c r="C2732" s="4">
        <v>45833.25</v>
      </c>
      <c r="D2732" s="4">
        <v>45833.250253124999</v>
      </c>
      <c r="E2732" s="2">
        <v>3.07</v>
      </c>
      <c r="F2732" s="2">
        <v>64.400000000000006</v>
      </c>
      <c r="G2732" s="2" t="s">
        <v>983</v>
      </c>
      <c r="H2732" s="2" t="s">
        <v>984</v>
      </c>
      <c r="I2732" s="2"/>
      <c r="J2732" s="2" t="s">
        <v>36</v>
      </c>
    </row>
    <row r="2733" spans="1:10" ht="21" customHeight="1">
      <c r="A2733" s="2" t="s">
        <v>3727</v>
      </c>
      <c r="B2733" s="2" t="s">
        <v>36</v>
      </c>
      <c r="C2733" s="4">
        <v>45834.25</v>
      </c>
      <c r="D2733" s="4">
        <v>45834.250426944447</v>
      </c>
      <c r="E2733" s="2">
        <v>2.79</v>
      </c>
      <c r="F2733" s="2">
        <v>62.9</v>
      </c>
      <c r="G2733" s="2" t="s">
        <v>983</v>
      </c>
      <c r="H2733" s="2" t="s">
        <v>984</v>
      </c>
      <c r="I2733" s="2"/>
      <c r="J2733" s="2" t="s">
        <v>36</v>
      </c>
    </row>
    <row r="2734" spans="1:10" ht="21" customHeight="1">
      <c r="A2734" s="2" t="s">
        <v>3728</v>
      </c>
      <c r="B2734" s="2" t="s">
        <v>36</v>
      </c>
      <c r="C2734" s="4">
        <v>45835.25</v>
      </c>
      <c r="D2734" s="4">
        <v>45835.250601354172</v>
      </c>
      <c r="E2734" s="2">
        <v>2.78</v>
      </c>
      <c r="F2734" s="2">
        <v>62.8</v>
      </c>
      <c r="G2734" s="2" t="s">
        <v>983</v>
      </c>
      <c r="H2734" s="2" t="s">
        <v>984</v>
      </c>
      <c r="I2734" s="2"/>
      <c r="J2734" s="2" t="s">
        <v>36</v>
      </c>
    </row>
    <row r="2735" spans="1:10" ht="21" customHeight="1">
      <c r="A2735" s="2" t="s">
        <v>3729</v>
      </c>
      <c r="B2735" s="2" t="s">
        <v>36</v>
      </c>
      <c r="C2735" s="4">
        <v>45836.25</v>
      </c>
      <c r="D2735" s="4">
        <v>45836.25040740741</v>
      </c>
      <c r="E2735" s="2">
        <v>2.94</v>
      </c>
      <c r="F2735" s="2">
        <v>64.400000000000006</v>
      </c>
      <c r="G2735" s="2" t="s">
        <v>983</v>
      </c>
      <c r="H2735" s="2" t="s">
        <v>984</v>
      </c>
      <c r="I2735" s="2"/>
      <c r="J2735" s="2" t="s">
        <v>36</v>
      </c>
    </row>
    <row r="2736" spans="1:10" ht="21" customHeight="1">
      <c r="A2736" s="2" t="s">
        <v>3730</v>
      </c>
      <c r="B2736" s="2" t="s">
        <v>36</v>
      </c>
      <c r="C2736" s="4">
        <v>45837.25</v>
      </c>
      <c r="D2736" s="4">
        <v>45837.250152835652</v>
      </c>
      <c r="E2736" s="2">
        <v>2.42</v>
      </c>
      <c r="F2736" s="2">
        <v>62.5</v>
      </c>
      <c r="G2736" s="2" t="s">
        <v>983</v>
      </c>
      <c r="H2736" s="2" t="s">
        <v>984</v>
      </c>
      <c r="I2736" s="2"/>
      <c r="J2736" s="2" t="s">
        <v>36</v>
      </c>
    </row>
    <row r="2737" spans="1:10" ht="21" customHeight="1">
      <c r="A2737" s="2" t="s">
        <v>3731</v>
      </c>
      <c r="B2737" s="2" t="s">
        <v>36</v>
      </c>
      <c r="C2737" s="4">
        <v>45838.25</v>
      </c>
      <c r="D2737" s="4">
        <v>45838.250392465277</v>
      </c>
      <c r="E2737" s="2">
        <v>2.98</v>
      </c>
      <c r="F2737" s="2">
        <v>64.8</v>
      </c>
      <c r="G2737" s="2" t="s">
        <v>983</v>
      </c>
      <c r="H2737" s="2" t="s">
        <v>984</v>
      </c>
      <c r="I2737" s="2"/>
      <c r="J2737" s="2" t="s">
        <v>36</v>
      </c>
    </row>
    <row r="2738" spans="1:10" ht="21" customHeight="1">
      <c r="A2738" s="2" t="s">
        <v>3732</v>
      </c>
      <c r="B2738" s="2" t="s">
        <v>36</v>
      </c>
      <c r="C2738" s="4">
        <v>45839.25</v>
      </c>
      <c r="D2738" s="4">
        <v>45839.250658229168</v>
      </c>
      <c r="E2738" s="2">
        <v>2.65</v>
      </c>
      <c r="F2738" s="2">
        <v>62.8</v>
      </c>
      <c r="G2738" s="2" t="s">
        <v>983</v>
      </c>
      <c r="H2738" s="2" t="s">
        <v>984</v>
      </c>
      <c r="I2738" s="2"/>
      <c r="J2738" s="2" t="s">
        <v>36</v>
      </c>
    </row>
    <row r="2739" spans="1:10" ht="21" customHeight="1">
      <c r="A2739" s="2" t="s">
        <v>3733</v>
      </c>
      <c r="B2739" s="2" t="s">
        <v>36</v>
      </c>
      <c r="C2739" s="4">
        <v>45840.25</v>
      </c>
      <c r="D2739" s="4">
        <v>45840.250607256945</v>
      </c>
      <c r="E2739" s="2">
        <v>3.09</v>
      </c>
      <c r="F2739" s="2">
        <v>63.1</v>
      </c>
      <c r="G2739" s="2" t="s">
        <v>983</v>
      </c>
      <c r="H2739" s="2" t="s">
        <v>984</v>
      </c>
      <c r="I2739" s="2"/>
      <c r="J2739" s="2" t="s">
        <v>36</v>
      </c>
    </row>
    <row r="2740" spans="1:10" ht="21" customHeight="1">
      <c r="A2740" s="2" t="s">
        <v>3734</v>
      </c>
      <c r="B2740" s="2" t="s">
        <v>36</v>
      </c>
      <c r="C2740" s="4">
        <v>45841.25</v>
      </c>
      <c r="D2740" s="4">
        <v>45841.250174189816</v>
      </c>
      <c r="E2740" s="2">
        <v>6.15</v>
      </c>
      <c r="F2740" s="2">
        <v>69</v>
      </c>
      <c r="G2740" s="2" t="s">
        <v>983</v>
      </c>
      <c r="H2740" s="2" t="s">
        <v>984</v>
      </c>
      <c r="I2740" s="2"/>
      <c r="J2740" s="2" t="s">
        <v>36</v>
      </c>
    </row>
    <row r="2741" spans="1:10" ht="21" customHeight="1">
      <c r="A2741" s="2" t="s">
        <v>3735</v>
      </c>
      <c r="B2741" s="2" t="s">
        <v>36</v>
      </c>
      <c r="C2741" s="4">
        <v>45842.25</v>
      </c>
      <c r="D2741" s="4">
        <v>45842.250009016207</v>
      </c>
      <c r="E2741" s="2">
        <v>6.75</v>
      </c>
      <c r="F2741" s="2">
        <v>69.2</v>
      </c>
      <c r="G2741" s="2" t="s">
        <v>983</v>
      </c>
      <c r="H2741" s="2" t="s">
        <v>984</v>
      </c>
      <c r="I2741" s="2" t="s">
        <v>1053</v>
      </c>
      <c r="J2741" s="2" t="s">
        <v>36</v>
      </c>
    </row>
    <row r="2742" spans="1:10" ht="21" customHeight="1">
      <c r="A2742" s="2" t="s">
        <v>3736</v>
      </c>
      <c r="B2742" s="2" t="s">
        <v>36</v>
      </c>
      <c r="C2742" s="4">
        <v>45843.25</v>
      </c>
      <c r="D2742" s="4">
        <v>45843.250524884264</v>
      </c>
      <c r="E2742" s="2">
        <v>6.27</v>
      </c>
      <c r="F2742" s="2">
        <v>67.7</v>
      </c>
      <c r="G2742" s="2" t="s">
        <v>983</v>
      </c>
      <c r="H2742" s="2" t="s">
        <v>984</v>
      </c>
      <c r="I2742" s="2"/>
      <c r="J2742" s="2" t="s">
        <v>36</v>
      </c>
    </row>
    <row r="2743" spans="1:10" ht="21" customHeight="1">
      <c r="A2743" s="2" t="s">
        <v>3737</v>
      </c>
      <c r="B2743" s="2" t="s">
        <v>36</v>
      </c>
      <c r="C2743" s="4">
        <v>45844.25</v>
      </c>
      <c r="D2743" s="4">
        <v>45844.250253761573</v>
      </c>
      <c r="E2743" s="2">
        <v>0</v>
      </c>
      <c r="F2743" s="2">
        <v>62.3</v>
      </c>
      <c r="G2743" s="2" t="s">
        <v>1175</v>
      </c>
      <c r="H2743" s="2" t="s">
        <v>984</v>
      </c>
      <c r="I2743" s="2"/>
      <c r="J2743" s="2" t="s">
        <v>36</v>
      </c>
    </row>
    <row r="2744" spans="1:10" ht="21" customHeight="1">
      <c r="A2744" s="2" t="s">
        <v>3738</v>
      </c>
      <c r="B2744" s="2" t="s">
        <v>36</v>
      </c>
      <c r="C2744" s="4">
        <v>45845.25</v>
      </c>
      <c r="D2744" s="4">
        <v>45845.250224583331</v>
      </c>
      <c r="E2744" s="2">
        <v>3.06</v>
      </c>
      <c r="F2744" s="2">
        <v>62.2</v>
      </c>
      <c r="G2744" s="2" t="s">
        <v>983</v>
      </c>
      <c r="H2744" s="2" t="s">
        <v>984</v>
      </c>
      <c r="I2744" s="2" t="s">
        <v>985</v>
      </c>
      <c r="J2744" s="2" t="s">
        <v>36</v>
      </c>
    </row>
    <row r="2745" spans="1:10" ht="21" customHeight="1">
      <c r="A2745" s="2" t="s">
        <v>3739</v>
      </c>
      <c r="B2745" s="2" t="s">
        <v>36</v>
      </c>
      <c r="C2745" s="4">
        <v>45846.25</v>
      </c>
      <c r="D2745" s="4">
        <v>45846.250510590282</v>
      </c>
      <c r="E2745" s="2">
        <v>2.2000000000000002</v>
      </c>
      <c r="F2745" s="2">
        <v>64.5</v>
      </c>
      <c r="G2745" s="2" t="s">
        <v>983</v>
      </c>
      <c r="H2745" s="2" t="s">
        <v>984</v>
      </c>
      <c r="I2745" s="2"/>
      <c r="J2745" s="2" t="s">
        <v>36</v>
      </c>
    </row>
    <row r="2746" spans="1:10" ht="21" customHeight="1">
      <c r="A2746" s="2" t="s">
        <v>3740</v>
      </c>
      <c r="B2746" s="2" t="s">
        <v>36</v>
      </c>
      <c r="C2746" s="4">
        <v>45847.25</v>
      </c>
      <c r="D2746" s="4">
        <v>45847.250331909723</v>
      </c>
      <c r="E2746" s="2">
        <v>2.84</v>
      </c>
      <c r="F2746" s="2">
        <v>62.5</v>
      </c>
      <c r="G2746" s="2" t="s">
        <v>983</v>
      </c>
      <c r="H2746" s="2" t="s">
        <v>984</v>
      </c>
      <c r="I2746" s="2"/>
      <c r="J2746" s="2" t="s">
        <v>36</v>
      </c>
    </row>
    <row r="2747" spans="1:10" ht="21" customHeight="1">
      <c r="A2747" s="2" t="s">
        <v>3741</v>
      </c>
      <c r="B2747" s="2" t="s">
        <v>36</v>
      </c>
      <c r="C2747" s="4">
        <v>45848.25</v>
      </c>
      <c r="D2747" s="4">
        <v>45848.250199965274</v>
      </c>
      <c r="E2747" s="2">
        <v>2.69</v>
      </c>
      <c r="F2747" s="2">
        <v>58.7</v>
      </c>
      <c r="G2747" s="2" t="s">
        <v>983</v>
      </c>
      <c r="H2747" s="2" t="s">
        <v>984</v>
      </c>
      <c r="I2747" s="2"/>
      <c r="J2747" s="2" t="s">
        <v>36</v>
      </c>
    </row>
    <row r="2748" spans="1:10" ht="21" customHeight="1">
      <c r="A2748" s="2" t="s">
        <v>3742</v>
      </c>
      <c r="B2748" s="2" t="s">
        <v>36</v>
      </c>
      <c r="C2748" s="4">
        <v>45849.25</v>
      </c>
      <c r="D2748" s="4">
        <v>45849.250295601851</v>
      </c>
      <c r="E2748" s="2">
        <v>2.83</v>
      </c>
      <c r="F2748" s="2">
        <v>60.9</v>
      </c>
      <c r="G2748" s="2" t="s">
        <v>983</v>
      </c>
      <c r="H2748" s="2" t="s">
        <v>984</v>
      </c>
      <c r="I2748" s="2"/>
      <c r="J2748" s="2" t="s">
        <v>36</v>
      </c>
    </row>
    <row r="2749" spans="1:10" ht="21" customHeight="1">
      <c r="A2749" s="2" t="s">
        <v>3743</v>
      </c>
      <c r="B2749" s="2" t="s">
        <v>3579</v>
      </c>
      <c r="C2749" s="4">
        <v>45850.25</v>
      </c>
      <c r="D2749" s="4">
        <v>45850.250523483795</v>
      </c>
      <c r="E2749" s="2">
        <v>2.91</v>
      </c>
      <c r="F2749" s="2">
        <v>64.3</v>
      </c>
      <c r="G2749" s="2" t="s">
        <v>983</v>
      </c>
      <c r="H2749" s="2" t="s">
        <v>984</v>
      </c>
      <c r="I2749" s="2"/>
      <c r="J2749" s="2" t="s">
        <v>36</v>
      </c>
    </row>
    <row r="2750" spans="1:10" ht="21" customHeight="1">
      <c r="A2750" s="2" t="s">
        <v>3744</v>
      </c>
      <c r="B2750" s="2" t="s">
        <v>36</v>
      </c>
      <c r="C2750" s="4">
        <v>45851.25</v>
      </c>
      <c r="D2750" s="4">
        <v>45851.250259884255</v>
      </c>
      <c r="E2750" s="2">
        <v>2.12</v>
      </c>
      <c r="F2750" s="2">
        <v>63.8</v>
      </c>
      <c r="G2750" s="2" t="s">
        <v>983</v>
      </c>
      <c r="H2750" s="2" t="s">
        <v>984</v>
      </c>
      <c r="I2750" s="2"/>
      <c r="J2750" s="2" t="s">
        <v>36</v>
      </c>
    </row>
    <row r="2751" spans="1:10" ht="21" customHeight="1">
      <c r="A2751" s="2" t="s">
        <v>3745</v>
      </c>
      <c r="B2751" s="2" t="s">
        <v>36</v>
      </c>
      <c r="C2751" s="4">
        <v>45852.25</v>
      </c>
      <c r="D2751" s="4">
        <v>45852.250037662037</v>
      </c>
      <c r="E2751" s="2">
        <v>2.86</v>
      </c>
      <c r="F2751" s="2">
        <v>65.5</v>
      </c>
      <c r="G2751" s="2" t="s">
        <v>983</v>
      </c>
      <c r="H2751" s="2" t="s">
        <v>984</v>
      </c>
      <c r="I2751" s="2"/>
      <c r="J2751" s="2" t="s">
        <v>36</v>
      </c>
    </row>
    <row r="2752" spans="1:10" ht="21" customHeight="1">
      <c r="A2752" s="2" t="s">
        <v>3746</v>
      </c>
      <c r="B2752" s="2" t="s">
        <v>36</v>
      </c>
      <c r="C2752" s="4">
        <v>45853.25</v>
      </c>
      <c r="D2752" s="4">
        <v>45853.250610335643</v>
      </c>
      <c r="E2752" s="2">
        <v>2.29</v>
      </c>
      <c r="F2752" s="2">
        <v>65.8</v>
      </c>
      <c r="G2752" s="2" t="s">
        <v>983</v>
      </c>
      <c r="H2752" s="2" t="s">
        <v>984</v>
      </c>
      <c r="I2752" s="2"/>
      <c r="J2752" s="2" t="s">
        <v>36</v>
      </c>
    </row>
    <row r="2753" spans="1:10" ht="21" customHeight="1">
      <c r="A2753" s="2" t="s">
        <v>3747</v>
      </c>
      <c r="B2753" s="2" t="s">
        <v>36</v>
      </c>
      <c r="C2753" s="4">
        <v>45854.25</v>
      </c>
      <c r="D2753" s="4">
        <v>45854.250670254631</v>
      </c>
      <c r="E2753" s="2">
        <v>2.94</v>
      </c>
      <c r="F2753" s="2">
        <v>65.8</v>
      </c>
      <c r="G2753" s="2" t="s">
        <v>983</v>
      </c>
      <c r="H2753" s="2" t="s">
        <v>984</v>
      </c>
      <c r="I2753" s="2"/>
      <c r="J2753" s="2" t="s">
        <v>36</v>
      </c>
    </row>
    <row r="2754" spans="1:10" ht="21" customHeight="1">
      <c r="A2754" s="2" t="s">
        <v>3748</v>
      </c>
      <c r="B2754" s="2" t="s">
        <v>36</v>
      </c>
      <c r="C2754" s="4">
        <v>45855.25</v>
      </c>
      <c r="D2754" s="4">
        <v>45855.25067706019</v>
      </c>
      <c r="E2754" s="2">
        <v>2.89</v>
      </c>
      <c r="F2754" s="2">
        <v>65.8</v>
      </c>
      <c r="G2754" s="2" t="s">
        <v>983</v>
      </c>
      <c r="H2754" s="2" t="s">
        <v>984</v>
      </c>
      <c r="I2754" s="2"/>
      <c r="J2754" s="2" t="s">
        <v>36</v>
      </c>
    </row>
    <row r="2755" spans="1:10" ht="21" customHeight="1">
      <c r="A2755" s="2" t="s">
        <v>3749</v>
      </c>
      <c r="B2755" s="2" t="s">
        <v>36</v>
      </c>
      <c r="C2755" s="4">
        <v>45856.25</v>
      </c>
      <c r="D2755" s="4">
        <v>45856.250416712966</v>
      </c>
      <c r="E2755" s="2">
        <v>2.75</v>
      </c>
      <c r="F2755" s="2">
        <v>64.7</v>
      </c>
      <c r="G2755" s="2" t="s">
        <v>983</v>
      </c>
      <c r="H2755" s="2" t="s">
        <v>984</v>
      </c>
      <c r="I2755" s="2"/>
      <c r="J2755" s="2" t="s">
        <v>36</v>
      </c>
    </row>
    <row r="2756" spans="1:10" ht="21" customHeight="1">
      <c r="A2756" s="2" t="s">
        <v>3750</v>
      </c>
      <c r="B2756" s="2" t="s">
        <v>36</v>
      </c>
      <c r="C2756" s="4">
        <v>45857.25</v>
      </c>
      <c r="D2756" s="4">
        <v>45857.250360324077</v>
      </c>
      <c r="E2756" s="2">
        <v>2.98</v>
      </c>
      <c r="F2756" s="2">
        <v>59.1</v>
      </c>
      <c r="G2756" s="2" t="s">
        <v>983</v>
      </c>
      <c r="H2756" s="2" t="s">
        <v>984</v>
      </c>
      <c r="I2756" s="2"/>
      <c r="J2756" s="2" t="s">
        <v>36</v>
      </c>
    </row>
    <row r="2757" spans="1:10" ht="21" customHeight="1">
      <c r="A2757" s="2" t="s">
        <v>3751</v>
      </c>
      <c r="B2757" s="2" t="s">
        <v>36</v>
      </c>
      <c r="C2757" s="4">
        <v>45858.25</v>
      </c>
      <c r="D2757" s="4">
        <v>45858.250112546295</v>
      </c>
      <c r="E2757" s="2">
        <v>2.2599999999999998</v>
      </c>
      <c r="F2757" s="2">
        <v>65.7</v>
      </c>
      <c r="G2757" s="2" t="s">
        <v>983</v>
      </c>
      <c r="H2757" s="2" t="s">
        <v>984</v>
      </c>
      <c r="I2757" s="2"/>
      <c r="J2757" s="2" t="s">
        <v>36</v>
      </c>
    </row>
    <row r="2758" spans="1:10" ht="21" customHeight="1">
      <c r="A2758" s="2" t="s">
        <v>3752</v>
      </c>
      <c r="B2758" s="2" t="s">
        <v>36</v>
      </c>
      <c r="C2758" s="4">
        <v>45859.25</v>
      </c>
      <c r="D2758" s="4">
        <v>45859.250601851847</v>
      </c>
      <c r="E2758" s="2">
        <v>2.66</v>
      </c>
      <c r="F2758" s="2">
        <v>60.4</v>
      </c>
      <c r="G2758" s="2" t="s">
        <v>983</v>
      </c>
      <c r="H2758" s="2" t="s">
        <v>984</v>
      </c>
      <c r="I2758" s="2"/>
      <c r="J2758" s="2" t="s">
        <v>36</v>
      </c>
    </row>
    <row r="2759" spans="1:10" ht="21" customHeight="1">
      <c r="A2759" s="2" t="s">
        <v>3753</v>
      </c>
      <c r="B2759" s="2" t="s">
        <v>36</v>
      </c>
      <c r="C2759" s="4">
        <v>45860.25</v>
      </c>
      <c r="D2759" s="4">
        <v>45860.250180972223</v>
      </c>
      <c r="E2759" s="2">
        <v>2.97</v>
      </c>
      <c r="F2759" s="2">
        <v>60.1</v>
      </c>
      <c r="G2759" s="2" t="s">
        <v>983</v>
      </c>
      <c r="H2759" s="2" t="s">
        <v>984</v>
      </c>
      <c r="I2759" s="2"/>
      <c r="J2759" s="2" t="s">
        <v>36</v>
      </c>
    </row>
    <row r="2760" spans="1:10" ht="21" customHeight="1">
      <c r="A2760" s="2" t="s">
        <v>3754</v>
      </c>
      <c r="B2760" s="2" t="s">
        <v>36</v>
      </c>
      <c r="C2760" s="4">
        <v>45861.25</v>
      </c>
      <c r="D2760" s="4">
        <v>45861.250402384263</v>
      </c>
      <c r="E2760" s="2">
        <v>3.06</v>
      </c>
      <c r="F2760" s="2">
        <v>63.8</v>
      </c>
      <c r="G2760" s="2" t="s">
        <v>983</v>
      </c>
      <c r="H2760" s="2" t="s">
        <v>984</v>
      </c>
      <c r="I2760" s="2"/>
      <c r="J2760" s="2" t="s">
        <v>36</v>
      </c>
    </row>
    <row r="2761" spans="1:10" ht="21" customHeight="1">
      <c r="A2761" s="2" t="s">
        <v>3755</v>
      </c>
      <c r="B2761" s="2" t="s">
        <v>36</v>
      </c>
      <c r="C2761" s="4">
        <v>45862.25</v>
      </c>
      <c r="D2761" s="4">
        <v>45862.250088715278</v>
      </c>
      <c r="E2761" s="2">
        <v>3.17</v>
      </c>
      <c r="F2761" s="2">
        <v>63.9</v>
      </c>
      <c r="G2761" s="2" t="s">
        <v>983</v>
      </c>
      <c r="H2761" s="2" t="s">
        <v>984</v>
      </c>
      <c r="I2761" s="2" t="s">
        <v>985</v>
      </c>
      <c r="J2761" s="2" t="s">
        <v>36</v>
      </c>
    </row>
    <row r="2762" spans="1:10" ht="21" customHeight="1">
      <c r="A2762" s="2" t="s">
        <v>3756</v>
      </c>
      <c r="B2762" s="2" t="s">
        <v>36</v>
      </c>
      <c r="C2762" s="4">
        <v>45863.25</v>
      </c>
      <c r="D2762" s="4">
        <v>45863.250394618051</v>
      </c>
      <c r="E2762" s="2">
        <v>3.17</v>
      </c>
      <c r="F2762" s="2">
        <v>58.4</v>
      </c>
      <c r="G2762" s="2" t="s">
        <v>983</v>
      </c>
      <c r="H2762" s="2" t="s">
        <v>984</v>
      </c>
      <c r="I2762" s="2"/>
      <c r="J2762" s="2" t="s">
        <v>36</v>
      </c>
    </row>
    <row r="2763" spans="1:10" ht="21" customHeight="1">
      <c r="A2763" s="2" t="s">
        <v>3757</v>
      </c>
      <c r="B2763" s="2" t="s">
        <v>36</v>
      </c>
      <c r="C2763" s="4">
        <v>45864.25</v>
      </c>
      <c r="D2763" s="4">
        <v>45864.250254756946</v>
      </c>
      <c r="E2763" s="2">
        <v>2.74</v>
      </c>
      <c r="F2763" s="2">
        <v>63.2</v>
      </c>
      <c r="G2763" s="2" t="s">
        <v>983</v>
      </c>
      <c r="H2763" s="2" t="s">
        <v>984</v>
      </c>
      <c r="I2763" s="2"/>
      <c r="J2763" s="2" t="s">
        <v>36</v>
      </c>
    </row>
    <row r="2764" spans="1:10" ht="21" customHeight="1">
      <c r="A2764" s="2" t="s">
        <v>3758</v>
      </c>
      <c r="B2764" s="2" t="s">
        <v>36</v>
      </c>
      <c r="C2764" s="4">
        <v>45865.25</v>
      </c>
      <c r="D2764" s="4">
        <v>45865.250549687495</v>
      </c>
      <c r="E2764" s="2">
        <v>2.63</v>
      </c>
      <c r="F2764" s="2">
        <v>63</v>
      </c>
      <c r="G2764" s="2" t="s">
        <v>983</v>
      </c>
      <c r="H2764" s="2" t="s">
        <v>984</v>
      </c>
      <c r="I2764" s="2"/>
      <c r="J2764" s="2" t="s">
        <v>36</v>
      </c>
    </row>
    <row r="2765" spans="1:10" ht="21" customHeight="1">
      <c r="A2765" s="2" t="s">
        <v>3759</v>
      </c>
      <c r="B2765" s="2" t="s">
        <v>36</v>
      </c>
      <c r="C2765" s="4">
        <v>45866.25</v>
      </c>
      <c r="D2765" s="4">
        <v>45866.250683923616</v>
      </c>
      <c r="E2765" s="2"/>
      <c r="F2765" s="2"/>
      <c r="G2765" s="2" t="s">
        <v>983</v>
      </c>
      <c r="H2765" s="2" t="s">
        <v>1066</v>
      </c>
      <c r="I2765" s="2"/>
      <c r="J2765" s="2" t="s">
        <v>36</v>
      </c>
    </row>
    <row r="2766" spans="1:10" ht="21" customHeight="1">
      <c r="A2766" s="2" t="s">
        <v>3760</v>
      </c>
      <c r="B2766" s="2" t="s">
        <v>36</v>
      </c>
      <c r="C2766" s="4">
        <v>45867.25</v>
      </c>
      <c r="D2766" s="4">
        <v>45867.250421620367</v>
      </c>
      <c r="E2766" s="2">
        <v>2.14</v>
      </c>
      <c r="F2766" s="2">
        <v>59.8</v>
      </c>
      <c r="G2766" s="2" t="s">
        <v>983</v>
      </c>
      <c r="H2766" s="2" t="s">
        <v>984</v>
      </c>
      <c r="I2766" s="2"/>
      <c r="J2766" s="2" t="s">
        <v>36</v>
      </c>
    </row>
    <row r="2767" spans="1:10" ht="21" customHeight="1">
      <c r="A2767" s="2" t="s">
        <v>3761</v>
      </c>
      <c r="B2767" s="2" t="s">
        <v>36</v>
      </c>
      <c r="C2767" s="4">
        <v>45868.25</v>
      </c>
      <c r="D2767" s="4">
        <v>45868.250319652783</v>
      </c>
      <c r="E2767" s="2">
        <v>2.66</v>
      </c>
      <c r="F2767" s="2">
        <v>64.900000000000006</v>
      </c>
      <c r="G2767" s="2" t="s">
        <v>983</v>
      </c>
      <c r="H2767" s="2" t="s">
        <v>984</v>
      </c>
      <c r="I2767" s="2"/>
      <c r="J2767" s="2" t="s">
        <v>36</v>
      </c>
    </row>
    <row r="2768" spans="1:10" ht="21" customHeight="1">
      <c r="A2768" s="2" t="s">
        <v>3762</v>
      </c>
      <c r="B2768" s="2" t="s">
        <v>36</v>
      </c>
      <c r="C2768" s="4">
        <v>45869.25</v>
      </c>
      <c r="D2768" s="4">
        <v>45869.250674872688</v>
      </c>
      <c r="E2768" s="2">
        <v>2.5</v>
      </c>
      <c r="F2768" s="2">
        <v>60</v>
      </c>
      <c r="G2768" s="2" t="s">
        <v>983</v>
      </c>
      <c r="H2768" s="2" t="s">
        <v>984</v>
      </c>
      <c r="I2768" s="2"/>
      <c r="J2768" s="2" t="s">
        <v>36</v>
      </c>
    </row>
    <row r="2769" spans="1:10" ht="21" customHeight="1">
      <c r="A2769" s="2" t="s">
        <v>3763</v>
      </c>
      <c r="B2769" s="2" t="s">
        <v>36</v>
      </c>
      <c r="C2769" s="4">
        <v>45870.25</v>
      </c>
      <c r="D2769" s="4">
        <v>45870.250031446762</v>
      </c>
      <c r="E2769" s="2">
        <v>2.82</v>
      </c>
      <c r="F2769" s="2">
        <v>61.2</v>
      </c>
      <c r="G2769" s="2" t="s">
        <v>983</v>
      </c>
      <c r="H2769" s="2" t="s">
        <v>984</v>
      </c>
      <c r="I2769" s="2"/>
      <c r="J2769" s="2" t="s">
        <v>36</v>
      </c>
    </row>
    <row r="2770" spans="1:10" ht="21" customHeight="1">
      <c r="A2770" s="2" t="s">
        <v>3764</v>
      </c>
      <c r="B2770" s="2" t="s">
        <v>36</v>
      </c>
      <c r="C2770" s="4">
        <v>45871.25</v>
      </c>
      <c r="D2770" s="4">
        <v>45871.250129456021</v>
      </c>
      <c r="E2770" s="2">
        <v>2.7</v>
      </c>
      <c r="F2770" s="2">
        <v>65.400000000000006</v>
      </c>
      <c r="G2770" s="2" t="s">
        <v>983</v>
      </c>
      <c r="H2770" s="2" t="s">
        <v>984</v>
      </c>
      <c r="I2770" s="2"/>
      <c r="J2770" s="2" t="s">
        <v>36</v>
      </c>
    </row>
    <row r="2771" spans="1:10" ht="21" customHeight="1">
      <c r="A2771" s="2" t="s">
        <v>3765</v>
      </c>
      <c r="B2771" s="2" t="s">
        <v>36</v>
      </c>
      <c r="C2771" s="4">
        <v>45872.25</v>
      </c>
      <c r="D2771" s="4">
        <v>45872.250459131945</v>
      </c>
      <c r="E2771" s="2">
        <v>4.8</v>
      </c>
      <c r="F2771" s="2">
        <v>68.3</v>
      </c>
      <c r="G2771" s="2" t="s">
        <v>983</v>
      </c>
      <c r="H2771" s="2" t="s">
        <v>984</v>
      </c>
      <c r="I2771" s="2" t="s">
        <v>1053</v>
      </c>
      <c r="J2771" s="2" t="s">
        <v>36</v>
      </c>
    </row>
    <row r="2772" spans="1:10" ht="21" customHeight="1">
      <c r="A2772" s="2" t="s">
        <v>3766</v>
      </c>
      <c r="B2772" s="2" t="s">
        <v>36</v>
      </c>
      <c r="C2772" s="4">
        <v>45873.25</v>
      </c>
      <c r="D2772" s="4">
        <v>45873.250688703702</v>
      </c>
      <c r="E2772" s="2">
        <v>5.41</v>
      </c>
      <c r="F2772" s="2">
        <v>74.8</v>
      </c>
      <c r="G2772" s="2" t="s">
        <v>983</v>
      </c>
      <c r="H2772" s="2" t="s">
        <v>984</v>
      </c>
      <c r="I2772" s="2"/>
      <c r="J2772" s="2" t="s">
        <v>36</v>
      </c>
    </row>
    <row r="2773" spans="1:10" ht="21" customHeight="1">
      <c r="A2773" s="2" t="s">
        <v>3767</v>
      </c>
      <c r="B2773" s="2" t="s">
        <v>36</v>
      </c>
      <c r="C2773" s="4">
        <v>45874.25</v>
      </c>
      <c r="D2773" s="4">
        <v>45874.250399166667</v>
      </c>
      <c r="E2773" s="2">
        <v>6.95</v>
      </c>
      <c r="F2773" s="2">
        <v>71.099999999999994</v>
      </c>
      <c r="G2773" s="2" t="s">
        <v>983</v>
      </c>
      <c r="H2773" s="2" t="s">
        <v>984</v>
      </c>
      <c r="I2773" s="2" t="s">
        <v>1053</v>
      </c>
      <c r="J2773" s="2" t="s">
        <v>36</v>
      </c>
    </row>
    <row r="2774" spans="1:10" ht="21" customHeight="1">
      <c r="A2774" s="2" t="s">
        <v>3768</v>
      </c>
      <c r="B2774" s="2" t="s">
        <v>36</v>
      </c>
      <c r="C2774" s="4">
        <v>45875.25</v>
      </c>
      <c r="D2774" s="4">
        <v>45875.250223993055</v>
      </c>
      <c r="E2774" s="2">
        <v>3.07</v>
      </c>
      <c r="F2774" s="2">
        <v>63.6</v>
      </c>
      <c r="G2774" s="2" t="s">
        <v>983</v>
      </c>
      <c r="H2774" s="2" t="s">
        <v>984</v>
      </c>
      <c r="I2774" s="2"/>
      <c r="J2774" s="2" t="s">
        <v>36</v>
      </c>
    </row>
    <row r="2775" spans="1:10" ht="21" customHeight="1">
      <c r="A2775" s="2" t="s">
        <v>3769</v>
      </c>
      <c r="B2775" s="2" t="s">
        <v>36</v>
      </c>
      <c r="C2775" s="4">
        <v>45876.25</v>
      </c>
      <c r="D2775" s="4">
        <v>45876.250197152782</v>
      </c>
      <c r="E2775" s="2">
        <v>3</v>
      </c>
      <c r="F2775" s="2">
        <v>60.8</v>
      </c>
      <c r="G2775" s="2" t="s">
        <v>983</v>
      </c>
      <c r="H2775" s="2" t="s">
        <v>984</v>
      </c>
      <c r="I2775" s="2"/>
      <c r="J2775" s="2" t="s">
        <v>36</v>
      </c>
    </row>
    <row r="2776" spans="1:10" ht="21" customHeight="1">
      <c r="A2776" s="2" t="s">
        <v>3770</v>
      </c>
      <c r="B2776" s="2" t="s">
        <v>36</v>
      </c>
      <c r="C2776" s="4">
        <v>45877.25</v>
      </c>
      <c r="D2776" s="4">
        <v>45877.250145983795</v>
      </c>
      <c r="E2776" s="2">
        <v>2.71</v>
      </c>
      <c r="F2776" s="2">
        <v>61.1</v>
      </c>
      <c r="G2776" s="2" t="s">
        <v>983</v>
      </c>
      <c r="H2776" s="2" t="s">
        <v>984</v>
      </c>
      <c r="I2776" s="2"/>
      <c r="J2776" s="2" t="s">
        <v>36</v>
      </c>
    </row>
    <row r="2777" spans="1:10" ht="21" customHeight="1">
      <c r="A2777" s="2" t="s">
        <v>3771</v>
      </c>
      <c r="B2777" s="2" t="s">
        <v>36</v>
      </c>
      <c r="C2777" s="4">
        <v>45878.25</v>
      </c>
      <c r="D2777" s="4">
        <v>45878.250143136574</v>
      </c>
      <c r="E2777" s="2">
        <v>2.76</v>
      </c>
      <c r="F2777" s="2">
        <v>60.2</v>
      </c>
      <c r="G2777" s="2" t="s">
        <v>983</v>
      </c>
      <c r="H2777" s="2" t="s">
        <v>984</v>
      </c>
      <c r="I2777" s="2"/>
      <c r="J2777" s="2" t="s">
        <v>36</v>
      </c>
    </row>
    <row r="2778" spans="1:10" ht="21" customHeight="1">
      <c r="A2778" s="2" t="s">
        <v>3772</v>
      </c>
      <c r="B2778" s="2" t="s">
        <v>36</v>
      </c>
      <c r="C2778" s="4">
        <v>45879.25</v>
      </c>
      <c r="D2778" s="4">
        <v>45879.250332638891</v>
      </c>
      <c r="E2778" s="2">
        <v>2.81</v>
      </c>
      <c r="F2778" s="2">
        <v>61.8</v>
      </c>
      <c r="G2778" s="2" t="s">
        <v>983</v>
      </c>
      <c r="H2778" s="2" t="s">
        <v>984</v>
      </c>
      <c r="I2778" s="2" t="s">
        <v>985</v>
      </c>
      <c r="J2778" s="2" t="s">
        <v>36</v>
      </c>
    </row>
    <row r="2779" spans="1:10" ht="21" customHeight="1">
      <c r="A2779" s="2" t="s">
        <v>3773</v>
      </c>
      <c r="B2779" s="2" t="s">
        <v>36</v>
      </c>
      <c r="C2779" s="4">
        <v>45880.25</v>
      </c>
      <c r="D2779" s="4">
        <v>45880.250269710647</v>
      </c>
      <c r="E2779" s="2">
        <v>3.1</v>
      </c>
      <c r="F2779" s="2">
        <v>58.3</v>
      </c>
      <c r="G2779" s="2" t="s">
        <v>983</v>
      </c>
      <c r="H2779" s="2" t="s">
        <v>984</v>
      </c>
      <c r="I2779" s="2"/>
      <c r="J2779" s="2" t="s">
        <v>36</v>
      </c>
    </row>
    <row r="2780" spans="1:10" ht="21" customHeight="1">
      <c r="A2780" s="2" t="s">
        <v>3774</v>
      </c>
      <c r="B2780" s="2" t="s">
        <v>36</v>
      </c>
      <c r="C2780" s="4">
        <v>45881.25</v>
      </c>
      <c r="D2780" s="4">
        <v>45881.250634490745</v>
      </c>
      <c r="E2780" s="2">
        <v>3.25</v>
      </c>
      <c r="F2780" s="2">
        <v>65.599999999999994</v>
      </c>
      <c r="G2780" s="2" t="s">
        <v>983</v>
      </c>
      <c r="H2780" s="2" t="s">
        <v>984</v>
      </c>
      <c r="I2780" s="2"/>
      <c r="J2780" s="2" t="s">
        <v>36</v>
      </c>
    </row>
    <row r="2781" spans="1:10" ht="21" customHeight="1">
      <c r="A2781" s="2" t="s">
        <v>3775</v>
      </c>
      <c r="B2781" s="2" t="s">
        <v>36</v>
      </c>
      <c r="C2781" s="4">
        <v>45882.25</v>
      </c>
      <c r="D2781" s="4">
        <v>45882.250473425927</v>
      </c>
      <c r="E2781" s="2">
        <v>3.16</v>
      </c>
      <c r="F2781" s="2">
        <v>62.4</v>
      </c>
      <c r="G2781" s="2" t="s">
        <v>983</v>
      </c>
      <c r="H2781" s="2" t="s">
        <v>984</v>
      </c>
      <c r="I2781" s="2"/>
      <c r="J2781" s="2" t="s">
        <v>36</v>
      </c>
    </row>
    <row r="2782" spans="1:10" ht="21" customHeight="1">
      <c r="A2782" s="2" t="s">
        <v>3776</v>
      </c>
      <c r="B2782" s="2" t="s">
        <v>36</v>
      </c>
      <c r="C2782" s="4">
        <v>45883.25</v>
      </c>
      <c r="D2782" s="4">
        <v>45883.250538749999</v>
      </c>
      <c r="E2782" s="2">
        <v>2.57</v>
      </c>
      <c r="F2782" s="2">
        <v>64.099999999999994</v>
      </c>
      <c r="G2782" s="2" t="s">
        <v>983</v>
      </c>
      <c r="H2782" s="2" t="s">
        <v>984</v>
      </c>
      <c r="I2782" s="2"/>
      <c r="J2782" s="2" t="s">
        <v>36</v>
      </c>
    </row>
    <row r="2783" spans="1:10" ht="21" customHeight="1">
      <c r="A2783" s="2" t="s">
        <v>3777</v>
      </c>
      <c r="B2783" s="2" t="s">
        <v>36</v>
      </c>
      <c r="C2783" s="4">
        <v>45884.25</v>
      </c>
      <c r="D2783" s="4">
        <v>45884.250495555556</v>
      </c>
      <c r="E2783" s="2">
        <v>2.1800000000000002</v>
      </c>
      <c r="F2783" s="2">
        <v>59.4</v>
      </c>
      <c r="G2783" s="2" t="s">
        <v>983</v>
      </c>
      <c r="H2783" s="2" t="s">
        <v>984</v>
      </c>
      <c r="I2783" s="2"/>
      <c r="J2783" s="2" t="s">
        <v>36</v>
      </c>
    </row>
    <row r="2784" spans="1:10" ht="21" customHeight="1">
      <c r="A2784" s="2" t="s">
        <v>3778</v>
      </c>
      <c r="B2784" s="2" t="s">
        <v>36</v>
      </c>
      <c r="C2784" s="4">
        <v>45885.25</v>
      </c>
      <c r="D2784" s="4">
        <v>45885.250064571759</v>
      </c>
      <c r="E2784" s="2">
        <v>3.25</v>
      </c>
      <c r="F2784" s="2">
        <v>61.6</v>
      </c>
      <c r="G2784" s="2" t="s">
        <v>983</v>
      </c>
      <c r="H2784" s="2" t="s">
        <v>984</v>
      </c>
      <c r="I2784" s="2"/>
      <c r="J2784" s="2" t="s">
        <v>36</v>
      </c>
    </row>
    <row r="2785" spans="1:10" ht="21" customHeight="1">
      <c r="A2785" s="2" t="s">
        <v>3779</v>
      </c>
      <c r="B2785" s="2" t="s">
        <v>36</v>
      </c>
      <c r="C2785" s="4">
        <v>45886.25</v>
      </c>
      <c r="D2785" s="4">
        <v>45886.250431099535</v>
      </c>
      <c r="E2785" s="2">
        <v>2.33</v>
      </c>
      <c r="F2785" s="2">
        <v>65.099999999999994</v>
      </c>
      <c r="G2785" s="2" t="s">
        <v>983</v>
      </c>
      <c r="H2785" s="2" t="s">
        <v>984</v>
      </c>
      <c r="I2785" s="2"/>
      <c r="J2785" s="2" t="s">
        <v>36</v>
      </c>
    </row>
    <row r="2786" spans="1:10" ht="21" customHeight="1">
      <c r="A2786" s="2" t="s">
        <v>3780</v>
      </c>
      <c r="B2786" s="2" t="s">
        <v>36</v>
      </c>
      <c r="C2786" s="4">
        <v>45887.25</v>
      </c>
      <c r="D2786" s="4">
        <v>45887.250128067128</v>
      </c>
      <c r="E2786" s="2">
        <v>3.07</v>
      </c>
      <c r="F2786" s="2">
        <v>59.9</v>
      </c>
      <c r="G2786" s="2" t="s">
        <v>983</v>
      </c>
      <c r="H2786" s="2" t="s">
        <v>984</v>
      </c>
      <c r="I2786" s="2"/>
      <c r="J2786" s="2" t="s">
        <v>36</v>
      </c>
    </row>
    <row r="2787" spans="1:10" ht="21" customHeight="1">
      <c r="A2787" s="2" t="s">
        <v>3781</v>
      </c>
      <c r="B2787" s="2" t="s">
        <v>36</v>
      </c>
      <c r="C2787" s="4">
        <v>45888.25</v>
      </c>
      <c r="D2787" s="4">
        <v>45888.250112858797</v>
      </c>
      <c r="E2787" s="2">
        <v>3.11</v>
      </c>
      <c r="F2787" s="2">
        <v>63.2</v>
      </c>
      <c r="G2787" s="2" t="s">
        <v>983</v>
      </c>
      <c r="H2787" s="2" t="s">
        <v>984</v>
      </c>
      <c r="I2787" s="2"/>
      <c r="J2787" s="2" t="s">
        <v>36</v>
      </c>
    </row>
    <row r="2788" spans="1:10" ht="21" customHeight="1">
      <c r="A2788" s="2" t="s">
        <v>3782</v>
      </c>
      <c r="B2788" s="2" t="s">
        <v>36</v>
      </c>
      <c r="C2788" s="4">
        <v>45889.25</v>
      </c>
      <c r="D2788" s="4">
        <v>45889.250246469906</v>
      </c>
      <c r="E2788" s="2">
        <v>2.11</v>
      </c>
      <c r="F2788" s="2">
        <v>58.7</v>
      </c>
      <c r="G2788" s="2" t="s">
        <v>983</v>
      </c>
      <c r="H2788" s="2" t="s">
        <v>984</v>
      </c>
      <c r="I2788" s="2"/>
      <c r="J2788" s="2" t="s">
        <v>36</v>
      </c>
    </row>
    <row r="2789" spans="1:10" ht="21" customHeight="1">
      <c r="A2789" s="2" t="s">
        <v>3783</v>
      </c>
      <c r="B2789" s="2" t="s">
        <v>36</v>
      </c>
      <c r="C2789" s="4">
        <v>45890.25</v>
      </c>
      <c r="D2789" s="4">
        <v>45890.250113715279</v>
      </c>
      <c r="E2789" s="2">
        <v>2.58</v>
      </c>
      <c r="F2789" s="2">
        <v>59.5</v>
      </c>
      <c r="G2789" s="2" t="s">
        <v>983</v>
      </c>
      <c r="H2789" s="2" t="s">
        <v>984</v>
      </c>
      <c r="I2789" s="2"/>
      <c r="J2789" s="2" t="s">
        <v>36</v>
      </c>
    </row>
    <row r="2790" spans="1:10" ht="21" customHeight="1">
      <c r="A2790" s="2" t="s">
        <v>3784</v>
      </c>
      <c r="B2790" s="2" t="s">
        <v>3579</v>
      </c>
      <c r="C2790" s="4">
        <v>45891.25</v>
      </c>
      <c r="D2790" s="4">
        <v>45891.250205706019</v>
      </c>
      <c r="E2790" s="2">
        <v>2.98</v>
      </c>
      <c r="F2790" s="2">
        <v>59.4</v>
      </c>
      <c r="G2790" s="2" t="s">
        <v>983</v>
      </c>
      <c r="H2790" s="2" t="s">
        <v>984</v>
      </c>
      <c r="I2790" s="2"/>
      <c r="J2790" s="2" t="s">
        <v>36</v>
      </c>
    </row>
    <row r="2791" spans="1:10" ht="21" customHeight="1">
      <c r="A2791" s="2" t="s">
        <v>3785</v>
      </c>
      <c r="B2791" s="2" t="s">
        <v>36</v>
      </c>
      <c r="C2791" s="4">
        <v>45892.25</v>
      </c>
      <c r="D2791" s="4">
        <v>45892.250442210643</v>
      </c>
      <c r="E2791" s="2">
        <v>2.46</v>
      </c>
      <c r="F2791" s="2">
        <v>64.5</v>
      </c>
      <c r="G2791" s="2" t="s">
        <v>983</v>
      </c>
      <c r="H2791" s="2" t="s">
        <v>984</v>
      </c>
      <c r="I2791" s="2"/>
      <c r="J2791" s="2" t="s">
        <v>36</v>
      </c>
    </row>
    <row r="2792" spans="1:10" ht="21" customHeight="1">
      <c r="A2792" s="2" t="s">
        <v>3786</v>
      </c>
      <c r="B2792" s="2" t="s">
        <v>36</v>
      </c>
      <c r="C2792" s="4">
        <v>45893.25</v>
      </c>
      <c r="D2792" s="4">
        <v>45893.250610960647</v>
      </c>
      <c r="E2792" s="2">
        <v>2.81</v>
      </c>
      <c r="F2792" s="2">
        <v>64.2</v>
      </c>
      <c r="G2792" s="2" t="s">
        <v>983</v>
      </c>
      <c r="H2792" s="2" t="s">
        <v>984</v>
      </c>
      <c r="I2792" s="2"/>
      <c r="J2792" s="2" t="s">
        <v>36</v>
      </c>
    </row>
    <row r="2793" spans="1:10" ht="21" customHeight="1">
      <c r="A2793" s="2" t="s">
        <v>3787</v>
      </c>
      <c r="B2793" s="2" t="s">
        <v>36</v>
      </c>
      <c r="C2793" s="4">
        <v>45894.25</v>
      </c>
      <c r="D2793" s="4">
        <v>45894.250321215281</v>
      </c>
      <c r="E2793" s="2">
        <v>2.65</v>
      </c>
      <c r="F2793" s="2">
        <v>62.1</v>
      </c>
      <c r="G2793" s="2" t="s">
        <v>983</v>
      </c>
      <c r="H2793" s="2" t="s">
        <v>984</v>
      </c>
      <c r="I2793" s="2"/>
      <c r="J2793" s="2" t="s">
        <v>36</v>
      </c>
    </row>
    <row r="2794" spans="1:10" ht="21" customHeight="1">
      <c r="A2794" s="2" t="s">
        <v>3788</v>
      </c>
      <c r="B2794" s="2" t="s">
        <v>36</v>
      </c>
      <c r="C2794" s="4">
        <v>45895.25</v>
      </c>
      <c r="D2794" s="4">
        <v>45895.250362615741</v>
      </c>
      <c r="E2794" s="2">
        <v>3.21</v>
      </c>
      <c r="F2794" s="2">
        <v>58.3</v>
      </c>
      <c r="G2794" s="2" t="s">
        <v>983</v>
      </c>
      <c r="H2794" s="2" t="s">
        <v>984</v>
      </c>
      <c r="I2794" s="2"/>
      <c r="J2794" s="2" t="s">
        <v>36</v>
      </c>
    </row>
    <row r="2795" spans="1:10" ht="21" customHeight="1">
      <c r="A2795" s="2" t="s">
        <v>3789</v>
      </c>
      <c r="B2795" s="2" t="s">
        <v>36</v>
      </c>
      <c r="C2795" s="4">
        <v>45896.25</v>
      </c>
      <c r="D2795" s="4">
        <v>45896.250513993058</v>
      </c>
      <c r="E2795" s="2">
        <v>3.28</v>
      </c>
      <c r="F2795" s="2">
        <v>62.9</v>
      </c>
      <c r="G2795" s="2" t="s">
        <v>983</v>
      </c>
      <c r="H2795" s="2" t="s">
        <v>984</v>
      </c>
      <c r="I2795" s="2" t="s">
        <v>985</v>
      </c>
      <c r="J2795" s="2" t="s">
        <v>36</v>
      </c>
    </row>
    <row r="2796" spans="1:10" ht="21" customHeight="1">
      <c r="A2796" s="2" t="s">
        <v>3790</v>
      </c>
      <c r="B2796" s="2" t="s">
        <v>36</v>
      </c>
      <c r="C2796" s="4">
        <v>45897.25</v>
      </c>
      <c r="D2796" s="4">
        <v>45897.250323333334</v>
      </c>
      <c r="E2796" s="2">
        <v>2.36</v>
      </c>
      <c r="F2796" s="2">
        <v>63.6</v>
      </c>
      <c r="G2796" s="2" t="s">
        <v>983</v>
      </c>
      <c r="H2796" s="2" t="s">
        <v>984</v>
      </c>
      <c r="I2796" s="2"/>
      <c r="J2796" s="2" t="s">
        <v>36</v>
      </c>
    </row>
    <row r="2797" spans="1:10" ht="21" customHeight="1">
      <c r="A2797" s="2" t="s">
        <v>3791</v>
      </c>
      <c r="B2797" s="2" t="s">
        <v>36</v>
      </c>
      <c r="C2797" s="4">
        <v>45898.25</v>
      </c>
      <c r="D2797" s="4">
        <v>45898.250623680557</v>
      </c>
      <c r="E2797" s="2">
        <v>2.35</v>
      </c>
      <c r="F2797" s="2">
        <v>61</v>
      </c>
      <c r="G2797" s="2" t="s">
        <v>983</v>
      </c>
      <c r="H2797" s="2" t="s">
        <v>984</v>
      </c>
      <c r="I2797" s="2"/>
      <c r="J2797" s="2" t="s">
        <v>36</v>
      </c>
    </row>
    <row r="2798" spans="1:10" ht="21" customHeight="1">
      <c r="A2798" s="2" t="s">
        <v>3792</v>
      </c>
      <c r="B2798" s="2" t="s">
        <v>36</v>
      </c>
      <c r="C2798" s="4">
        <v>45899.25</v>
      </c>
      <c r="D2798" s="4">
        <v>45899.25066233796</v>
      </c>
      <c r="E2798" s="2">
        <v>2.59</v>
      </c>
      <c r="F2798" s="2">
        <v>65.5</v>
      </c>
      <c r="G2798" s="2" t="s">
        <v>983</v>
      </c>
      <c r="H2798" s="2" t="s">
        <v>984</v>
      </c>
      <c r="I2798" s="2"/>
      <c r="J2798" s="2" t="s">
        <v>36</v>
      </c>
    </row>
    <row r="2799" spans="1:10" ht="21" customHeight="1">
      <c r="A2799" s="2" t="s">
        <v>3793</v>
      </c>
      <c r="B2799" s="2" t="s">
        <v>36</v>
      </c>
      <c r="C2799" s="4">
        <v>45900.25</v>
      </c>
      <c r="D2799" s="4">
        <v>45900.250671759262</v>
      </c>
      <c r="E2799" s="2">
        <v>2.4900000000000002</v>
      </c>
      <c r="F2799" s="2">
        <v>64.7</v>
      </c>
      <c r="G2799" s="2" t="s">
        <v>983</v>
      </c>
      <c r="H2799" s="2" t="s">
        <v>984</v>
      </c>
      <c r="I2799" s="2"/>
      <c r="J2799" s="2" t="s">
        <v>36</v>
      </c>
    </row>
    <row r="2800" spans="1:10" ht="21" customHeight="1">
      <c r="A2800" s="2" t="s">
        <v>3794</v>
      </c>
      <c r="B2800" s="2" t="s">
        <v>36</v>
      </c>
      <c r="C2800" s="4">
        <v>45901.25</v>
      </c>
      <c r="D2800" s="4">
        <v>45901.250492824074</v>
      </c>
      <c r="E2800" s="2">
        <v>2.7</v>
      </c>
      <c r="F2800" s="2">
        <v>64.400000000000006</v>
      </c>
      <c r="G2800" s="2" t="s">
        <v>983</v>
      </c>
      <c r="H2800" s="2" t="s">
        <v>984</v>
      </c>
      <c r="I2800" s="2"/>
      <c r="J2800" s="2" t="s">
        <v>36</v>
      </c>
    </row>
    <row r="2801" spans="1:10" ht="21" customHeight="1">
      <c r="A2801" s="2" t="s">
        <v>3795</v>
      </c>
      <c r="B2801" s="2" t="s">
        <v>36</v>
      </c>
      <c r="C2801" s="4">
        <v>45902.25</v>
      </c>
      <c r="D2801" s="4">
        <v>45902.250071921299</v>
      </c>
      <c r="E2801" s="2">
        <v>2.73</v>
      </c>
      <c r="F2801" s="2">
        <v>65.400000000000006</v>
      </c>
      <c r="G2801" s="2" t="s">
        <v>983</v>
      </c>
      <c r="H2801" s="2" t="s">
        <v>984</v>
      </c>
      <c r="I2801" s="2"/>
      <c r="J2801" s="2" t="s">
        <v>36</v>
      </c>
    </row>
    <row r="2802" spans="1:10" ht="21" customHeight="1">
      <c r="A2802" s="2" t="s">
        <v>3796</v>
      </c>
      <c r="B2802" s="2" t="s">
        <v>36</v>
      </c>
      <c r="C2802" s="4">
        <v>45903.25</v>
      </c>
      <c r="D2802" s="4">
        <v>45903.250104664352</v>
      </c>
      <c r="E2802" s="2">
        <v>2.27</v>
      </c>
      <c r="F2802" s="2">
        <v>62.8</v>
      </c>
      <c r="G2802" s="2" t="s">
        <v>983</v>
      </c>
      <c r="H2802" s="2" t="s">
        <v>984</v>
      </c>
      <c r="I2802" s="2"/>
      <c r="J2802" s="2" t="s">
        <v>36</v>
      </c>
    </row>
    <row r="2803" spans="1:10" ht="21" customHeight="1">
      <c r="A2803" s="2" t="s">
        <v>3797</v>
      </c>
      <c r="B2803" s="2" t="s">
        <v>36</v>
      </c>
      <c r="C2803" s="4">
        <v>45904.25</v>
      </c>
      <c r="D2803" s="4">
        <v>45904.250056342593</v>
      </c>
      <c r="E2803" s="2">
        <v>2.91</v>
      </c>
      <c r="F2803" s="2">
        <v>64.599999999999994</v>
      </c>
      <c r="G2803" s="2" t="s">
        <v>983</v>
      </c>
      <c r="H2803" s="2" t="s">
        <v>984</v>
      </c>
      <c r="I2803" s="2"/>
      <c r="J2803" s="2" t="s">
        <v>36</v>
      </c>
    </row>
    <row r="2804" spans="1:10" ht="21" customHeight="1">
      <c r="A2804" s="2" t="s">
        <v>3798</v>
      </c>
      <c r="B2804" s="2" t="s">
        <v>36</v>
      </c>
      <c r="C2804" s="4">
        <v>45905.25</v>
      </c>
      <c r="D2804" s="4">
        <v>45905.250516886575</v>
      </c>
      <c r="E2804" s="2">
        <v>5.42</v>
      </c>
      <c r="F2804" s="2">
        <v>69.400000000000006</v>
      </c>
      <c r="G2804" s="2" t="s">
        <v>983</v>
      </c>
      <c r="H2804" s="2" t="s">
        <v>984</v>
      </c>
      <c r="I2804" s="2"/>
      <c r="J2804" s="2" t="s">
        <v>36</v>
      </c>
    </row>
    <row r="2805" spans="1:10" ht="21" customHeight="1">
      <c r="A2805" s="2" t="s">
        <v>3799</v>
      </c>
      <c r="B2805" s="2" t="s">
        <v>36</v>
      </c>
      <c r="C2805" s="4">
        <v>45906.25</v>
      </c>
      <c r="D2805" s="4">
        <v>45906.250176863425</v>
      </c>
      <c r="E2805" s="2">
        <v>4.7300000000000004</v>
      </c>
      <c r="F2805" s="2">
        <v>67.2</v>
      </c>
      <c r="G2805" s="2" t="s">
        <v>983</v>
      </c>
      <c r="H2805" s="2" t="s">
        <v>984</v>
      </c>
      <c r="I2805" s="2" t="s">
        <v>1053</v>
      </c>
      <c r="J2805" s="2" t="s">
        <v>36</v>
      </c>
    </row>
    <row r="2806" spans="1:10" ht="21" customHeight="1">
      <c r="A2806" s="2" t="s">
        <v>3800</v>
      </c>
      <c r="B2806" s="2" t="s">
        <v>36</v>
      </c>
      <c r="C2806" s="4">
        <v>45907.25</v>
      </c>
      <c r="D2806" s="4">
        <v>45907.250239293979</v>
      </c>
      <c r="E2806" s="2">
        <v>4.55</v>
      </c>
      <c r="F2806" s="2">
        <v>74.099999999999994</v>
      </c>
      <c r="G2806" s="2" t="s">
        <v>983</v>
      </c>
      <c r="H2806" s="2" t="s">
        <v>984</v>
      </c>
      <c r="I2806" s="2"/>
      <c r="J2806" s="2" t="s">
        <v>36</v>
      </c>
    </row>
    <row r="2807" spans="1:10" ht="21" customHeight="1">
      <c r="A2807" s="2" t="s">
        <v>3801</v>
      </c>
      <c r="B2807" s="2" t="s">
        <v>36</v>
      </c>
      <c r="C2807" s="4">
        <v>45908.25</v>
      </c>
      <c r="D2807" s="4">
        <v>45908.25068568287</v>
      </c>
      <c r="E2807" s="2">
        <v>2.33</v>
      </c>
      <c r="F2807" s="2">
        <v>65.8</v>
      </c>
      <c r="G2807" s="2" t="s">
        <v>983</v>
      </c>
      <c r="H2807" s="2" t="s">
        <v>984</v>
      </c>
      <c r="I2807" s="2"/>
      <c r="J2807" s="2" t="s">
        <v>36</v>
      </c>
    </row>
    <row r="2808" spans="1:10" ht="21" customHeight="1">
      <c r="A2808" s="2" t="s">
        <v>3802</v>
      </c>
      <c r="B2808" s="2" t="s">
        <v>36</v>
      </c>
      <c r="C2808" s="4">
        <v>45909.25</v>
      </c>
      <c r="D2808" s="4">
        <v>45909.250532881946</v>
      </c>
      <c r="E2808" s="2">
        <v>2.48</v>
      </c>
      <c r="F2808" s="2">
        <v>59.5</v>
      </c>
      <c r="G2808" s="2" t="s">
        <v>983</v>
      </c>
      <c r="H2808" s="2" t="s">
        <v>984</v>
      </c>
      <c r="I2808" s="2"/>
      <c r="J2808" s="2" t="s">
        <v>36</v>
      </c>
    </row>
    <row r="2809" spans="1:10" ht="21" customHeight="1">
      <c r="A2809" s="2" t="s">
        <v>3803</v>
      </c>
      <c r="B2809" s="2" t="s">
        <v>36</v>
      </c>
      <c r="C2809" s="4">
        <v>45910.25</v>
      </c>
      <c r="D2809" s="4">
        <v>45910.250264849536</v>
      </c>
      <c r="E2809" s="2">
        <v>25.2</v>
      </c>
      <c r="F2809" s="2">
        <v>58</v>
      </c>
      <c r="G2809" s="2" t="s">
        <v>983</v>
      </c>
      <c r="H2809" s="2" t="s">
        <v>1022</v>
      </c>
      <c r="I2809" s="2"/>
      <c r="J2809" s="2" t="s">
        <v>36</v>
      </c>
    </row>
    <row r="2810" spans="1:10" ht="21" customHeight="1">
      <c r="A2810" s="2" t="s">
        <v>3804</v>
      </c>
      <c r="B2810" s="2" t="s">
        <v>36</v>
      </c>
      <c r="C2810" s="4">
        <v>45911.25</v>
      </c>
      <c r="D2810" s="4">
        <v>45911.250074224532</v>
      </c>
      <c r="E2810" s="2">
        <v>2.75</v>
      </c>
      <c r="F2810" s="2">
        <v>64.5</v>
      </c>
      <c r="G2810" s="2" t="s">
        <v>983</v>
      </c>
      <c r="H2810" s="2" t="s">
        <v>984</v>
      </c>
      <c r="I2810" s="2"/>
      <c r="J2810" s="2" t="s">
        <v>36</v>
      </c>
    </row>
    <row r="2811" spans="1:10" ht="21" customHeight="1">
      <c r="A2811" s="2" t="s">
        <v>3805</v>
      </c>
      <c r="B2811" s="2" t="s">
        <v>36</v>
      </c>
      <c r="C2811" s="4">
        <v>45912.25</v>
      </c>
      <c r="D2811" s="4">
        <v>45912.250419409727</v>
      </c>
      <c r="E2811" s="2">
        <v>3.09</v>
      </c>
      <c r="F2811" s="2">
        <v>60.7</v>
      </c>
      <c r="G2811" s="2" t="s">
        <v>983</v>
      </c>
      <c r="H2811" s="2" t="s">
        <v>984</v>
      </c>
      <c r="I2811" s="2"/>
      <c r="J2811" s="2" t="s">
        <v>36</v>
      </c>
    </row>
    <row r="2812" spans="1:10" ht="21" customHeight="1">
      <c r="A2812" s="2" t="s">
        <v>3806</v>
      </c>
      <c r="B2812" s="2" t="s">
        <v>36</v>
      </c>
      <c r="C2812" s="4">
        <v>45913.25</v>
      </c>
      <c r="D2812" s="4">
        <v>45913.250559155094</v>
      </c>
      <c r="E2812" s="2">
        <v>2.6</v>
      </c>
      <c r="F2812" s="2">
        <v>62.5</v>
      </c>
      <c r="G2812" s="2" t="s">
        <v>983</v>
      </c>
      <c r="H2812" s="2" t="s">
        <v>984</v>
      </c>
      <c r="I2812" s="2" t="s">
        <v>985</v>
      </c>
      <c r="J2812" s="2" t="s">
        <v>36</v>
      </c>
    </row>
    <row r="2813" spans="1:10" ht="21" customHeight="1">
      <c r="A2813" s="2" t="s">
        <v>3807</v>
      </c>
      <c r="B2813" s="2" t="s">
        <v>36</v>
      </c>
      <c r="C2813" s="4">
        <v>45914.25</v>
      </c>
      <c r="D2813" s="4">
        <v>45914.250521099537</v>
      </c>
      <c r="E2813" s="2">
        <v>3.1</v>
      </c>
      <c r="F2813" s="2">
        <v>60</v>
      </c>
      <c r="G2813" s="2" t="s">
        <v>983</v>
      </c>
      <c r="H2813" s="2" t="s">
        <v>984</v>
      </c>
      <c r="I2813" s="2"/>
      <c r="J2813" s="2" t="s">
        <v>36</v>
      </c>
    </row>
    <row r="2814" spans="1:10" ht="21" customHeight="1">
      <c r="A2814" s="2" t="s">
        <v>3808</v>
      </c>
      <c r="B2814" s="2" t="s">
        <v>36</v>
      </c>
      <c r="C2814" s="4">
        <v>45915.25</v>
      </c>
      <c r="D2814" s="4">
        <v>45915.250612407406</v>
      </c>
      <c r="E2814" s="2">
        <v>3.15</v>
      </c>
      <c r="F2814" s="2">
        <v>59.2</v>
      </c>
      <c r="G2814" s="2" t="s">
        <v>983</v>
      </c>
      <c r="H2814" s="2" t="s">
        <v>984</v>
      </c>
      <c r="I2814" s="2"/>
      <c r="J2814" s="2" t="s">
        <v>36</v>
      </c>
    </row>
    <row r="2815" spans="1:10" ht="21" customHeight="1">
      <c r="A2815" s="2" t="s">
        <v>3809</v>
      </c>
      <c r="B2815" s="2" t="s">
        <v>36</v>
      </c>
      <c r="C2815" s="4">
        <v>45916.25</v>
      </c>
      <c r="D2815" s="4">
        <v>45916.250152291672</v>
      </c>
      <c r="E2815" s="2">
        <v>3.1</v>
      </c>
      <c r="F2815" s="2">
        <v>58.5</v>
      </c>
      <c r="G2815" s="2" t="s">
        <v>983</v>
      </c>
      <c r="H2815" s="2" t="s">
        <v>984</v>
      </c>
      <c r="I2815" s="2"/>
      <c r="J2815" s="2" t="s">
        <v>36</v>
      </c>
    </row>
    <row r="2816" spans="1:10" ht="21" customHeight="1">
      <c r="A2816" s="2" t="s">
        <v>3810</v>
      </c>
      <c r="B2816" s="2" t="s">
        <v>36</v>
      </c>
      <c r="C2816" s="4">
        <v>45917.25</v>
      </c>
      <c r="D2816" s="4">
        <v>45917.250433761576</v>
      </c>
      <c r="E2816" s="2">
        <v>3.12</v>
      </c>
      <c r="F2816" s="2">
        <v>63.8</v>
      </c>
      <c r="G2816" s="2" t="s">
        <v>983</v>
      </c>
      <c r="H2816" s="2" t="s">
        <v>984</v>
      </c>
      <c r="I2816" s="2"/>
      <c r="J2816" s="2" t="s">
        <v>36</v>
      </c>
    </row>
    <row r="2817" spans="1:10" ht="21" customHeight="1">
      <c r="A2817" s="2" t="s">
        <v>3811</v>
      </c>
      <c r="B2817" s="2" t="s">
        <v>36</v>
      </c>
      <c r="C2817" s="4">
        <v>45918.25</v>
      </c>
      <c r="D2817" s="4">
        <v>45918.250243773145</v>
      </c>
      <c r="E2817" s="2">
        <v>2.12</v>
      </c>
      <c r="F2817" s="2">
        <v>60</v>
      </c>
      <c r="G2817" s="2" t="s">
        <v>983</v>
      </c>
      <c r="H2817" s="2" t="s">
        <v>984</v>
      </c>
      <c r="I2817" s="2"/>
      <c r="J2817" s="2" t="s">
        <v>36</v>
      </c>
    </row>
    <row r="2818" spans="1:10" ht="21" customHeight="1">
      <c r="A2818" s="2" t="s">
        <v>3812</v>
      </c>
      <c r="B2818" s="2" t="s">
        <v>36</v>
      </c>
      <c r="C2818" s="4">
        <v>45919.25</v>
      </c>
      <c r="D2818" s="4">
        <v>45919.250370486116</v>
      </c>
      <c r="E2818" s="2">
        <v>2.66</v>
      </c>
      <c r="F2818" s="2">
        <v>63</v>
      </c>
      <c r="G2818" s="2" t="s">
        <v>983</v>
      </c>
      <c r="H2818" s="2" t="s">
        <v>984</v>
      </c>
      <c r="I2818" s="2"/>
      <c r="J2818" s="2" t="s">
        <v>36</v>
      </c>
    </row>
    <row r="2819" spans="1:10" ht="21" customHeight="1">
      <c r="A2819" s="2" t="s">
        <v>3813</v>
      </c>
      <c r="B2819" s="2" t="s">
        <v>36</v>
      </c>
      <c r="C2819" s="4">
        <v>45920.25</v>
      </c>
      <c r="D2819" s="4">
        <v>45920.25022055555</v>
      </c>
      <c r="E2819" s="2">
        <v>3.01</v>
      </c>
      <c r="F2819" s="2">
        <v>63</v>
      </c>
      <c r="G2819" s="2" t="s">
        <v>983</v>
      </c>
      <c r="H2819" s="2" t="s">
        <v>984</v>
      </c>
      <c r="I2819" s="2"/>
      <c r="J2819" s="2" t="s">
        <v>36</v>
      </c>
    </row>
    <row r="2820" spans="1:10" ht="21" customHeight="1">
      <c r="A2820" s="2" t="s">
        <v>3814</v>
      </c>
      <c r="B2820" s="2" t="s">
        <v>36</v>
      </c>
      <c r="C2820" s="4">
        <v>45921.25</v>
      </c>
      <c r="D2820" s="4">
        <v>45921.250533009261</v>
      </c>
      <c r="E2820" s="2">
        <v>3.22</v>
      </c>
      <c r="F2820" s="2">
        <v>59.2</v>
      </c>
      <c r="G2820" s="2" t="s">
        <v>983</v>
      </c>
      <c r="H2820" s="2" t="s">
        <v>984</v>
      </c>
      <c r="I2820" s="2"/>
      <c r="J2820" s="2" t="s">
        <v>36</v>
      </c>
    </row>
    <row r="2821" spans="1:10" ht="21" customHeight="1">
      <c r="A2821" s="2" t="s">
        <v>3815</v>
      </c>
      <c r="B2821" s="2" t="s">
        <v>36</v>
      </c>
      <c r="C2821" s="4">
        <v>45922.25</v>
      </c>
      <c r="D2821" s="4">
        <v>45922.250350856484</v>
      </c>
      <c r="E2821" s="2">
        <v>2.93</v>
      </c>
      <c r="F2821" s="2">
        <v>60</v>
      </c>
      <c r="G2821" s="2" t="s">
        <v>983</v>
      </c>
      <c r="H2821" s="2" t="s">
        <v>984</v>
      </c>
      <c r="I2821" s="2"/>
      <c r="J2821" s="2" t="s">
        <v>36</v>
      </c>
    </row>
    <row r="2822" spans="1:10" ht="21" customHeight="1">
      <c r="A2822" s="2" t="s">
        <v>3816</v>
      </c>
      <c r="B2822" s="2" t="s">
        <v>36</v>
      </c>
      <c r="C2822" s="4">
        <v>45923.25</v>
      </c>
      <c r="D2822" s="4">
        <v>45923.250382592596</v>
      </c>
      <c r="E2822" s="2">
        <v>2.4300000000000002</v>
      </c>
      <c r="F2822" s="2">
        <v>60.5</v>
      </c>
      <c r="G2822" s="2" t="s">
        <v>983</v>
      </c>
      <c r="H2822" s="2" t="s">
        <v>984</v>
      </c>
      <c r="I2822" s="2"/>
      <c r="J2822" s="2" t="s">
        <v>36</v>
      </c>
    </row>
    <row r="2823" spans="1:10" ht="21" customHeight="1">
      <c r="A2823" s="2" t="s">
        <v>3817</v>
      </c>
      <c r="B2823" s="2" t="s">
        <v>36</v>
      </c>
      <c r="C2823" s="4">
        <v>45924.25</v>
      </c>
      <c r="D2823" s="4">
        <v>45924.250458692128</v>
      </c>
      <c r="E2823" s="2">
        <v>3.04</v>
      </c>
      <c r="F2823" s="2">
        <v>63.5</v>
      </c>
      <c r="G2823" s="2" t="s">
        <v>983</v>
      </c>
      <c r="H2823" s="2" t="s">
        <v>984</v>
      </c>
      <c r="I2823" s="2"/>
      <c r="J2823" s="2" t="s">
        <v>36</v>
      </c>
    </row>
    <row r="2824" spans="1:10" ht="21" customHeight="1">
      <c r="A2824" s="2" t="s">
        <v>3818</v>
      </c>
      <c r="B2824" s="2" t="s">
        <v>36</v>
      </c>
      <c r="C2824" s="4">
        <v>45925.25</v>
      </c>
      <c r="D2824" s="4">
        <v>45925.250001759261</v>
      </c>
      <c r="E2824" s="2">
        <v>3.21</v>
      </c>
      <c r="F2824" s="2">
        <v>61.6</v>
      </c>
      <c r="G2824" s="2" t="s">
        <v>983</v>
      </c>
      <c r="H2824" s="2" t="s">
        <v>984</v>
      </c>
      <c r="I2824" s="2"/>
      <c r="J2824" s="2" t="s">
        <v>36</v>
      </c>
    </row>
    <row r="2825" spans="1:10" ht="21" customHeight="1">
      <c r="A2825" s="2" t="s">
        <v>3819</v>
      </c>
      <c r="B2825" s="2" t="s">
        <v>36</v>
      </c>
      <c r="C2825" s="4">
        <v>45926.25</v>
      </c>
      <c r="D2825" s="4">
        <v>45926.250139733791</v>
      </c>
      <c r="E2825" s="2">
        <v>2.96</v>
      </c>
      <c r="F2825" s="2">
        <v>62.1</v>
      </c>
      <c r="G2825" s="2" t="s">
        <v>983</v>
      </c>
      <c r="H2825" s="2" t="s">
        <v>984</v>
      </c>
      <c r="I2825" s="2"/>
      <c r="J2825" s="2" t="s">
        <v>36</v>
      </c>
    </row>
    <row r="2826" spans="1:10" ht="21" customHeight="1">
      <c r="A2826" s="2" t="s">
        <v>3820</v>
      </c>
      <c r="B2826" s="2" t="s">
        <v>36</v>
      </c>
      <c r="C2826" s="4">
        <v>45927.25</v>
      </c>
      <c r="D2826" s="4">
        <v>45927.250647256944</v>
      </c>
      <c r="E2826" s="2">
        <v>2.74</v>
      </c>
      <c r="F2826" s="2">
        <v>63.3</v>
      </c>
      <c r="G2826" s="2" t="s">
        <v>983</v>
      </c>
      <c r="H2826" s="2" t="s">
        <v>984</v>
      </c>
      <c r="I2826" s="2"/>
      <c r="J2826" s="2" t="s">
        <v>36</v>
      </c>
    </row>
    <row r="2827" spans="1:10" ht="21" customHeight="1">
      <c r="A2827" s="2" t="s">
        <v>3821</v>
      </c>
      <c r="B2827" s="2" t="s">
        <v>36</v>
      </c>
      <c r="C2827" s="4">
        <v>45928.25</v>
      </c>
      <c r="D2827" s="4">
        <v>45928.250311805554</v>
      </c>
      <c r="E2827" s="2">
        <v>2.42</v>
      </c>
      <c r="F2827" s="2">
        <v>59</v>
      </c>
      <c r="G2827" s="2" t="s">
        <v>983</v>
      </c>
      <c r="H2827" s="2" t="s">
        <v>984</v>
      </c>
      <c r="I2827" s="2"/>
      <c r="J2827" s="2" t="s">
        <v>36</v>
      </c>
    </row>
    <row r="2828" spans="1:10" ht="21" customHeight="1">
      <c r="A2828" s="2" t="s">
        <v>3822</v>
      </c>
      <c r="B2828" s="2" t="s">
        <v>36</v>
      </c>
      <c r="C2828" s="4">
        <v>45929.25</v>
      </c>
      <c r="D2828" s="4">
        <v>45929.250204988421</v>
      </c>
      <c r="E2828" s="2">
        <v>2.41</v>
      </c>
      <c r="F2828" s="2">
        <v>60</v>
      </c>
      <c r="G2828" s="2" t="s">
        <v>983</v>
      </c>
      <c r="H2828" s="2" t="s">
        <v>984</v>
      </c>
      <c r="I2828" s="2"/>
      <c r="J2828" s="2" t="s">
        <v>36</v>
      </c>
    </row>
    <row r="2829" spans="1:10" ht="21" customHeight="1">
      <c r="A2829" s="2" t="s">
        <v>3823</v>
      </c>
      <c r="B2829" s="2" t="s">
        <v>36</v>
      </c>
      <c r="C2829" s="4">
        <v>45930.25</v>
      </c>
      <c r="D2829" s="4">
        <v>45930.250303749999</v>
      </c>
      <c r="E2829" s="2">
        <v>2.64</v>
      </c>
      <c r="F2829" s="2">
        <v>58.6</v>
      </c>
      <c r="G2829" s="2" t="s">
        <v>983</v>
      </c>
      <c r="H2829" s="2" t="s">
        <v>984</v>
      </c>
      <c r="I2829" s="2" t="s">
        <v>985</v>
      </c>
      <c r="J2829" s="2" t="s">
        <v>36</v>
      </c>
    </row>
    <row r="2830" spans="1:10" ht="21" customHeight="1">
      <c r="A2830" s="2" t="s">
        <v>3824</v>
      </c>
      <c r="B2830" s="2" t="s">
        <v>36</v>
      </c>
      <c r="C2830" s="4">
        <v>45931.25</v>
      </c>
      <c r="D2830" s="4">
        <v>45931.250196365741</v>
      </c>
      <c r="E2830" s="2">
        <v>2.4</v>
      </c>
      <c r="F2830" s="2">
        <v>64.8</v>
      </c>
      <c r="G2830" s="2" t="s">
        <v>983</v>
      </c>
      <c r="H2830" s="2" t="s">
        <v>984</v>
      </c>
      <c r="I2830" s="2"/>
      <c r="J2830" s="2" t="s">
        <v>36</v>
      </c>
    </row>
    <row r="2831" spans="1:10" ht="21" customHeight="1">
      <c r="A2831" s="2" t="s">
        <v>3825</v>
      </c>
      <c r="B2831" s="2" t="s">
        <v>3579</v>
      </c>
      <c r="C2831" s="4">
        <v>45932.25</v>
      </c>
      <c r="D2831" s="4">
        <v>45932.250134456015</v>
      </c>
      <c r="E2831" s="2">
        <v>18.34</v>
      </c>
      <c r="F2831" s="2">
        <v>61.1</v>
      </c>
      <c r="G2831" s="2" t="s">
        <v>983</v>
      </c>
      <c r="H2831" s="2" t="s">
        <v>1022</v>
      </c>
      <c r="I2831" s="2"/>
      <c r="J2831" s="2" t="s">
        <v>36</v>
      </c>
    </row>
    <row r="2832" spans="1:10" ht="21" customHeight="1">
      <c r="A2832" s="2" t="s">
        <v>3826</v>
      </c>
      <c r="B2832" s="2" t="s">
        <v>36</v>
      </c>
      <c r="C2832" s="4">
        <v>45933.25</v>
      </c>
      <c r="D2832" s="4">
        <v>45933.250295324076</v>
      </c>
      <c r="E2832" s="2">
        <v>2.7</v>
      </c>
      <c r="F2832" s="2">
        <v>60.1</v>
      </c>
      <c r="G2832" s="2" t="s">
        <v>983</v>
      </c>
      <c r="H2832" s="2" t="s">
        <v>984</v>
      </c>
      <c r="I2832" s="2"/>
      <c r="J2832" s="2" t="s">
        <v>36</v>
      </c>
    </row>
    <row r="2833" spans="1:10" ht="21" customHeight="1">
      <c r="A2833" s="2" t="s">
        <v>3827</v>
      </c>
      <c r="B2833" s="2" t="s">
        <v>36</v>
      </c>
      <c r="C2833" s="4">
        <v>45934.25</v>
      </c>
      <c r="D2833" s="4">
        <v>45934.250410682871</v>
      </c>
      <c r="E2833" s="2">
        <v>2.65</v>
      </c>
      <c r="F2833" s="2">
        <v>63.2</v>
      </c>
      <c r="G2833" s="2" t="s">
        <v>983</v>
      </c>
      <c r="H2833" s="2" t="s">
        <v>984</v>
      </c>
      <c r="I2833" s="2"/>
      <c r="J2833" s="2" t="s">
        <v>36</v>
      </c>
    </row>
    <row r="2834" spans="1:10" ht="21" customHeight="1">
      <c r="A2834" s="2" t="s">
        <v>3828</v>
      </c>
      <c r="B2834" s="2" t="s">
        <v>36</v>
      </c>
      <c r="C2834" s="4">
        <v>45935.25</v>
      </c>
      <c r="D2834" s="4">
        <v>45935.250437581017</v>
      </c>
      <c r="E2834" s="2">
        <v>2.14</v>
      </c>
      <c r="F2834" s="2">
        <v>63.4</v>
      </c>
      <c r="G2834" s="2" t="s">
        <v>983</v>
      </c>
      <c r="H2834" s="2" t="s">
        <v>984</v>
      </c>
      <c r="I2834" s="2"/>
      <c r="J2834" s="2" t="s">
        <v>36</v>
      </c>
    </row>
    <row r="2835" spans="1:10" ht="21" customHeight="1">
      <c r="A2835" s="2" t="s">
        <v>3829</v>
      </c>
      <c r="B2835" s="2" t="s">
        <v>36</v>
      </c>
      <c r="C2835" s="4">
        <v>45936.25</v>
      </c>
      <c r="D2835" s="4">
        <v>45936.250551793986</v>
      </c>
      <c r="E2835" s="2">
        <v>17.399999999999999</v>
      </c>
      <c r="F2835" s="2">
        <v>61.4</v>
      </c>
      <c r="G2835" s="2" t="s">
        <v>983</v>
      </c>
      <c r="H2835" s="2" t="s">
        <v>1022</v>
      </c>
      <c r="I2835" s="2"/>
      <c r="J2835" s="2" t="s">
        <v>36</v>
      </c>
    </row>
    <row r="2836" spans="1:10" ht="21" customHeight="1">
      <c r="A2836" s="2" t="s">
        <v>3830</v>
      </c>
      <c r="B2836" s="2" t="s">
        <v>36</v>
      </c>
      <c r="C2836" s="4">
        <v>45937.25</v>
      </c>
      <c r="D2836" s="4">
        <v>45937.250012546298</v>
      </c>
      <c r="E2836" s="2">
        <v>2.66</v>
      </c>
      <c r="F2836" s="2">
        <v>60.1</v>
      </c>
      <c r="G2836" s="2" t="s">
        <v>983</v>
      </c>
      <c r="H2836" s="2" t="s">
        <v>984</v>
      </c>
      <c r="I2836" s="2"/>
      <c r="J2836" s="2" t="s">
        <v>36</v>
      </c>
    </row>
    <row r="2837" spans="1:10" ht="21" customHeight="1">
      <c r="A2837" s="2" t="s">
        <v>3831</v>
      </c>
      <c r="B2837" s="2" t="s">
        <v>36</v>
      </c>
      <c r="C2837" s="4">
        <v>45938.25</v>
      </c>
      <c r="D2837" s="4">
        <v>45938.25059225694</v>
      </c>
      <c r="E2837" s="2">
        <v>3.12</v>
      </c>
      <c r="F2837" s="2">
        <v>58.1</v>
      </c>
      <c r="G2837" s="2" t="s">
        <v>983</v>
      </c>
      <c r="H2837" s="2" t="s">
        <v>984</v>
      </c>
      <c r="I2837" s="2"/>
      <c r="J2837" s="2" t="s">
        <v>36</v>
      </c>
    </row>
    <row r="2838" spans="1:10" ht="21" customHeight="1">
      <c r="A2838" s="2" t="s">
        <v>3832</v>
      </c>
      <c r="B2838" s="2" t="s">
        <v>36</v>
      </c>
      <c r="C2838" s="4">
        <v>45939.25</v>
      </c>
      <c r="D2838" s="4">
        <v>45939.250238368055</v>
      </c>
      <c r="E2838" s="2">
        <v>2.76</v>
      </c>
      <c r="F2838" s="2">
        <v>61</v>
      </c>
      <c r="G2838" s="2" t="s">
        <v>983</v>
      </c>
      <c r="H2838" s="2" t="s">
        <v>984</v>
      </c>
      <c r="I2838" s="2"/>
      <c r="J2838" s="2" t="s">
        <v>36</v>
      </c>
    </row>
    <row r="2839" spans="1:10" ht="21" customHeight="1">
      <c r="A2839" s="2" t="s">
        <v>3833</v>
      </c>
      <c r="B2839" s="2" t="s">
        <v>36</v>
      </c>
      <c r="C2839" s="4">
        <v>45940.25</v>
      </c>
      <c r="D2839" s="4">
        <v>45940.250295995371</v>
      </c>
      <c r="E2839" s="2">
        <v>2.8</v>
      </c>
      <c r="F2839" s="2">
        <v>62.3</v>
      </c>
      <c r="G2839" s="2" t="s">
        <v>983</v>
      </c>
      <c r="H2839" s="2" t="s">
        <v>984</v>
      </c>
      <c r="I2839" s="2"/>
      <c r="J2839" s="2" t="s">
        <v>36</v>
      </c>
    </row>
    <row r="2840" spans="1:10" ht="21" customHeight="1">
      <c r="A2840" s="2" t="s">
        <v>3834</v>
      </c>
      <c r="B2840" s="2" t="s">
        <v>36</v>
      </c>
      <c r="C2840" s="4">
        <v>45941.25</v>
      </c>
      <c r="D2840" s="4">
        <v>45941.250623715277</v>
      </c>
      <c r="E2840" s="2">
        <v>2.88</v>
      </c>
      <c r="F2840" s="2">
        <v>61.4</v>
      </c>
      <c r="G2840" s="2" t="s">
        <v>983</v>
      </c>
      <c r="H2840" s="2" t="s">
        <v>984</v>
      </c>
      <c r="I2840" s="2"/>
      <c r="J2840" s="2" t="s">
        <v>36</v>
      </c>
    </row>
    <row r="2841" spans="1:10" ht="21" customHeight="1">
      <c r="A2841" s="2" t="s">
        <v>3835</v>
      </c>
      <c r="B2841" s="2" t="s">
        <v>36</v>
      </c>
      <c r="C2841" s="4">
        <v>45942.25</v>
      </c>
      <c r="D2841" s="4">
        <v>45942.250691388894</v>
      </c>
      <c r="E2841" s="2">
        <v>3.11</v>
      </c>
      <c r="F2841" s="2">
        <v>58.3</v>
      </c>
      <c r="G2841" s="2" t="s">
        <v>983</v>
      </c>
      <c r="H2841" s="2" t="s">
        <v>984</v>
      </c>
      <c r="I2841" s="2"/>
      <c r="J2841" s="2" t="s">
        <v>36</v>
      </c>
    </row>
    <row r="2842" spans="1:10" ht="21" customHeight="1">
      <c r="A2842" s="2" t="s">
        <v>3836</v>
      </c>
      <c r="B2842" s="2" t="s">
        <v>36</v>
      </c>
      <c r="C2842" s="4">
        <v>45943.25</v>
      </c>
      <c r="D2842" s="4">
        <v>45943.250420717595</v>
      </c>
      <c r="E2842" s="2">
        <v>2.96</v>
      </c>
      <c r="F2842" s="2">
        <v>63.3</v>
      </c>
      <c r="G2842" s="2" t="s">
        <v>983</v>
      </c>
      <c r="H2842" s="2" t="s">
        <v>984</v>
      </c>
      <c r="I2842" s="2"/>
      <c r="J2842" s="2" t="s">
        <v>36</v>
      </c>
    </row>
    <row r="2843" spans="1:10" ht="21" customHeight="1">
      <c r="A2843" s="2" t="s">
        <v>3837</v>
      </c>
      <c r="B2843" s="2" t="s">
        <v>36</v>
      </c>
      <c r="C2843" s="4">
        <v>45944.25</v>
      </c>
      <c r="D2843" s="4">
        <v>45944.250691527777</v>
      </c>
      <c r="E2843" s="2">
        <v>2.39</v>
      </c>
      <c r="F2843" s="2">
        <v>59.2</v>
      </c>
      <c r="G2843" s="2" t="s">
        <v>983</v>
      </c>
      <c r="H2843" s="2" t="s">
        <v>984</v>
      </c>
      <c r="I2843" s="2"/>
      <c r="J2843" s="2" t="s">
        <v>36</v>
      </c>
    </row>
    <row r="2844" spans="1:10" ht="21" customHeight="1">
      <c r="A2844" s="2" t="s">
        <v>3838</v>
      </c>
      <c r="B2844" s="2" t="s">
        <v>36</v>
      </c>
      <c r="C2844" s="4">
        <v>45945.25</v>
      </c>
      <c r="D2844" s="4">
        <v>45945.250589502313</v>
      </c>
      <c r="E2844" s="2">
        <v>2.1800000000000002</v>
      </c>
      <c r="F2844" s="2">
        <v>59.8</v>
      </c>
      <c r="G2844" s="2" t="s">
        <v>983</v>
      </c>
      <c r="H2844" s="2" t="s">
        <v>984</v>
      </c>
      <c r="I2844" s="2"/>
      <c r="J2844" s="2" t="s">
        <v>36</v>
      </c>
    </row>
    <row r="2845" spans="1:10" ht="21" customHeight="1">
      <c r="A2845" s="2" t="s">
        <v>3839</v>
      </c>
      <c r="B2845" s="2" t="s">
        <v>36</v>
      </c>
      <c r="C2845" s="4">
        <v>45946.25</v>
      </c>
      <c r="D2845" s="4">
        <v>45946.25008293982</v>
      </c>
      <c r="E2845" s="2">
        <v>2.27</v>
      </c>
      <c r="F2845" s="2">
        <v>61.4</v>
      </c>
      <c r="G2845" s="2" t="s">
        <v>983</v>
      </c>
      <c r="H2845" s="2" t="s">
        <v>984</v>
      </c>
      <c r="I2845" s="2"/>
      <c r="J2845" s="2" t="s">
        <v>36</v>
      </c>
    </row>
    <row r="2846" spans="1:10" ht="21" customHeight="1">
      <c r="A2846" s="2" t="s">
        <v>3840</v>
      </c>
      <c r="B2846" s="2" t="s">
        <v>36</v>
      </c>
      <c r="C2846" s="4">
        <v>45947.25</v>
      </c>
      <c r="D2846" s="4">
        <v>45947.250562557871</v>
      </c>
      <c r="E2846" s="2">
        <v>5.35</v>
      </c>
      <c r="F2846" s="2">
        <v>72.599999999999994</v>
      </c>
      <c r="G2846" s="2" t="s">
        <v>983</v>
      </c>
      <c r="H2846" s="2" t="s">
        <v>984</v>
      </c>
      <c r="I2846" s="2" t="s">
        <v>985</v>
      </c>
      <c r="J2846" s="2" t="s">
        <v>36</v>
      </c>
    </row>
    <row r="2847" spans="1:10" ht="21" customHeight="1">
      <c r="A2847" s="2" t="s">
        <v>3841</v>
      </c>
      <c r="B2847" s="2" t="s">
        <v>36</v>
      </c>
      <c r="C2847" s="4">
        <v>45948.25</v>
      </c>
      <c r="D2847" s="4">
        <v>45948.250328912036</v>
      </c>
      <c r="E2847" s="2">
        <v>4.91</v>
      </c>
      <c r="F2847" s="2">
        <v>72</v>
      </c>
      <c r="G2847" s="2" t="s">
        <v>983</v>
      </c>
      <c r="H2847" s="2" t="s">
        <v>984</v>
      </c>
      <c r="I2847" s="2" t="s">
        <v>1053</v>
      </c>
      <c r="J2847" s="2" t="s">
        <v>36</v>
      </c>
    </row>
    <row r="2848" spans="1:10" ht="21" customHeight="1">
      <c r="A2848" s="2" t="s">
        <v>3842</v>
      </c>
      <c r="B2848" s="2" t="s">
        <v>36</v>
      </c>
      <c r="C2848" s="4">
        <v>45949.25</v>
      </c>
      <c r="D2848" s="4">
        <v>45949.250360578706</v>
      </c>
      <c r="E2848" s="2">
        <v>6.67</v>
      </c>
      <c r="F2848" s="2">
        <v>68</v>
      </c>
      <c r="G2848" s="2" t="s">
        <v>983</v>
      </c>
      <c r="H2848" s="2" t="s">
        <v>984</v>
      </c>
      <c r="I2848" s="2"/>
      <c r="J2848" s="2" t="s">
        <v>36</v>
      </c>
    </row>
    <row r="2849" spans="1:10" ht="21" customHeight="1">
      <c r="A2849" s="2" t="s">
        <v>3843</v>
      </c>
      <c r="B2849" s="2" t="s">
        <v>36</v>
      </c>
      <c r="C2849" s="4">
        <v>45950.25</v>
      </c>
      <c r="D2849" s="4">
        <v>45950.250147673607</v>
      </c>
      <c r="E2849" s="2">
        <v>3.05</v>
      </c>
      <c r="F2849" s="2">
        <v>60.8</v>
      </c>
      <c r="G2849" s="2" t="s">
        <v>983</v>
      </c>
      <c r="H2849" s="2" t="s">
        <v>984</v>
      </c>
      <c r="I2849" s="2"/>
      <c r="J2849" s="2" t="s">
        <v>36</v>
      </c>
    </row>
    <row r="2850" spans="1:10" ht="21" customHeight="1">
      <c r="A2850" s="2" t="s">
        <v>3844</v>
      </c>
      <c r="B2850" s="2" t="s">
        <v>36</v>
      </c>
      <c r="C2850" s="4">
        <v>45951.25</v>
      </c>
      <c r="D2850" s="4">
        <v>45951.250248449069</v>
      </c>
      <c r="E2850" s="2">
        <v>2.39</v>
      </c>
      <c r="F2850" s="2">
        <v>61.7</v>
      </c>
      <c r="G2850" s="2" t="s">
        <v>983</v>
      </c>
      <c r="H2850" s="2" t="s">
        <v>984</v>
      </c>
      <c r="I2850" s="2"/>
      <c r="J2850" s="2" t="s">
        <v>36</v>
      </c>
    </row>
    <row r="2851" spans="1:10" ht="21" customHeight="1">
      <c r="A2851" s="2" t="s">
        <v>3845</v>
      </c>
      <c r="B2851" s="2" t="s">
        <v>36</v>
      </c>
      <c r="C2851" s="4">
        <v>45952.25</v>
      </c>
      <c r="D2851" s="4">
        <v>45952.250207222227</v>
      </c>
      <c r="E2851" s="2">
        <v>2.73</v>
      </c>
      <c r="F2851" s="2">
        <v>61.5</v>
      </c>
      <c r="G2851" s="2" t="s">
        <v>983</v>
      </c>
      <c r="H2851" s="2" t="s">
        <v>984</v>
      </c>
      <c r="I2851" s="2"/>
      <c r="J2851" s="2" t="s">
        <v>36</v>
      </c>
    </row>
    <row r="2852" spans="1:10" ht="21" customHeight="1">
      <c r="A2852" s="2" t="s">
        <v>3846</v>
      </c>
      <c r="B2852" s="2" t="s">
        <v>36</v>
      </c>
      <c r="C2852" s="4">
        <v>45953.25</v>
      </c>
      <c r="D2852" s="4">
        <v>45953.250213136576</v>
      </c>
      <c r="E2852" s="2">
        <v>3.1</v>
      </c>
      <c r="F2852" s="2">
        <v>65.5</v>
      </c>
      <c r="G2852" s="2" t="s">
        <v>983</v>
      </c>
      <c r="H2852" s="2" t="s">
        <v>984</v>
      </c>
      <c r="I2852" s="2"/>
      <c r="J2852" s="2" t="s">
        <v>36</v>
      </c>
    </row>
    <row r="2853" spans="1:10" ht="21" customHeight="1">
      <c r="A2853" s="2" t="s">
        <v>3847</v>
      </c>
      <c r="B2853" s="2" t="s">
        <v>36</v>
      </c>
      <c r="C2853" s="4">
        <v>45954.25</v>
      </c>
      <c r="D2853" s="4">
        <v>45954.25047190972</v>
      </c>
      <c r="E2853" s="2">
        <v>2.11</v>
      </c>
      <c r="F2853" s="2">
        <v>64.900000000000006</v>
      </c>
      <c r="G2853" s="2" t="s">
        <v>983</v>
      </c>
      <c r="H2853" s="2" t="s">
        <v>984</v>
      </c>
      <c r="I2853" s="2"/>
      <c r="J2853" s="2" t="s">
        <v>36</v>
      </c>
    </row>
    <row r="2854" spans="1:10" ht="21" customHeight="1">
      <c r="A2854" s="2" t="s">
        <v>3848</v>
      </c>
      <c r="B2854" s="2" t="s">
        <v>36</v>
      </c>
      <c r="C2854" s="4">
        <v>45955.25</v>
      </c>
      <c r="D2854" s="4">
        <v>45955.250038206017</v>
      </c>
      <c r="E2854" s="2">
        <v>2.2200000000000002</v>
      </c>
      <c r="F2854" s="2">
        <v>65.2</v>
      </c>
      <c r="G2854" s="2" t="s">
        <v>983</v>
      </c>
      <c r="H2854" s="2" t="s">
        <v>984</v>
      </c>
      <c r="I2854" s="2"/>
      <c r="J2854" s="2" t="s">
        <v>36</v>
      </c>
    </row>
    <row r="2855" spans="1:10" ht="21" customHeight="1">
      <c r="A2855" s="2" t="s">
        <v>3849</v>
      </c>
      <c r="B2855" s="2" t="s">
        <v>36</v>
      </c>
      <c r="C2855" s="4">
        <v>45956.25</v>
      </c>
      <c r="D2855" s="4">
        <v>45956.250131944442</v>
      </c>
      <c r="E2855" s="2">
        <v>2.34</v>
      </c>
      <c r="F2855" s="2">
        <v>62.7</v>
      </c>
      <c r="G2855" s="2" t="s">
        <v>983</v>
      </c>
      <c r="H2855" s="2" t="s">
        <v>984</v>
      </c>
      <c r="I2855" s="2"/>
      <c r="J2855" s="2" t="s">
        <v>36</v>
      </c>
    </row>
    <row r="2856" spans="1:10" ht="21" customHeight="1">
      <c r="A2856" s="2" t="s">
        <v>3850</v>
      </c>
      <c r="B2856" s="2" t="s">
        <v>36</v>
      </c>
      <c r="C2856" s="4">
        <v>45957.25</v>
      </c>
      <c r="D2856" s="4">
        <v>45957.250022106484</v>
      </c>
      <c r="E2856" s="2">
        <v>2.67</v>
      </c>
      <c r="F2856" s="2">
        <v>64.3</v>
      </c>
      <c r="G2856" s="2" t="s">
        <v>983</v>
      </c>
      <c r="H2856" s="2" t="s">
        <v>984</v>
      </c>
      <c r="I2856" s="2"/>
      <c r="J2856" s="2" t="s">
        <v>36</v>
      </c>
    </row>
    <row r="2857" spans="1:10" ht="21" customHeight="1">
      <c r="A2857" s="2" t="s">
        <v>3851</v>
      </c>
      <c r="B2857" s="2" t="s">
        <v>36</v>
      </c>
      <c r="C2857" s="4">
        <v>45958.25</v>
      </c>
      <c r="D2857" s="4">
        <v>45958.250539594912</v>
      </c>
      <c r="E2857" s="2">
        <v>2.4500000000000002</v>
      </c>
      <c r="F2857" s="2">
        <v>62.8</v>
      </c>
      <c r="G2857" s="2" t="s">
        <v>983</v>
      </c>
      <c r="H2857" s="2" t="s">
        <v>984</v>
      </c>
      <c r="I2857" s="2"/>
      <c r="J2857" s="2" t="s">
        <v>36</v>
      </c>
    </row>
    <row r="2858" spans="1:10" ht="21" customHeight="1">
      <c r="A2858" s="2" t="s">
        <v>3852</v>
      </c>
      <c r="B2858" s="2" t="s">
        <v>36</v>
      </c>
      <c r="C2858" s="4">
        <v>45959.25</v>
      </c>
      <c r="D2858" s="4">
        <v>45959.250606817128</v>
      </c>
      <c r="E2858" s="2">
        <v>2.33</v>
      </c>
      <c r="F2858" s="2">
        <v>60.3</v>
      </c>
      <c r="G2858" s="2" t="s">
        <v>983</v>
      </c>
      <c r="H2858" s="2" t="s">
        <v>984</v>
      </c>
      <c r="I2858" s="2"/>
      <c r="J2858" s="2" t="s">
        <v>36</v>
      </c>
    </row>
    <row r="2859" spans="1:10" ht="21" customHeight="1">
      <c r="A2859" s="2" t="s">
        <v>3853</v>
      </c>
      <c r="B2859" s="2" t="s">
        <v>36</v>
      </c>
      <c r="C2859" s="4">
        <v>45960.25</v>
      </c>
      <c r="D2859" s="4">
        <v>45960.250416203708</v>
      </c>
      <c r="E2859" s="2">
        <v>2.58</v>
      </c>
      <c r="F2859" s="2">
        <v>64.599999999999994</v>
      </c>
      <c r="G2859" s="2" t="s">
        <v>983</v>
      </c>
      <c r="H2859" s="2" t="s">
        <v>984</v>
      </c>
      <c r="I2859" s="2"/>
      <c r="J2859" s="2" t="s">
        <v>36</v>
      </c>
    </row>
    <row r="2860" spans="1:10" ht="21" customHeight="1">
      <c r="A2860" s="2" t="s">
        <v>3854</v>
      </c>
      <c r="B2860" s="2" t="s">
        <v>36</v>
      </c>
      <c r="C2860" s="4">
        <v>45961.25</v>
      </c>
      <c r="D2860" s="4">
        <v>45961.250331134259</v>
      </c>
      <c r="E2860" s="2">
        <v>2.42</v>
      </c>
      <c r="F2860" s="2">
        <v>64.400000000000006</v>
      </c>
      <c r="G2860" s="2" t="s">
        <v>983</v>
      </c>
      <c r="H2860" s="2" t="s">
        <v>984</v>
      </c>
      <c r="I2860" s="2"/>
      <c r="J2860" s="2" t="s">
        <v>36</v>
      </c>
    </row>
    <row r="2861" spans="1:10" ht="21" customHeight="1">
      <c r="A2861" s="2" t="s">
        <v>3855</v>
      </c>
      <c r="B2861" s="2" t="s">
        <v>36</v>
      </c>
      <c r="C2861" s="4">
        <v>45962.25</v>
      </c>
      <c r="D2861" s="4">
        <v>45962.250017395832</v>
      </c>
      <c r="E2861" s="2">
        <v>2.57</v>
      </c>
      <c r="F2861" s="2">
        <v>58.2</v>
      </c>
      <c r="G2861" s="2" t="s">
        <v>983</v>
      </c>
      <c r="H2861" s="2" t="s">
        <v>984</v>
      </c>
      <c r="I2861" s="2"/>
      <c r="J2861" s="2" t="s">
        <v>36</v>
      </c>
    </row>
    <row r="2862" spans="1:10" ht="21" customHeight="1">
      <c r="A2862" s="2" t="s">
        <v>3856</v>
      </c>
      <c r="B2862" s="2" t="s">
        <v>36</v>
      </c>
      <c r="C2862" s="4">
        <v>45963.25</v>
      </c>
      <c r="D2862" s="4">
        <v>45963.250611435185</v>
      </c>
      <c r="E2862" s="2">
        <v>2.12</v>
      </c>
      <c r="F2862" s="2">
        <v>60.3</v>
      </c>
      <c r="G2862" s="2" t="s">
        <v>983</v>
      </c>
      <c r="H2862" s="2" t="s">
        <v>984</v>
      </c>
      <c r="I2862" s="2"/>
      <c r="J2862" s="2" t="s">
        <v>36</v>
      </c>
    </row>
    <row r="2863" spans="1:10" ht="21" customHeight="1">
      <c r="A2863" s="2" t="s">
        <v>3857</v>
      </c>
      <c r="B2863" s="2" t="s">
        <v>36</v>
      </c>
      <c r="C2863" s="4">
        <v>45964.25</v>
      </c>
      <c r="D2863" s="4">
        <v>45964.250344178239</v>
      </c>
      <c r="E2863" s="2">
        <v>2.34</v>
      </c>
      <c r="F2863" s="2">
        <v>60.5</v>
      </c>
      <c r="G2863" s="2" t="s">
        <v>983</v>
      </c>
      <c r="H2863" s="2" t="s">
        <v>984</v>
      </c>
      <c r="I2863" s="2" t="s">
        <v>985</v>
      </c>
      <c r="J2863" s="2" t="s">
        <v>36</v>
      </c>
    </row>
    <row r="2864" spans="1:10" ht="21" customHeight="1">
      <c r="A2864" s="2" t="s">
        <v>3858</v>
      </c>
      <c r="B2864" s="2" t="s">
        <v>36</v>
      </c>
      <c r="C2864" s="4">
        <v>45965.25</v>
      </c>
      <c r="D2864" s="4">
        <v>45965.250077662036</v>
      </c>
      <c r="E2864" s="2">
        <v>3.23</v>
      </c>
      <c r="F2864" s="2">
        <v>63</v>
      </c>
      <c r="G2864" s="2" t="s">
        <v>983</v>
      </c>
      <c r="H2864" s="2" t="s">
        <v>984</v>
      </c>
      <c r="I2864" s="2"/>
      <c r="J2864" s="2" t="s">
        <v>36</v>
      </c>
    </row>
    <row r="2865" spans="1:10" ht="21" customHeight="1">
      <c r="A2865" s="2" t="s">
        <v>3859</v>
      </c>
      <c r="B2865" s="2" t="s">
        <v>36</v>
      </c>
      <c r="C2865" s="4">
        <v>45966.25</v>
      </c>
      <c r="D2865" s="4">
        <v>45966.250288136573</v>
      </c>
      <c r="E2865" s="2">
        <v>3.24</v>
      </c>
      <c r="F2865" s="2">
        <v>60.4</v>
      </c>
      <c r="G2865" s="2" t="s">
        <v>983</v>
      </c>
      <c r="H2865" s="2" t="s">
        <v>984</v>
      </c>
      <c r="I2865" s="2"/>
      <c r="J2865" s="2" t="s">
        <v>36</v>
      </c>
    </row>
    <row r="2866" spans="1:10" ht="21" customHeight="1">
      <c r="A2866" s="2" t="s">
        <v>3860</v>
      </c>
      <c r="B2866" s="2" t="s">
        <v>36</v>
      </c>
      <c r="C2866" s="4">
        <v>45967.25</v>
      </c>
      <c r="D2866" s="4">
        <v>45967.250169340274</v>
      </c>
      <c r="E2866" s="2">
        <v>5.01</v>
      </c>
      <c r="F2866" s="2">
        <v>66</v>
      </c>
      <c r="G2866" s="2" t="s">
        <v>983</v>
      </c>
      <c r="H2866" s="2" t="s">
        <v>984</v>
      </c>
      <c r="I2866" s="2"/>
      <c r="J2866" s="2" t="s">
        <v>36</v>
      </c>
    </row>
    <row r="2867" spans="1:10" ht="21" customHeight="1">
      <c r="A2867" s="2" t="s">
        <v>3861</v>
      </c>
      <c r="B2867" s="2" t="s">
        <v>36</v>
      </c>
      <c r="C2867" s="4">
        <v>45968.25</v>
      </c>
      <c r="D2867" s="4">
        <v>45968.250149143518</v>
      </c>
      <c r="E2867" s="2">
        <v>4.97</v>
      </c>
      <c r="F2867" s="2">
        <v>67.900000000000006</v>
      </c>
      <c r="G2867" s="2" t="s">
        <v>983</v>
      </c>
      <c r="H2867" s="2" t="s">
        <v>984</v>
      </c>
      <c r="I2867" s="2" t="s">
        <v>1053</v>
      </c>
      <c r="J2867" s="2" t="s">
        <v>36</v>
      </c>
    </row>
    <row r="2868" spans="1:10" ht="21" customHeight="1">
      <c r="A2868" s="2" t="s">
        <v>3862</v>
      </c>
      <c r="B2868" s="2" t="s">
        <v>36</v>
      </c>
      <c r="C2868" s="4">
        <v>45969.25</v>
      </c>
      <c r="D2868" s="4">
        <v>45969.250405081024</v>
      </c>
      <c r="E2868" s="2">
        <v>5.82</v>
      </c>
      <c r="F2868" s="2">
        <v>72.3</v>
      </c>
      <c r="G2868" s="2" t="s">
        <v>983</v>
      </c>
      <c r="H2868" s="2" t="s">
        <v>984</v>
      </c>
      <c r="I2868" s="2"/>
      <c r="J2868" s="2" t="s">
        <v>36</v>
      </c>
    </row>
    <row r="2869" spans="1:10" ht="21" customHeight="1">
      <c r="A2869" s="2" t="s">
        <v>3863</v>
      </c>
      <c r="B2869" s="2" t="s">
        <v>36</v>
      </c>
      <c r="C2869" s="4">
        <v>45970.25</v>
      </c>
      <c r="D2869" s="4">
        <v>45970.250403611106</v>
      </c>
      <c r="E2869" s="2">
        <v>3.21</v>
      </c>
      <c r="F2869" s="2">
        <v>58.9</v>
      </c>
      <c r="G2869" s="2" t="s">
        <v>983</v>
      </c>
      <c r="H2869" s="2" t="s">
        <v>984</v>
      </c>
      <c r="I2869" s="2"/>
      <c r="J2869" s="2" t="s">
        <v>36</v>
      </c>
    </row>
    <row r="2870" spans="1:10" ht="21" customHeight="1">
      <c r="A2870" s="2" t="s">
        <v>3864</v>
      </c>
      <c r="B2870" s="2" t="s">
        <v>36</v>
      </c>
      <c r="C2870" s="4">
        <v>45971.25</v>
      </c>
      <c r="D2870" s="4">
        <v>45971.250169803243</v>
      </c>
      <c r="E2870" s="2">
        <v>2.23</v>
      </c>
      <c r="F2870" s="2">
        <v>60.2</v>
      </c>
      <c r="G2870" s="2" t="s">
        <v>983</v>
      </c>
      <c r="H2870" s="2" t="s">
        <v>984</v>
      </c>
      <c r="I2870" s="2"/>
      <c r="J2870" s="2" t="s">
        <v>36</v>
      </c>
    </row>
    <row r="2871" spans="1:10" ht="21" customHeight="1">
      <c r="A2871" s="2" t="s">
        <v>3865</v>
      </c>
      <c r="B2871" s="2" t="s">
        <v>36</v>
      </c>
      <c r="C2871" s="4">
        <v>45972.25</v>
      </c>
      <c r="D2871" s="4">
        <v>45972.250665</v>
      </c>
      <c r="E2871" s="2">
        <v>3.08</v>
      </c>
      <c r="F2871" s="2">
        <v>64.400000000000006</v>
      </c>
      <c r="G2871" s="2" t="s">
        <v>983</v>
      </c>
      <c r="H2871" s="2" t="s">
        <v>984</v>
      </c>
      <c r="I2871" s="2"/>
      <c r="J2871" s="2" t="s">
        <v>36</v>
      </c>
    </row>
    <row r="2872" spans="1:10" ht="21" customHeight="1">
      <c r="A2872" s="2" t="s">
        <v>3866</v>
      </c>
      <c r="B2872" s="2" t="s">
        <v>3579</v>
      </c>
      <c r="C2872" s="4">
        <v>45973.25</v>
      </c>
      <c r="D2872" s="4">
        <v>45973.250121608799</v>
      </c>
      <c r="E2872" s="2">
        <v>3.08</v>
      </c>
      <c r="F2872" s="2">
        <v>63.9</v>
      </c>
      <c r="G2872" s="2" t="s">
        <v>983</v>
      </c>
      <c r="H2872" s="2" t="s">
        <v>984</v>
      </c>
      <c r="I2872" s="2"/>
      <c r="J2872" s="2" t="s">
        <v>36</v>
      </c>
    </row>
    <row r="2873" spans="1:10" ht="21" customHeight="1">
      <c r="A2873" s="2" t="s">
        <v>3867</v>
      </c>
      <c r="B2873" s="2" t="s">
        <v>36</v>
      </c>
      <c r="C2873" s="4">
        <v>45974.25</v>
      </c>
      <c r="D2873" s="4">
        <v>45974.25008356481</v>
      </c>
      <c r="E2873" s="2">
        <v>2.31</v>
      </c>
      <c r="F2873" s="2">
        <v>61.7</v>
      </c>
      <c r="G2873" s="2" t="s">
        <v>983</v>
      </c>
      <c r="H2873" s="2" t="s">
        <v>984</v>
      </c>
      <c r="I2873" s="2"/>
      <c r="J2873" s="2" t="s">
        <v>36</v>
      </c>
    </row>
    <row r="2874" spans="1:10" ht="21" customHeight="1">
      <c r="A2874" s="2" t="s">
        <v>3868</v>
      </c>
      <c r="B2874" s="2" t="s">
        <v>36</v>
      </c>
      <c r="C2874" s="4">
        <v>45975.25</v>
      </c>
      <c r="D2874" s="4">
        <v>45975.25068892361</v>
      </c>
      <c r="E2874" s="2">
        <v>2.4900000000000002</v>
      </c>
      <c r="F2874" s="2">
        <v>58</v>
      </c>
      <c r="G2874" s="2" t="s">
        <v>983</v>
      </c>
      <c r="H2874" s="2" t="s">
        <v>984</v>
      </c>
      <c r="I2874" s="2"/>
      <c r="J2874" s="2" t="s">
        <v>36</v>
      </c>
    </row>
    <row r="2875" spans="1:10" ht="21" customHeight="1">
      <c r="A2875" s="2" t="s">
        <v>3869</v>
      </c>
      <c r="B2875" s="2" t="s">
        <v>36</v>
      </c>
      <c r="C2875" s="4">
        <v>45976.25</v>
      </c>
      <c r="D2875" s="4">
        <v>45976.250010868054</v>
      </c>
      <c r="E2875" s="2">
        <v>2.9</v>
      </c>
      <c r="F2875" s="2">
        <v>58.4</v>
      </c>
      <c r="G2875" s="2" t="s">
        <v>983</v>
      </c>
      <c r="H2875" s="2" t="s">
        <v>984</v>
      </c>
      <c r="I2875" s="2"/>
      <c r="J2875" s="2" t="s">
        <v>36</v>
      </c>
    </row>
    <row r="2876" spans="1:10" ht="21" customHeight="1">
      <c r="A2876" s="2" t="s">
        <v>3870</v>
      </c>
      <c r="B2876" s="2" t="s">
        <v>36</v>
      </c>
      <c r="C2876" s="4">
        <v>45977.25</v>
      </c>
      <c r="D2876" s="4">
        <v>45977.250504942131</v>
      </c>
      <c r="E2876" s="2">
        <v>2.2999999999999998</v>
      </c>
      <c r="F2876" s="2">
        <v>63.4</v>
      </c>
      <c r="G2876" s="2" t="s">
        <v>983</v>
      </c>
      <c r="H2876" s="2" t="s">
        <v>984</v>
      </c>
      <c r="I2876" s="2"/>
      <c r="J2876" s="2" t="s">
        <v>36</v>
      </c>
    </row>
    <row r="2877" spans="1:10" ht="21" customHeight="1">
      <c r="A2877" s="2" t="s">
        <v>3871</v>
      </c>
      <c r="B2877" s="2" t="s">
        <v>36</v>
      </c>
      <c r="C2877" s="4">
        <v>45978.25</v>
      </c>
      <c r="D2877" s="4">
        <v>45978.250237465283</v>
      </c>
      <c r="E2877" s="2">
        <v>2.2799999999999998</v>
      </c>
      <c r="F2877" s="2">
        <v>59.8</v>
      </c>
      <c r="G2877" s="2" t="s">
        <v>983</v>
      </c>
      <c r="H2877" s="2" t="s">
        <v>984</v>
      </c>
      <c r="I2877" s="2"/>
      <c r="J2877" s="2" t="s">
        <v>36</v>
      </c>
    </row>
    <row r="2878" spans="1:10" ht="21" customHeight="1">
      <c r="A2878" s="2" t="s">
        <v>3872</v>
      </c>
      <c r="B2878" s="2" t="s">
        <v>36</v>
      </c>
      <c r="C2878" s="4">
        <v>45979.25</v>
      </c>
      <c r="D2878" s="4">
        <v>45979.250276365739</v>
      </c>
      <c r="E2878" s="2">
        <v>2.79</v>
      </c>
      <c r="F2878" s="2">
        <v>65.7</v>
      </c>
      <c r="G2878" s="2" t="s">
        <v>983</v>
      </c>
      <c r="H2878" s="2" t="s">
        <v>984</v>
      </c>
      <c r="I2878" s="2"/>
      <c r="J2878" s="2" t="s">
        <v>36</v>
      </c>
    </row>
    <row r="2879" spans="1:10" ht="21" customHeight="1">
      <c r="A2879" s="2" t="s">
        <v>3873</v>
      </c>
      <c r="B2879" s="2" t="s">
        <v>36</v>
      </c>
      <c r="C2879" s="4">
        <v>45980.25</v>
      </c>
      <c r="D2879" s="4">
        <v>45980.250174062501</v>
      </c>
      <c r="E2879" s="2">
        <v>2.65</v>
      </c>
      <c r="F2879" s="2">
        <v>60.5</v>
      </c>
      <c r="G2879" s="2" t="s">
        <v>983</v>
      </c>
      <c r="H2879" s="2" t="s">
        <v>984</v>
      </c>
      <c r="I2879" s="2"/>
      <c r="J2879" s="2" t="s">
        <v>36</v>
      </c>
    </row>
    <row r="2880" spans="1:10" ht="21" customHeight="1">
      <c r="A2880" s="2" t="s">
        <v>3874</v>
      </c>
      <c r="B2880" s="2" t="s">
        <v>36</v>
      </c>
      <c r="C2880" s="4">
        <v>45981.25</v>
      </c>
      <c r="D2880" s="4">
        <v>45981.250527939817</v>
      </c>
      <c r="E2880" s="2">
        <v>2.13</v>
      </c>
      <c r="F2880" s="2">
        <v>62.6</v>
      </c>
      <c r="G2880" s="2" t="s">
        <v>983</v>
      </c>
      <c r="H2880" s="2" t="s">
        <v>984</v>
      </c>
      <c r="I2880" s="2" t="s">
        <v>985</v>
      </c>
      <c r="J2880" s="2" t="s">
        <v>36</v>
      </c>
    </row>
    <row r="2881" spans="1:10" ht="21" customHeight="1">
      <c r="A2881" s="2" t="s">
        <v>3875</v>
      </c>
      <c r="B2881" s="2" t="s">
        <v>36</v>
      </c>
      <c r="C2881" s="4">
        <v>45982.25</v>
      </c>
      <c r="D2881" s="4">
        <v>45982.250296331018</v>
      </c>
      <c r="E2881" s="2">
        <v>2.74</v>
      </c>
      <c r="F2881" s="2">
        <v>58</v>
      </c>
      <c r="G2881" s="2" t="s">
        <v>983</v>
      </c>
      <c r="H2881" s="2" t="s">
        <v>984</v>
      </c>
      <c r="I2881" s="2"/>
      <c r="J2881" s="2" t="s">
        <v>36</v>
      </c>
    </row>
    <row r="2882" spans="1:10" ht="21" customHeight="1">
      <c r="A2882" s="2" t="s">
        <v>3876</v>
      </c>
      <c r="B2882" s="2" t="s">
        <v>36</v>
      </c>
      <c r="C2882" s="4">
        <v>45983.25</v>
      </c>
      <c r="D2882" s="4">
        <v>45983.250549189819</v>
      </c>
      <c r="E2882" s="2">
        <v>3.29</v>
      </c>
      <c r="F2882" s="2">
        <v>64.2</v>
      </c>
      <c r="G2882" s="2" t="s">
        <v>983</v>
      </c>
      <c r="H2882" s="2" t="s">
        <v>984</v>
      </c>
      <c r="I2882" s="2"/>
      <c r="J2882" s="2" t="s">
        <v>36</v>
      </c>
    </row>
    <row r="2883" spans="1:10" ht="21" customHeight="1">
      <c r="A2883" s="2" t="s">
        <v>3877</v>
      </c>
      <c r="B2883" s="2" t="s">
        <v>36</v>
      </c>
      <c r="C2883" s="4">
        <v>45984.25</v>
      </c>
      <c r="D2883" s="4">
        <v>45984.250654363423</v>
      </c>
      <c r="E2883" s="2">
        <v>3.24</v>
      </c>
      <c r="F2883" s="2">
        <v>63.6</v>
      </c>
      <c r="G2883" s="2" t="s">
        <v>983</v>
      </c>
      <c r="H2883" s="2" t="s">
        <v>984</v>
      </c>
      <c r="I2883" s="2"/>
      <c r="J2883" s="2" t="s">
        <v>36</v>
      </c>
    </row>
    <row r="2884" spans="1:10" ht="21" customHeight="1">
      <c r="A2884" s="2" t="s">
        <v>3878</v>
      </c>
      <c r="B2884" s="2" t="s">
        <v>36</v>
      </c>
      <c r="C2884" s="4">
        <v>45985.25</v>
      </c>
      <c r="D2884" s="4">
        <v>45985.250499189817</v>
      </c>
      <c r="E2884" s="2">
        <v>2.77</v>
      </c>
      <c r="F2884" s="2">
        <v>60.7</v>
      </c>
      <c r="G2884" s="2" t="s">
        <v>983</v>
      </c>
      <c r="H2884" s="2" t="s">
        <v>984</v>
      </c>
      <c r="I2884" s="2"/>
      <c r="J2884" s="2" t="s">
        <v>36</v>
      </c>
    </row>
    <row r="2885" spans="1:10" ht="21" customHeight="1">
      <c r="A2885" s="2" t="s">
        <v>3879</v>
      </c>
      <c r="B2885" s="2" t="s">
        <v>36</v>
      </c>
      <c r="C2885" s="4">
        <v>45986.25</v>
      </c>
      <c r="D2885" s="4">
        <v>45986.250048923612</v>
      </c>
      <c r="E2885" s="2">
        <v>2.74</v>
      </c>
      <c r="F2885" s="2">
        <v>60.1</v>
      </c>
      <c r="G2885" s="2" t="s">
        <v>983</v>
      </c>
      <c r="H2885" s="2" t="s">
        <v>984</v>
      </c>
      <c r="I2885" s="2"/>
      <c r="J2885" s="2" t="s">
        <v>36</v>
      </c>
    </row>
    <row r="2886" spans="1:10" ht="21" customHeight="1">
      <c r="A2886" s="2" t="s">
        <v>3880</v>
      </c>
      <c r="B2886" s="2" t="s">
        <v>36</v>
      </c>
      <c r="C2886" s="4">
        <v>45987.25</v>
      </c>
      <c r="D2886" s="4">
        <v>45987.25017875</v>
      </c>
      <c r="E2886" s="2">
        <v>2.11</v>
      </c>
      <c r="F2886" s="2">
        <v>64.5</v>
      </c>
      <c r="G2886" s="2" t="s">
        <v>983</v>
      </c>
      <c r="H2886" s="2" t="s">
        <v>984</v>
      </c>
      <c r="I2886" s="2"/>
      <c r="J2886" s="2" t="s">
        <v>36</v>
      </c>
    </row>
    <row r="2887" spans="1:10" ht="21" customHeight="1">
      <c r="A2887" s="2" t="s">
        <v>3881</v>
      </c>
      <c r="B2887" s="2" t="s">
        <v>36</v>
      </c>
      <c r="C2887" s="4">
        <v>45988.25</v>
      </c>
      <c r="D2887" s="4">
        <v>45988.250055104167</v>
      </c>
      <c r="E2887" s="2">
        <v>2.68</v>
      </c>
      <c r="F2887" s="2">
        <v>62.4</v>
      </c>
      <c r="G2887" s="2" t="s">
        <v>983</v>
      </c>
      <c r="H2887" s="2" t="s">
        <v>984</v>
      </c>
      <c r="I2887" s="2"/>
      <c r="J2887" s="2" t="s">
        <v>36</v>
      </c>
    </row>
    <row r="2888" spans="1:10" ht="21" customHeight="1">
      <c r="A2888" s="2" t="s">
        <v>3882</v>
      </c>
      <c r="B2888" s="2" t="s">
        <v>36</v>
      </c>
      <c r="C2888" s="4">
        <v>45989.25</v>
      </c>
      <c r="D2888" s="4">
        <v>45989.250111111112</v>
      </c>
      <c r="E2888" s="2"/>
      <c r="F2888" s="2"/>
      <c r="G2888" s="2" t="s">
        <v>983</v>
      </c>
      <c r="H2888" s="2" t="s">
        <v>1066</v>
      </c>
      <c r="I2888" s="2"/>
      <c r="J2888" s="2" t="s">
        <v>36</v>
      </c>
    </row>
    <row r="2889" spans="1:10" ht="21" customHeight="1">
      <c r="A2889" s="2" t="s">
        <v>3883</v>
      </c>
      <c r="B2889" s="2" t="s">
        <v>36</v>
      </c>
      <c r="C2889" s="4">
        <v>45990.25</v>
      </c>
      <c r="D2889" s="4">
        <v>45990.250493900458</v>
      </c>
      <c r="E2889" s="2">
        <v>2.82</v>
      </c>
      <c r="F2889" s="2">
        <v>59.4</v>
      </c>
      <c r="G2889" s="2" t="s">
        <v>983</v>
      </c>
      <c r="H2889" s="2" t="s">
        <v>984</v>
      </c>
      <c r="I2889" s="2"/>
      <c r="J2889" s="2" t="s">
        <v>36</v>
      </c>
    </row>
    <row r="2890" spans="1:10" ht="21" customHeight="1">
      <c r="A2890" s="2" t="s">
        <v>3884</v>
      </c>
      <c r="B2890" s="2" t="s">
        <v>36</v>
      </c>
      <c r="C2890" s="4">
        <v>45991.25</v>
      </c>
      <c r="D2890" s="4">
        <v>45991.250617384256</v>
      </c>
      <c r="E2890" s="2">
        <v>2.88</v>
      </c>
      <c r="F2890" s="2">
        <v>61.4</v>
      </c>
      <c r="G2890" s="2" t="s">
        <v>983</v>
      </c>
      <c r="H2890" s="2" t="s">
        <v>984</v>
      </c>
      <c r="I2890" s="2"/>
      <c r="J2890" s="2" t="s">
        <v>36</v>
      </c>
    </row>
    <row r="2891" spans="1:10" ht="21" customHeight="1">
      <c r="A2891" s="2" t="s">
        <v>3885</v>
      </c>
      <c r="B2891" s="2" t="s">
        <v>36</v>
      </c>
      <c r="C2891" s="4">
        <v>45992.25</v>
      </c>
      <c r="D2891" s="4">
        <v>45992.250624918983</v>
      </c>
      <c r="E2891" s="2">
        <v>3.06</v>
      </c>
      <c r="F2891" s="2">
        <v>65.900000000000006</v>
      </c>
      <c r="G2891" s="2" t="s">
        <v>983</v>
      </c>
      <c r="H2891" s="2" t="s">
        <v>984</v>
      </c>
      <c r="I2891" s="2"/>
      <c r="J2891" s="2" t="s">
        <v>36</v>
      </c>
    </row>
    <row r="2892" spans="1:10" ht="21" customHeight="1">
      <c r="A2892" s="2" t="s">
        <v>3886</v>
      </c>
      <c r="B2892" s="2" t="s">
        <v>36</v>
      </c>
      <c r="C2892" s="4">
        <v>45993.25</v>
      </c>
      <c r="D2892" s="4">
        <v>45993.250074942131</v>
      </c>
      <c r="E2892" s="2">
        <v>3.21</v>
      </c>
      <c r="F2892" s="2">
        <v>63.4</v>
      </c>
      <c r="G2892" s="2" t="s">
        <v>983</v>
      </c>
      <c r="H2892" s="2" t="s">
        <v>984</v>
      </c>
      <c r="I2892" s="2"/>
      <c r="J2892" s="2" t="s">
        <v>36</v>
      </c>
    </row>
    <row r="2893" spans="1:10" ht="21" customHeight="1">
      <c r="A2893" s="2" t="s">
        <v>3887</v>
      </c>
      <c r="B2893" s="2" t="s">
        <v>36</v>
      </c>
      <c r="C2893" s="4">
        <v>45994.25</v>
      </c>
      <c r="D2893" s="4">
        <v>45994.250072951385</v>
      </c>
      <c r="E2893" s="2">
        <v>3.19</v>
      </c>
      <c r="F2893" s="2">
        <v>60.8</v>
      </c>
      <c r="G2893" s="2" t="s">
        <v>983</v>
      </c>
      <c r="H2893" s="2" t="s">
        <v>984</v>
      </c>
      <c r="I2893" s="2"/>
      <c r="J2893" s="2" t="s">
        <v>36</v>
      </c>
    </row>
    <row r="2894" spans="1:10" ht="21" customHeight="1">
      <c r="A2894" s="2" t="s">
        <v>3888</v>
      </c>
      <c r="B2894" s="2" t="s">
        <v>36</v>
      </c>
      <c r="C2894" s="4">
        <v>45995.25</v>
      </c>
      <c r="D2894" s="4">
        <v>45995.250313171295</v>
      </c>
      <c r="E2894" s="2">
        <v>3.05</v>
      </c>
      <c r="F2894" s="2">
        <v>62.8</v>
      </c>
      <c r="G2894" s="2" t="s">
        <v>983</v>
      </c>
      <c r="H2894" s="2" t="s">
        <v>984</v>
      </c>
      <c r="I2894" s="2"/>
      <c r="J2894" s="2" t="s">
        <v>36</v>
      </c>
    </row>
    <row r="2895" spans="1:10" ht="21" customHeight="1">
      <c r="A2895" s="2" t="s">
        <v>3889</v>
      </c>
      <c r="B2895" s="2" t="s">
        <v>36</v>
      </c>
      <c r="C2895" s="4">
        <v>45996.25</v>
      </c>
      <c r="D2895" s="4">
        <v>45996.250525300929</v>
      </c>
      <c r="E2895" s="2">
        <v>2.48</v>
      </c>
      <c r="F2895" s="2">
        <v>64.599999999999994</v>
      </c>
      <c r="G2895" s="2" t="s">
        <v>983</v>
      </c>
      <c r="H2895" s="2" t="s">
        <v>984</v>
      </c>
      <c r="I2895" s="2"/>
      <c r="J2895" s="2" t="s">
        <v>36</v>
      </c>
    </row>
    <row r="2896" spans="1:10" ht="21" customHeight="1">
      <c r="A2896" s="2" t="s">
        <v>3890</v>
      </c>
      <c r="B2896" s="2" t="s">
        <v>36</v>
      </c>
      <c r="C2896" s="4">
        <v>45997.25</v>
      </c>
      <c r="D2896" s="4">
        <v>45997.250452233799</v>
      </c>
      <c r="E2896" s="2">
        <v>3</v>
      </c>
      <c r="F2896" s="2">
        <v>65.3</v>
      </c>
      <c r="G2896" s="2" t="s">
        <v>983</v>
      </c>
      <c r="H2896" s="2" t="s">
        <v>984</v>
      </c>
      <c r="I2896" s="2"/>
      <c r="J2896" s="2" t="s">
        <v>36</v>
      </c>
    </row>
    <row r="2897" spans="1:10" ht="21" customHeight="1">
      <c r="A2897" s="2" t="s">
        <v>3891</v>
      </c>
      <c r="B2897" s="2" t="s">
        <v>36</v>
      </c>
      <c r="C2897" s="4">
        <v>45998.25</v>
      </c>
      <c r="D2897" s="4">
        <v>45998.250358321762</v>
      </c>
      <c r="E2897" s="2">
        <v>2.2000000000000002</v>
      </c>
      <c r="F2897" s="2">
        <v>61.5</v>
      </c>
      <c r="G2897" s="2" t="s">
        <v>983</v>
      </c>
      <c r="H2897" s="2" t="s">
        <v>984</v>
      </c>
      <c r="I2897" s="2" t="s">
        <v>985</v>
      </c>
      <c r="J2897" s="2" t="s">
        <v>36</v>
      </c>
    </row>
    <row r="2898" spans="1:10" ht="21" customHeight="1">
      <c r="A2898" s="2" t="s">
        <v>3892</v>
      </c>
      <c r="B2898" s="2" t="s">
        <v>36</v>
      </c>
      <c r="C2898" s="4">
        <v>45999.25</v>
      </c>
      <c r="D2898" s="4">
        <v>45999.250123275458</v>
      </c>
      <c r="E2898" s="2"/>
      <c r="F2898" s="2"/>
      <c r="G2898" s="2" t="s">
        <v>983</v>
      </c>
      <c r="H2898" s="2" t="s">
        <v>1066</v>
      </c>
      <c r="I2898" s="2"/>
      <c r="J2898" s="2" t="s">
        <v>36</v>
      </c>
    </row>
    <row r="2899" spans="1:10" ht="21" customHeight="1">
      <c r="A2899" s="2" t="s">
        <v>3893</v>
      </c>
      <c r="B2899" s="2" t="s">
        <v>36</v>
      </c>
      <c r="C2899" s="4">
        <v>46000.25</v>
      </c>
      <c r="D2899" s="4">
        <v>46000.250484166667</v>
      </c>
      <c r="E2899" s="2">
        <v>3</v>
      </c>
      <c r="F2899" s="2">
        <v>65.5</v>
      </c>
      <c r="G2899" s="2" t="s">
        <v>983</v>
      </c>
      <c r="H2899" s="2" t="s">
        <v>984</v>
      </c>
      <c r="I2899" s="2"/>
      <c r="J2899" s="2" t="s">
        <v>36</v>
      </c>
    </row>
    <row r="2900" spans="1:10" ht="21" customHeight="1">
      <c r="A2900" s="2" t="s">
        <v>3894</v>
      </c>
      <c r="B2900" s="2" t="s">
        <v>36</v>
      </c>
      <c r="C2900" s="4">
        <v>46001.25</v>
      </c>
      <c r="D2900" s="4">
        <v>46001.250077673612</v>
      </c>
      <c r="E2900" s="2">
        <v>2.79</v>
      </c>
      <c r="F2900" s="2">
        <v>63.5</v>
      </c>
      <c r="G2900" s="2" t="s">
        <v>983</v>
      </c>
      <c r="H2900" s="2" t="s">
        <v>984</v>
      </c>
      <c r="I2900" s="2"/>
      <c r="J2900" s="2" t="s">
        <v>36</v>
      </c>
    </row>
    <row r="2901" spans="1:10" ht="21" customHeight="1">
      <c r="A2901" s="2" t="s">
        <v>3895</v>
      </c>
      <c r="B2901" s="2" t="s">
        <v>36</v>
      </c>
      <c r="C2901" s="4">
        <v>46002.25</v>
      </c>
      <c r="D2901" s="4">
        <v>46002.250024942128</v>
      </c>
      <c r="E2901" s="2">
        <v>2.59</v>
      </c>
      <c r="F2901" s="2">
        <v>60.3</v>
      </c>
      <c r="G2901" s="2" t="s">
        <v>983</v>
      </c>
      <c r="H2901" s="2" t="s">
        <v>984</v>
      </c>
      <c r="I2901" s="2"/>
      <c r="J2901" s="2" t="s">
        <v>36</v>
      </c>
    </row>
    <row r="2902" spans="1:10" ht="21" customHeight="1">
      <c r="A2902" s="2" t="s">
        <v>3896</v>
      </c>
      <c r="B2902" s="2" t="s">
        <v>36</v>
      </c>
      <c r="C2902" s="4">
        <v>46003.25</v>
      </c>
      <c r="D2902" s="4">
        <v>46003.250448912033</v>
      </c>
      <c r="E2902" s="2">
        <v>2.73</v>
      </c>
      <c r="F2902" s="2">
        <v>58.9</v>
      </c>
      <c r="G2902" s="2" t="s">
        <v>983</v>
      </c>
      <c r="H2902" s="2" t="s">
        <v>984</v>
      </c>
      <c r="I2902" s="2"/>
      <c r="J2902" s="2" t="s">
        <v>36</v>
      </c>
    </row>
    <row r="2903" spans="1:10" ht="21" customHeight="1">
      <c r="A2903" s="2" t="s">
        <v>3897</v>
      </c>
      <c r="B2903" s="2" t="s">
        <v>36</v>
      </c>
      <c r="C2903" s="4">
        <v>46004.25</v>
      </c>
      <c r="D2903" s="4">
        <v>46004.250280243054</v>
      </c>
      <c r="E2903" s="2">
        <v>2.11</v>
      </c>
      <c r="F2903" s="2">
        <v>63.8</v>
      </c>
      <c r="G2903" s="2" t="s">
        <v>983</v>
      </c>
      <c r="H2903" s="2" t="s">
        <v>984</v>
      </c>
      <c r="I2903" s="2"/>
      <c r="J2903" s="2" t="s">
        <v>36</v>
      </c>
    </row>
    <row r="2904" spans="1:10" ht="21" customHeight="1">
      <c r="A2904" s="2" t="s">
        <v>3898</v>
      </c>
      <c r="B2904" s="2" t="s">
        <v>36</v>
      </c>
      <c r="C2904" s="4">
        <v>46005.25</v>
      </c>
      <c r="D2904" s="4">
        <v>46005.250252256941</v>
      </c>
      <c r="E2904" s="2">
        <v>2.64</v>
      </c>
      <c r="F2904" s="2">
        <v>61.4</v>
      </c>
      <c r="G2904" s="2" t="s">
        <v>983</v>
      </c>
      <c r="H2904" s="2" t="s">
        <v>984</v>
      </c>
      <c r="I2904" s="2"/>
      <c r="J2904" s="2" t="s">
        <v>36</v>
      </c>
    </row>
    <row r="2905" spans="1:10" ht="21" customHeight="1">
      <c r="A2905" s="2" t="s">
        <v>3899</v>
      </c>
      <c r="B2905" s="2" t="s">
        <v>36</v>
      </c>
      <c r="C2905" s="4">
        <v>46006.25</v>
      </c>
      <c r="D2905" s="4">
        <v>46006.250555532402</v>
      </c>
      <c r="E2905" s="2">
        <v>2.37</v>
      </c>
      <c r="F2905" s="2">
        <v>65.3</v>
      </c>
      <c r="G2905" s="2" t="s">
        <v>983</v>
      </c>
      <c r="H2905" s="2" t="s">
        <v>984</v>
      </c>
      <c r="I2905" s="2"/>
      <c r="J2905" s="2" t="s">
        <v>36</v>
      </c>
    </row>
    <row r="2906" spans="1:10" ht="21" customHeight="1">
      <c r="A2906" s="2" t="s">
        <v>3900</v>
      </c>
      <c r="B2906" s="2" t="s">
        <v>36</v>
      </c>
      <c r="C2906" s="4">
        <v>46007.25</v>
      </c>
      <c r="D2906" s="4">
        <v>46007.250649606482</v>
      </c>
      <c r="E2906" s="2">
        <v>2.89</v>
      </c>
      <c r="F2906" s="2">
        <v>62.4</v>
      </c>
      <c r="G2906" s="2" t="s">
        <v>983</v>
      </c>
      <c r="H2906" s="2" t="s">
        <v>984</v>
      </c>
      <c r="I2906" s="2"/>
      <c r="J2906" s="2" t="s">
        <v>36</v>
      </c>
    </row>
    <row r="2907" spans="1:10" ht="21" customHeight="1">
      <c r="A2907" s="2" t="s">
        <v>3901</v>
      </c>
      <c r="B2907" s="2" t="s">
        <v>36</v>
      </c>
      <c r="C2907" s="4">
        <v>46008.25</v>
      </c>
      <c r="D2907" s="4">
        <v>46008.250260231478</v>
      </c>
      <c r="E2907" s="2">
        <v>3.16</v>
      </c>
      <c r="F2907" s="2">
        <v>60.5</v>
      </c>
      <c r="G2907" s="2" t="s">
        <v>983</v>
      </c>
      <c r="H2907" s="2" t="s">
        <v>984</v>
      </c>
      <c r="I2907" s="2"/>
      <c r="J2907" s="2" t="s">
        <v>36</v>
      </c>
    </row>
    <row r="2908" spans="1:10" ht="21" customHeight="1">
      <c r="A2908" s="2" t="s">
        <v>3902</v>
      </c>
      <c r="B2908" s="2" t="s">
        <v>36</v>
      </c>
      <c r="C2908" s="4">
        <v>46009.25</v>
      </c>
      <c r="D2908" s="4">
        <v>46009.250087465276</v>
      </c>
      <c r="E2908" s="2">
        <v>2.31</v>
      </c>
      <c r="F2908" s="2">
        <v>59.9</v>
      </c>
      <c r="G2908" s="2" t="s">
        <v>983</v>
      </c>
      <c r="H2908" s="2" t="s">
        <v>984</v>
      </c>
      <c r="I2908" s="2"/>
      <c r="J2908" s="2" t="s">
        <v>36</v>
      </c>
    </row>
    <row r="2909" spans="1:10" ht="21" customHeight="1">
      <c r="A2909" s="2" t="s">
        <v>3903</v>
      </c>
      <c r="B2909" s="2" t="s">
        <v>36</v>
      </c>
      <c r="C2909" s="4">
        <v>46010.25</v>
      </c>
      <c r="D2909" s="4">
        <v>46010.250078553239</v>
      </c>
      <c r="E2909" s="2">
        <v>2.91</v>
      </c>
      <c r="F2909" s="2">
        <v>62.3</v>
      </c>
      <c r="G2909" s="2" t="s">
        <v>983</v>
      </c>
      <c r="H2909" s="2" t="s">
        <v>984</v>
      </c>
      <c r="I2909" s="2"/>
      <c r="J2909" s="2" t="s">
        <v>36</v>
      </c>
    </row>
    <row r="2910" spans="1:10" ht="21" customHeight="1">
      <c r="A2910" s="2" t="s">
        <v>3904</v>
      </c>
      <c r="B2910" s="2" t="s">
        <v>36</v>
      </c>
      <c r="C2910" s="4">
        <v>46011.25</v>
      </c>
      <c r="D2910" s="4">
        <v>46011.250357002311</v>
      </c>
      <c r="E2910" s="2">
        <v>2.15</v>
      </c>
      <c r="F2910" s="2">
        <v>58.2</v>
      </c>
      <c r="G2910" s="2" t="s">
        <v>983</v>
      </c>
      <c r="H2910" s="2" t="s">
        <v>984</v>
      </c>
      <c r="I2910" s="2"/>
      <c r="J2910" s="2" t="s">
        <v>36</v>
      </c>
    </row>
    <row r="2911" spans="1:10" ht="21" customHeight="1">
      <c r="A2911" s="2" t="s">
        <v>3905</v>
      </c>
      <c r="B2911" s="2" t="s">
        <v>36</v>
      </c>
      <c r="C2911" s="4">
        <v>46012.25</v>
      </c>
      <c r="D2911" s="4">
        <v>46012.250347280089</v>
      </c>
      <c r="E2911" s="2">
        <v>3.24</v>
      </c>
      <c r="F2911" s="2">
        <v>63</v>
      </c>
      <c r="G2911" s="2" t="s">
        <v>983</v>
      </c>
      <c r="H2911" s="2" t="s">
        <v>984</v>
      </c>
      <c r="I2911" s="2"/>
      <c r="J2911" s="2" t="s">
        <v>36</v>
      </c>
    </row>
    <row r="2912" spans="1:10" ht="21" customHeight="1">
      <c r="A2912" s="2" t="s">
        <v>3906</v>
      </c>
      <c r="B2912" s="2" t="s">
        <v>36</v>
      </c>
      <c r="C2912" s="4">
        <v>46013.25</v>
      </c>
      <c r="D2912" s="4">
        <v>46013.25022159722</v>
      </c>
      <c r="E2912" s="2">
        <v>2.6</v>
      </c>
      <c r="F2912" s="2">
        <v>61.7</v>
      </c>
      <c r="G2912" s="2" t="s">
        <v>983</v>
      </c>
      <c r="H2912" s="2" t="s">
        <v>984</v>
      </c>
      <c r="I2912" s="2"/>
      <c r="J2912" s="2" t="s">
        <v>36</v>
      </c>
    </row>
    <row r="2913" spans="1:10" ht="21" customHeight="1">
      <c r="A2913" s="2" t="s">
        <v>3907</v>
      </c>
      <c r="B2913" s="2" t="s">
        <v>3579</v>
      </c>
      <c r="C2913" s="4">
        <v>46014.25</v>
      </c>
      <c r="D2913" s="4">
        <v>46014.2505231713</v>
      </c>
      <c r="E2913" s="2">
        <v>2.96</v>
      </c>
      <c r="F2913" s="2">
        <v>62.4</v>
      </c>
      <c r="G2913" s="2" t="s">
        <v>983</v>
      </c>
      <c r="H2913" s="2" t="s">
        <v>984</v>
      </c>
      <c r="I2913" s="2"/>
      <c r="J2913" s="2" t="s">
        <v>36</v>
      </c>
    </row>
    <row r="2914" spans="1:10" ht="21" customHeight="1">
      <c r="A2914" s="2" t="s">
        <v>3908</v>
      </c>
      <c r="B2914" s="2" t="s">
        <v>36</v>
      </c>
      <c r="C2914" s="4">
        <v>46015.25</v>
      </c>
      <c r="D2914" s="4">
        <v>46015.250398784723</v>
      </c>
      <c r="E2914" s="2"/>
      <c r="F2914" s="2"/>
      <c r="G2914" s="2" t="s">
        <v>983</v>
      </c>
      <c r="H2914" s="2" t="s">
        <v>1066</v>
      </c>
      <c r="I2914" s="2" t="s">
        <v>985</v>
      </c>
      <c r="J2914" s="2" t="s">
        <v>36</v>
      </c>
    </row>
    <row r="2915" spans="1:10" ht="21" customHeight="1">
      <c r="A2915" s="2" t="s">
        <v>3909</v>
      </c>
      <c r="B2915" s="2" t="s">
        <v>36</v>
      </c>
      <c r="C2915" s="4">
        <v>46016.25</v>
      </c>
      <c r="D2915" s="4">
        <v>46016.250284583337</v>
      </c>
      <c r="E2915" s="2">
        <v>2.81</v>
      </c>
      <c r="F2915" s="2">
        <v>62.1</v>
      </c>
      <c r="G2915" s="2" t="s">
        <v>983</v>
      </c>
      <c r="H2915" s="2" t="s">
        <v>984</v>
      </c>
      <c r="I2915" s="2"/>
      <c r="J2915" s="2" t="s">
        <v>36</v>
      </c>
    </row>
    <row r="2916" spans="1:10" ht="21" customHeight="1">
      <c r="A2916" s="2" t="s">
        <v>3910</v>
      </c>
      <c r="B2916" s="2" t="s">
        <v>36</v>
      </c>
      <c r="C2916" s="4">
        <v>46017.25</v>
      </c>
      <c r="D2916" s="4">
        <v>46017.250552465281</v>
      </c>
      <c r="E2916" s="2">
        <v>2.61</v>
      </c>
      <c r="F2916" s="2">
        <v>62.1</v>
      </c>
      <c r="G2916" s="2" t="s">
        <v>983</v>
      </c>
      <c r="H2916" s="2" t="s">
        <v>984</v>
      </c>
      <c r="I2916" s="2"/>
      <c r="J2916" s="2" t="s">
        <v>36</v>
      </c>
    </row>
    <row r="2917" spans="1:10" ht="21" customHeight="1">
      <c r="A2917" s="2" t="s">
        <v>3911</v>
      </c>
      <c r="B2917" s="2" t="s">
        <v>36</v>
      </c>
      <c r="C2917" s="4">
        <v>46018.25</v>
      </c>
      <c r="D2917" s="4">
        <v>46018.250671851856</v>
      </c>
      <c r="E2917" s="2">
        <v>2.17</v>
      </c>
      <c r="F2917" s="2">
        <v>65.900000000000006</v>
      </c>
      <c r="G2917" s="2" t="s">
        <v>983</v>
      </c>
      <c r="H2917" s="2" t="s">
        <v>984</v>
      </c>
      <c r="I2917" s="2"/>
      <c r="J2917" s="2" t="s">
        <v>36</v>
      </c>
    </row>
    <row r="2918" spans="1:10" ht="21" customHeight="1">
      <c r="A2918" s="2" t="s">
        <v>3912</v>
      </c>
      <c r="B2918" s="2" t="s">
        <v>36</v>
      </c>
      <c r="C2918" s="4">
        <v>46019.25</v>
      </c>
      <c r="D2918" s="4">
        <v>46019.250522256945</v>
      </c>
      <c r="E2918" s="2">
        <v>2.3199999999999998</v>
      </c>
      <c r="F2918" s="2">
        <v>60.2</v>
      </c>
      <c r="G2918" s="2" t="s">
        <v>983</v>
      </c>
      <c r="H2918" s="2" t="s">
        <v>984</v>
      </c>
      <c r="I2918" s="2"/>
      <c r="J2918" s="2" t="s">
        <v>36</v>
      </c>
    </row>
    <row r="2919" spans="1:10" ht="21" customHeight="1">
      <c r="A2919" s="2" t="s">
        <v>3913</v>
      </c>
      <c r="B2919" s="2" t="s">
        <v>36</v>
      </c>
      <c r="C2919" s="4">
        <v>46020.25</v>
      </c>
      <c r="D2919" s="4">
        <v>46020.250169756946</v>
      </c>
      <c r="E2919" s="2">
        <v>2.35</v>
      </c>
      <c r="F2919" s="2">
        <v>61.8</v>
      </c>
      <c r="G2919" s="2" t="s">
        <v>983</v>
      </c>
      <c r="H2919" s="2" t="s">
        <v>984</v>
      </c>
      <c r="I2919" s="2"/>
      <c r="J2919" s="2" t="s">
        <v>36</v>
      </c>
    </row>
    <row r="2920" spans="1:10" ht="21" customHeight="1">
      <c r="A2920" s="2" t="s">
        <v>3914</v>
      </c>
      <c r="B2920" s="2" t="s">
        <v>36</v>
      </c>
      <c r="C2920" s="4">
        <v>46021.25</v>
      </c>
      <c r="D2920" s="4">
        <v>46021.250027037036</v>
      </c>
      <c r="E2920" s="2">
        <v>2.74</v>
      </c>
      <c r="F2920" s="2">
        <v>63.6</v>
      </c>
      <c r="G2920" s="2" t="s">
        <v>983</v>
      </c>
      <c r="H2920" s="2" t="s">
        <v>984</v>
      </c>
      <c r="I2920" s="2"/>
      <c r="J2920" s="2" t="s">
        <v>36</v>
      </c>
    </row>
    <row r="2921" spans="1:10" ht="21" customHeight="1">
      <c r="A2921" s="2" t="s">
        <v>3915</v>
      </c>
      <c r="B2921" s="2" t="s">
        <v>36</v>
      </c>
      <c r="C2921" s="4">
        <v>46022.25</v>
      </c>
      <c r="D2921" s="4">
        <v>46022.250642083338</v>
      </c>
      <c r="E2921" s="2">
        <v>2.92</v>
      </c>
      <c r="F2921" s="2">
        <v>58.1</v>
      </c>
      <c r="G2921" s="2" t="s">
        <v>983</v>
      </c>
      <c r="H2921" s="2" t="s">
        <v>984</v>
      </c>
      <c r="I2921" s="2"/>
      <c r="J2921" s="2" t="s">
        <v>36</v>
      </c>
    </row>
    <row r="2922" spans="1:10" ht="21" customHeight="1">
      <c r="A2922" s="2" t="s">
        <v>3916</v>
      </c>
      <c r="B2922" s="2" t="s">
        <v>37</v>
      </c>
      <c r="C2922" s="4">
        <v>45658.25</v>
      </c>
      <c r="D2922" s="4">
        <v>45658.250308703704</v>
      </c>
      <c r="E2922" s="2">
        <v>3.71</v>
      </c>
      <c r="F2922" s="2">
        <v>78.400000000000006</v>
      </c>
      <c r="G2922" s="2" t="s">
        <v>983</v>
      </c>
      <c r="H2922" s="2" t="s">
        <v>984</v>
      </c>
      <c r="I2922" s="2" t="s">
        <v>985</v>
      </c>
      <c r="J2922" s="2" t="s">
        <v>37</v>
      </c>
    </row>
    <row r="2923" spans="1:10" ht="21" customHeight="1">
      <c r="A2923" s="2" t="s">
        <v>3917</v>
      </c>
      <c r="B2923" s="2" t="s">
        <v>37</v>
      </c>
      <c r="C2923" s="4">
        <v>45659.25</v>
      </c>
      <c r="D2923" s="4">
        <v>45659.250509837962</v>
      </c>
      <c r="E2923" s="2">
        <v>3.9</v>
      </c>
      <c r="F2923" s="2">
        <v>78.099999999999994</v>
      </c>
      <c r="G2923" s="2" t="s">
        <v>983</v>
      </c>
      <c r="H2923" s="2" t="s">
        <v>984</v>
      </c>
      <c r="I2923" s="2"/>
      <c r="J2923" s="2" t="s">
        <v>37</v>
      </c>
    </row>
    <row r="2924" spans="1:10" ht="21" customHeight="1">
      <c r="A2924" s="2" t="s">
        <v>3918</v>
      </c>
      <c r="B2924" s="2" t="s">
        <v>37</v>
      </c>
      <c r="C2924" s="4">
        <v>45660.25</v>
      </c>
      <c r="D2924" s="4">
        <v>45660.250451956017</v>
      </c>
      <c r="E2924" s="2">
        <v>3.97</v>
      </c>
      <c r="F2924" s="2">
        <v>77.7</v>
      </c>
      <c r="G2924" s="2" t="s">
        <v>983</v>
      </c>
      <c r="H2924" s="2" t="s">
        <v>984</v>
      </c>
      <c r="I2924" s="2"/>
      <c r="J2924" s="2" t="s">
        <v>37</v>
      </c>
    </row>
    <row r="2925" spans="1:10" ht="21" customHeight="1">
      <c r="A2925" s="2" t="s">
        <v>3919</v>
      </c>
      <c r="B2925" s="2" t="s">
        <v>37</v>
      </c>
      <c r="C2925" s="4">
        <v>45661.25</v>
      </c>
      <c r="D2925" s="4">
        <v>45661.250446967591</v>
      </c>
      <c r="E2925" s="2">
        <v>3.82</v>
      </c>
      <c r="F2925" s="2">
        <v>76</v>
      </c>
      <c r="G2925" s="2" t="s">
        <v>983</v>
      </c>
      <c r="H2925" s="2" t="s">
        <v>984</v>
      </c>
      <c r="I2925" s="2"/>
      <c r="J2925" s="2" t="s">
        <v>37</v>
      </c>
    </row>
    <row r="2926" spans="1:10" ht="21" customHeight="1">
      <c r="A2926" s="2" t="s">
        <v>3920</v>
      </c>
      <c r="B2926" s="2" t="s">
        <v>37</v>
      </c>
      <c r="C2926" s="4">
        <v>45662.25</v>
      </c>
      <c r="D2926" s="4">
        <v>45662.250121041667</v>
      </c>
      <c r="E2926" s="2"/>
      <c r="F2926" s="2"/>
      <c r="G2926" s="2" t="s">
        <v>983</v>
      </c>
      <c r="H2926" s="2" t="s">
        <v>1066</v>
      </c>
      <c r="I2926" s="2"/>
      <c r="J2926" s="2" t="s">
        <v>37</v>
      </c>
    </row>
    <row r="2927" spans="1:10" ht="21" customHeight="1">
      <c r="A2927" s="2" t="s">
        <v>3921</v>
      </c>
      <c r="B2927" s="2" t="s">
        <v>37</v>
      </c>
      <c r="C2927" s="4">
        <v>45663.25</v>
      </c>
      <c r="D2927" s="4">
        <v>45663.250505532407</v>
      </c>
      <c r="E2927" s="2">
        <v>3.22</v>
      </c>
      <c r="F2927" s="2">
        <v>79</v>
      </c>
      <c r="G2927" s="2" t="s">
        <v>983</v>
      </c>
      <c r="H2927" s="2" t="s">
        <v>984</v>
      </c>
      <c r="I2927" s="2"/>
      <c r="J2927" s="2" t="s">
        <v>37</v>
      </c>
    </row>
    <row r="2928" spans="1:10" ht="21" customHeight="1">
      <c r="A2928" s="2" t="s">
        <v>3922</v>
      </c>
      <c r="B2928" s="2" t="s">
        <v>37</v>
      </c>
      <c r="C2928" s="4">
        <v>45664.25</v>
      </c>
      <c r="D2928" s="4">
        <v>45664.250490277773</v>
      </c>
      <c r="E2928" s="2">
        <v>3.73</v>
      </c>
      <c r="F2928" s="2">
        <v>76.900000000000006</v>
      </c>
      <c r="G2928" s="2" t="s">
        <v>983</v>
      </c>
      <c r="H2928" s="2" t="s">
        <v>984</v>
      </c>
      <c r="I2928" s="2"/>
      <c r="J2928" s="2" t="s">
        <v>37</v>
      </c>
    </row>
    <row r="2929" spans="1:10" ht="21" customHeight="1">
      <c r="A2929" s="2" t="s">
        <v>3923</v>
      </c>
      <c r="B2929" s="2" t="s">
        <v>37</v>
      </c>
      <c r="C2929" s="4">
        <v>45665.25</v>
      </c>
      <c r="D2929" s="4">
        <v>45665.250458148148</v>
      </c>
      <c r="E2929" s="2">
        <v>3.76</v>
      </c>
      <c r="F2929" s="2">
        <v>75.7</v>
      </c>
      <c r="G2929" s="2" t="s">
        <v>983</v>
      </c>
      <c r="H2929" s="2" t="s">
        <v>984</v>
      </c>
      <c r="I2929" s="2"/>
      <c r="J2929" s="2" t="s">
        <v>37</v>
      </c>
    </row>
    <row r="2930" spans="1:10" ht="21" customHeight="1">
      <c r="A2930" s="2" t="s">
        <v>3924</v>
      </c>
      <c r="B2930" s="2" t="s">
        <v>37</v>
      </c>
      <c r="C2930" s="4">
        <v>45666.25</v>
      </c>
      <c r="D2930" s="4">
        <v>45666.250489571757</v>
      </c>
      <c r="E2930" s="2">
        <v>3.92</v>
      </c>
      <c r="F2930" s="2">
        <v>77.3</v>
      </c>
      <c r="G2930" s="2" t="s">
        <v>983</v>
      </c>
      <c r="H2930" s="2" t="s">
        <v>984</v>
      </c>
      <c r="I2930" s="2"/>
      <c r="J2930" s="2" t="s">
        <v>37</v>
      </c>
    </row>
    <row r="2931" spans="1:10" ht="21" customHeight="1">
      <c r="A2931" s="2" t="s">
        <v>3925</v>
      </c>
      <c r="B2931" s="2" t="s">
        <v>37</v>
      </c>
      <c r="C2931" s="4">
        <v>45667.25</v>
      </c>
      <c r="D2931" s="4">
        <v>45667.250391678244</v>
      </c>
      <c r="E2931" s="2">
        <v>3.26</v>
      </c>
      <c r="F2931" s="2">
        <v>76.900000000000006</v>
      </c>
      <c r="G2931" s="2" t="s">
        <v>983</v>
      </c>
      <c r="H2931" s="2" t="s">
        <v>984</v>
      </c>
      <c r="I2931" s="2"/>
      <c r="J2931" s="2" t="s">
        <v>37</v>
      </c>
    </row>
    <row r="2932" spans="1:10" ht="21" customHeight="1">
      <c r="A2932" s="2" t="s">
        <v>3926</v>
      </c>
      <c r="B2932" s="2" t="s">
        <v>37</v>
      </c>
      <c r="C2932" s="4">
        <v>45668.25</v>
      </c>
      <c r="D2932" s="4">
        <v>45668.250211134262</v>
      </c>
      <c r="E2932" s="2">
        <v>3.71</v>
      </c>
      <c r="F2932" s="2">
        <v>77.5</v>
      </c>
      <c r="G2932" s="2" t="s">
        <v>983</v>
      </c>
      <c r="H2932" s="2" t="s">
        <v>984</v>
      </c>
      <c r="I2932" s="2"/>
      <c r="J2932" s="2" t="s">
        <v>37</v>
      </c>
    </row>
    <row r="2933" spans="1:10" ht="21" customHeight="1">
      <c r="A2933" s="2" t="s">
        <v>3927</v>
      </c>
      <c r="B2933" s="2" t="s">
        <v>37</v>
      </c>
      <c r="C2933" s="4">
        <v>45669.25</v>
      </c>
      <c r="D2933" s="4">
        <v>45669.250656828706</v>
      </c>
      <c r="E2933" s="2">
        <v>3.62</v>
      </c>
      <c r="F2933" s="2">
        <v>74.7</v>
      </c>
      <c r="G2933" s="2" t="s">
        <v>983</v>
      </c>
      <c r="H2933" s="2" t="s">
        <v>984</v>
      </c>
      <c r="I2933" s="2"/>
      <c r="J2933" s="2" t="s">
        <v>37</v>
      </c>
    </row>
    <row r="2934" spans="1:10" ht="21" customHeight="1">
      <c r="A2934" s="2" t="s">
        <v>3928</v>
      </c>
      <c r="B2934" s="2" t="s">
        <v>37</v>
      </c>
      <c r="C2934" s="4">
        <v>45670.25</v>
      </c>
      <c r="D2934" s="4">
        <v>45670.25059787037</v>
      </c>
      <c r="E2934" s="2">
        <v>3.23</v>
      </c>
      <c r="F2934" s="2">
        <v>79.3</v>
      </c>
      <c r="G2934" s="2" t="s">
        <v>983</v>
      </c>
      <c r="H2934" s="2" t="s">
        <v>984</v>
      </c>
      <c r="I2934" s="2"/>
      <c r="J2934" s="2" t="s">
        <v>37</v>
      </c>
    </row>
    <row r="2935" spans="1:10" ht="21" customHeight="1">
      <c r="A2935" s="2" t="s">
        <v>3929</v>
      </c>
      <c r="B2935" s="2" t="s">
        <v>37</v>
      </c>
      <c r="C2935" s="4">
        <v>45671.25</v>
      </c>
      <c r="D2935" s="4">
        <v>45671.250639687496</v>
      </c>
      <c r="E2935" s="2">
        <v>3.81</v>
      </c>
      <c r="F2935" s="2">
        <v>75.900000000000006</v>
      </c>
      <c r="G2935" s="2" t="s">
        <v>983</v>
      </c>
      <c r="H2935" s="2" t="s">
        <v>984</v>
      </c>
      <c r="I2935" s="2"/>
      <c r="J2935" s="2" t="s">
        <v>37</v>
      </c>
    </row>
    <row r="2936" spans="1:10" ht="21" customHeight="1">
      <c r="A2936" s="2" t="s">
        <v>3930</v>
      </c>
      <c r="B2936" s="2" t="s">
        <v>37</v>
      </c>
      <c r="C2936" s="4">
        <v>45672.25</v>
      </c>
      <c r="D2936" s="4">
        <v>45672.250621712963</v>
      </c>
      <c r="E2936" s="2">
        <v>3.87</v>
      </c>
      <c r="F2936" s="2">
        <v>75.8</v>
      </c>
      <c r="G2936" s="2" t="s">
        <v>983</v>
      </c>
      <c r="H2936" s="2" t="s">
        <v>984</v>
      </c>
      <c r="I2936" s="2"/>
      <c r="J2936" s="2" t="s">
        <v>37</v>
      </c>
    </row>
    <row r="2937" spans="1:10" ht="21" customHeight="1">
      <c r="A2937" s="2" t="s">
        <v>3931</v>
      </c>
      <c r="B2937" s="2" t="s">
        <v>37</v>
      </c>
      <c r="C2937" s="4">
        <v>45673.25</v>
      </c>
      <c r="D2937" s="4">
        <v>45673.250593402779</v>
      </c>
      <c r="E2937" s="2">
        <v>3.2</v>
      </c>
      <c r="F2937" s="2">
        <v>72.3</v>
      </c>
      <c r="G2937" s="2" t="s">
        <v>983</v>
      </c>
      <c r="H2937" s="2" t="s">
        <v>984</v>
      </c>
      <c r="I2937" s="2"/>
      <c r="J2937" s="2" t="s">
        <v>37</v>
      </c>
    </row>
    <row r="2938" spans="1:10" ht="21" customHeight="1">
      <c r="A2938" s="2" t="s">
        <v>3932</v>
      </c>
      <c r="B2938" s="2" t="s">
        <v>37</v>
      </c>
      <c r="C2938" s="4">
        <v>45674.25</v>
      </c>
      <c r="D2938" s="4">
        <v>45674.25017644676</v>
      </c>
      <c r="E2938" s="2">
        <v>3.35</v>
      </c>
      <c r="F2938" s="2">
        <v>76.099999999999994</v>
      </c>
      <c r="G2938" s="2" t="s">
        <v>983</v>
      </c>
      <c r="H2938" s="2" t="s">
        <v>984</v>
      </c>
      <c r="I2938" s="2"/>
      <c r="J2938" s="2" t="s">
        <v>37</v>
      </c>
    </row>
    <row r="2939" spans="1:10" ht="21" customHeight="1">
      <c r="A2939" s="2" t="s">
        <v>3933</v>
      </c>
      <c r="B2939" s="2" t="s">
        <v>37</v>
      </c>
      <c r="C2939" s="4">
        <v>45675.25</v>
      </c>
      <c r="D2939" s="4">
        <v>45675.250029618051</v>
      </c>
      <c r="E2939" s="2">
        <v>3.42</v>
      </c>
      <c r="F2939" s="2">
        <v>78</v>
      </c>
      <c r="G2939" s="2" t="s">
        <v>983</v>
      </c>
      <c r="H2939" s="2" t="s">
        <v>984</v>
      </c>
      <c r="I2939" s="2" t="s">
        <v>985</v>
      </c>
      <c r="J2939" s="2" t="s">
        <v>37</v>
      </c>
    </row>
    <row r="2940" spans="1:10" ht="21" customHeight="1">
      <c r="A2940" s="2" t="s">
        <v>3934</v>
      </c>
      <c r="B2940" s="2" t="s">
        <v>37</v>
      </c>
      <c r="C2940" s="4">
        <v>45676.25</v>
      </c>
      <c r="D2940" s="4">
        <v>45676.250145370374</v>
      </c>
      <c r="E2940" s="2">
        <v>3.47</v>
      </c>
      <c r="F2940" s="2">
        <v>77.900000000000006</v>
      </c>
      <c r="G2940" s="2" t="s">
        <v>983</v>
      </c>
      <c r="H2940" s="2" t="s">
        <v>984</v>
      </c>
      <c r="I2940" s="2"/>
      <c r="J2940" s="2" t="s">
        <v>37</v>
      </c>
    </row>
    <row r="2941" spans="1:10" ht="21" customHeight="1">
      <c r="A2941" s="2" t="s">
        <v>3935</v>
      </c>
      <c r="B2941" s="2" t="s">
        <v>37</v>
      </c>
      <c r="C2941" s="4">
        <v>45677.25</v>
      </c>
      <c r="D2941" s="4">
        <v>45677.250066747685</v>
      </c>
      <c r="E2941" s="2">
        <v>3.85</v>
      </c>
      <c r="F2941" s="2">
        <v>74.8</v>
      </c>
      <c r="G2941" s="2" t="s">
        <v>983</v>
      </c>
      <c r="H2941" s="2" t="s">
        <v>984</v>
      </c>
      <c r="I2941" s="2"/>
      <c r="J2941" s="2" t="s">
        <v>37</v>
      </c>
    </row>
    <row r="2942" spans="1:10" ht="21" customHeight="1">
      <c r="A2942" s="2" t="s">
        <v>3936</v>
      </c>
      <c r="B2942" s="2" t="s">
        <v>37</v>
      </c>
      <c r="C2942" s="4">
        <v>45678.25</v>
      </c>
      <c r="D2942" s="4">
        <v>45678.250257743057</v>
      </c>
      <c r="E2942" s="2">
        <v>3.72</v>
      </c>
      <c r="F2942" s="2">
        <v>78.099999999999994</v>
      </c>
      <c r="G2942" s="2" t="s">
        <v>983</v>
      </c>
      <c r="H2942" s="2" t="s">
        <v>984</v>
      </c>
      <c r="I2942" s="2"/>
      <c r="J2942" s="2" t="s">
        <v>37</v>
      </c>
    </row>
    <row r="2943" spans="1:10" ht="21" customHeight="1">
      <c r="A2943" s="2" t="s">
        <v>3937</v>
      </c>
      <c r="B2943" s="2" t="s">
        <v>37</v>
      </c>
      <c r="C2943" s="4">
        <v>45679.25</v>
      </c>
      <c r="D2943" s="4">
        <v>45679.2503281713</v>
      </c>
      <c r="E2943" s="2">
        <v>2.9</v>
      </c>
      <c r="F2943" s="2">
        <v>78</v>
      </c>
      <c r="G2943" s="2" t="s">
        <v>983</v>
      </c>
      <c r="H2943" s="2" t="s">
        <v>984</v>
      </c>
      <c r="I2943" s="2"/>
      <c r="J2943" s="2" t="s">
        <v>37</v>
      </c>
    </row>
    <row r="2944" spans="1:10" ht="21" customHeight="1">
      <c r="A2944" s="2" t="s">
        <v>3938</v>
      </c>
      <c r="B2944" s="2" t="s">
        <v>37</v>
      </c>
      <c r="C2944" s="4">
        <v>45680.25</v>
      </c>
      <c r="D2944" s="4">
        <v>45680.25060024306</v>
      </c>
      <c r="E2944" s="2">
        <v>3.3</v>
      </c>
      <c r="F2944" s="2">
        <v>74.900000000000006</v>
      </c>
      <c r="G2944" s="2" t="s">
        <v>983</v>
      </c>
      <c r="H2944" s="2" t="s">
        <v>984</v>
      </c>
      <c r="I2944" s="2"/>
      <c r="J2944" s="2" t="s">
        <v>37</v>
      </c>
    </row>
    <row r="2945" spans="1:10" ht="21" customHeight="1">
      <c r="A2945" s="2" t="s">
        <v>3939</v>
      </c>
      <c r="B2945" s="2" t="s">
        <v>37</v>
      </c>
      <c r="C2945" s="4">
        <v>45681.25</v>
      </c>
      <c r="D2945" s="4">
        <v>45681.250012974539</v>
      </c>
      <c r="E2945" s="2">
        <v>3.25</v>
      </c>
      <c r="F2945" s="2">
        <v>74.099999999999994</v>
      </c>
      <c r="G2945" s="2" t="s">
        <v>983</v>
      </c>
      <c r="H2945" s="2" t="s">
        <v>984</v>
      </c>
      <c r="I2945" s="2"/>
      <c r="J2945" s="2" t="s">
        <v>37</v>
      </c>
    </row>
    <row r="2946" spans="1:10" ht="21" customHeight="1">
      <c r="A2946" s="2" t="s">
        <v>3940</v>
      </c>
      <c r="B2946" s="2" t="s">
        <v>37</v>
      </c>
      <c r="C2946" s="4">
        <v>45682.25</v>
      </c>
      <c r="D2946" s="4">
        <v>45682.250502997689</v>
      </c>
      <c r="E2946" s="2">
        <v>3.86</v>
      </c>
      <c r="F2946" s="2">
        <v>75.900000000000006</v>
      </c>
      <c r="G2946" s="2" t="s">
        <v>983</v>
      </c>
      <c r="H2946" s="2" t="s">
        <v>984</v>
      </c>
      <c r="I2946" s="2"/>
      <c r="J2946" s="2" t="s">
        <v>37</v>
      </c>
    </row>
    <row r="2947" spans="1:10" ht="21" customHeight="1">
      <c r="A2947" s="2" t="s">
        <v>3941</v>
      </c>
      <c r="B2947" s="2" t="s">
        <v>37</v>
      </c>
      <c r="C2947" s="4">
        <v>45683.25</v>
      </c>
      <c r="D2947" s="4">
        <v>45683.250482974538</v>
      </c>
      <c r="E2947" s="2">
        <v>3.75</v>
      </c>
      <c r="F2947" s="2">
        <v>72.900000000000006</v>
      </c>
      <c r="G2947" s="2" t="s">
        <v>983</v>
      </c>
      <c r="H2947" s="2" t="s">
        <v>984</v>
      </c>
      <c r="I2947" s="2"/>
      <c r="J2947" s="2" t="s">
        <v>37</v>
      </c>
    </row>
    <row r="2948" spans="1:10" ht="21" customHeight="1">
      <c r="A2948" s="2" t="s">
        <v>3942</v>
      </c>
      <c r="B2948" s="2" t="s">
        <v>37</v>
      </c>
      <c r="C2948" s="4">
        <v>45684.25</v>
      </c>
      <c r="D2948" s="4">
        <v>45684.250683981481</v>
      </c>
      <c r="E2948" s="2">
        <v>3.94</v>
      </c>
      <c r="F2948" s="2">
        <v>74.7</v>
      </c>
      <c r="G2948" s="2" t="s">
        <v>983</v>
      </c>
      <c r="H2948" s="2" t="s">
        <v>984</v>
      </c>
      <c r="I2948" s="2"/>
      <c r="J2948" s="2" t="s">
        <v>37</v>
      </c>
    </row>
    <row r="2949" spans="1:10" ht="21" customHeight="1">
      <c r="A2949" s="2" t="s">
        <v>3943</v>
      </c>
      <c r="B2949" s="2" t="s">
        <v>37</v>
      </c>
      <c r="C2949" s="4">
        <v>45685.25</v>
      </c>
      <c r="D2949" s="4">
        <v>45685.25048959491</v>
      </c>
      <c r="E2949" s="2">
        <v>3.93</v>
      </c>
      <c r="F2949" s="2">
        <v>72.099999999999994</v>
      </c>
      <c r="G2949" s="2" t="s">
        <v>983</v>
      </c>
      <c r="H2949" s="2" t="s">
        <v>984</v>
      </c>
      <c r="I2949" s="2"/>
      <c r="J2949" s="2" t="s">
        <v>37</v>
      </c>
    </row>
    <row r="2950" spans="1:10" ht="21" customHeight="1">
      <c r="A2950" s="2" t="s">
        <v>3944</v>
      </c>
      <c r="B2950" s="2" t="s">
        <v>37</v>
      </c>
      <c r="C2950" s="4">
        <v>45686.25</v>
      </c>
      <c r="D2950" s="4">
        <v>45686.250012893521</v>
      </c>
      <c r="E2950" s="2">
        <v>3.8</v>
      </c>
      <c r="F2950" s="2">
        <v>76.099999999999994</v>
      </c>
      <c r="G2950" s="2" t="s">
        <v>983</v>
      </c>
      <c r="H2950" s="2" t="s">
        <v>984</v>
      </c>
      <c r="I2950" s="2"/>
      <c r="J2950" s="2" t="s">
        <v>37</v>
      </c>
    </row>
    <row r="2951" spans="1:10" ht="21" customHeight="1">
      <c r="A2951" s="2" t="s">
        <v>3945</v>
      </c>
      <c r="B2951" s="2" t="s">
        <v>37</v>
      </c>
      <c r="C2951" s="4">
        <v>45687.25</v>
      </c>
      <c r="D2951" s="4">
        <v>45687.250222314819</v>
      </c>
      <c r="E2951" s="2">
        <v>3.87</v>
      </c>
      <c r="F2951" s="2">
        <v>79.7</v>
      </c>
      <c r="G2951" s="2" t="s">
        <v>983</v>
      </c>
      <c r="H2951" s="2" t="s">
        <v>984</v>
      </c>
      <c r="I2951" s="2"/>
      <c r="J2951" s="2" t="s">
        <v>37</v>
      </c>
    </row>
    <row r="2952" spans="1:10" ht="21" customHeight="1">
      <c r="A2952" s="2" t="s">
        <v>3946</v>
      </c>
      <c r="B2952" s="2" t="s">
        <v>37</v>
      </c>
      <c r="C2952" s="4">
        <v>45688.25</v>
      </c>
      <c r="D2952" s="4">
        <v>45688.250282685185</v>
      </c>
      <c r="E2952" s="2">
        <v>3.96</v>
      </c>
      <c r="F2952" s="2">
        <v>74</v>
      </c>
      <c r="G2952" s="2" t="s">
        <v>983</v>
      </c>
      <c r="H2952" s="2" t="s">
        <v>984</v>
      </c>
      <c r="I2952" s="2"/>
      <c r="J2952" s="2" t="s">
        <v>37</v>
      </c>
    </row>
    <row r="2953" spans="1:10" ht="21" customHeight="1">
      <c r="A2953" s="2" t="s">
        <v>3947</v>
      </c>
      <c r="B2953" s="2" t="s">
        <v>37</v>
      </c>
      <c r="C2953" s="4">
        <v>45689.25</v>
      </c>
      <c r="D2953" s="4">
        <v>45689.250453518514</v>
      </c>
      <c r="E2953" s="2">
        <v>2.89</v>
      </c>
      <c r="F2953" s="2">
        <v>73.7</v>
      </c>
      <c r="G2953" s="2" t="s">
        <v>983</v>
      </c>
      <c r="H2953" s="2" t="s">
        <v>984</v>
      </c>
      <c r="I2953" s="2"/>
      <c r="J2953" s="2" t="s">
        <v>37</v>
      </c>
    </row>
    <row r="2954" spans="1:10" ht="21" customHeight="1">
      <c r="A2954" s="2" t="s">
        <v>3948</v>
      </c>
      <c r="B2954" s="2" t="s">
        <v>3949</v>
      </c>
      <c r="C2954" s="4">
        <v>45690.25</v>
      </c>
      <c r="D2954" s="4">
        <v>45690.250374097217</v>
      </c>
      <c r="E2954" s="2">
        <v>3.94</v>
      </c>
      <c r="F2954" s="2">
        <v>75.099999999999994</v>
      </c>
      <c r="G2954" s="2" t="s">
        <v>983</v>
      </c>
      <c r="H2954" s="2" t="s">
        <v>984</v>
      </c>
      <c r="I2954" s="2"/>
      <c r="J2954" s="2" t="s">
        <v>37</v>
      </c>
    </row>
    <row r="2955" spans="1:10" ht="21" customHeight="1">
      <c r="A2955" s="2" t="s">
        <v>3950</v>
      </c>
      <c r="B2955" s="2" t="s">
        <v>37</v>
      </c>
      <c r="C2955" s="4">
        <v>45691.25</v>
      </c>
      <c r="D2955" s="4">
        <v>45691.250484479169</v>
      </c>
      <c r="E2955" s="2">
        <v>3.09</v>
      </c>
      <c r="F2955" s="2">
        <v>74.8</v>
      </c>
      <c r="G2955" s="2" t="s">
        <v>983</v>
      </c>
      <c r="H2955" s="2" t="s">
        <v>984</v>
      </c>
      <c r="I2955" s="2"/>
      <c r="J2955" s="2" t="s">
        <v>37</v>
      </c>
    </row>
    <row r="2956" spans="1:10" ht="21" customHeight="1">
      <c r="A2956" s="2" t="s">
        <v>3951</v>
      </c>
      <c r="B2956" s="2" t="s">
        <v>37</v>
      </c>
      <c r="C2956" s="4">
        <v>45692.25</v>
      </c>
      <c r="D2956" s="4">
        <v>45692.250206956014</v>
      </c>
      <c r="E2956" s="2">
        <v>3.37</v>
      </c>
      <c r="F2956" s="2">
        <v>72.7</v>
      </c>
      <c r="G2956" s="2" t="s">
        <v>983</v>
      </c>
      <c r="H2956" s="2" t="s">
        <v>984</v>
      </c>
      <c r="I2956" s="2" t="s">
        <v>985</v>
      </c>
      <c r="J2956" s="2" t="s">
        <v>37</v>
      </c>
    </row>
    <row r="2957" spans="1:10" ht="21" customHeight="1">
      <c r="A2957" s="2" t="s">
        <v>3952</v>
      </c>
      <c r="B2957" s="2" t="s">
        <v>37</v>
      </c>
      <c r="C2957" s="4">
        <v>45693.25</v>
      </c>
      <c r="D2957" s="4">
        <v>45693.250038009261</v>
      </c>
      <c r="E2957" s="2">
        <v>2.91</v>
      </c>
      <c r="F2957" s="2">
        <v>73.8</v>
      </c>
      <c r="G2957" s="2" t="s">
        <v>983</v>
      </c>
      <c r="H2957" s="2" t="s">
        <v>984</v>
      </c>
      <c r="I2957" s="2"/>
      <c r="J2957" s="2" t="s">
        <v>37</v>
      </c>
    </row>
    <row r="2958" spans="1:10" ht="21" customHeight="1">
      <c r="A2958" s="2" t="s">
        <v>3953</v>
      </c>
      <c r="B2958" s="2" t="s">
        <v>37</v>
      </c>
      <c r="C2958" s="4">
        <v>45694.25</v>
      </c>
      <c r="D2958" s="4">
        <v>45694.25014527778</v>
      </c>
      <c r="E2958" s="2">
        <v>3.94</v>
      </c>
      <c r="F2958" s="2">
        <v>78.599999999999994</v>
      </c>
      <c r="G2958" s="2" t="s">
        <v>983</v>
      </c>
      <c r="H2958" s="2" t="s">
        <v>984</v>
      </c>
      <c r="I2958" s="2"/>
      <c r="J2958" s="2" t="s">
        <v>37</v>
      </c>
    </row>
    <row r="2959" spans="1:10" ht="21" customHeight="1">
      <c r="A2959" s="2" t="s">
        <v>3954</v>
      </c>
      <c r="B2959" s="2" t="s">
        <v>37</v>
      </c>
      <c r="C2959" s="4">
        <v>45695.25</v>
      </c>
      <c r="D2959" s="4">
        <v>45695.250079849538</v>
      </c>
      <c r="E2959" s="2">
        <v>3.55</v>
      </c>
      <c r="F2959" s="2">
        <v>76.3</v>
      </c>
      <c r="G2959" s="2" t="s">
        <v>983</v>
      </c>
      <c r="H2959" s="2" t="s">
        <v>984</v>
      </c>
      <c r="I2959" s="2"/>
      <c r="J2959" s="2" t="s">
        <v>37</v>
      </c>
    </row>
    <row r="2960" spans="1:10" ht="21" customHeight="1">
      <c r="A2960" s="2" t="s">
        <v>3955</v>
      </c>
      <c r="B2960" s="2" t="s">
        <v>37</v>
      </c>
      <c r="C2960" s="4">
        <v>45696.25</v>
      </c>
      <c r="D2960" s="4">
        <v>45696.250187118058</v>
      </c>
      <c r="E2960" s="2">
        <v>3.84</v>
      </c>
      <c r="F2960" s="2">
        <v>73.3</v>
      </c>
      <c r="G2960" s="2" t="s">
        <v>983</v>
      </c>
      <c r="H2960" s="2" t="s">
        <v>984</v>
      </c>
      <c r="I2960" s="2"/>
      <c r="J2960" s="2" t="s">
        <v>37</v>
      </c>
    </row>
    <row r="2961" spans="1:10" ht="21" customHeight="1">
      <c r="A2961" s="2" t="s">
        <v>3956</v>
      </c>
      <c r="B2961" s="2" t="s">
        <v>37</v>
      </c>
      <c r="C2961" s="4">
        <v>45697.25</v>
      </c>
      <c r="D2961" s="4">
        <v>45697.250652060189</v>
      </c>
      <c r="E2961" s="2">
        <v>3.93</v>
      </c>
      <c r="F2961" s="2">
        <v>76.099999999999994</v>
      </c>
      <c r="G2961" s="2" t="s">
        <v>983</v>
      </c>
      <c r="H2961" s="2" t="s">
        <v>984</v>
      </c>
      <c r="I2961" s="2"/>
      <c r="J2961" s="2" t="s">
        <v>37</v>
      </c>
    </row>
    <row r="2962" spans="1:10" ht="21" customHeight="1">
      <c r="A2962" s="2" t="s">
        <v>3957</v>
      </c>
      <c r="B2962" s="2" t="s">
        <v>37</v>
      </c>
      <c r="C2962" s="4">
        <v>45698.25</v>
      </c>
      <c r="D2962" s="4">
        <v>45698.250020856482</v>
      </c>
      <c r="E2962" s="2">
        <v>2.88</v>
      </c>
      <c r="F2962" s="2">
        <v>75.7</v>
      </c>
      <c r="G2962" s="2" t="s">
        <v>983</v>
      </c>
      <c r="H2962" s="2" t="s">
        <v>984</v>
      </c>
      <c r="I2962" s="2"/>
      <c r="J2962" s="2" t="s">
        <v>37</v>
      </c>
    </row>
    <row r="2963" spans="1:10" ht="21" customHeight="1">
      <c r="A2963" s="2" t="s">
        <v>3958</v>
      </c>
      <c r="B2963" s="2" t="s">
        <v>37</v>
      </c>
      <c r="C2963" s="4">
        <v>45699.25</v>
      </c>
      <c r="D2963" s="4">
        <v>45699.25066258102</v>
      </c>
      <c r="E2963" s="2">
        <v>3.5</v>
      </c>
      <c r="F2963" s="2">
        <v>76.7</v>
      </c>
      <c r="G2963" s="2" t="s">
        <v>983</v>
      </c>
      <c r="H2963" s="2" t="s">
        <v>984</v>
      </c>
      <c r="I2963" s="2"/>
      <c r="J2963" s="2" t="s">
        <v>37</v>
      </c>
    </row>
    <row r="2964" spans="1:10" ht="21" customHeight="1">
      <c r="A2964" s="2" t="s">
        <v>3959</v>
      </c>
      <c r="B2964" s="2" t="s">
        <v>37</v>
      </c>
      <c r="C2964" s="4">
        <v>45700.25</v>
      </c>
      <c r="D2964" s="4">
        <v>45700.250216562505</v>
      </c>
      <c r="E2964" s="2">
        <v>3.05</v>
      </c>
      <c r="F2964" s="2">
        <v>76.599999999999994</v>
      </c>
      <c r="G2964" s="2" t="s">
        <v>983</v>
      </c>
      <c r="H2964" s="2" t="s">
        <v>984</v>
      </c>
      <c r="I2964" s="2"/>
      <c r="J2964" s="2" t="s">
        <v>37</v>
      </c>
    </row>
    <row r="2965" spans="1:10" ht="21" customHeight="1">
      <c r="A2965" s="2" t="s">
        <v>3960</v>
      </c>
      <c r="B2965" s="2" t="s">
        <v>37</v>
      </c>
      <c r="C2965" s="4">
        <v>45701.25</v>
      </c>
      <c r="D2965" s="4">
        <v>45701.250482546297</v>
      </c>
      <c r="E2965" s="2">
        <v>3.77</v>
      </c>
      <c r="F2965" s="2">
        <v>79.7</v>
      </c>
      <c r="G2965" s="2" t="s">
        <v>983</v>
      </c>
      <c r="H2965" s="2" t="s">
        <v>984</v>
      </c>
      <c r="I2965" s="2"/>
      <c r="J2965" s="2" t="s">
        <v>37</v>
      </c>
    </row>
    <row r="2966" spans="1:10" ht="21" customHeight="1">
      <c r="A2966" s="2" t="s">
        <v>3961</v>
      </c>
      <c r="B2966" s="2" t="s">
        <v>37</v>
      </c>
      <c r="C2966" s="4">
        <v>45702.25</v>
      </c>
      <c r="D2966" s="4">
        <v>45702.250584537032</v>
      </c>
      <c r="E2966" s="2">
        <v>3.24</v>
      </c>
      <c r="F2966" s="2">
        <v>77.5</v>
      </c>
      <c r="G2966" s="2" t="s">
        <v>983</v>
      </c>
      <c r="H2966" s="2" t="s">
        <v>984</v>
      </c>
      <c r="I2966" s="2"/>
      <c r="J2966" s="2" t="s">
        <v>37</v>
      </c>
    </row>
    <row r="2967" spans="1:10" ht="21" customHeight="1">
      <c r="A2967" s="2" t="s">
        <v>3962</v>
      </c>
      <c r="B2967" s="2" t="s">
        <v>37</v>
      </c>
      <c r="C2967" s="4">
        <v>45703.25</v>
      </c>
      <c r="D2967" s="4">
        <v>45703.250317893515</v>
      </c>
      <c r="E2967" s="2">
        <v>3.86</v>
      </c>
      <c r="F2967" s="2">
        <v>78</v>
      </c>
      <c r="G2967" s="2" t="s">
        <v>983</v>
      </c>
      <c r="H2967" s="2" t="s">
        <v>984</v>
      </c>
      <c r="I2967" s="2"/>
      <c r="J2967" s="2" t="s">
        <v>37</v>
      </c>
    </row>
    <row r="2968" spans="1:10" ht="21" customHeight="1">
      <c r="A2968" s="2" t="s">
        <v>3963</v>
      </c>
      <c r="B2968" s="2" t="s">
        <v>37</v>
      </c>
      <c r="C2968" s="4">
        <v>45704.25</v>
      </c>
      <c r="D2968" s="4">
        <v>45704.250089062502</v>
      </c>
      <c r="E2968" s="2">
        <v>2.95</v>
      </c>
      <c r="F2968" s="2">
        <v>75.099999999999994</v>
      </c>
      <c r="G2968" s="2" t="s">
        <v>983</v>
      </c>
      <c r="H2968" s="2" t="s">
        <v>984</v>
      </c>
      <c r="I2968" s="2"/>
      <c r="J2968" s="2" t="s">
        <v>37</v>
      </c>
    </row>
    <row r="2969" spans="1:10" ht="21" customHeight="1">
      <c r="A2969" s="2" t="s">
        <v>3964</v>
      </c>
      <c r="B2969" s="2" t="s">
        <v>37</v>
      </c>
      <c r="C2969" s="4">
        <v>45705.25</v>
      </c>
      <c r="D2969" s="4">
        <v>45705.250513969906</v>
      </c>
      <c r="E2969" s="2">
        <v>3.05</v>
      </c>
      <c r="F2969" s="2">
        <v>72.8</v>
      </c>
      <c r="G2969" s="2" t="s">
        <v>983</v>
      </c>
      <c r="H2969" s="2" t="s">
        <v>984</v>
      </c>
      <c r="I2969" s="2"/>
      <c r="J2969" s="2" t="s">
        <v>37</v>
      </c>
    </row>
    <row r="2970" spans="1:10" ht="21" customHeight="1">
      <c r="A2970" s="2" t="s">
        <v>3965</v>
      </c>
      <c r="B2970" s="2" t="s">
        <v>37</v>
      </c>
      <c r="C2970" s="4">
        <v>45706.25</v>
      </c>
      <c r="D2970" s="4">
        <v>45706.250432256944</v>
      </c>
      <c r="E2970" s="2">
        <v>3.6</v>
      </c>
      <c r="F2970" s="2">
        <v>77.400000000000006</v>
      </c>
      <c r="G2970" s="2" t="s">
        <v>983</v>
      </c>
      <c r="H2970" s="2" t="s">
        <v>984</v>
      </c>
      <c r="I2970" s="2"/>
      <c r="J2970" s="2" t="s">
        <v>37</v>
      </c>
    </row>
    <row r="2971" spans="1:10" ht="21" customHeight="1">
      <c r="A2971" s="2" t="s">
        <v>3966</v>
      </c>
      <c r="B2971" s="2" t="s">
        <v>37</v>
      </c>
      <c r="C2971" s="4">
        <v>45707.25</v>
      </c>
      <c r="D2971" s="4">
        <v>45707.250689004628</v>
      </c>
      <c r="E2971" s="2">
        <v>3.89</v>
      </c>
      <c r="F2971" s="2">
        <v>75.5</v>
      </c>
      <c r="G2971" s="2" t="s">
        <v>983</v>
      </c>
      <c r="H2971" s="2" t="s">
        <v>984</v>
      </c>
      <c r="I2971" s="2"/>
      <c r="J2971" s="2" t="s">
        <v>37</v>
      </c>
    </row>
    <row r="2972" spans="1:10" ht="21" customHeight="1">
      <c r="A2972" s="2" t="s">
        <v>3967</v>
      </c>
      <c r="B2972" s="2" t="s">
        <v>37</v>
      </c>
      <c r="C2972" s="4">
        <v>45708.25</v>
      </c>
      <c r="D2972" s="4">
        <v>45708.250483078707</v>
      </c>
      <c r="E2972" s="2">
        <v>3.52</v>
      </c>
      <c r="F2972" s="2">
        <v>75.599999999999994</v>
      </c>
      <c r="G2972" s="2" t="s">
        <v>983</v>
      </c>
      <c r="H2972" s="2" t="s">
        <v>984</v>
      </c>
      <c r="I2972" s="2"/>
      <c r="J2972" s="2" t="s">
        <v>37</v>
      </c>
    </row>
    <row r="2973" spans="1:10" ht="21" customHeight="1">
      <c r="A2973" s="2" t="s">
        <v>3968</v>
      </c>
      <c r="B2973" s="2" t="s">
        <v>37</v>
      </c>
      <c r="C2973" s="4">
        <v>45709.25</v>
      </c>
      <c r="D2973" s="4">
        <v>45709.250243506947</v>
      </c>
      <c r="E2973" s="2">
        <v>3.44</v>
      </c>
      <c r="F2973" s="2">
        <v>78.2</v>
      </c>
      <c r="G2973" s="2" t="s">
        <v>983</v>
      </c>
      <c r="H2973" s="2" t="s">
        <v>984</v>
      </c>
      <c r="I2973" s="2" t="s">
        <v>985</v>
      </c>
      <c r="J2973" s="2" t="s">
        <v>37</v>
      </c>
    </row>
    <row r="2974" spans="1:10" ht="21" customHeight="1">
      <c r="A2974" s="2" t="s">
        <v>3969</v>
      </c>
      <c r="B2974" s="2" t="s">
        <v>37</v>
      </c>
      <c r="C2974" s="4">
        <v>45710.25</v>
      </c>
      <c r="D2974" s="4">
        <v>45710.250535104162</v>
      </c>
      <c r="E2974" s="2">
        <v>3.65</v>
      </c>
      <c r="F2974" s="2">
        <v>78.7</v>
      </c>
      <c r="G2974" s="2" t="s">
        <v>983</v>
      </c>
      <c r="H2974" s="2" t="s">
        <v>984</v>
      </c>
      <c r="I2974" s="2"/>
      <c r="J2974" s="2" t="s">
        <v>37</v>
      </c>
    </row>
    <row r="2975" spans="1:10" ht="21" customHeight="1">
      <c r="A2975" s="2" t="s">
        <v>3970</v>
      </c>
      <c r="B2975" s="2" t="s">
        <v>37</v>
      </c>
      <c r="C2975" s="4">
        <v>45711.25</v>
      </c>
      <c r="D2975" s="4">
        <v>45711.250657974539</v>
      </c>
      <c r="E2975" s="2">
        <v>3.59</v>
      </c>
      <c r="F2975" s="2">
        <v>77.2</v>
      </c>
      <c r="G2975" s="2" t="s">
        <v>983</v>
      </c>
      <c r="H2975" s="2" t="s">
        <v>984</v>
      </c>
      <c r="I2975" s="2"/>
      <c r="J2975" s="2" t="s">
        <v>37</v>
      </c>
    </row>
    <row r="2976" spans="1:10" ht="21" customHeight="1">
      <c r="A2976" s="2" t="s">
        <v>3971</v>
      </c>
      <c r="B2976" s="2" t="s">
        <v>37</v>
      </c>
      <c r="C2976" s="4">
        <v>45712.25</v>
      </c>
      <c r="D2976" s="4">
        <v>45712.25009163194</v>
      </c>
      <c r="E2976" s="2">
        <v>3.55</v>
      </c>
      <c r="F2976" s="2">
        <v>77.8</v>
      </c>
      <c r="G2976" s="2" t="s">
        <v>983</v>
      </c>
      <c r="H2976" s="2" t="s">
        <v>984</v>
      </c>
      <c r="I2976" s="2"/>
      <c r="J2976" s="2" t="s">
        <v>37</v>
      </c>
    </row>
    <row r="2977" spans="1:10" ht="21" customHeight="1">
      <c r="A2977" s="2" t="s">
        <v>3972</v>
      </c>
      <c r="B2977" s="2" t="s">
        <v>37</v>
      </c>
      <c r="C2977" s="4">
        <v>45713.25</v>
      </c>
      <c r="D2977" s="4">
        <v>45713.250636875004</v>
      </c>
      <c r="E2977" s="2">
        <v>3.12</v>
      </c>
      <c r="F2977" s="2">
        <v>79</v>
      </c>
      <c r="G2977" s="2" t="s">
        <v>983</v>
      </c>
      <c r="H2977" s="2" t="s">
        <v>984</v>
      </c>
      <c r="I2977" s="2"/>
      <c r="J2977" s="2" t="s">
        <v>37</v>
      </c>
    </row>
    <row r="2978" spans="1:10" ht="21" customHeight="1">
      <c r="A2978" s="2" t="s">
        <v>3973</v>
      </c>
      <c r="B2978" s="2" t="s">
        <v>37</v>
      </c>
      <c r="C2978" s="4">
        <v>45714.25</v>
      </c>
      <c r="D2978" s="4">
        <v>45714.2500525</v>
      </c>
      <c r="E2978" s="2">
        <v>3.24</v>
      </c>
      <c r="F2978" s="2">
        <v>76.400000000000006</v>
      </c>
      <c r="G2978" s="2" t="s">
        <v>983</v>
      </c>
      <c r="H2978" s="2" t="s">
        <v>984</v>
      </c>
      <c r="I2978" s="2"/>
      <c r="J2978" s="2" t="s">
        <v>37</v>
      </c>
    </row>
    <row r="2979" spans="1:10" ht="21" customHeight="1">
      <c r="A2979" s="2" t="s">
        <v>3974</v>
      </c>
      <c r="B2979" s="2" t="s">
        <v>37</v>
      </c>
      <c r="C2979" s="4">
        <v>45715.25</v>
      </c>
      <c r="D2979" s="4">
        <v>45715.250462916665</v>
      </c>
      <c r="E2979" s="2">
        <v>3.94</v>
      </c>
      <c r="F2979" s="2">
        <v>75.400000000000006</v>
      </c>
      <c r="G2979" s="2" t="s">
        <v>983</v>
      </c>
      <c r="H2979" s="2" t="s">
        <v>984</v>
      </c>
      <c r="I2979" s="2"/>
      <c r="J2979" s="2" t="s">
        <v>37</v>
      </c>
    </row>
    <row r="2980" spans="1:10" ht="21" customHeight="1">
      <c r="A2980" s="2" t="s">
        <v>3975</v>
      </c>
      <c r="B2980" s="2" t="s">
        <v>37</v>
      </c>
      <c r="C2980" s="4">
        <v>45716.25</v>
      </c>
      <c r="D2980" s="4">
        <v>45716.250136666669</v>
      </c>
      <c r="E2980" s="2">
        <v>3.52</v>
      </c>
      <c r="F2980" s="2">
        <v>75</v>
      </c>
      <c r="G2980" s="2" t="s">
        <v>983</v>
      </c>
      <c r="H2980" s="2" t="s">
        <v>984</v>
      </c>
      <c r="I2980" s="2"/>
      <c r="J2980" s="2" t="s">
        <v>37</v>
      </c>
    </row>
    <row r="2981" spans="1:10" ht="21" customHeight="1">
      <c r="A2981" s="2" t="s">
        <v>3976</v>
      </c>
      <c r="B2981" s="2" t="s">
        <v>37</v>
      </c>
      <c r="C2981" s="4">
        <v>45717.25</v>
      </c>
      <c r="D2981" s="4">
        <v>45717.250099687502</v>
      </c>
      <c r="E2981" s="2">
        <v>3.2</v>
      </c>
      <c r="F2981" s="2">
        <v>79.8</v>
      </c>
      <c r="G2981" s="2" t="s">
        <v>983</v>
      </c>
      <c r="H2981" s="2" t="s">
        <v>984</v>
      </c>
      <c r="I2981" s="2"/>
      <c r="J2981" s="2" t="s">
        <v>37</v>
      </c>
    </row>
    <row r="2982" spans="1:10" ht="21" customHeight="1">
      <c r="A2982" s="2" t="s">
        <v>3977</v>
      </c>
      <c r="B2982" s="2" t="s">
        <v>37</v>
      </c>
      <c r="C2982" s="4">
        <v>45718.25</v>
      </c>
      <c r="D2982" s="4">
        <v>45718.250229861107</v>
      </c>
      <c r="E2982" s="2">
        <v>3.1</v>
      </c>
      <c r="F2982" s="2">
        <v>76.5</v>
      </c>
      <c r="G2982" s="2" t="s">
        <v>983</v>
      </c>
      <c r="H2982" s="2" t="s">
        <v>984</v>
      </c>
      <c r="I2982" s="2"/>
      <c r="J2982" s="2" t="s">
        <v>37</v>
      </c>
    </row>
    <row r="2983" spans="1:10" ht="21" customHeight="1">
      <c r="A2983" s="2" t="s">
        <v>3978</v>
      </c>
      <c r="B2983" s="2" t="s">
        <v>37</v>
      </c>
      <c r="C2983" s="4">
        <v>45719.25</v>
      </c>
      <c r="D2983" s="4">
        <v>45719.250029733797</v>
      </c>
      <c r="E2983" s="2">
        <v>3.05</v>
      </c>
      <c r="F2983" s="2">
        <v>75</v>
      </c>
      <c r="G2983" s="2" t="s">
        <v>983</v>
      </c>
      <c r="H2983" s="2" t="s">
        <v>984</v>
      </c>
      <c r="I2983" s="2"/>
      <c r="J2983" s="2" t="s">
        <v>37</v>
      </c>
    </row>
    <row r="2984" spans="1:10" ht="21" customHeight="1">
      <c r="A2984" s="2" t="s">
        <v>3979</v>
      </c>
      <c r="B2984" s="2" t="s">
        <v>37</v>
      </c>
      <c r="C2984" s="4">
        <v>45720.25</v>
      </c>
      <c r="D2984" s="4">
        <v>45720.250002986111</v>
      </c>
      <c r="E2984" s="2">
        <v>3.71</v>
      </c>
      <c r="F2984" s="2">
        <v>79.099999999999994</v>
      </c>
      <c r="G2984" s="2" t="s">
        <v>983</v>
      </c>
      <c r="H2984" s="2" t="s">
        <v>984</v>
      </c>
      <c r="I2984" s="2"/>
      <c r="J2984" s="2" t="s">
        <v>37</v>
      </c>
    </row>
    <row r="2985" spans="1:10" ht="21" customHeight="1">
      <c r="A2985" s="2" t="s">
        <v>3980</v>
      </c>
      <c r="B2985" s="2" t="s">
        <v>37</v>
      </c>
      <c r="C2985" s="4">
        <v>45721.25</v>
      </c>
      <c r="D2985" s="4">
        <v>45721.250662766208</v>
      </c>
      <c r="E2985" s="2">
        <v>3.02</v>
      </c>
      <c r="F2985" s="2">
        <v>72.7</v>
      </c>
      <c r="G2985" s="2" t="s">
        <v>983</v>
      </c>
      <c r="H2985" s="2" t="s">
        <v>984</v>
      </c>
      <c r="I2985" s="2"/>
      <c r="J2985" s="2" t="s">
        <v>37</v>
      </c>
    </row>
    <row r="2986" spans="1:10" ht="21" customHeight="1">
      <c r="A2986" s="2" t="s">
        <v>3981</v>
      </c>
      <c r="B2986" s="2" t="s">
        <v>37</v>
      </c>
      <c r="C2986" s="4">
        <v>45722.25</v>
      </c>
      <c r="D2986" s="4">
        <v>45722.25054951389</v>
      </c>
      <c r="E2986" s="2">
        <v>3.83</v>
      </c>
      <c r="F2986" s="2">
        <v>76.7</v>
      </c>
      <c r="G2986" s="2" t="s">
        <v>983</v>
      </c>
      <c r="H2986" s="2" t="s">
        <v>984</v>
      </c>
      <c r="I2986" s="2"/>
      <c r="J2986" s="2" t="s">
        <v>37</v>
      </c>
    </row>
    <row r="2987" spans="1:10" ht="21" customHeight="1">
      <c r="A2987" s="2" t="s">
        <v>3982</v>
      </c>
      <c r="B2987" s="2" t="s">
        <v>37</v>
      </c>
      <c r="C2987" s="4">
        <v>45723.25</v>
      </c>
      <c r="D2987" s="4">
        <v>45723.25013375</v>
      </c>
      <c r="E2987" s="2">
        <v>7.04</v>
      </c>
      <c r="F2987" s="2">
        <v>85.9</v>
      </c>
      <c r="G2987" s="2" t="s">
        <v>983</v>
      </c>
      <c r="H2987" s="2" t="s">
        <v>984</v>
      </c>
      <c r="I2987" s="2"/>
      <c r="J2987" s="2" t="s">
        <v>37</v>
      </c>
    </row>
    <row r="2988" spans="1:10" ht="21" customHeight="1">
      <c r="A2988" s="2" t="s">
        <v>3983</v>
      </c>
      <c r="B2988" s="2" t="s">
        <v>37</v>
      </c>
      <c r="C2988" s="4">
        <v>45724.25</v>
      </c>
      <c r="D2988" s="4">
        <v>45724.250373240742</v>
      </c>
      <c r="E2988" s="2">
        <v>6.69</v>
      </c>
      <c r="F2988" s="2">
        <v>86.8</v>
      </c>
      <c r="G2988" s="2" t="s">
        <v>983</v>
      </c>
      <c r="H2988" s="2" t="s">
        <v>984</v>
      </c>
      <c r="I2988" s="2" t="s">
        <v>1053</v>
      </c>
      <c r="J2988" s="2" t="s">
        <v>37</v>
      </c>
    </row>
    <row r="2989" spans="1:10" ht="21" customHeight="1">
      <c r="A2989" s="2" t="s">
        <v>3984</v>
      </c>
      <c r="B2989" s="2" t="s">
        <v>37</v>
      </c>
      <c r="C2989" s="4">
        <v>45725.25</v>
      </c>
      <c r="D2989" s="4">
        <v>45725.2500215162</v>
      </c>
      <c r="E2989" s="2">
        <v>4.78</v>
      </c>
      <c r="F2989" s="2">
        <v>78.900000000000006</v>
      </c>
      <c r="G2989" s="2" t="s">
        <v>983</v>
      </c>
      <c r="H2989" s="2" t="s">
        <v>984</v>
      </c>
      <c r="I2989" s="2"/>
      <c r="J2989" s="2" t="s">
        <v>37</v>
      </c>
    </row>
    <row r="2990" spans="1:10" ht="21" customHeight="1">
      <c r="A2990" s="2" t="s">
        <v>3985</v>
      </c>
      <c r="B2990" s="2" t="s">
        <v>37</v>
      </c>
      <c r="C2990" s="4">
        <v>45726.25</v>
      </c>
      <c r="D2990" s="4">
        <v>45726.250386064814</v>
      </c>
      <c r="E2990" s="2">
        <v>3.69</v>
      </c>
      <c r="F2990" s="2">
        <v>75.3</v>
      </c>
      <c r="G2990" s="2" t="s">
        <v>983</v>
      </c>
      <c r="H2990" s="2" t="s">
        <v>984</v>
      </c>
      <c r="I2990" s="2" t="s">
        <v>985</v>
      </c>
      <c r="J2990" s="2" t="s">
        <v>37</v>
      </c>
    </row>
    <row r="2991" spans="1:10" ht="21" customHeight="1">
      <c r="A2991" s="2" t="s">
        <v>3986</v>
      </c>
      <c r="B2991" s="2" t="s">
        <v>37</v>
      </c>
      <c r="C2991" s="4">
        <v>45727.25</v>
      </c>
      <c r="D2991" s="4">
        <v>45727.250415115741</v>
      </c>
      <c r="E2991" s="2">
        <v>3.8</v>
      </c>
      <c r="F2991" s="2">
        <v>75.7</v>
      </c>
      <c r="G2991" s="2" t="s">
        <v>983</v>
      </c>
      <c r="H2991" s="2" t="s">
        <v>984</v>
      </c>
      <c r="I2991" s="2"/>
      <c r="J2991" s="2" t="s">
        <v>37</v>
      </c>
    </row>
    <row r="2992" spans="1:10" ht="21" customHeight="1">
      <c r="A2992" s="2" t="s">
        <v>3987</v>
      </c>
      <c r="B2992" s="2" t="s">
        <v>37</v>
      </c>
      <c r="C2992" s="4">
        <v>45728.25</v>
      </c>
      <c r="D2992" s="4">
        <v>45728.250118159718</v>
      </c>
      <c r="E2992" s="2">
        <v>3.52</v>
      </c>
      <c r="F2992" s="2">
        <v>76.8</v>
      </c>
      <c r="G2992" s="2" t="s">
        <v>983</v>
      </c>
      <c r="H2992" s="2" t="s">
        <v>984</v>
      </c>
      <c r="I2992" s="2"/>
      <c r="J2992" s="2" t="s">
        <v>37</v>
      </c>
    </row>
    <row r="2993" spans="1:10" ht="21" customHeight="1">
      <c r="A2993" s="2" t="s">
        <v>3988</v>
      </c>
      <c r="B2993" s="2" t="s">
        <v>37</v>
      </c>
      <c r="C2993" s="4">
        <v>45729.25</v>
      </c>
      <c r="D2993" s="4">
        <v>45729.250429942127</v>
      </c>
      <c r="E2993" s="2">
        <v>3.13</v>
      </c>
      <c r="F2993" s="2">
        <v>75.599999999999994</v>
      </c>
      <c r="G2993" s="2" t="s">
        <v>983</v>
      </c>
      <c r="H2993" s="2" t="s">
        <v>984</v>
      </c>
      <c r="I2993" s="2"/>
      <c r="J2993" s="2" t="s">
        <v>37</v>
      </c>
    </row>
    <row r="2994" spans="1:10" ht="21" customHeight="1">
      <c r="A2994" s="2" t="s">
        <v>3989</v>
      </c>
      <c r="B2994" s="2" t="s">
        <v>37</v>
      </c>
      <c r="C2994" s="4">
        <v>45730.25</v>
      </c>
      <c r="D2994" s="4">
        <v>45730.250534467588</v>
      </c>
      <c r="E2994" s="2">
        <v>3.83</v>
      </c>
      <c r="F2994" s="2">
        <v>73.400000000000006</v>
      </c>
      <c r="G2994" s="2" t="s">
        <v>983</v>
      </c>
      <c r="H2994" s="2" t="s">
        <v>984</v>
      </c>
      <c r="I2994" s="2"/>
      <c r="J2994" s="2" t="s">
        <v>37</v>
      </c>
    </row>
    <row r="2995" spans="1:10" ht="21" customHeight="1">
      <c r="A2995" s="2" t="s">
        <v>3990</v>
      </c>
      <c r="B2995" s="2" t="s">
        <v>3949</v>
      </c>
      <c r="C2995" s="4">
        <v>45731.25</v>
      </c>
      <c r="D2995" s="4">
        <v>45731.250089016205</v>
      </c>
      <c r="E2995" s="2">
        <v>3.2</v>
      </c>
      <c r="F2995" s="2">
        <v>73.2</v>
      </c>
      <c r="G2995" s="2" t="s">
        <v>983</v>
      </c>
      <c r="H2995" s="2" t="s">
        <v>984</v>
      </c>
      <c r="I2995" s="2"/>
      <c r="J2995" s="2" t="s">
        <v>37</v>
      </c>
    </row>
    <row r="2996" spans="1:10" ht="21" customHeight="1">
      <c r="A2996" s="2" t="s">
        <v>3991</v>
      </c>
      <c r="B2996" s="2" t="s">
        <v>37</v>
      </c>
      <c r="C2996" s="4">
        <v>45732.25</v>
      </c>
      <c r="D2996" s="4">
        <v>45732.250375289354</v>
      </c>
      <c r="E2996" s="2">
        <v>3.06</v>
      </c>
      <c r="F2996" s="2">
        <v>72.599999999999994</v>
      </c>
      <c r="G2996" s="2" t="s">
        <v>983</v>
      </c>
      <c r="H2996" s="2" t="s">
        <v>984</v>
      </c>
      <c r="I2996" s="2"/>
      <c r="J2996" s="2" t="s">
        <v>37</v>
      </c>
    </row>
    <row r="2997" spans="1:10" ht="21" customHeight="1">
      <c r="A2997" s="2" t="s">
        <v>3992</v>
      </c>
      <c r="B2997" s="2" t="s">
        <v>37</v>
      </c>
      <c r="C2997" s="4">
        <v>45733.25</v>
      </c>
      <c r="D2997" s="4">
        <v>45733.250458576389</v>
      </c>
      <c r="E2997" s="2">
        <v>3.98</v>
      </c>
      <c r="F2997" s="2">
        <v>79.5</v>
      </c>
      <c r="G2997" s="2" t="s">
        <v>983</v>
      </c>
      <c r="H2997" s="2" t="s">
        <v>984</v>
      </c>
      <c r="I2997" s="2"/>
      <c r="J2997" s="2" t="s">
        <v>37</v>
      </c>
    </row>
    <row r="2998" spans="1:10" ht="21" customHeight="1">
      <c r="A2998" s="2" t="s">
        <v>3993</v>
      </c>
      <c r="B2998" s="2" t="s">
        <v>37</v>
      </c>
      <c r="C2998" s="4">
        <v>45734.25</v>
      </c>
      <c r="D2998" s="4">
        <v>45734.250170439816</v>
      </c>
      <c r="E2998" s="2">
        <v>2.96</v>
      </c>
      <c r="F2998" s="2">
        <v>76.2</v>
      </c>
      <c r="G2998" s="2" t="s">
        <v>983</v>
      </c>
      <c r="H2998" s="2" t="s">
        <v>984</v>
      </c>
      <c r="I2998" s="2"/>
      <c r="J2998" s="2" t="s">
        <v>37</v>
      </c>
    </row>
    <row r="2999" spans="1:10" ht="21" customHeight="1">
      <c r="A2999" s="2" t="s">
        <v>3994</v>
      </c>
      <c r="B2999" s="2" t="s">
        <v>37</v>
      </c>
      <c r="C2999" s="4">
        <v>45735.25</v>
      </c>
      <c r="D2999" s="4">
        <v>45735.250194699074</v>
      </c>
      <c r="E2999" s="2">
        <v>3.11</v>
      </c>
      <c r="F2999" s="2">
        <v>75.8</v>
      </c>
      <c r="G2999" s="2" t="s">
        <v>983</v>
      </c>
      <c r="H2999" s="2" t="s">
        <v>984</v>
      </c>
      <c r="I2999" s="2"/>
      <c r="J2999" s="2" t="s">
        <v>37</v>
      </c>
    </row>
    <row r="3000" spans="1:10" ht="21" customHeight="1">
      <c r="A3000" s="2" t="s">
        <v>3995</v>
      </c>
      <c r="B3000" s="2" t="s">
        <v>37</v>
      </c>
      <c r="C3000" s="4">
        <v>45736.25</v>
      </c>
      <c r="D3000" s="4">
        <v>45736.250208854166</v>
      </c>
      <c r="E3000" s="2">
        <v>3.95</v>
      </c>
      <c r="F3000" s="2">
        <v>73.099999999999994</v>
      </c>
      <c r="G3000" s="2" t="s">
        <v>983</v>
      </c>
      <c r="H3000" s="2" t="s">
        <v>984</v>
      </c>
      <c r="I3000" s="2"/>
      <c r="J3000" s="2" t="s">
        <v>37</v>
      </c>
    </row>
    <row r="3001" spans="1:10" ht="21" customHeight="1">
      <c r="A3001" s="2" t="s">
        <v>3996</v>
      </c>
      <c r="B3001" s="2" t="s">
        <v>37</v>
      </c>
      <c r="C3001" s="4">
        <v>45737.25</v>
      </c>
      <c r="D3001" s="4">
        <v>45737.250618483798</v>
      </c>
      <c r="E3001" s="2">
        <v>3.49</v>
      </c>
      <c r="F3001" s="2">
        <v>73.7</v>
      </c>
      <c r="G3001" s="2" t="s">
        <v>983</v>
      </c>
      <c r="H3001" s="2" t="s">
        <v>984</v>
      </c>
      <c r="I3001" s="2"/>
      <c r="J3001" s="2" t="s">
        <v>37</v>
      </c>
    </row>
    <row r="3002" spans="1:10" ht="21" customHeight="1">
      <c r="A3002" s="2" t="s">
        <v>3997</v>
      </c>
      <c r="B3002" s="2" t="s">
        <v>37</v>
      </c>
      <c r="C3002" s="4">
        <v>45738.25</v>
      </c>
      <c r="D3002" s="4">
        <v>45738.250103217593</v>
      </c>
      <c r="E3002" s="2">
        <v>3.53</v>
      </c>
      <c r="F3002" s="2">
        <v>77.099999999999994</v>
      </c>
      <c r="G3002" s="2" t="s">
        <v>983</v>
      </c>
      <c r="H3002" s="2" t="s">
        <v>984</v>
      </c>
      <c r="I3002" s="2"/>
      <c r="J3002" s="2" t="s">
        <v>37</v>
      </c>
    </row>
    <row r="3003" spans="1:10" ht="21" customHeight="1">
      <c r="A3003" s="2" t="s">
        <v>3998</v>
      </c>
      <c r="B3003" s="2" t="s">
        <v>37</v>
      </c>
      <c r="C3003" s="4">
        <v>45739.25</v>
      </c>
      <c r="D3003" s="4">
        <v>45739.250473194443</v>
      </c>
      <c r="E3003" s="2"/>
      <c r="F3003" s="2"/>
      <c r="G3003" s="2" t="s">
        <v>983</v>
      </c>
      <c r="H3003" s="2" t="s">
        <v>1066</v>
      </c>
      <c r="I3003" s="2"/>
      <c r="J3003" s="2" t="s">
        <v>37</v>
      </c>
    </row>
    <row r="3004" spans="1:10" ht="21" customHeight="1">
      <c r="A3004" s="2" t="s">
        <v>3999</v>
      </c>
      <c r="B3004" s="2" t="s">
        <v>37</v>
      </c>
      <c r="C3004" s="4">
        <v>45740.25</v>
      </c>
      <c r="D3004" s="4">
        <v>45740.250171493055</v>
      </c>
      <c r="E3004" s="2">
        <v>3.68</v>
      </c>
      <c r="F3004" s="2">
        <v>73.599999999999994</v>
      </c>
      <c r="G3004" s="2" t="s">
        <v>983</v>
      </c>
      <c r="H3004" s="2" t="s">
        <v>984</v>
      </c>
      <c r="I3004" s="2"/>
      <c r="J3004" s="2" t="s">
        <v>37</v>
      </c>
    </row>
    <row r="3005" spans="1:10" ht="21" customHeight="1">
      <c r="A3005" s="2" t="s">
        <v>4000</v>
      </c>
      <c r="B3005" s="2" t="s">
        <v>37</v>
      </c>
      <c r="C3005" s="4">
        <v>45741.25</v>
      </c>
      <c r="D3005" s="4">
        <v>45741.250474166663</v>
      </c>
      <c r="E3005" s="2">
        <v>2.81</v>
      </c>
      <c r="F3005" s="2">
        <v>77</v>
      </c>
      <c r="G3005" s="2" t="s">
        <v>983</v>
      </c>
      <c r="H3005" s="2" t="s">
        <v>984</v>
      </c>
      <c r="I3005" s="2"/>
      <c r="J3005" s="2" t="s">
        <v>37</v>
      </c>
    </row>
    <row r="3006" spans="1:10" ht="21" customHeight="1">
      <c r="A3006" s="2" t="s">
        <v>4001</v>
      </c>
      <c r="B3006" s="2" t="s">
        <v>37</v>
      </c>
      <c r="C3006" s="4">
        <v>45742.25</v>
      </c>
      <c r="D3006" s="4">
        <v>45742.25011616898</v>
      </c>
      <c r="E3006" s="2">
        <v>3.69</v>
      </c>
      <c r="F3006" s="2">
        <v>74.7</v>
      </c>
      <c r="G3006" s="2" t="s">
        <v>983</v>
      </c>
      <c r="H3006" s="2" t="s">
        <v>984</v>
      </c>
      <c r="I3006" s="2"/>
      <c r="J3006" s="2" t="s">
        <v>37</v>
      </c>
    </row>
    <row r="3007" spans="1:10" ht="21" customHeight="1">
      <c r="A3007" s="2" t="s">
        <v>4002</v>
      </c>
      <c r="B3007" s="2" t="s">
        <v>37</v>
      </c>
      <c r="C3007" s="4">
        <v>45743.25</v>
      </c>
      <c r="D3007" s="4">
        <v>45743.250314652774</v>
      </c>
      <c r="E3007" s="2">
        <v>2.97</v>
      </c>
      <c r="F3007" s="2">
        <v>75.8</v>
      </c>
      <c r="G3007" s="2" t="s">
        <v>983</v>
      </c>
      <c r="H3007" s="2" t="s">
        <v>984</v>
      </c>
      <c r="I3007" s="2" t="s">
        <v>985</v>
      </c>
      <c r="J3007" s="2" t="s">
        <v>37</v>
      </c>
    </row>
    <row r="3008" spans="1:10" ht="21" customHeight="1">
      <c r="A3008" s="2" t="s">
        <v>4003</v>
      </c>
      <c r="B3008" s="2" t="s">
        <v>37</v>
      </c>
      <c r="C3008" s="4">
        <v>45744.25</v>
      </c>
      <c r="D3008" s="4">
        <v>45744.250199386574</v>
      </c>
      <c r="E3008" s="2">
        <v>3.01</v>
      </c>
      <c r="F3008" s="2">
        <v>73.3</v>
      </c>
      <c r="G3008" s="2" t="s">
        <v>983</v>
      </c>
      <c r="H3008" s="2" t="s">
        <v>984</v>
      </c>
      <c r="I3008" s="2"/>
      <c r="J3008" s="2" t="s">
        <v>37</v>
      </c>
    </row>
    <row r="3009" spans="1:10" ht="21" customHeight="1">
      <c r="A3009" s="2" t="s">
        <v>4004</v>
      </c>
      <c r="B3009" s="2" t="s">
        <v>37</v>
      </c>
      <c r="C3009" s="4">
        <v>45745.25</v>
      </c>
      <c r="D3009" s="4">
        <v>45745.250210127313</v>
      </c>
      <c r="E3009" s="2">
        <v>2.88</v>
      </c>
      <c r="F3009" s="2">
        <v>72.599999999999994</v>
      </c>
      <c r="G3009" s="2" t="s">
        <v>983</v>
      </c>
      <c r="H3009" s="2" t="s">
        <v>984</v>
      </c>
      <c r="I3009" s="2"/>
      <c r="J3009" s="2" t="s">
        <v>37</v>
      </c>
    </row>
    <row r="3010" spans="1:10" ht="21" customHeight="1">
      <c r="A3010" s="2" t="s">
        <v>4005</v>
      </c>
      <c r="B3010" s="2" t="s">
        <v>37</v>
      </c>
      <c r="C3010" s="4">
        <v>45746.25</v>
      </c>
      <c r="D3010" s="4">
        <v>45746.250303958332</v>
      </c>
      <c r="E3010" s="2">
        <v>2.87</v>
      </c>
      <c r="F3010" s="2">
        <v>75.400000000000006</v>
      </c>
      <c r="G3010" s="2" t="s">
        <v>983</v>
      </c>
      <c r="H3010" s="2" t="s">
        <v>984</v>
      </c>
      <c r="I3010" s="2"/>
      <c r="J3010" s="2" t="s">
        <v>37</v>
      </c>
    </row>
    <row r="3011" spans="1:10" ht="21" customHeight="1">
      <c r="A3011" s="2" t="s">
        <v>4006</v>
      </c>
      <c r="B3011" s="2" t="s">
        <v>37</v>
      </c>
      <c r="C3011" s="4">
        <v>45747.25</v>
      </c>
      <c r="D3011" s="4">
        <v>45747.250637280093</v>
      </c>
      <c r="E3011" s="2">
        <v>3.45</v>
      </c>
      <c r="F3011" s="2">
        <v>72.099999999999994</v>
      </c>
      <c r="G3011" s="2" t="s">
        <v>983</v>
      </c>
      <c r="H3011" s="2" t="s">
        <v>984</v>
      </c>
      <c r="I3011" s="2"/>
      <c r="J3011" s="2" t="s">
        <v>37</v>
      </c>
    </row>
    <row r="3012" spans="1:10" ht="21" customHeight="1">
      <c r="A3012" s="2" t="s">
        <v>4007</v>
      </c>
      <c r="B3012" s="2" t="s">
        <v>37</v>
      </c>
      <c r="C3012" s="4">
        <v>45748.25</v>
      </c>
      <c r="D3012" s="4">
        <v>45748.250131990746</v>
      </c>
      <c r="E3012" s="2">
        <v>3.78</v>
      </c>
      <c r="F3012" s="2">
        <v>79.900000000000006</v>
      </c>
      <c r="G3012" s="2" t="s">
        <v>983</v>
      </c>
      <c r="H3012" s="2" t="s">
        <v>984</v>
      </c>
      <c r="I3012" s="2"/>
      <c r="J3012" s="2" t="s">
        <v>37</v>
      </c>
    </row>
    <row r="3013" spans="1:10" ht="21" customHeight="1">
      <c r="A3013" s="2" t="s">
        <v>4008</v>
      </c>
      <c r="B3013" s="2" t="s">
        <v>37</v>
      </c>
      <c r="C3013" s="4">
        <v>45749.25</v>
      </c>
      <c r="D3013" s="4">
        <v>45749.250090451387</v>
      </c>
      <c r="E3013" s="2">
        <v>3.93</v>
      </c>
      <c r="F3013" s="2">
        <v>74.7</v>
      </c>
      <c r="G3013" s="2" t="s">
        <v>983</v>
      </c>
      <c r="H3013" s="2" t="s">
        <v>984</v>
      </c>
      <c r="I3013" s="2"/>
      <c r="J3013" s="2" t="s">
        <v>37</v>
      </c>
    </row>
    <row r="3014" spans="1:10" ht="21" customHeight="1">
      <c r="A3014" s="2" t="s">
        <v>4009</v>
      </c>
      <c r="B3014" s="2" t="s">
        <v>37</v>
      </c>
      <c r="C3014" s="4">
        <v>45750.25</v>
      </c>
      <c r="D3014" s="4">
        <v>45750.250202361116</v>
      </c>
      <c r="E3014" s="2">
        <v>2.91</v>
      </c>
      <c r="F3014" s="2">
        <v>74.900000000000006</v>
      </c>
      <c r="G3014" s="2" t="s">
        <v>983</v>
      </c>
      <c r="H3014" s="2" t="s">
        <v>984</v>
      </c>
      <c r="I3014" s="2"/>
      <c r="J3014" s="2" t="s">
        <v>37</v>
      </c>
    </row>
    <row r="3015" spans="1:10" ht="21" customHeight="1">
      <c r="A3015" s="2" t="s">
        <v>4010</v>
      </c>
      <c r="B3015" s="2" t="s">
        <v>37</v>
      </c>
      <c r="C3015" s="4">
        <v>45751.25</v>
      </c>
      <c r="D3015" s="4">
        <v>45751.250474432869</v>
      </c>
      <c r="E3015" s="2">
        <v>3.14</v>
      </c>
      <c r="F3015" s="2">
        <v>77.2</v>
      </c>
      <c r="G3015" s="2" t="s">
        <v>983</v>
      </c>
      <c r="H3015" s="2" t="s">
        <v>984</v>
      </c>
      <c r="I3015" s="2"/>
      <c r="J3015" s="2" t="s">
        <v>37</v>
      </c>
    </row>
    <row r="3016" spans="1:10" ht="21" customHeight="1">
      <c r="A3016" s="2" t="s">
        <v>4011</v>
      </c>
      <c r="B3016" s="2" t="s">
        <v>37</v>
      </c>
      <c r="C3016" s="4">
        <v>45752.25</v>
      </c>
      <c r="D3016" s="4">
        <v>45752.25046023148</v>
      </c>
      <c r="E3016" s="2">
        <v>3.39</v>
      </c>
      <c r="F3016" s="2">
        <v>74.400000000000006</v>
      </c>
      <c r="G3016" s="2" t="s">
        <v>983</v>
      </c>
      <c r="H3016" s="2" t="s">
        <v>984</v>
      </c>
      <c r="I3016" s="2"/>
      <c r="J3016" s="2" t="s">
        <v>37</v>
      </c>
    </row>
    <row r="3017" spans="1:10" ht="21" customHeight="1">
      <c r="A3017" s="2" t="s">
        <v>4012</v>
      </c>
      <c r="B3017" s="2" t="s">
        <v>37</v>
      </c>
      <c r="C3017" s="4">
        <v>45753.25</v>
      </c>
      <c r="D3017" s="4">
        <v>45753.25033949074</v>
      </c>
      <c r="E3017" s="2">
        <v>3.52</v>
      </c>
      <c r="F3017" s="2">
        <v>79</v>
      </c>
      <c r="G3017" s="2" t="s">
        <v>983</v>
      </c>
      <c r="H3017" s="2" t="s">
        <v>984</v>
      </c>
      <c r="I3017" s="2"/>
      <c r="J3017" s="2" t="s">
        <v>37</v>
      </c>
    </row>
    <row r="3018" spans="1:10" ht="21" customHeight="1">
      <c r="A3018" s="2" t="s">
        <v>4013</v>
      </c>
      <c r="B3018" s="2" t="s">
        <v>37</v>
      </c>
      <c r="C3018" s="4">
        <v>45754.25</v>
      </c>
      <c r="D3018" s="4">
        <v>45754.250381921302</v>
      </c>
      <c r="E3018" s="2"/>
      <c r="F3018" s="2"/>
      <c r="G3018" s="2" t="s">
        <v>983</v>
      </c>
      <c r="H3018" s="2" t="s">
        <v>1066</v>
      </c>
      <c r="I3018" s="2" t="s">
        <v>1053</v>
      </c>
      <c r="J3018" s="2" t="s">
        <v>37</v>
      </c>
    </row>
    <row r="3019" spans="1:10" ht="21" customHeight="1">
      <c r="A3019" s="2" t="s">
        <v>4014</v>
      </c>
      <c r="B3019" s="2" t="s">
        <v>37</v>
      </c>
      <c r="C3019" s="4">
        <v>45755.25</v>
      </c>
      <c r="D3019" s="4">
        <v>45755.250411585643</v>
      </c>
      <c r="E3019" s="2">
        <v>6.81</v>
      </c>
      <c r="F3019" s="2">
        <v>78.099999999999994</v>
      </c>
      <c r="G3019" s="2" t="s">
        <v>983</v>
      </c>
      <c r="H3019" s="2" t="s">
        <v>984</v>
      </c>
      <c r="I3019" s="2"/>
      <c r="J3019" s="2" t="s">
        <v>37</v>
      </c>
    </row>
    <row r="3020" spans="1:10" ht="21" customHeight="1">
      <c r="A3020" s="2" t="s">
        <v>4015</v>
      </c>
      <c r="B3020" s="2" t="s">
        <v>37</v>
      </c>
      <c r="C3020" s="4">
        <v>45756.25</v>
      </c>
      <c r="D3020" s="4">
        <v>45756.250693483795</v>
      </c>
      <c r="E3020" s="2">
        <v>7.27</v>
      </c>
      <c r="F3020" s="2">
        <v>82</v>
      </c>
      <c r="G3020" s="2" t="s">
        <v>983</v>
      </c>
      <c r="H3020" s="2" t="s">
        <v>984</v>
      </c>
      <c r="I3020" s="2" t="s">
        <v>1053</v>
      </c>
      <c r="J3020" s="2" t="s">
        <v>37</v>
      </c>
    </row>
    <row r="3021" spans="1:10" ht="21" customHeight="1">
      <c r="A3021" s="2" t="s">
        <v>4016</v>
      </c>
      <c r="B3021" s="2" t="s">
        <v>37</v>
      </c>
      <c r="C3021" s="4">
        <v>45757.25</v>
      </c>
      <c r="D3021" s="4">
        <v>45757.250533958329</v>
      </c>
      <c r="E3021" s="2">
        <v>3.65</v>
      </c>
      <c r="F3021" s="2">
        <v>79.900000000000006</v>
      </c>
      <c r="G3021" s="2" t="s">
        <v>983</v>
      </c>
      <c r="H3021" s="2" t="s">
        <v>984</v>
      </c>
      <c r="I3021" s="2"/>
      <c r="J3021" s="2" t="s">
        <v>37</v>
      </c>
    </row>
    <row r="3022" spans="1:10" ht="21" customHeight="1">
      <c r="A3022" s="2" t="s">
        <v>4017</v>
      </c>
      <c r="B3022" s="2" t="s">
        <v>37</v>
      </c>
      <c r="C3022" s="4">
        <v>45758.25</v>
      </c>
      <c r="D3022" s="4">
        <v>45758.250490011575</v>
      </c>
      <c r="E3022" s="2"/>
      <c r="F3022" s="2"/>
      <c r="G3022" s="2" t="s">
        <v>983</v>
      </c>
      <c r="H3022" s="2" t="s">
        <v>1066</v>
      </c>
      <c r="I3022" s="2"/>
      <c r="J3022" s="2" t="s">
        <v>37</v>
      </c>
    </row>
    <row r="3023" spans="1:10" ht="21" customHeight="1">
      <c r="A3023" s="2" t="s">
        <v>4018</v>
      </c>
      <c r="B3023" s="2" t="s">
        <v>37</v>
      </c>
      <c r="C3023" s="4">
        <v>45759.25</v>
      </c>
      <c r="D3023" s="4">
        <v>45759.250326388894</v>
      </c>
      <c r="E3023" s="2">
        <v>3.94</v>
      </c>
      <c r="F3023" s="2">
        <v>74.3</v>
      </c>
      <c r="G3023" s="2" t="s">
        <v>983</v>
      </c>
      <c r="H3023" s="2" t="s">
        <v>984</v>
      </c>
      <c r="I3023" s="2"/>
      <c r="J3023" s="2" t="s">
        <v>37</v>
      </c>
    </row>
    <row r="3024" spans="1:10" ht="21" customHeight="1">
      <c r="A3024" s="2" t="s">
        <v>4019</v>
      </c>
      <c r="B3024" s="2" t="s">
        <v>37</v>
      </c>
      <c r="C3024" s="4">
        <v>45760.25</v>
      </c>
      <c r="D3024" s="4">
        <v>45760.250645231485</v>
      </c>
      <c r="E3024" s="2">
        <v>2.89</v>
      </c>
      <c r="F3024" s="2">
        <v>72.7</v>
      </c>
      <c r="G3024" s="2" t="s">
        <v>983</v>
      </c>
      <c r="H3024" s="2" t="s">
        <v>984</v>
      </c>
      <c r="I3024" s="2" t="s">
        <v>985</v>
      </c>
      <c r="J3024" s="2" t="s">
        <v>37</v>
      </c>
    </row>
    <row r="3025" spans="1:10" ht="21" customHeight="1">
      <c r="A3025" s="2" t="s">
        <v>4020</v>
      </c>
      <c r="B3025" s="2" t="s">
        <v>37</v>
      </c>
      <c r="C3025" s="4">
        <v>45761.25</v>
      </c>
      <c r="D3025" s="4">
        <v>45761.250422662037</v>
      </c>
      <c r="E3025" s="2">
        <v>2.87</v>
      </c>
      <c r="F3025" s="2">
        <v>74.099999999999994</v>
      </c>
      <c r="G3025" s="2" t="s">
        <v>983</v>
      </c>
      <c r="H3025" s="2" t="s">
        <v>984</v>
      </c>
      <c r="I3025" s="2"/>
      <c r="J3025" s="2" t="s">
        <v>37</v>
      </c>
    </row>
    <row r="3026" spans="1:10" ht="21" customHeight="1">
      <c r="A3026" s="2" t="s">
        <v>4021</v>
      </c>
      <c r="B3026" s="2" t="s">
        <v>37</v>
      </c>
      <c r="C3026" s="4">
        <v>45762.25</v>
      </c>
      <c r="D3026" s="4">
        <v>45762.250049965282</v>
      </c>
      <c r="E3026" s="2">
        <v>3</v>
      </c>
      <c r="F3026" s="2">
        <v>75.7</v>
      </c>
      <c r="G3026" s="2" t="s">
        <v>983</v>
      </c>
      <c r="H3026" s="2" t="s">
        <v>984</v>
      </c>
      <c r="I3026" s="2"/>
      <c r="J3026" s="2" t="s">
        <v>37</v>
      </c>
    </row>
    <row r="3027" spans="1:10" ht="21" customHeight="1">
      <c r="A3027" s="2" t="s">
        <v>4022</v>
      </c>
      <c r="B3027" s="2" t="s">
        <v>37</v>
      </c>
      <c r="C3027" s="4">
        <v>45763.25</v>
      </c>
      <c r="D3027" s="4">
        <v>45763.25056241898</v>
      </c>
      <c r="E3027" s="2">
        <v>3.51</v>
      </c>
      <c r="F3027" s="2">
        <v>76.099999999999994</v>
      </c>
      <c r="G3027" s="2" t="s">
        <v>983</v>
      </c>
      <c r="H3027" s="2" t="s">
        <v>984</v>
      </c>
      <c r="I3027" s="2"/>
      <c r="J3027" s="2" t="s">
        <v>37</v>
      </c>
    </row>
    <row r="3028" spans="1:10" ht="21" customHeight="1">
      <c r="A3028" s="2" t="s">
        <v>4023</v>
      </c>
      <c r="B3028" s="2" t="s">
        <v>37</v>
      </c>
      <c r="C3028" s="4">
        <v>45764.25</v>
      </c>
      <c r="D3028" s="4">
        <v>45764.250423854166</v>
      </c>
      <c r="E3028" s="2">
        <v>2.84</v>
      </c>
      <c r="F3028" s="2">
        <v>77</v>
      </c>
      <c r="G3028" s="2" t="s">
        <v>983</v>
      </c>
      <c r="H3028" s="2" t="s">
        <v>984</v>
      </c>
      <c r="I3028" s="2"/>
      <c r="J3028" s="2" t="s">
        <v>37</v>
      </c>
    </row>
    <row r="3029" spans="1:10" ht="21" customHeight="1">
      <c r="A3029" s="2" t="s">
        <v>4024</v>
      </c>
      <c r="B3029" s="2" t="s">
        <v>37</v>
      </c>
      <c r="C3029" s="4">
        <v>45765.25</v>
      </c>
      <c r="D3029" s="4">
        <v>45765.250622569445</v>
      </c>
      <c r="E3029" s="2">
        <v>2.93</v>
      </c>
      <c r="F3029" s="2">
        <v>78.099999999999994</v>
      </c>
      <c r="G3029" s="2" t="s">
        <v>983</v>
      </c>
      <c r="H3029" s="2" t="s">
        <v>984</v>
      </c>
      <c r="I3029" s="2"/>
      <c r="J3029" s="2" t="s">
        <v>37</v>
      </c>
    </row>
    <row r="3030" spans="1:10" ht="21" customHeight="1">
      <c r="A3030" s="2" t="s">
        <v>4025</v>
      </c>
      <c r="B3030" s="2" t="s">
        <v>37</v>
      </c>
      <c r="C3030" s="4">
        <v>45766.25</v>
      </c>
      <c r="D3030" s="4">
        <v>45766.250415023147</v>
      </c>
      <c r="E3030" s="2">
        <v>3.68</v>
      </c>
      <c r="F3030" s="2">
        <v>75.599999999999994</v>
      </c>
      <c r="G3030" s="2" t="s">
        <v>983</v>
      </c>
      <c r="H3030" s="2" t="s">
        <v>984</v>
      </c>
      <c r="I3030" s="2"/>
      <c r="J3030" s="2" t="s">
        <v>37</v>
      </c>
    </row>
    <row r="3031" spans="1:10" ht="21" customHeight="1">
      <c r="A3031" s="2" t="s">
        <v>4026</v>
      </c>
      <c r="B3031" s="2" t="s">
        <v>37</v>
      </c>
      <c r="C3031" s="4">
        <v>45767.25</v>
      </c>
      <c r="D3031" s="4">
        <v>45767.250269710647</v>
      </c>
      <c r="E3031" s="2"/>
      <c r="F3031" s="2"/>
      <c r="G3031" s="2" t="s">
        <v>983</v>
      </c>
      <c r="H3031" s="2" t="s">
        <v>1066</v>
      </c>
      <c r="I3031" s="2"/>
      <c r="J3031" s="2" t="s">
        <v>37</v>
      </c>
    </row>
    <row r="3032" spans="1:10" ht="21" customHeight="1">
      <c r="A3032" s="2" t="s">
        <v>4027</v>
      </c>
      <c r="B3032" s="2" t="s">
        <v>37</v>
      </c>
      <c r="C3032" s="4">
        <v>45768.25</v>
      </c>
      <c r="D3032" s="4">
        <v>45768.250355173615</v>
      </c>
      <c r="E3032" s="2">
        <v>2.81</v>
      </c>
      <c r="F3032" s="2">
        <v>73.3</v>
      </c>
      <c r="G3032" s="2" t="s">
        <v>983</v>
      </c>
      <c r="H3032" s="2" t="s">
        <v>984</v>
      </c>
      <c r="I3032" s="2"/>
      <c r="J3032" s="2" t="s">
        <v>37</v>
      </c>
    </row>
    <row r="3033" spans="1:10" ht="21" customHeight="1">
      <c r="A3033" s="2" t="s">
        <v>4028</v>
      </c>
      <c r="B3033" s="2" t="s">
        <v>37</v>
      </c>
      <c r="C3033" s="4">
        <v>45769.25</v>
      </c>
      <c r="D3033" s="4">
        <v>45769.25068114583</v>
      </c>
      <c r="E3033" s="2">
        <v>3.97</v>
      </c>
      <c r="F3033" s="2">
        <v>74.099999999999994</v>
      </c>
      <c r="G3033" s="2" t="s">
        <v>983</v>
      </c>
      <c r="H3033" s="2" t="s">
        <v>984</v>
      </c>
      <c r="I3033" s="2"/>
      <c r="J3033" s="2" t="s">
        <v>37</v>
      </c>
    </row>
    <row r="3034" spans="1:10" ht="21" customHeight="1">
      <c r="A3034" s="2" t="s">
        <v>4029</v>
      </c>
      <c r="B3034" s="2" t="s">
        <v>37</v>
      </c>
      <c r="C3034" s="4">
        <v>45770.25</v>
      </c>
      <c r="D3034" s="4">
        <v>45770.250019050931</v>
      </c>
      <c r="E3034" s="2">
        <v>3.77</v>
      </c>
      <c r="F3034" s="2">
        <v>74.599999999999994</v>
      </c>
      <c r="G3034" s="2" t="s">
        <v>983</v>
      </c>
      <c r="H3034" s="2" t="s">
        <v>984</v>
      </c>
      <c r="I3034" s="2"/>
      <c r="J3034" s="2" t="s">
        <v>37</v>
      </c>
    </row>
    <row r="3035" spans="1:10" ht="21" customHeight="1">
      <c r="A3035" s="2" t="s">
        <v>4030</v>
      </c>
      <c r="B3035" s="2" t="s">
        <v>37</v>
      </c>
      <c r="C3035" s="4">
        <v>45771.25</v>
      </c>
      <c r="D3035" s="4">
        <v>45771.250335092591</v>
      </c>
      <c r="E3035" s="2">
        <v>3.33</v>
      </c>
      <c r="F3035" s="2">
        <v>77.400000000000006</v>
      </c>
      <c r="G3035" s="2" t="s">
        <v>983</v>
      </c>
      <c r="H3035" s="2" t="s">
        <v>984</v>
      </c>
      <c r="I3035" s="2"/>
      <c r="J3035" s="2" t="s">
        <v>37</v>
      </c>
    </row>
    <row r="3036" spans="1:10" ht="21" customHeight="1">
      <c r="A3036" s="2" t="s">
        <v>4031</v>
      </c>
      <c r="B3036" s="2" t="s">
        <v>3949</v>
      </c>
      <c r="C3036" s="4">
        <v>45772.25</v>
      </c>
      <c r="D3036" s="4">
        <v>45772.250493206018</v>
      </c>
      <c r="E3036" s="2">
        <v>3.46</v>
      </c>
      <c r="F3036" s="2">
        <v>76.8</v>
      </c>
      <c r="G3036" s="2" t="s">
        <v>983</v>
      </c>
      <c r="H3036" s="2" t="s">
        <v>984</v>
      </c>
      <c r="I3036" s="2"/>
      <c r="J3036" s="2" t="s">
        <v>37</v>
      </c>
    </row>
    <row r="3037" spans="1:10" ht="21" customHeight="1">
      <c r="A3037" s="2" t="s">
        <v>4032</v>
      </c>
      <c r="B3037" s="2" t="s">
        <v>37</v>
      </c>
      <c r="C3037" s="4">
        <v>45773.25</v>
      </c>
      <c r="D3037" s="4">
        <v>45773.250393310183</v>
      </c>
      <c r="E3037" s="2">
        <v>2.85</v>
      </c>
      <c r="F3037" s="2">
        <v>75.3</v>
      </c>
      <c r="G3037" s="2" t="s">
        <v>983</v>
      </c>
      <c r="H3037" s="2" t="s">
        <v>984</v>
      </c>
      <c r="I3037" s="2"/>
      <c r="J3037" s="2" t="s">
        <v>37</v>
      </c>
    </row>
    <row r="3038" spans="1:10" ht="21" customHeight="1">
      <c r="A3038" s="2" t="s">
        <v>4033</v>
      </c>
      <c r="B3038" s="2" t="s">
        <v>37</v>
      </c>
      <c r="C3038" s="4">
        <v>45774.25</v>
      </c>
      <c r="D3038" s="4">
        <v>45774.25049583333</v>
      </c>
      <c r="E3038" s="2">
        <v>2.96</v>
      </c>
      <c r="F3038" s="2">
        <v>76.8</v>
      </c>
      <c r="G3038" s="2" t="s">
        <v>983</v>
      </c>
      <c r="H3038" s="2" t="s">
        <v>984</v>
      </c>
      <c r="I3038" s="2"/>
      <c r="J3038" s="2" t="s">
        <v>37</v>
      </c>
    </row>
    <row r="3039" spans="1:10" ht="21" customHeight="1">
      <c r="A3039" s="2" t="s">
        <v>4034</v>
      </c>
      <c r="B3039" s="2" t="s">
        <v>37</v>
      </c>
      <c r="C3039" s="4">
        <v>45775.25</v>
      </c>
      <c r="D3039" s="4">
        <v>45775.250154699075</v>
      </c>
      <c r="E3039" s="2">
        <v>3.99</v>
      </c>
      <c r="F3039" s="2">
        <v>75.3</v>
      </c>
      <c r="G3039" s="2" t="s">
        <v>983</v>
      </c>
      <c r="H3039" s="2" t="s">
        <v>984</v>
      </c>
      <c r="I3039" s="2"/>
      <c r="J3039" s="2" t="s">
        <v>37</v>
      </c>
    </row>
    <row r="3040" spans="1:10" ht="21" customHeight="1">
      <c r="A3040" s="2" t="s">
        <v>4035</v>
      </c>
      <c r="B3040" s="2" t="s">
        <v>37</v>
      </c>
      <c r="C3040" s="4">
        <v>45776.25</v>
      </c>
      <c r="D3040" s="4">
        <v>45776.250310092597</v>
      </c>
      <c r="E3040" s="2">
        <v>3.39</v>
      </c>
      <c r="F3040" s="2">
        <v>73.400000000000006</v>
      </c>
      <c r="G3040" s="2" t="s">
        <v>983</v>
      </c>
      <c r="H3040" s="2" t="s">
        <v>984</v>
      </c>
      <c r="I3040" s="2"/>
      <c r="J3040" s="2" t="s">
        <v>37</v>
      </c>
    </row>
    <row r="3041" spans="1:10" ht="21" customHeight="1">
      <c r="A3041" s="2" t="s">
        <v>4036</v>
      </c>
      <c r="B3041" s="2" t="s">
        <v>37</v>
      </c>
      <c r="C3041" s="4">
        <v>45777.25</v>
      </c>
      <c r="D3041" s="4">
        <v>45777.250567361116</v>
      </c>
      <c r="E3041" s="2">
        <v>2.99</v>
      </c>
      <c r="F3041" s="2">
        <v>74.2</v>
      </c>
      <c r="G3041" s="2" t="s">
        <v>983</v>
      </c>
      <c r="H3041" s="2" t="s">
        <v>984</v>
      </c>
      <c r="I3041" s="2" t="s">
        <v>985</v>
      </c>
      <c r="J3041" s="2" t="s">
        <v>37</v>
      </c>
    </row>
    <row r="3042" spans="1:10" ht="21" customHeight="1">
      <c r="A3042" s="2" t="s">
        <v>4037</v>
      </c>
      <c r="B3042" s="2" t="s">
        <v>37</v>
      </c>
      <c r="C3042" s="4">
        <v>45778.25</v>
      </c>
      <c r="D3042" s="4">
        <v>45778.250229201389</v>
      </c>
      <c r="E3042" s="2">
        <v>3.28</v>
      </c>
      <c r="F3042" s="2">
        <v>75.2</v>
      </c>
      <c r="G3042" s="2" t="s">
        <v>983</v>
      </c>
      <c r="H3042" s="2" t="s">
        <v>984</v>
      </c>
      <c r="I3042" s="2"/>
      <c r="J3042" s="2" t="s">
        <v>37</v>
      </c>
    </row>
    <row r="3043" spans="1:10" ht="21" customHeight="1">
      <c r="A3043" s="2" t="s">
        <v>4038</v>
      </c>
      <c r="B3043" s="2" t="s">
        <v>37</v>
      </c>
      <c r="C3043" s="4">
        <v>45779.25</v>
      </c>
      <c r="D3043" s="4">
        <v>45779.250315590281</v>
      </c>
      <c r="E3043" s="2">
        <v>3.27</v>
      </c>
      <c r="F3043" s="2">
        <v>78.599999999999994</v>
      </c>
      <c r="G3043" s="2" t="s">
        <v>983</v>
      </c>
      <c r="H3043" s="2" t="s">
        <v>984</v>
      </c>
      <c r="I3043" s="2"/>
      <c r="J3043" s="2" t="s">
        <v>37</v>
      </c>
    </row>
    <row r="3044" spans="1:10" ht="21" customHeight="1">
      <c r="A3044" s="2" t="s">
        <v>4039</v>
      </c>
      <c r="B3044" s="2" t="s">
        <v>37</v>
      </c>
      <c r="C3044" s="4">
        <v>45780.25</v>
      </c>
      <c r="D3044" s="4">
        <v>45780.25024765046</v>
      </c>
      <c r="E3044" s="2">
        <v>3.87</v>
      </c>
      <c r="F3044" s="2">
        <v>79.099999999999994</v>
      </c>
      <c r="G3044" s="2" t="s">
        <v>983</v>
      </c>
      <c r="H3044" s="2" t="s">
        <v>984</v>
      </c>
      <c r="I3044" s="2"/>
      <c r="J3044" s="2" t="s">
        <v>37</v>
      </c>
    </row>
    <row r="3045" spans="1:10" ht="21" customHeight="1">
      <c r="A3045" s="2" t="s">
        <v>4040</v>
      </c>
      <c r="B3045" s="2" t="s">
        <v>37</v>
      </c>
      <c r="C3045" s="4">
        <v>45781.25</v>
      </c>
      <c r="D3045" s="4">
        <v>45781.250528425924</v>
      </c>
      <c r="E3045" s="2">
        <v>3.93</v>
      </c>
      <c r="F3045" s="2">
        <v>78.099999999999994</v>
      </c>
      <c r="G3045" s="2" t="s">
        <v>983</v>
      </c>
      <c r="H3045" s="2" t="s">
        <v>984</v>
      </c>
      <c r="I3045" s="2"/>
      <c r="J3045" s="2" t="s">
        <v>37</v>
      </c>
    </row>
    <row r="3046" spans="1:10" ht="21" customHeight="1">
      <c r="A3046" s="2" t="s">
        <v>4041</v>
      </c>
      <c r="B3046" s="2" t="s">
        <v>37</v>
      </c>
      <c r="C3046" s="4">
        <v>45782.25</v>
      </c>
      <c r="D3046" s="4">
        <v>45782.250504293981</v>
      </c>
      <c r="E3046" s="2">
        <v>5.68</v>
      </c>
      <c r="F3046" s="2">
        <v>87.9</v>
      </c>
      <c r="G3046" s="2" t="s">
        <v>983</v>
      </c>
      <c r="H3046" s="2" t="s">
        <v>984</v>
      </c>
      <c r="I3046" s="2" t="s">
        <v>1053</v>
      </c>
      <c r="J3046" s="2" t="s">
        <v>37</v>
      </c>
    </row>
    <row r="3047" spans="1:10" ht="21" customHeight="1">
      <c r="A3047" s="2" t="s">
        <v>4042</v>
      </c>
      <c r="B3047" s="2" t="s">
        <v>37</v>
      </c>
      <c r="C3047" s="4">
        <v>45783.25</v>
      </c>
      <c r="D3047" s="4">
        <v>45783.250214826388</v>
      </c>
      <c r="E3047" s="2">
        <v>6</v>
      </c>
      <c r="F3047" s="2">
        <v>84.2</v>
      </c>
      <c r="G3047" s="2" t="s">
        <v>983</v>
      </c>
      <c r="H3047" s="2" t="s">
        <v>984</v>
      </c>
      <c r="I3047" s="2"/>
      <c r="J3047" s="2" t="s">
        <v>37</v>
      </c>
    </row>
    <row r="3048" spans="1:10" ht="21" customHeight="1">
      <c r="A3048" s="2" t="s">
        <v>4043</v>
      </c>
      <c r="B3048" s="2" t="s">
        <v>37</v>
      </c>
      <c r="C3048" s="4">
        <v>45784.25</v>
      </c>
      <c r="D3048" s="4">
        <v>45784.250148831023</v>
      </c>
      <c r="E3048" s="2">
        <v>5.68</v>
      </c>
      <c r="F3048" s="2">
        <v>83.7</v>
      </c>
      <c r="G3048" s="2" t="s">
        <v>983</v>
      </c>
      <c r="H3048" s="2" t="s">
        <v>984</v>
      </c>
      <c r="I3048" s="2" t="s">
        <v>1053</v>
      </c>
      <c r="J3048" s="2" t="s">
        <v>37</v>
      </c>
    </row>
    <row r="3049" spans="1:10" ht="21" customHeight="1">
      <c r="A3049" s="2" t="s">
        <v>4044</v>
      </c>
      <c r="B3049" s="2" t="s">
        <v>37</v>
      </c>
      <c r="C3049" s="4">
        <v>45785.25</v>
      </c>
      <c r="D3049" s="4">
        <v>45785.250455937501</v>
      </c>
      <c r="E3049" s="2">
        <v>3.65</v>
      </c>
      <c r="F3049" s="2">
        <v>74.7</v>
      </c>
      <c r="G3049" s="2" t="s">
        <v>983</v>
      </c>
      <c r="H3049" s="2" t="s">
        <v>984</v>
      </c>
      <c r="I3049" s="2"/>
      <c r="J3049" s="2" t="s">
        <v>37</v>
      </c>
    </row>
    <row r="3050" spans="1:10" ht="21" customHeight="1">
      <c r="A3050" s="2" t="s">
        <v>4045</v>
      </c>
      <c r="B3050" s="2" t="s">
        <v>37</v>
      </c>
      <c r="C3050" s="4">
        <v>45786.25</v>
      </c>
      <c r="D3050" s="4">
        <v>45786.250109502318</v>
      </c>
      <c r="E3050" s="2">
        <v>2.98</v>
      </c>
      <c r="F3050" s="2">
        <v>75.3</v>
      </c>
      <c r="G3050" s="2" t="s">
        <v>983</v>
      </c>
      <c r="H3050" s="2" t="s">
        <v>984</v>
      </c>
      <c r="I3050" s="2"/>
      <c r="J3050" s="2" t="s">
        <v>37</v>
      </c>
    </row>
    <row r="3051" spans="1:10" ht="21" customHeight="1">
      <c r="A3051" s="2" t="s">
        <v>4046</v>
      </c>
      <c r="B3051" s="2" t="s">
        <v>37</v>
      </c>
      <c r="C3051" s="4">
        <v>45787.25</v>
      </c>
      <c r="D3051" s="4">
        <v>45787.250604421293</v>
      </c>
      <c r="E3051" s="2">
        <v>2.92</v>
      </c>
      <c r="F3051" s="2">
        <v>76.3</v>
      </c>
      <c r="G3051" s="2" t="s">
        <v>983</v>
      </c>
      <c r="H3051" s="2" t="s">
        <v>984</v>
      </c>
      <c r="I3051" s="2"/>
      <c r="J3051" s="2" t="s">
        <v>37</v>
      </c>
    </row>
    <row r="3052" spans="1:10" ht="21" customHeight="1">
      <c r="A3052" s="2" t="s">
        <v>4047</v>
      </c>
      <c r="B3052" s="2" t="s">
        <v>37</v>
      </c>
      <c r="C3052" s="4">
        <v>45788.25</v>
      </c>
      <c r="D3052" s="4">
        <v>45788.250177928239</v>
      </c>
      <c r="E3052" s="2">
        <v>3.81</v>
      </c>
      <c r="F3052" s="2">
        <v>75.8</v>
      </c>
      <c r="G3052" s="2" t="s">
        <v>983</v>
      </c>
      <c r="H3052" s="2" t="s">
        <v>984</v>
      </c>
      <c r="I3052" s="2"/>
      <c r="J3052" s="2" t="s">
        <v>37</v>
      </c>
    </row>
    <row r="3053" spans="1:10" ht="21" customHeight="1">
      <c r="A3053" s="2" t="s">
        <v>4048</v>
      </c>
      <c r="B3053" s="2" t="s">
        <v>37</v>
      </c>
      <c r="C3053" s="4">
        <v>45789.25</v>
      </c>
      <c r="D3053" s="4">
        <v>45789.250212453699</v>
      </c>
      <c r="E3053" s="2">
        <v>3.43</v>
      </c>
      <c r="F3053" s="2">
        <v>78.599999999999994</v>
      </c>
      <c r="G3053" s="2" t="s">
        <v>983</v>
      </c>
      <c r="H3053" s="2" t="s">
        <v>984</v>
      </c>
      <c r="I3053" s="2"/>
      <c r="J3053" s="2" t="s">
        <v>37</v>
      </c>
    </row>
    <row r="3054" spans="1:10" ht="21" customHeight="1">
      <c r="A3054" s="2" t="s">
        <v>4049</v>
      </c>
      <c r="B3054" s="2" t="s">
        <v>37</v>
      </c>
      <c r="C3054" s="4">
        <v>45790.25</v>
      </c>
      <c r="D3054" s="4">
        <v>45790.250666770837</v>
      </c>
      <c r="E3054" s="2">
        <v>2.88</v>
      </c>
      <c r="F3054" s="2">
        <v>75.900000000000006</v>
      </c>
      <c r="G3054" s="2" t="s">
        <v>983</v>
      </c>
      <c r="H3054" s="2" t="s">
        <v>984</v>
      </c>
      <c r="I3054" s="2"/>
      <c r="J3054" s="2" t="s">
        <v>37</v>
      </c>
    </row>
    <row r="3055" spans="1:10" ht="21" customHeight="1">
      <c r="A3055" s="2" t="s">
        <v>4050</v>
      </c>
      <c r="B3055" s="2" t="s">
        <v>37</v>
      </c>
      <c r="C3055" s="4">
        <v>45791.25</v>
      </c>
      <c r="D3055" s="4">
        <v>45791.250623854168</v>
      </c>
      <c r="E3055" s="2">
        <v>3.45</v>
      </c>
      <c r="F3055" s="2">
        <v>79.7</v>
      </c>
      <c r="G3055" s="2" t="s">
        <v>983</v>
      </c>
      <c r="H3055" s="2" t="s">
        <v>984</v>
      </c>
      <c r="I3055" s="2"/>
      <c r="J3055" s="2" t="s">
        <v>37</v>
      </c>
    </row>
    <row r="3056" spans="1:10" ht="21" customHeight="1">
      <c r="A3056" s="2" t="s">
        <v>4051</v>
      </c>
      <c r="B3056" s="2" t="s">
        <v>37</v>
      </c>
      <c r="C3056" s="4">
        <v>45792.25</v>
      </c>
      <c r="D3056" s="4">
        <v>45792.250250300931</v>
      </c>
      <c r="E3056" s="2">
        <v>3.66</v>
      </c>
      <c r="F3056" s="2">
        <v>72.400000000000006</v>
      </c>
      <c r="G3056" s="2" t="s">
        <v>983</v>
      </c>
      <c r="H3056" s="2" t="s">
        <v>984</v>
      </c>
      <c r="I3056" s="2"/>
      <c r="J3056" s="2" t="s">
        <v>37</v>
      </c>
    </row>
    <row r="3057" spans="1:10" ht="21" customHeight="1">
      <c r="A3057" s="2" t="s">
        <v>4052</v>
      </c>
      <c r="B3057" s="2" t="s">
        <v>37</v>
      </c>
      <c r="C3057" s="4">
        <v>45793.25</v>
      </c>
      <c r="D3057" s="4">
        <v>45793.250237210646</v>
      </c>
      <c r="E3057" s="2">
        <v>3.98</v>
      </c>
      <c r="F3057" s="2">
        <v>74.400000000000006</v>
      </c>
      <c r="G3057" s="2" t="s">
        <v>983</v>
      </c>
      <c r="H3057" s="2" t="s">
        <v>984</v>
      </c>
      <c r="I3057" s="2"/>
      <c r="J3057" s="2" t="s">
        <v>37</v>
      </c>
    </row>
    <row r="3058" spans="1:10" ht="21" customHeight="1">
      <c r="A3058" s="2" t="s">
        <v>4053</v>
      </c>
      <c r="B3058" s="2" t="s">
        <v>37</v>
      </c>
      <c r="C3058" s="4">
        <v>45794.25</v>
      </c>
      <c r="D3058" s="4">
        <v>45794.250546550931</v>
      </c>
      <c r="E3058" s="2">
        <v>3.54</v>
      </c>
      <c r="F3058" s="2">
        <v>77.2</v>
      </c>
      <c r="G3058" s="2" t="s">
        <v>983</v>
      </c>
      <c r="H3058" s="2" t="s">
        <v>984</v>
      </c>
      <c r="I3058" s="2" t="s">
        <v>985</v>
      </c>
      <c r="J3058" s="2" t="s">
        <v>37</v>
      </c>
    </row>
    <row r="3059" spans="1:10" ht="21" customHeight="1">
      <c r="A3059" s="2" t="s">
        <v>4054</v>
      </c>
      <c r="B3059" s="2" t="s">
        <v>37</v>
      </c>
      <c r="C3059" s="4">
        <v>45795.25</v>
      </c>
      <c r="D3059" s="4">
        <v>45795.250373703704</v>
      </c>
      <c r="E3059" s="2">
        <v>2.83</v>
      </c>
      <c r="F3059" s="2">
        <v>75.3</v>
      </c>
      <c r="G3059" s="2" t="s">
        <v>983</v>
      </c>
      <c r="H3059" s="2" t="s">
        <v>984</v>
      </c>
      <c r="I3059" s="2"/>
      <c r="J3059" s="2" t="s">
        <v>37</v>
      </c>
    </row>
    <row r="3060" spans="1:10" ht="21" customHeight="1">
      <c r="A3060" s="2" t="s">
        <v>4055</v>
      </c>
      <c r="B3060" s="2" t="s">
        <v>37</v>
      </c>
      <c r="C3060" s="4">
        <v>45796.25</v>
      </c>
      <c r="D3060" s="4">
        <v>45796.250386712964</v>
      </c>
      <c r="E3060" s="2">
        <v>3.79</v>
      </c>
      <c r="F3060" s="2">
        <v>76.599999999999994</v>
      </c>
      <c r="G3060" s="2" t="s">
        <v>983</v>
      </c>
      <c r="H3060" s="2" t="s">
        <v>984</v>
      </c>
      <c r="I3060" s="2"/>
      <c r="J3060" s="2" t="s">
        <v>37</v>
      </c>
    </row>
    <row r="3061" spans="1:10" ht="21" customHeight="1">
      <c r="A3061" s="2" t="s">
        <v>4056</v>
      </c>
      <c r="B3061" s="2" t="s">
        <v>37</v>
      </c>
      <c r="C3061" s="4">
        <v>45797.25</v>
      </c>
      <c r="D3061" s="4">
        <v>45797.25017269676</v>
      </c>
      <c r="E3061" s="2">
        <v>19.13</v>
      </c>
      <c r="F3061" s="2">
        <v>76.7</v>
      </c>
      <c r="G3061" s="2" t="s">
        <v>983</v>
      </c>
      <c r="H3061" s="2" t="s">
        <v>1022</v>
      </c>
      <c r="I3061" s="2"/>
      <c r="J3061" s="2" t="s">
        <v>37</v>
      </c>
    </row>
    <row r="3062" spans="1:10" ht="21" customHeight="1">
      <c r="A3062" s="2" t="s">
        <v>4057</v>
      </c>
      <c r="B3062" s="2" t="s">
        <v>37</v>
      </c>
      <c r="C3062" s="4">
        <v>45798.25</v>
      </c>
      <c r="D3062" s="4">
        <v>45798.250077280092</v>
      </c>
      <c r="E3062" s="2">
        <v>3.64</v>
      </c>
      <c r="F3062" s="2">
        <v>79.8</v>
      </c>
      <c r="G3062" s="2" t="s">
        <v>983</v>
      </c>
      <c r="H3062" s="2" t="s">
        <v>984</v>
      </c>
      <c r="I3062" s="2"/>
      <c r="J3062" s="2" t="s">
        <v>37</v>
      </c>
    </row>
    <row r="3063" spans="1:10" ht="21" customHeight="1">
      <c r="A3063" s="2" t="s">
        <v>4058</v>
      </c>
      <c r="B3063" s="2" t="s">
        <v>37</v>
      </c>
      <c r="C3063" s="4">
        <v>45799.25</v>
      </c>
      <c r="D3063" s="4">
        <v>45799.250686550928</v>
      </c>
      <c r="E3063" s="2">
        <v>3.17</v>
      </c>
      <c r="F3063" s="2">
        <v>76</v>
      </c>
      <c r="G3063" s="2" t="s">
        <v>983</v>
      </c>
      <c r="H3063" s="2" t="s">
        <v>984</v>
      </c>
      <c r="I3063" s="2"/>
      <c r="J3063" s="2" t="s">
        <v>37</v>
      </c>
    </row>
    <row r="3064" spans="1:10" ht="21" customHeight="1">
      <c r="A3064" s="2" t="s">
        <v>4059</v>
      </c>
      <c r="B3064" s="2" t="s">
        <v>37</v>
      </c>
      <c r="C3064" s="4">
        <v>45800.25</v>
      </c>
      <c r="D3064" s="4">
        <v>45800.250223460651</v>
      </c>
      <c r="E3064" s="2">
        <v>3.74</v>
      </c>
      <c r="F3064" s="2">
        <v>73.2</v>
      </c>
      <c r="G3064" s="2" t="s">
        <v>983</v>
      </c>
      <c r="H3064" s="2" t="s">
        <v>984</v>
      </c>
      <c r="I3064" s="2"/>
      <c r="J3064" s="2" t="s">
        <v>37</v>
      </c>
    </row>
    <row r="3065" spans="1:10" ht="21" customHeight="1">
      <c r="A3065" s="2" t="s">
        <v>4060</v>
      </c>
      <c r="B3065" s="2" t="s">
        <v>37</v>
      </c>
      <c r="C3065" s="4">
        <v>45801.25</v>
      </c>
      <c r="D3065" s="4">
        <v>45801.250065115746</v>
      </c>
      <c r="E3065" s="2">
        <v>2.9</v>
      </c>
      <c r="F3065" s="2">
        <v>73.099999999999994</v>
      </c>
      <c r="G3065" s="2" t="s">
        <v>983</v>
      </c>
      <c r="H3065" s="2" t="s">
        <v>984</v>
      </c>
      <c r="I3065" s="2"/>
      <c r="J3065" s="2" t="s">
        <v>37</v>
      </c>
    </row>
    <row r="3066" spans="1:10" ht="21" customHeight="1">
      <c r="A3066" s="2" t="s">
        <v>4061</v>
      </c>
      <c r="B3066" s="2" t="s">
        <v>37</v>
      </c>
      <c r="C3066" s="4">
        <v>45802.25</v>
      </c>
      <c r="D3066" s="4">
        <v>45802.250239976856</v>
      </c>
      <c r="E3066" s="2">
        <v>2.83</v>
      </c>
      <c r="F3066" s="2">
        <v>77.099999999999994</v>
      </c>
      <c r="G3066" s="2" t="s">
        <v>983</v>
      </c>
      <c r="H3066" s="2" t="s">
        <v>984</v>
      </c>
      <c r="I3066" s="2"/>
      <c r="J3066" s="2" t="s">
        <v>37</v>
      </c>
    </row>
    <row r="3067" spans="1:10" ht="21" customHeight="1">
      <c r="A3067" s="2" t="s">
        <v>4062</v>
      </c>
      <c r="B3067" s="2" t="s">
        <v>37</v>
      </c>
      <c r="C3067" s="4">
        <v>45803.25</v>
      </c>
      <c r="D3067" s="4">
        <v>45803.250166423612</v>
      </c>
      <c r="E3067" s="2">
        <v>3.36</v>
      </c>
      <c r="F3067" s="2">
        <v>73.099999999999994</v>
      </c>
      <c r="G3067" s="2" t="s">
        <v>983</v>
      </c>
      <c r="H3067" s="2" t="s">
        <v>984</v>
      </c>
      <c r="I3067" s="2"/>
      <c r="J3067" s="2" t="s">
        <v>37</v>
      </c>
    </row>
    <row r="3068" spans="1:10" ht="21" customHeight="1">
      <c r="A3068" s="2" t="s">
        <v>4063</v>
      </c>
      <c r="B3068" s="2" t="s">
        <v>37</v>
      </c>
      <c r="C3068" s="4">
        <v>45804.25</v>
      </c>
      <c r="D3068" s="4">
        <v>45804.250170925923</v>
      </c>
      <c r="E3068" s="2">
        <v>2.8</v>
      </c>
      <c r="F3068" s="2">
        <v>72.099999999999994</v>
      </c>
      <c r="G3068" s="2" t="s">
        <v>983</v>
      </c>
      <c r="H3068" s="2" t="s">
        <v>984</v>
      </c>
      <c r="I3068" s="2"/>
      <c r="J3068" s="2" t="s">
        <v>37</v>
      </c>
    </row>
    <row r="3069" spans="1:10" ht="21" customHeight="1">
      <c r="A3069" s="2" t="s">
        <v>4064</v>
      </c>
      <c r="B3069" s="2" t="s">
        <v>37</v>
      </c>
      <c r="C3069" s="4">
        <v>45805.25</v>
      </c>
      <c r="D3069" s="4">
        <v>45805.250653090276</v>
      </c>
      <c r="E3069" s="2">
        <v>3.14</v>
      </c>
      <c r="F3069" s="2">
        <v>77.8</v>
      </c>
      <c r="G3069" s="2" t="s">
        <v>983</v>
      </c>
      <c r="H3069" s="2" t="s">
        <v>984</v>
      </c>
      <c r="I3069" s="2"/>
      <c r="J3069" s="2" t="s">
        <v>37</v>
      </c>
    </row>
    <row r="3070" spans="1:10" ht="21" customHeight="1">
      <c r="A3070" s="2" t="s">
        <v>4065</v>
      </c>
      <c r="B3070" s="2" t="s">
        <v>37</v>
      </c>
      <c r="C3070" s="4">
        <v>45806.25</v>
      </c>
      <c r="D3070" s="4">
        <v>45806.250112615744</v>
      </c>
      <c r="E3070" s="2">
        <v>3.2</v>
      </c>
      <c r="F3070" s="2">
        <v>77.8</v>
      </c>
      <c r="G3070" s="2" t="s">
        <v>983</v>
      </c>
      <c r="H3070" s="2" t="s">
        <v>984</v>
      </c>
      <c r="I3070" s="2"/>
      <c r="J3070" s="2" t="s">
        <v>37</v>
      </c>
    </row>
    <row r="3071" spans="1:10" ht="21" customHeight="1">
      <c r="A3071" s="2" t="s">
        <v>4066</v>
      </c>
      <c r="B3071" s="2" t="s">
        <v>37</v>
      </c>
      <c r="C3071" s="4">
        <v>45807.25</v>
      </c>
      <c r="D3071" s="4">
        <v>45807.250325405097</v>
      </c>
      <c r="E3071" s="2">
        <v>3.61</v>
      </c>
      <c r="F3071" s="2">
        <v>73.599999999999994</v>
      </c>
      <c r="G3071" s="2" t="s">
        <v>983</v>
      </c>
      <c r="H3071" s="2" t="s">
        <v>984</v>
      </c>
      <c r="I3071" s="2"/>
      <c r="J3071" s="2" t="s">
        <v>37</v>
      </c>
    </row>
    <row r="3072" spans="1:10" ht="21" customHeight="1">
      <c r="A3072" s="2" t="s">
        <v>4067</v>
      </c>
      <c r="B3072" s="2" t="s">
        <v>37</v>
      </c>
      <c r="C3072" s="4">
        <v>45808.25</v>
      </c>
      <c r="D3072" s="4">
        <v>45808.25057167824</v>
      </c>
      <c r="E3072" s="2">
        <v>3.6</v>
      </c>
      <c r="F3072" s="2">
        <v>72.400000000000006</v>
      </c>
      <c r="G3072" s="2" t="s">
        <v>983</v>
      </c>
      <c r="H3072" s="2" t="s">
        <v>984</v>
      </c>
      <c r="I3072" s="2"/>
      <c r="J3072" s="2" t="s">
        <v>37</v>
      </c>
    </row>
    <row r="3073" spans="1:10" ht="21" customHeight="1">
      <c r="A3073" s="2" t="s">
        <v>4068</v>
      </c>
      <c r="B3073" s="2" t="s">
        <v>37</v>
      </c>
      <c r="C3073" s="4">
        <v>45809.25</v>
      </c>
      <c r="D3073" s="4">
        <v>45809.250184641205</v>
      </c>
      <c r="E3073" s="2">
        <v>3.39</v>
      </c>
      <c r="F3073" s="2">
        <v>75.2</v>
      </c>
      <c r="G3073" s="2" t="s">
        <v>983</v>
      </c>
      <c r="H3073" s="2" t="s">
        <v>984</v>
      </c>
      <c r="I3073" s="2"/>
      <c r="J3073" s="2" t="s">
        <v>37</v>
      </c>
    </row>
    <row r="3074" spans="1:10" ht="21" customHeight="1">
      <c r="A3074" s="2" t="s">
        <v>4069</v>
      </c>
      <c r="B3074" s="2" t="s">
        <v>37</v>
      </c>
      <c r="C3074" s="4">
        <v>45810.25</v>
      </c>
      <c r="D3074" s="4">
        <v>45810.250194837965</v>
      </c>
      <c r="E3074" s="2">
        <v>2.86</v>
      </c>
      <c r="F3074" s="2">
        <v>77.8</v>
      </c>
      <c r="G3074" s="2" t="s">
        <v>983</v>
      </c>
      <c r="H3074" s="2" t="s">
        <v>984</v>
      </c>
      <c r="I3074" s="2"/>
      <c r="J3074" s="2" t="s">
        <v>37</v>
      </c>
    </row>
    <row r="3075" spans="1:10" ht="21" customHeight="1">
      <c r="A3075" s="2" t="s">
        <v>4070</v>
      </c>
      <c r="B3075" s="2" t="s">
        <v>37</v>
      </c>
      <c r="C3075" s="4">
        <v>45811.25</v>
      </c>
      <c r="D3075" s="4">
        <v>45811.250543344911</v>
      </c>
      <c r="E3075" s="2">
        <v>3.36</v>
      </c>
      <c r="F3075" s="2">
        <v>75.099999999999994</v>
      </c>
      <c r="G3075" s="2" t="s">
        <v>983</v>
      </c>
      <c r="H3075" s="2" t="s">
        <v>984</v>
      </c>
      <c r="I3075" s="2" t="s">
        <v>985</v>
      </c>
      <c r="J3075" s="2" t="s">
        <v>37</v>
      </c>
    </row>
    <row r="3076" spans="1:10" ht="21" customHeight="1">
      <c r="A3076" s="2" t="s">
        <v>4071</v>
      </c>
      <c r="B3076" s="2" t="s">
        <v>37</v>
      </c>
      <c r="C3076" s="4">
        <v>45812.25</v>
      </c>
      <c r="D3076" s="4">
        <v>45812.25014689815</v>
      </c>
      <c r="E3076" s="2">
        <v>3.76</v>
      </c>
      <c r="F3076" s="2">
        <v>77.3</v>
      </c>
      <c r="G3076" s="2" t="s">
        <v>983</v>
      </c>
      <c r="H3076" s="2" t="s">
        <v>984</v>
      </c>
      <c r="I3076" s="2"/>
      <c r="J3076" s="2" t="s">
        <v>37</v>
      </c>
    </row>
    <row r="3077" spans="1:10" ht="21" customHeight="1">
      <c r="A3077" s="2" t="s">
        <v>4072</v>
      </c>
      <c r="B3077" s="2" t="s">
        <v>3949</v>
      </c>
      <c r="C3077" s="4">
        <v>45813.25</v>
      </c>
      <c r="D3077" s="4">
        <v>45813.250201631949</v>
      </c>
      <c r="E3077" s="2">
        <v>2.87</v>
      </c>
      <c r="F3077" s="2">
        <v>74.2</v>
      </c>
      <c r="G3077" s="2" t="s">
        <v>983</v>
      </c>
      <c r="H3077" s="2" t="s">
        <v>984</v>
      </c>
      <c r="I3077" s="2"/>
      <c r="J3077" s="2" t="s">
        <v>37</v>
      </c>
    </row>
    <row r="3078" spans="1:10" ht="21" customHeight="1">
      <c r="A3078" s="2" t="s">
        <v>4073</v>
      </c>
      <c r="B3078" s="2" t="s">
        <v>37</v>
      </c>
      <c r="C3078" s="4">
        <v>45814.25</v>
      </c>
      <c r="D3078" s="4">
        <v>45814.250559953703</v>
      </c>
      <c r="E3078" s="2">
        <v>6.26</v>
      </c>
      <c r="F3078" s="2">
        <v>87.1</v>
      </c>
      <c r="G3078" s="2" t="s">
        <v>983</v>
      </c>
      <c r="H3078" s="2" t="s">
        <v>984</v>
      </c>
      <c r="I3078" s="2" t="s">
        <v>1053</v>
      </c>
      <c r="J3078" s="2" t="s">
        <v>37</v>
      </c>
    </row>
    <row r="3079" spans="1:10" ht="21" customHeight="1">
      <c r="A3079" s="2" t="s">
        <v>4074</v>
      </c>
      <c r="B3079" s="2" t="s">
        <v>37</v>
      </c>
      <c r="C3079" s="4">
        <v>45815.25</v>
      </c>
      <c r="D3079" s="4">
        <v>45815.250255578707</v>
      </c>
      <c r="E3079" s="2">
        <v>6.01</v>
      </c>
      <c r="F3079" s="2">
        <v>81.099999999999994</v>
      </c>
      <c r="G3079" s="2" t="s">
        <v>983</v>
      </c>
      <c r="H3079" s="2" t="s">
        <v>984</v>
      </c>
      <c r="I3079" s="2"/>
      <c r="J3079" s="2" t="s">
        <v>37</v>
      </c>
    </row>
    <row r="3080" spans="1:10" ht="21" customHeight="1">
      <c r="A3080" s="2" t="s">
        <v>4075</v>
      </c>
      <c r="B3080" s="2" t="s">
        <v>37</v>
      </c>
      <c r="C3080" s="4">
        <v>45816.25</v>
      </c>
      <c r="D3080" s="4">
        <v>45816.250310034724</v>
      </c>
      <c r="E3080" s="2">
        <v>4.95</v>
      </c>
      <c r="F3080" s="2">
        <v>81.7</v>
      </c>
      <c r="G3080" s="2" t="s">
        <v>983</v>
      </c>
      <c r="H3080" s="2" t="s">
        <v>984</v>
      </c>
      <c r="I3080" s="2" t="s">
        <v>1053</v>
      </c>
      <c r="J3080" s="2" t="s">
        <v>37</v>
      </c>
    </row>
    <row r="3081" spans="1:10" ht="21" customHeight="1">
      <c r="A3081" s="2" t="s">
        <v>4076</v>
      </c>
      <c r="B3081" s="2" t="s">
        <v>37</v>
      </c>
      <c r="C3081" s="4">
        <v>45817.25</v>
      </c>
      <c r="D3081" s="4">
        <v>45817.250352743053</v>
      </c>
      <c r="E3081" s="2">
        <v>3.63</v>
      </c>
      <c r="F3081" s="2">
        <v>78.7</v>
      </c>
      <c r="G3081" s="2" t="s">
        <v>983</v>
      </c>
      <c r="H3081" s="2" t="s">
        <v>984</v>
      </c>
      <c r="I3081" s="2"/>
      <c r="J3081" s="2" t="s">
        <v>37</v>
      </c>
    </row>
    <row r="3082" spans="1:10" ht="21" customHeight="1">
      <c r="A3082" s="2" t="s">
        <v>4077</v>
      </c>
      <c r="B3082" s="2" t="s">
        <v>37</v>
      </c>
      <c r="C3082" s="4">
        <v>45818.25</v>
      </c>
      <c r="D3082" s="4">
        <v>45818.250596759259</v>
      </c>
      <c r="E3082" s="2">
        <v>2.99</v>
      </c>
      <c r="F3082" s="2">
        <v>79.599999999999994</v>
      </c>
      <c r="G3082" s="2" t="s">
        <v>983</v>
      </c>
      <c r="H3082" s="2" t="s">
        <v>984</v>
      </c>
      <c r="I3082" s="2"/>
      <c r="J3082" s="2" t="s">
        <v>37</v>
      </c>
    </row>
    <row r="3083" spans="1:10" ht="21" customHeight="1">
      <c r="A3083" s="2" t="s">
        <v>4078</v>
      </c>
      <c r="B3083" s="2" t="s">
        <v>37</v>
      </c>
      <c r="C3083" s="4">
        <v>45819.25</v>
      </c>
      <c r="D3083" s="4">
        <v>45819.25032619213</v>
      </c>
      <c r="E3083" s="2">
        <v>3.37</v>
      </c>
      <c r="F3083" s="2">
        <v>74</v>
      </c>
      <c r="G3083" s="2" t="s">
        <v>983</v>
      </c>
      <c r="H3083" s="2" t="s">
        <v>984</v>
      </c>
      <c r="I3083" s="2"/>
      <c r="J3083" s="2" t="s">
        <v>37</v>
      </c>
    </row>
    <row r="3084" spans="1:10" ht="21" customHeight="1">
      <c r="A3084" s="2" t="s">
        <v>4079</v>
      </c>
      <c r="B3084" s="2" t="s">
        <v>37</v>
      </c>
      <c r="C3084" s="4">
        <v>45820.25</v>
      </c>
      <c r="D3084" s="4">
        <v>45820.250262546295</v>
      </c>
      <c r="E3084" s="2">
        <v>3.58</v>
      </c>
      <c r="F3084" s="2">
        <v>74.7</v>
      </c>
      <c r="G3084" s="2" t="s">
        <v>983</v>
      </c>
      <c r="H3084" s="2" t="s">
        <v>984</v>
      </c>
      <c r="I3084" s="2"/>
      <c r="J3084" s="2" t="s">
        <v>37</v>
      </c>
    </row>
    <row r="3085" spans="1:10" ht="21" customHeight="1">
      <c r="A3085" s="2" t="s">
        <v>4080</v>
      </c>
      <c r="B3085" s="2" t="s">
        <v>37</v>
      </c>
      <c r="C3085" s="4">
        <v>45821.25</v>
      </c>
      <c r="D3085" s="4">
        <v>45821.250183252312</v>
      </c>
      <c r="E3085" s="2">
        <v>3.49</v>
      </c>
      <c r="F3085" s="2">
        <v>76</v>
      </c>
      <c r="G3085" s="2" t="s">
        <v>983</v>
      </c>
      <c r="H3085" s="2" t="s">
        <v>984</v>
      </c>
      <c r="I3085" s="2"/>
      <c r="J3085" s="2" t="s">
        <v>37</v>
      </c>
    </row>
    <row r="3086" spans="1:10" ht="21" customHeight="1">
      <c r="A3086" s="2" t="s">
        <v>4081</v>
      </c>
      <c r="B3086" s="2" t="s">
        <v>37</v>
      </c>
      <c r="C3086" s="4">
        <v>45822.25</v>
      </c>
      <c r="D3086" s="4">
        <v>45822.250553229169</v>
      </c>
      <c r="E3086" s="2">
        <v>3.28</v>
      </c>
      <c r="F3086" s="2">
        <v>73.8</v>
      </c>
      <c r="G3086" s="2" t="s">
        <v>983</v>
      </c>
      <c r="H3086" s="2" t="s">
        <v>984</v>
      </c>
      <c r="I3086" s="2"/>
      <c r="J3086" s="2" t="s">
        <v>37</v>
      </c>
    </row>
    <row r="3087" spans="1:10" ht="21" customHeight="1">
      <c r="A3087" s="2" t="s">
        <v>4082</v>
      </c>
      <c r="B3087" s="2" t="s">
        <v>37</v>
      </c>
      <c r="C3087" s="4">
        <v>45823.25</v>
      </c>
      <c r="D3087" s="4">
        <v>45823.250059513884</v>
      </c>
      <c r="E3087" s="2">
        <v>3.53</v>
      </c>
      <c r="F3087" s="2">
        <v>76.400000000000006</v>
      </c>
      <c r="G3087" s="2" t="s">
        <v>983</v>
      </c>
      <c r="H3087" s="2" t="s">
        <v>984</v>
      </c>
      <c r="I3087" s="2"/>
      <c r="J3087" s="2" t="s">
        <v>37</v>
      </c>
    </row>
    <row r="3088" spans="1:10" ht="21" customHeight="1">
      <c r="A3088" s="2" t="s">
        <v>4083</v>
      </c>
      <c r="B3088" s="2" t="s">
        <v>37</v>
      </c>
      <c r="C3088" s="4">
        <v>45824.25</v>
      </c>
      <c r="D3088" s="4">
        <v>45824.250430405096</v>
      </c>
      <c r="E3088" s="2">
        <v>3.38</v>
      </c>
      <c r="F3088" s="2">
        <v>79.400000000000006</v>
      </c>
      <c r="G3088" s="2" t="s">
        <v>983</v>
      </c>
      <c r="H3088" s="2" t="s">
        <v>984</v>
      </c>
      <c r="I3088" s="2"/>
      <c r="J3088" s="2" t="s">
        <v>37</v>
      </c>
    </row>
    <row r="3089" spans="1:10" ht="21" customHeight="1">
      <c r="A3089" s="2" t="s">
        <v>4084</v>
      </c>
      <c r="B3089" s="2" t="s">
        <v>37</v>
      </c>
      <c r="C3089" s="4">
        <v>45825.25</v>
      </c>
      <c r="D3089" s="4">
        <v>45825.250294907411</v>
      </c>
      <c r="E3089" s="2">
        <v>3.37</v>
      </c>
      <c r="F3089" s="2">
        <v>79.5</v>
      </c>
      <c r="G3089" s="2" t="s">
        <v>983</v>
      </c>
      <c r="H3089" s="2" t="s">
        <v>984</v>
      </c>
      <c r="I3089" s="2"/>
      <c r="J3089" s="2" t="s">
        <v>37</v>
      </c>
    </row>
    <row r="3090" spans="1:10" ht="21" customHeight="1">
      <c r="A3090" s="2" t="s">
        <v>4085</v>
      </c>
      <c r="B3090" s="2" t="s">
        <v>37</v>
      </c>
      <c r="C3090" s="4">
        <v>45826.25</v>
      </c>
      <c r="D3090" s="4">
        <v>45826.250330995375</v>
      </c>
      <c r="E3090" s="2">
        <v>3.95</v>
      </c>
      <c r="F3090" s="2">
        <v>76.5</v>
      </c>
      <c r="G3090" s="2" t="s">
        <v>983</v>
      </c>
      <c r="H3090" s="2" t="s">
        <v>984</v>
      </c>
      <c r="I3090" s="2"/>
      <c r="J3090" s="2" t="s">
        <v>37</v>
      </c>
    </row>
    <row r="3091" spans="1:10" ht="21" customHeight="1">
      <c r="A3091" s="2" t="s">
        <v>4086</v>
      </c>
      <c r="B3091" s="2" t="s">
        <v>37</v>
      </c>
      <c r="C3091" s="4">
        <v>45827.25</v>
      </c>
      <c r="D3091" s="4">
        <v>45827.250352534727</v>
      </c>
      <c r="E3091" s="2">
        <v>3.65</v>
      </c>
      <c r="F3091" s="2">
        <v>75.3</v>
      </c>
      <c r="G3091" s="2" t="s">
        <v>983</v>
      </c>
      <c r="H3091" s="2" t="s">
        <v>984</v>
      </c>
      <c r="I3091" s="2"/>
      <c r="J3091" s="2" t="s">
        <v>37</v>
      </c>
    </row>
    <row r="3092" spans="1:10" ht="21" customHeight="1">
      <c r="A3092" s="2" t="s">
        <v>4087</v>
      </c>
      <c r="B3092" s="2" t="s">
        <v>37</v>
      </c>
      <c r="C3092" s="4">
        <v>45828.25</v>
      </c>
      <c r="D3092" s="4">
        <v>45828.250226516204</v>
      </c>
      <c r="E3092" s="2">
        <v>3.94</v>
      </c>
      <c r="F3092" s="2">
        <v>74.3</v>
      </c>
      <c r="G3092" s="2" t="s">
        <v>983</v>
      </c>
      <c r="H3092" s="2" t="s">
        <v>984</v>
      </c>
      <c r="I3092" s="2" t="s">
        <v>985</v>
      </c>
      <c r="J3092" s="2" t="s">
        <v>37</v>
      </c>
    </row>
    <row r="3093" spans="1:10" ht="21" customHeight="1">
      <c r="A3093" s="2" t="s">
        <v>4088</v>
      </c>
      <c r="B3093" s="2" t="s">
        <v>37</v>
      </c>
      <c r="C3093" s="4">
        <v>45829.25</v>
      </c>
      <c r="D3093" s="4">
        <v>45829.250523414354</v>
      </c>
      <c r="E3093" s="2">
        <v>2.96</v>
      </c>
      <c r="F3093" s="2">
        <v>77.5</v>
      </c>
      <c r="G3093" s="2" t="s">
        <v>983</v>
      </c>
      <c r="H3093" s="2" t="s">
        <v>984</v>
      </c>
      <c r="I3093" s="2"/>
      <c r="J3093" s="2" t="s">
        <v>37</v>
      </c>
    </row>
    <row r="3094" spans="1:10" ht="21" customHeight="1">
      <c r="A3094" s="2" t="s">
        <v>4089</v>
      </c>
      <c r="B3094" s="2" t="s">
        <v>37</v>
      </c>
      <c r="C3094" s="4">
        <v>45830.25</v>
      </c>
      <c r="D3094" s="4">
        <v>45830.250379421297</v>
      </c>
      <c r="E3094" s="2">
        <v>3.8</v>
      </c>
      <c r="F3094" s="2">
        <v>77.8</v>
      </c>
      <c r="G3094" s="2" t="s">
        <v>983</v>
      </c>
      <c r="H3094" s="2" t="s">
        <v>984</v>
      </c>
      <c r="I3094" s="2"/>
      <c r="J3094" s="2" t="s">
        <v>37</v>
      </c>
    </row>
    <row r="3095" spans="1:10" ht="21" customHeight="1">
      <c r="A3095" s="2" t="s">
        <v>4090</v>
      </c>
      <c r="B3095" s="2" t="s">
        <v>37</v>
      </c>
      <c r="C3095" s="4">
        <v>45831.25</v>
      </c>
      <c r="D3095" s="4">
        <v>45831.250058854166</v>
      </c>
      <c r="E3095" s="2">
        <v>3.51</v>
      </c>
      <c r="F3095" s="2">
        <v>76.8</v>
      </c>
      <c r="G3095" s="2" t="s">
        <v>983</v>
      </c>
      <c r="H3095" s="2" t="s">
        <v>984</v>
      </c>
      <c r="I3095" s="2"/>
      <c r="J3095" s="2" t="s">
        <v>37</v>
      </c>
    </row>
    <row r="3096" spans="1:10" ht="21" customHeight="1">
      <c r="A3096" s="2" t="s">
        <v>4091</v>
      </c>
      <c r="B3096" s="2" t="s">
        <v>37</v>
      </c>
      <c r="C3096" s="4">
        <v>45832.25</v>
      </c>
      <c r="D3096" s="4">
        <v>45832.250442465272</v>
      </c>
      <c r="E3096" s="2">
        <v>3.09</v>
      </c>
      <c r="F3096" s="2">
        <v>76.3</v>
      </c>
      <c r="G3096" s="2" t="s">
        <v>983</v>
      </c>
      <c r="H3096" s="2" t="s">
        <v>984</v>
      </c>
      <c r="I3096" s="2"/>
      <c r="J3096" s="2" t="s">
        <v>37</v>
      </c>
    </row>
    <row r="3097" spans="1:10" ht="21" customHeight="1">
      <c r="A3097" s="2" t="s">
        <v>4092</v>
      </c>
      <c r="B3097" s="2" t="s">
        <v>37</v>
      </c>
      <c r="C3097" s="4">
        <v>45833.25</v>
      </c>
      <c r="D3097" s="4">
        <v>45833.250167592589</v>
      </c>
      <c r="E3097" s="2">
        <v>3.57</v>
      </c>
      <c r="F3097" s="2">
        <v>75.7</v>
      </c>
      <c r="G3097" s="2" t="s">
        <v>983</v>
      </c>
      <c r="H3097" s="2" t="s">
        <v>984</v>
      </c>
      <c r="I3097" s="2"/>
      <c r="J3097" s="2" t="s">
        <v>37</v>
      </c>
    </row>
    <row r="3098" spans="1:10" ht="21" customHeight="1">
      <c r="A3098" s="2" t="s">
        <v>4093</v>
      </c>
      <c r="B3098" s="2" t="s">
        <v>37</v>
      </c>
      <c r="C3098" s="4">
        <v>45834.25</v>
      </c>
      <c r="D3098" s="4">
        <v>45834.250482291667</v>
      </c>
      <c r="E3098" s="2">
        <v>3.88</v>
      </c>
      <c r="F3098" s="2">
        <v>73.7</v>
      </c>
      <c r="G3098" s="2" t="s">
        <v>983</v>
      </c>
      <c r="H3098" s="2" t="s">
        <v>984</v>
      </c>
      <c r="I3098" s="2"/>
      <c r="J3098" s="2" t="s">
        <v>37</v>
      </c>
    </row>
    <row r="3099" spans="1:10" ht="21" customHeight="1">
      <c r="A3099" s="2" t="s">
        <v>4094</v>
      </c>
      <c r="B3099" s="2" t="s">
        <v>37</v>
      </c>
      <c r="C3099" s="4">
        <v>45835.25</v>
      </c>
      <c r="D3099" s="4">
        <v>45835.250654074072</v>
      </c>
      <c r="E3099" s="2">
        <v>2.89</v>
      </c>
      <c r="F3099" s="2">
        <v>76.900000000000006</v>
      </c>
      <c r="G3099" s="2" t="s">
        <v>983</v>
      </c>
      <c r="H3099" s="2" t="s">
        <v>984</v>
      </c>
      <c r="I3099" s="2"/>
      <c r="J3099" s="2" t="s">
        <v>37</v>
      </c>
    </row>
    <row r="3100" spans="1:10" ht="21" customHeight="1">
      <c r="A3100" s="2" t="s">
        <v>4095</v>
      </c>
      <c r="B3100" s="2" t="s">
        <v>37</v>
      </c>
      <c r="C3100" s="4">
        <v>45836.25</v>
      </c>
      <c r="D3100" s="4">
        <v>45836.250583587964</v>
      </c>
      <c r="E3100" s="2">
        <v>3.86</v>
      </c>
      <c r="F3100" s="2">
        <v>75.2</v>
      </c>
      <c r="G3100" s="2" t="s">
        <v>983</v>
      </c>
      <c r="H3100" s="2" t="s">
        <v>984</v>
      </c>
      <c r="I3100" s="2"/>
      <c r="J3100" s="2" t="s">
        <v>37</v>
      </c>
    </row>
    <row r="3101" spans="1:10" ht="21" customHeight="1">
      <c r="A3101" s="2" t="s">
        <v>4096</v>
      </c>
      <c r="B3101" s="2" t="s">
        <v>37</v>
      </c>
      <c r="C3101" s="4">
        <v>45837.25</v>
      </c>
      <c r="D3101" s="4">
        <v>45837.250247835647</v>
      </c>
      <c r="E3101" s="2">
        <v>3.87</v>
      </c>
      <c r="F3101" s="2">
        <v>78.599999999999994</v>
      </c>
      <c r="G3101" s="2" t="s">
        <v>983</v>
      </c>
      <c r="H3101" s="2" t="s">
        <v>984</v>
      </c>
      <c r="I3101" s="2"/>
      <c r="J3101" s="2" t="s">
        <v>37</v>
      </c>
    </row>
    <row r="3102" spans="1:10" ht="21" customHeight="1">
      <c r="A3102" s="2" t="s">
        <v>4097</v>
      </c>
      <c r="B3102" s="2" t="s">
        <v>37</v>
      </c>
      <c r="C3102" s="4">
        <v>45838.25</v>
      </c>
      <c r="D3102" s="4">
        <v>45838.250511238424</v>
      </c>
      <c r="E3102" s="2">
        <v>3.72</v>
      </c>
      <c r="F3102" s="2">
        <v>77.3</v>
      </c>
      <c r="G3102" s="2" t="s">
        <v>983</v>
      </c>
      <c r="H3102" s="2" t="s">
        <v>984</v>
      </c>
      <c r="I3102" s="2"/>
      <c r="J3102" s="2" t="s">
        <v>37</v>
      </c>
    </row>
    <row r="3103" spans="1:10" ht="21" customHeight="1">
      <c r="A3103" s="2" t="s">
        <v>4098</v>
      </c>
      <c r="B3103" s="2" t="s">
        <v>37</v>
      </c>
      <c r="C3103" s="4">
        <v>45839.25</v>
      </c>
      <c r="D3103" s="4">
        <v>45839.250008078699</v>
      </c>
      <c r="E3103" s="2">
        <v>3.68</v>
      </c>
      <c r="F3103" s="2">
        <v>72.3</v>
      </c>
      <c r="G3103" s="2" t="s">
        <v>983</v>
      </c>
      <c r="H3103" s="2" t="s">
        <v>984</v>
      </c>
      <c r="I3103" s="2"/>
      <c r="J3103" s="2" t="s">
        <v>37</v>
      </c>
    </row>
    <row r="3104" spans="1:10" ht="21" customHeight="1">
      <c r="A3104" s="2" t="s">
        <v>4099</v>
      </c>
      <c r="B3104" s="2" t="s">
        <v>37</v>
      </c>
      <c r="C3104" s="4">
        <v>45840.25</v>
      </c>
      <c r="D3104" s="4">
        <v>45840.250678124998</v>
      </c>
      <c r="E3104" s="2">
        <v>3.87</v>
      </c>
      <c r="F3104" s="2">
        <v>72.5</v>
      </c>
      <c r="G3104" s="2" t="s">
        <v>983</v>
      </c>
      <c r="H3104" s="2" t="s">
        <v>984</v>
      </c>
      <c r="I3104" s="2"/>
      <c r="J3104" s="2" t="s">
        <v>37</v>
      </c>
    </row>
    <row r="3105" spans="1:10" ht="21" customHeight="1">
      <c r="A3105" s="2" t="s">
        <v>4100</v>
      </c>
      <c r="B3105" s="2" t="s">
        <v>37</v>
      </c>
      <c r="C3105" s="4">
        <v>45841.25</v>
      </c>
      <c r="D3105" s="4">
        <v>45841.250307442126</v>
      </c>
      <c r="E3105" s="2">
        <v>3.67</v>
      </c>
      <c r="F3105" s="2">
        <v>74.3</v>
      </c>
      <c r="G3105" s="2" t="s">
        <v>983</v>
      </c>
      <c r="H3105" s="2" t="s">
        <v>984</v>
      </c>
      <c r="I3105" s="2"/>
      <c r="J3105" s="2" t="s">
        <v>37</v>
      </c>
    </row>
    <row r="3106" spans="1:10" ht="21" customHeight="1">
      <c r="A3106" s="2" t="s">
        <v>4101</v>
      </c>
      <c r="B3106" s="2" t="s">
        <v>37</v>
      </c>
      <c r="C3106" s="4">
        <v>45842.25</v>
      </c>
      <c r="D3106" s="4">
        <v>45842.250602175925</v>
      </c>
      <c r="E3106" s="2">
        <v>3.38</v>
      </c>
      <c r="F3106" s="2">
        <v>78.3</v>
      </c>
      <c r="G3106" s="2" t="s">
        <v>983</v>
      </c>
      <c r="H3106" s="2" t="s">
        <v>984</v>
      </c>
      <c r="I3106" s="2"/>
      <c r="J3106" s="2" t="s">
        <v>37</v>
      </c>
    </row>
    <row r="3107" spans="1:10" ht="21" customHeight="1">
      <c r="A3107" s="2" t="s">
        <v>4102</v>
      </c>
      <c r="B3107" s="2" t="s">
        <v>37</v>
      </c>
      <c r="C3107" s="4">
        <v>45843.25</v>
      </c>
      <c r="D3107" s="4">
        <v>45843.250540520836</v>
      </c>
      <c r="E3107" s="2">
        <v>3.15</v>
      </c>
      <c r="F3107" s="2">
        <v>75.900000000000006</v>
      </c>
      <c r="G3107" s="2" t="s">
        <v>983</v>
      </c>
      <c r="H3107" s="2" t="s">
        <v>984</v>
      </c>
      <c r="I3107" s="2"/>
      <c r="J3107" s="2" t="s">
        <v>37</v>
      </c>
    </row>
    <row r="3108" spans="1:10" ht="21" customHeight="1">
      <c r="A3108" s="2" t="s">
        <v>4103</v>
      </c>
      <c r="B3108" s="2" t="s">
        <v>37</v>
      </c>
      <c r="C3108" s="4">
        <v>45844.25</v>
      </c>
      <c r="D3108" s="4">
        <v>45844.250452870372</v>
      </c>
      <c r="E3108" s="2">
        <v>3.02</v>
      </c>
      <c r="F3108" s="2">
        <v>75.8</v>
      </c>
      <c r="G3108" s="2" t="s">
        <v>983</v>
      </c>
      <c r="H3108" s="2" t="s">
        <v>984</v>
      </c>
      <c r="I3108" s="2"/>
      <c r="J3108" s="2" t="s">
        <v>37</v>
      </c>
    </row>
    <row r="3109" spans="1:10" ht="21" customHeight="1">
      <c r="A3109" s="2" t="s">
        <v>4104</v>
      </c>
      <c r="B3109" s="2" t="s">
        <v>37</v>
      </c>
      <c r="C3109" s="4">
        <v>45845.25</v>
      </c>
      <c r="D3109" s="4">
        <v>45845.250314386576</v>
      </c>
      <c r="E3109" s="2">
        <v>3.18</v>
      </c>
      <c r="F3109" s="2">
        <v>78</v>
      </c>
      <c r="G3109" s="2" t="s">
        <v>983</v>
      </c>
      <c r="H3109" s="2" t="s">
        <v>984</v>
      </c>
      <c r="I3109" s="2" t="s">
        <v>985</v>
      </c>
      <c r="J3109" s="2" t="s">
        <v>37</v>
      </c>
    </row>
    <row r="3110" spans="1:10" ht="21" customHeight="1">
      <c r="A3110" s="2" t="s">
        <v>4105</v>
      </c>
      <c r="B3110" s="2" t="s">
        <v>37</v>
      </c>
      <c r="C3110" s="4">
        <v>45846.25</v>
      </c>
      <c r="D3110" s="4">
        <v>45846.250678506942</v>
      </c>
      <c r="E3110" s="2">
        <v>3.5</v>
      </c>
      <c r="F3110" s="2">
        <v>74.2</v>
      </c>
      <c r="G3110" s="2" t="s">
        <v>983</v>
      </c>
      <c r="H3110" s="2" t="s">
        <v>984</v>
      </c>
      <c r="I3110" s="2"/>
      <c r="J3110" s="2" t="s">
        <v>37</v>
      </c>
    </row>
    <row r="3111" spans="1:10" ht="21" customHeight="1">
      <c r="A3111" s="2" t="s">
        <v>4106</v>
      </c>
      <c r="B3111" s="2" t="s">
        <v>37</v>
      </c>
      <c r="C3111" s="4">
        <v>45847.25</v>
      </c>
      <c r="D3111" s="4">
        <v>45847.250390300927</v>
      </c>
      <c r="E3111" s="2">
        <v>2.8</v>
      </c>
      <c r="F3111" s="2">
        <v>72.2</v>
      </c>
      <c r="G3111" s="2" t="s">
        <v>983</v>
      </c>
      <c r="H3111" s="2" t="s">
        <v>984</v>
      </c>
      <c r="I3111" s="2"/>
      <c r="J3111" s="2" t="s">
        <v>37</v>
      </c>
    </row>
    <row r="3112" spans="1:10" ht="21" customHeight="1">
      <c r="A3112" s="2" t="s">
        <v>4107</v>
      </c>
      <c r="B3112" s="2" t="s">
        <v>37</v>
      </c>
      <c r="C3112" s="4">
        <v>45848.25</v>
      </c>
      <c r="D3112" s="4">
        <v>45848.250053148149</v>
      </c>
      <c r="E3112" s="2">
        <v>3.07</v>
      </c>
      <c r="F3112" s="2">
        <v>78.3</v>
      </c>
      <c r="G3112" s="2" t="s">
        <v>983</v>
      </c>
      <c r="H3112" s="2" t="s">
        <v>984</v>
      </c>
      <c r="I3112" s="2"/>
      <c r="J3112" s="2" t="s">
        <v>37</v>
      </c>
    </row>
    <row r="3113" spans="1:10" ht="21" customHeight="1">
      <c r="A3113" s="2" t="s">
        <v>4108</v>
      </c>
      <c r="B3113" s="2" t="s">
        <v>37</v>
      </c>
      <c r="C3113" s="4">
        <v>45849.25</v>
      </c>
      <c r="D3113" s="4">
        <v>45849.250339409722</v>
      </c>
      <c r="E3113" s="2">
        <v>3.16</v>
      </c>
      <c r="F3113" s="2">
        <v>72</v>
      </c>
      <c r="G3113" s="2" t="s">
        <v>983</v>
      </c>
      <c r="H3113" s="2" t="s">
        <v>984</v>
      </c>
      <c r="I3113" s="2"/>
      <c r="J3113" s="2" t="s">
        <v>37</v>
      </c>
    </row>
    <row r="3114" spans="1:10" ht="21" customHeight="1">
      <c r="A3114" s="2" t="s">
        <v>4109</v>
      </c>
      <c r="B3114" s="2" t="s">
        <v>37</v>
      </c>
      <c r="C3114" s="4">
        <v>45850.25</v>
      </c>
      <c r="D3114" s="4">
        <v>45850.250113518516</v>
      </c>
      <c r="E3114" s="2">
        <v>3.92</v>
      </c>
      <c r="F3114" s="2">
        <v>79.099999999999994</v>
      </c>
      <c r="G3114" s="2" t="s">
        <v>983</v>
      </c>
      <c r="H3114" s="2" t="s">
        <v>984</v>
      </c>
      <c r="I3114" s="2"/>
      <c r="J3114" s="2" t="s">
        <v>37</v>
      </c>
    </row>
    <row r="3115" spans="1:10" ht="21" customHeight="1">
      <c r="A3115" s="2" t="s">
        <v>4110</v>
      </c>
      <c r="B3115" s="2" t="s">
        <v>37</v>
      </c>
      <c r="C3115" s="4">
        <v>45851.25</v>
      </c>
      <c r="D3115" s="4">
        <v>45851.25029207176</v>
      </c>
      <c r="E3115" s="2">
        <v>3.95</v>
      </c>
      <c r="F3115" s="2">
        <v>78.7</v>
      </c>
      <c r="G3115" s="2" t="s">
        <v>983</v>
      </c>
      <c r="H3115" s="2" t="s">
        <v>984</v>
      </c>
      <c r="I3115" s="2"/>
      <c r="J3115" s="2" t="s">
        <v>37</v>
      </c>
    </row>
    <row r="3116" spans="1:10" ht="21" customHeight="1">
      <c r="A3116" s="2" t="s">
        <v>4111</v>
      </c>
      <c r="B3116" s="2" t="s">
        <v>37</v>
      </c>
      <c r="C3116" s="4">
        <v>45852.25</v>
      </c>
      <c r="D3116" s="4">
        <v>45852.250408020831</v>
      </c>
      <c r="E3116" s="2">
        <v>3.07</v>
      </c>
      <c r="F3116" s="2">
        <v>73.7</v>
      </c>
      <c r="G3116" s="2" t="s">
        <v>983</v>
      </c>
      <c r="H3116" s="2" t="s">
        <v>984</v>
      </c>
      <c r="I3116" s="2"/>
      <c r="J3116" s="2" t="s">
        <v>37</v>
      </c>
    </row>
    <row r="3117" spans="1:10" ht="21" customHeight="1">
      <c r="A3117" s="2" t="s">
        <v>4112</v>
      </c>
      <c r="B3117" s="2" t="s">
        <v>37</v>
      </c>
      <c r="C3117" s="4">
        <v>45853.25</v>
      </c>
      <c r="D3117" s="4">
        <v>45853.25058201389</v>
      </c>
      <c r="E3117" s="2">
        <v>3.47</v>
      </c>
      <c r="F3117" s="2">
        <v>75.099999999999994</v>
      </c>
      <c r="G3117" s="2" t="s">
        <v>983</v>
      </c>
      <c r="H3117" s="2" t="s">
        <v>984</v>
      </c>
      <c r="I3117" s="2"/>
      <c r="J3117" s="2" t="s">
        <v>37</v>
      </c>
    </row>
    <row r="3118" spans="1:10" ht="21" customHeight="1">
      <c r="A3118" s="2" t="s">
        <v>4113</v>
      </c>
      <c r="B3118" s="2" t="s">
        <v>3949</v>
      </c>
      <c r="C3118" s="4">
        <v>45854.25</v>
      </c>
      <c r="D3118" s="4">
        <v>45854.250580729167</v>
      </c>
      <c r="E3118" s="2">
        <v>3.04</v>
      </c>
      <c r="F3118" s="2">
        <v>79.599999999999994</v>
      </c>
      <c r="G3118" s="2" t="s">
        <v>983</v>
      </c>
      <c r="H3118" s="2" t="s">
        <v>984</v>
      </c>
      <c r="I3118" s="2"/>
      <c r="J3118" s="2" t="s">
        <v>37</v>
      </c>
    </row>
    <row r="3119" spans="1:10" ht="21" customHeight="1">
      <c r="A3119" s="2" t="s">
        <v>4114</v>
      </c>
      <c r="B3119" s="2" t="s">
        <v>37</v>
      </c>
      <c r="C3119" s="4">
        <v>45855.25</v>
      </c>
      <c r="D3119" s="4">
        <v>45855.250693159724</v>
      </c>
      <c r="E3119" s="2">
        <v>2.98</v>
      </c>
      <c r="F3119" s="2">
        <v>75.8</v>
      </c>
      <c r="G3119" s="2" t="s">
        <v>983</v>
      </c>
      <c r="H3119" s="2" t="s">
        <v>984</v>
      </c>
      <c r="I3119" s="2"/>
      <c r="J3119" s="2" t="s">
        <v>37</v>
      </c>
    </row>
    <row r="3120" spans="1:10" ht="21" customHeight="1">
      <c r="A3120" s="2" t="s">
        <v>4115</v>
      </c>
      <c r="B3120" s="2" t="s">
        <v>37</v>
      </c>
      <c r="C3120" s="4">
        <v>45856.25</v>
      </c>
      <c r="D3120" s="4">
        <v>45856.250126689818</v>
      </c>
      <c r="E3120" s="2">
        <v>3.03</v>
      </c>
      <c r="F3120" s="2">
        <v>76.5</v>
      </c>
      <c r="G3120" s="2" t="s">
        <v>983</v>
      </c>
      <c r="H3120" s="2" t="s">
        <v>984</v>
      </c>
      <c r="I3120" s="2"/>
      <c r="J3120" s="2" t="s">
        <v>37</v>
      </c>
    </row>
    <row r="3121" spans="1:10" ht="21" customHeight="1">
      <c r="A3121" s="2" t="s">
        <v>4116</v>
      </c>
      <c r="B3121" s="2" t="s">
        <v>37</v>
      </c>
      <c r="C3121" s="4">
        <v>45857.25</v>
      </c>
      <c r="D3121" s="4">
        <v>45857.250322870372</v>
      </c>
      <c r="E3121" s="2"/>
      <c r="F3121" s="2"/>
      <c r="G3121" s="2" t="s">
        <v>983</v>
      </c>
      <c r="H3121" s="2" t="s">
        <v>1066</v>
      </c>
      <c r="I3121" s="2"/>
      <c r="J3121" s="2" t="s">
        <v>37</v>
      </c>
    </row>
    <row r="3122" spans="1:10" ht="21" customHeight="1">
      <c r="A3122" s="2" t="s">
        <v>4117</v>
      </c>
      <c r="B3122" s="2" t="s">
        <v>37</v>
      </c>
      <c r="C3122" s="4">
        <v>45858.25</v>
      </c>
      <c r="D3122" s="4">
        <v>45858.250037199075</v>
      </c>
      <c r="E3122" s="2">
        <v>2.97</v>
      </c>
      <c r="F3122" s="2">
        <v>77.900000000000006</v>
      </c>
      <c r="G3122" s="2" t="s">
        <v>983</v>
      </c>
      <c r="H3122" s="2" t="s">
        <v>984</v>
      </c>
      <c r="I3122" s="2"/>
      <c r="J3122" s="2" t="s">
        <v>37</v>
      </c>
    </row>
    <row r="3123" spans="1:10" ht="21" customHeight="1">
      <c r="A3123" s="2" t="s">
        <v>4118</v>
      </c>
      <c r="B3123" s="2" t="s">
        <v>37</v>
      </c>
      <c r="C3123" s="4">
        <v>45859.25</v>
      </c>
      <c r="D3123" s="4">
        <v>45859.250623680557</v>
      </c>
      <c r="E3123" s="2">
        <v>3.69</v>
      </c>
      <c r="F3123" s="2">
        <v>72.8</v>
      </c>
      <c r="G3123" s="2" t="s">
        <v>983</v>
      </c>
      <c r="H3123" s="2" t="s">
        <v>984</v>
      </c>
      <c r="I3123" s="2"/>
      <c r="J3123" s="2" t="s">
        <v>37</v>
      </c>
    </row>
    <row r="3124" spans="1:10" ht="21" customHeight="1">
      <c r="A3124" s="2" t="s">
        <v>4119</v>
      </c>
      <c r="B3124" s="2" t="s">
        <v>37</v>
      </c>
      <c r="C3124" s="4">
        <v>45860.25</v>
      </c>
      <c r="D3124" s="4">
        <v>45860.250568888892</v>
      </c>
      <c r="E3124" s="2">
        <v>3.55</v>
      </c>
      <c r="F3124" s="2">
        <v>74</v>
      </c>
      <c r="G3124" s="2" t="s">
        <v>983</v>
      </c>
      <c r="H3124" s="2" t="s">
        <v>984</v>
      </c>
      <c r="I3124" s="2"/>
      <c r="J3124" s="2" t="s">
        <v>37</v>
      </c>
    </row>
    <row r="3125" spans="1:10" ht="21" customHeight="1">
      <c r="A3125" s="2" t="s">
        <v>4120</v>
      </c>
      <c r="B3125" s="2" t="s">
        <v>37</v>
      </c>
      <c r="C3125" s="4">
        <v>45861.25</v>
      </c>
      <c r="D3125" s="4">
        <v>45861.250110497684</v>
      </c>
      <c r="E3125" s="2">
        <v>3.98</v>
      </c>
      <c r="F3125" s="2">
        <v>74.8</v>
      </c>
      <c r="G3125" s="2" t="s">
        <v>983</v>
      </c>
      <c r="H3125" s="2" t="s">
        <v>984</v>
      </c>
      <c r="I3125" s="2"/>
      <c r="J3125" s="2" t="s">
        <v>37</v>
      </c>
    </row>
    <row r="3126" spans="1:10" ht="21" customHeight="1">
      <c r="A3126" s="2" t="s">
        <v>4121</v>
      </c>
      <c r="B3126" s="2" t="s">
        <v>37</v>
      </c>
      <c r="C3126" s="4">
        <v>45862.25</v>
      </c>
      <c r="D3126" s="4">
        <v>45862.250680567129</v>
      </c>
      <c r="E3126" s="2">
        <v>3.93</v>
      </c>
      <c r="F3126" s="2">
        <v>76.099999999999994</v>
      </c>
      <c r="G3126" s="2" t="s">
        <v>983</v>
      </c>
      <c r="H3126" s="2" t="s">
        <v>984</v>
      </c>
      <c r="I3126" s="2" t="s">
        <v>985</v>
      </c>
      <c r="J3126" s="2" t="s">
        <v>37</v>
      </c>
    </row>
    <row r="3127" spans="1:10" ht="21" customHeight="1">
      <c r="A3127" s="2" t="s">
        <v>4122</v>
      </c>
      <c r="B3127" s="2" t="s">
        <v>37</v>
      </c>
      <c r="C3127" s="4">
        <v>45863.25</v>
      </c>
      <c r="D3127" s="4">
        <v>45863.250273437501</v>
      </c>
      <c r="E3127" s="2">
        <v>20.9</v>
      </c>
      <c r="F3127" s="2">
        <v>74.7</v>
      </c>
      <c r="G3127" s="2" t="s">
        <v>983</v>
      </c>
      <c r="H3127" s="2" t="s">
        <v>1022</v>
      </c>
      <c r="I3127" s="2"/>
      <c r="J3127" s="2" t="s">
        <v>37</v>
      </c>
    </row>
    <row r="3128" spans="1:10" ht="21" customHeight="1">
      <c r="A3128" s="2" t="s">
        <v>4123</v>
      </c>
      <c r="B3128" s="2" t="s">
        <v>37</v>
      </c>
      <c r="C3128" s="4">
        <v>45864.25</v>
      </c>
      <c r="D3128" s="4">
        <v>45864.250201041665</v>
      </c>
      <c r="E3128" s="2">
        <v>3.39</v>
      </c>
      <c r="F3128" s="2">
        <v>77.3</v>
      </c>
      <c r="G3128" s="2" t="s">
        <v>983</v>
      </c>
      <c r="H3128" s="2" t="s">
        <v>984</v>
      </c>
      <c r="I3128" s="2"/>
      <c r="J3128" s="2" t="s">
        <v>37</v>
      </c>
    </row>
    <row r="3129" spans="1:10" ht="21" customHeight="1">
      <c r="A3129" s="2" t="s">
        <v>4124</v>
      </c>
      <c r="B3129" s="2" t="s">
        <v>37</v>
      </c>
      <c r="C3129" s="4">
        <v>45865.25</v>
      </c>
      <c r="D3129" s="4">
        <v>45865.250421840276</v>
      </c>
      <c r="E3129" s="2">
        <v>3.39</v>
      </c>
      <c r="F3129" s="2">
        <v>75.7</v>
      </c>
      <c r="G3129" s="2" t="s">
        <v>983</v>
      </c>
      <c r="H3129" s="2" t="s">
        <v>984</v>
      </c>
      <c r="I3129" s="2"/>
      <c r="J3129" s="2" t="s">
        <v>37</v>
      </c>
    </row>
    <row r="3130" spans="1:10" ht="21" customHeight="1">
      <c r="A3130" s="2" t="s">
        <v>4125</v>
      </c>
      <c r="B3130" s="2" t="s">
        <v>37</v>
      </c>
      <c r="C3130" s="4">
        <v>45866.25</v>
      </c>
      <c r="D3130" s="4">
        <v>45866.250535254629</v>
      </c>
      <c r="E3130" s="2">
        <v>3.26</v>
      </c>
      <c r="F3130" s="2">
        <v>75.5</v>
      </c>
      <c r="G3130" s="2" t="s">
        <v>983</v>
      </c>
      <c r="H3130" s="2" t="s">
        <v>984</v>
      </c>
      <c r="I3130" s="2"/>
      <c r="J3130" s="2" t="s">
        <v>37</v>
      </c>
    </row>
    <row r="3131" spans="1:10" ht="21" customHeight="1">
      <c r="A3131" s="2" t="s">
        <v>4126</v>
      </c>
      <c r="B3131" s="2" t="s">
        <v>37</v>
      </c>
      <c r="C3131" s="4">
        <v>45867.25</v>
      </c>
      <c r="D3131" s="4">
        <v>45867.250358159727</v>
      </c>
      <c r="E3131" s="2">
        <v>3.87</v>
      </c>
      <c r="F3131" s="2">
        <v>78.599999999999994</v>
      </c>
      <c r="G3131" s="2" t="s">
        <v>983</v>
      </c>
      <c r="H3131" s="2" t="s">
        <v>984</v>
      </c>
      <c r="I3131" s="2"/>
      <c r="J3131" s="2" t="s">
        <v>37</v>
      </c>
    </row>
    <row r="3132" spans="1:10" ht="21" customHeight="1">
      <c r="A3132" s="2" t="s">
        <v>4127</v>
      </c>
      <c r="B3132" s="2" t="s">
        <v>37</v>
      </c>
      <c r="C3132" s="4">
        <v>45868.25</v>
      </c>
      <c r="D3132" s="4">
        <v>45868.250031087962</v>
      </c>
      <c r="E3132" s="2">
        <v>2.83</v>
      </c>
      <c r="F3132" s="2">
        <v>77.8</v>
      </c>
      <c r="G3132" s="2" t="s">
        <v>983</v>
      </c>
      <c r="H3132" s="2" t="s">
        <v>984</v>
      </c>
      <c r="I3132" s="2"/>
      <c r="J3132" s="2" t="s">
        <v>37</v>
      </c>
    </row>
    <row r="3133" spans="1:10" ht="21" customHeight="1">
      <c r="A3133" s="2" t="s">
        <v>4128</v>
      </c>
      <c r="B3133" s="2" t="s">
        <v>37</v>
      </c>
      <c r="C3133" s="4">
        <v>45869.25</v>
      </c>
      <c r="D3133" s="4">
        <v>45869.250372546296</v>
      </c>
      <c r="E3133" s="2">
        <v>3.99</v>
      </c>
      <c r="F3133" s="2">
        <v>77</v>
      </c>
      <c r="G3133" s="2" t="s">
        <v>983</v>
      </c>
      <c r="H3133" s="2" t="s">
        <v>984</v>
      </c>
      <c r="I3133" s="2"/>
      <c r="J3133" s="2" t="s">
        <v>37</v>
      </c>
    </row>
    <row r="3134" spans="1:10" ht="21" customHeight="1">
      <c r="A3134" s="2" t="s">
        <v>4129</v>
      </c>
      <c r="B3134" s="2" t="s">
        <v>37</v>
      </c>
      <c r="C3134" s="4">
        <v>45870.25</v>
      </c>
      <c r="D3134" s="4">
        <v>45870.250504837968</v>
      </c>
      <c r="E3134" s="2">
        <v>3.83</v>
      </c>
      <c r="F3134" s="2">
        <v>77.3</v>
      </c>
      <c r="G3134" s="2" t="s">
        <v>983</v>
      </c>
      <c r="H3134" s="2" t="s">
        <v>984</v>
      </c>
      <c r="I3134" s="2"/>
      <c r="J3134" s="2" t="s">
        <v>37</v>
      </c>
    </row>
    <row r="3135" spans="1:10" ht="21" customHeight="1">
      <c r="A3135" s="2" t="s">
        <v>4130</v>
      </c>
      <c r="B3135" s="2" t="s">
        <v>37</v>
      </c>
      <c r="C3135" s="4">
        <v>45871.25</v>
      </c>
      <c r="D3135" s="4">
        <v>45871.25033524305</v>
      </c>
      <c r="E3135" s="2">
        <v>7.72</v>
      </c>
      <c r="F3135" s="2">
        <v>86.9</v>
      </c>
      <c r="G3135" s="2" t="s">
        <v>983</v>
      </c>
      <c r="H3135" s="2" t="s">
        <v>984</v>
      </c>
      <c r="I3135" s="2"/>
      <c r="J3135" s="2" t="s">
        <v>37</v>
      </c>
    </row>
    <row r="3136" spans="1:10" ht="21" customHeight="1">
      <c r="A3136" s="2" t="s">
        <v>4131</v>
      </c>
      <c r="B3136" s="2" t="s">
        <v>37</v>
      </c>
      <c r="C3136" s="4">
        <v>45872.25</v>
      </c>
      <c r="D3136" s="4">
        <v>45872.250012025463</v>
      </c>
      <c r="E3136" s="2">
        <v>6.38</v>
      </c>
      <c r="F3136" s="2">
        <v>86.3</v>
      </c>
      <c r="G3136" s="2" t="s">
        <v>983</v>
      </c>
      <c r="H3136" s="2" t="s">
        <v>984</v>
      </c>
      <c r="I3136" s="2" t="s">
        <v>1053</v>
      </c>
      <c r="J3136" s="2" t="s">
        <v>37</v>
      </c>
    </row>
    <row r="3137" spans="1:10" ht="21" customHeight="1">
      <c r="A3137" s="2" t="s">
        <v>4132</v>
      </c>
      <c r="B3137" s="2" t="s">
        <v>37</v>
      </c>
      <c r="C3137" s="4">
        <v>45873.25</v>
      </c>
      <c r="D3137" s="4">
        <v>45873.250693657406</v>
      </c>
      <c r="E3137" s="2">
        <v>5.18</v>
      </c>
      <c r="F3137" s="2">
        <v>82</v>
      </c>
      <c r="G3137" s="2" t="s">
        <v>983</v>
      </c>
      <c r="H3137" s="2" t="s">
        <v>984</v>
      </c>
      <c r="I3137" s="2"/>
      <c r="J3137" s="2" t="s">
        <v>37</v>
      </c>
    </row>
    <row r="3138" spans="1:10" ht="21" customHeight="1">
      <c r="A3138" s="2" t="s">
        <v>4133</v>
      </c>
      <c r="B3138" s="2" t="s">
        <v>37</v>
      </c>
      <c r="C3138" s="4">
        <v>45874.25</v>
      </c>
      <c r="D3138" s="4">
        <v>45874.250158078707</v>
      </c>
      <c r="E3138" s="2">
        <v>3.36</v>
      </c>
      <c r="F3138" s="2">
        <v>79.3</v>
      </c>
      <c r="G3138" s="2" t="s">
        <v>983</v>
      </c>
      <c r="H3138" s="2" t="s">
        <v>984</v>
      </c>
      <c r="I3138" s="2"/>
      <c r="J3138" s="2" t="s">
        <v>37</v>
      </c>
    </row>
    <row r="3139" spans="1:10" ht="21" customHeight="1">
      <c r="A3139" s="2" t="s">
        <v>4134</v>
      </c>
      <c r="B3139" s="2" t="s">
        <v>37</v>
      </c>
      <c r="C3139" s="4">
        <v>45875.25</v>
      </c>
      <c r="D3139" s="4">
        <v>45875.250207314813</v>
      </c>
      <c r="E3139" s="2">
        <v>2.93</v>
      </c>
      <c r="F3139" s="2">
        <v>74.3</v>
      </c>
      <c r="G3139" s="2" t="s">
        <v>983</v>
      </c>
      <c r="H3139" s="2" t="s">
        <v>984</v>
      </c>
      <c r="I3139" s="2"/>
      <c r="J3139" s="2" t="s">
        <v>37</v>
      </c>
    </row>
    <row r="3140" spans="1:10" ht="21" customHeight="1">
      <c r="A3140" s="2" t="s">
        <v>4135</v>
      </c>
      <c r="B3140" s="2" t="s">
        <v>37</v>
      </c>
      <c r="C3140" s="4">
        <v>45876.25</v>
      </c>
      <c r="D3140" s="4">
        <v>45876.250077974539</v>
      </c>
      <c r="E3140" s="2">
        <v>3.59</v>
      </c>
      <c r="F3140" s="2">
        <v>75.7</v>
      </c>
      <c r="G3140" s="2" t="s">
        <v>983</v>
      </c>
      <c r="H3140" s="2" t="s">
        <v>984</v>
      </c>
      <c r="I3140" s="2"/>
      <c r="J3140" s="2" t="s">
        <v>37</v>
      </c>
    </row>
    <row r="3141" spans="1:10" ht="21" customHeight="1">
      <c r="A3141" s="2" t="s">
        <v>4136</v>
      </c>
      <c r="B3141" s="2" t="s">
        <v>37</v>
      </c>
      <c r="C3141" s="4">
        <v>45877.25</v>
      </c>
      <c r="D3141" s="4">
        <v>45877.250611875003</v>
      </c>
      <c r="E3141" s="2">
        <v>3.98</v>
      </c>
      <c r="F3141" s="2">
        <v>78.599999999999994</v>
      </c>
      <c r="G3141" s="2" t="s">
        <v>983</v>
      </c>
      <c r="H3141" s="2" t="s">
        <v>984</v>
      </c>
      <c r="I3141" s="2"/>
      <c r="J3141" s="2" t="s">
        <v>37</v>
      </c>
    </row>
    <row r="3142" spans="1:10" ht="21" customHeight="1">
      <c r="A3142" s="2" t="s">
        <v>4137</v>
      </c>
      <c r="B3142" s="2" t="s">
        <v>37</v>
      </c>
      <c r="C3142" s="4">
        <v>45878.25</v>
      </c>
      <c r="D3142" s="4">
        <v>45878.250214432876</v>
      </c>
      <c r="E3142" s="2">
        <v>3.33</v>
      </c>
      <c r="F3142" s="2">
        <v>73.099999999999994</v>
      </c>
      <c r="G3142" s="2" t="s">
        <v>983</v>
      </c>
      <c r="H3142" s="2" t="s">
        <v>984</v>
      </c>
      <c r="I3142" s="2"/>
      <c r="J3142" s="2" t="s">
        <v>37</v>
      </c>
    </row>
    <row r="3143" spans="1:10" ht="21" customHeight="1">
      <c r="A3143" s="2" t="s">
        <v>4138</v>
      </c>
      <c r="B3143" s="2" t="s">
        <v>37</v>
      </c>
      <c r="C3143" s="4">
        <v>45879.25</v>
      </c>
      <c r="D3143" s="4">
        <v>45879.250304594912</v>
      </c>
      <c r="E3143" s="2">
        <v>3.79</v>
      </c>
      <c r="F3143" s="2">
        <v>76.7</v>
      </c>
      <c r="G3143" s="2" t="s">
        <v>983</v>
      </c>
      <c r="H3143" s="2" t="s">
        <v>984</v>
      </c>
      <c r="I3143" s="2" t="s">
        <v>985</v>
      </c>
      <c r="J3143" s="2" t="s">
        <v>37</v>
      </c>
    </row>
    <row r="3144" spans="1:10" ht="21" customHeight="1">
      <c r="A3144" s="2" t="s">
        <v>4139</v>
      </c>
      <c r="B3144" s="2" t="s">
        <v>37</v>
      </c>
      <c r="C3144" s="4">
        <v>45880.25</v>
      </c>
      <c r="D3144" s="4">
        <v>45880.250068368056</v>
      </c>
      <c r="E3144" s="2">
        <v>3.82</v>
      </c>
      <c r="F3144" s="2">
        <v>77</v>
      </c>
      <c r="G3144" s="2" t="s">
        <v>983</v>
      </c>
      <c r="H3144" s="2" t="s">
        <v>984</v>
      </c>
      <c r="I3144" s="2"/>
      <c r="J3144" s="2" t="s">
        <v>37</v>
      </c>
    </row>
    <row r="3145" spans="1:10" ht="21" customHeight="1">
      <c r="A3145" s="2" t="s">
        <v>4140</v>
      </c>
      <c r="B3145" s="2" t="s">
        <v>37</v>
      </c>
      <c r="C3145" s="4">
        <v>45881.25</v>
      </c>
      <c r="D3145" s="4">
        <v>45881.250173773151</v>
      </c>
      <c r="E3145" s="2">
        <v>3.96</v>
      </c>
      <c r="F3145" s="2">
        <v>75.7</v>
      </c>
      <c r="G3145" s="2" t="s">
        <v>983</v>
      </c>
      <c r="H3145" s="2" t="s">
        <v>984</v>
      </c>
      <c r="I3145" s="2"/>
      <c r="J3145" s="2" t="s">
        <v>37</v>
      </c>
    </row>
    <row r="3146" spans="1:10" ht="21" customHeight="1">
      <c r="A3146" s="2" t="s">
        <v>4141</v>
      </c>
      <c r="B3146" s="2" t="s">
        <v>37</v>
      </c>
      <c r="C3146" s="4">
        <v>45882.25</v>
      </c>
      <c r="D3146" s="4">
        <v>45882.250199988426</v>
      </c>
      <c r="E3146" s="2">
        <v>2.88</v>
      </c>
      <c r="F3146" s="2">
        <v>76.599999999999994</v>
      </c>
      <c r="G3146" s="2" t="s">
        <v>983</v>
      </c>
      <c r="H3146" s="2" t="s">
        <v>984</v>
      </c>
      <c r="I3146" s="2"/>
      <c r="J3146" s="2" t="s">
        <v>37</v>
      </c>
    </row>
    <row r="3147" spans="1:10" ht="21" customHeight="1">
      <c r="A3147" s="2" t="s">
        <v>4142</v>
      </c>
      <c r="B3147" s="2" t="s">
        <v>37</v>
      </c>
      <c r="C3147" s="4">
        <v>45883.25</v>
      </c>
      <c r="D3147" s="4">
        <v>45883.250540104171</v>
      </c>
      <c r="E3147" s="2">
        <v>3.44</v>
      </c>
      <c r="F3147" s="2">
        <v>74</v>
      </c>
      <c r="G3147" s="2" t="s">
        <v>983</v>
      </c>
      <c r="H3147" s="2" t="s">
        <v>984</v>
      </c>
      <c r="I3147" s="2"/>
      <c r="J3147" s="2" t="s">
        <v>37</v>
      </c>
    </row>
    <row r="3148" spans="1:10" ht="21" customHeight="1">
      <c r="A3148" s="2" t="s">
        <v>4143</v>
      </c>
      <c r="B3148" s="2" t="s">
        <v>37</v>
      </c>
      <c r="C3148" s="4">
        <v>45884.25</v>
      </c>
      <c r="D3148" s="4">
        <v>45884.2506053588</v>
      </c>
      <c r="E3148" s="2">
        <v>3.04</v>
      </c>
      <c r="F3148" s="2">
        <v>78</v>
      </c>
      <c r="G3148" s="2" t="s">
        <v>983</v>
      </c>
      <c r="H3148" s="2" t="s">
        <v>984</v>
      </c>
      <c r="I3148" s="2"/>
      <c r="J3148" s="2" t="s">
        <v>37</v>
      </c>
    </row>
    <row r="3149" spans="1:10" ht="21" customHeight="1">
      <c r="A3149" s="2" t="s">
        <v>4144</v>
      </c>
      <c r="B3149" s="2" t="s">
        <v>37</v>
      </c>
      <c r="C3149" s="4">
        <v>45885.25</v>
      </c>
      <c r="D3149" s="4">
        <v>45885.250226018514</v>
      </c>
      <c r="E3149" s="2">
        <v>3.73</v>
      </c>
      <c r="F3149" s="2">
        <v>72.099999999999994</v>
      </c>
      <c r="G3149" s="2" t="s">
        <v>983</v>
      </c>
      <c r="H3149" s="2" t="s">
        <v>984</v>
      </c>
      <c r="I3149" s="2"/>
      <c r="J3149" s="2" t="s">
        <v>37</v>
      </c>
    </row>
    <row r="3150" spans="1:10" ht="21" customHeight="1">
      <c r="A3150" s="2" t="s">
        <v>4145</v>
      </c>
      <c r="B3150" s="2" t="s">
        <v>37</v>
      </c>
      <c r="C3150" s="4">
        <v>45886.25</v>
      </c>
      <c r="D3150" s="4">
        <v>45886.250623009255</v>
      </c>
      <c r="E3150" s="2">
        <v>7.78</v>
      </c>
      <c r="F3150" s="2">
        <v>80.400000000000006</v>
      </c>
      <c r="G3150" s="2" t="s">
        <v>983</v>
      </c>
      <c r="H3150" s="2" t="s">
        <v>984</v>
      </c>
      <c r="I3150" s="2" t="s">
        <v>1053</v>
      </c>
      <c r="J3150" s="2" t="s">
        <v>37</v>
      </c>
    </row>
    <row r="3151" spans="1:10" ht="21" customHeight="1">
      <c r="A3151" s="2" t="s">
        <v>4146</v>
      </c>
      <c r="B3151" s="2" t="s">
        <v>37</v>
      </c>
      <c r="C3151" s="4">
        <v>45887.25</v>
      </c>
      <c r="D3151" s="4">
        <v>45887.250403923608</v>
      </c>
      <c r="E3151" s="2">
        <v>6.06</v>
      </c>
      <c r="F3151" s="2">
        <v>83.5</v>
      </c>
      <c r="G3151" s="2" t="s">
        <v>983</v>
      </c>
      <c r="H3151" s="2" t="s">
        <v>984</v>
      </c>
      <c r="I3151" s="2"/>
      <c r="J3151" s="2" t="s">
        <v>37</v>
      </c>
    </row>
    <row r="3152" spans="1:10" ht="21" customHeight="1">
      <c r="A3152" s="2" t="s">
        <v>4147</v>
      </c>
      <c r="B3152" s="2" t="s">
        <v>37</v>
      </c>
      <c r="C3152" s="4">
        <v>45888.25</v>
      </c>
      <c r="D3152" s="4">
        <v>45888.250640949074</v>
      </c>
      <c r="E3152" s="2">
        <v>5.59</v>
      </c>
      <c r="F3152" s="2">
        <v>86.4</v>
      </c>
      <c r="G3152" s="2" t="s">
        <v>983</v>
      </c>
      <c r="H3152" s="2" t="s">
        <v>984</v>
      </c>
      <c r="I3152" s="2" t="s">
        <v>1053</v>
      </c>
      <c r="J3152" s="2" t="s">
        <v>37</v>
      </c>
    </row>
    <row r="3153" spans="1:10" ht="21" customHeight="1">
      <c r="A3153" s="2" t="s">
        <v>4148</v>
      </c>
      <c r="B3153" s="2" t="s">
        <v>37</v>
      </c>
      <c r="C3153" s="4">
        <v>45889.25</v>
      </c>
      <c r="D3153" s="4">
        <v>45889.250609166666</v>
      </c>
      <c r="E3153" s="2">
        <v>3.65</v>
      </c>
      <c r="F3153" s="2">
        <v>76.599999999999994</v>
      </c>
      <c r="G3153" s="2" t="s">
        <v>983</v>
      </c>
      <c r="H3153" s="2" t="s">
        <v>984</v>
      </c>
      <c r="I3153" s="2"/>
      <c r="J3153" s="2" t="s">
        <v>37</v>
      </c>
    </row>
    <row r="3154" spans="1:10" ht="21" customHeight="1">
      <c r="A3154" s="2" t="s">
        <v>4149</v>
      </c>
      <c r="B3154" s="2" t="s">
        <v>37</v>
      </c>
      <c r="C3154" s="4">
        <v>45890.25</v>
      </c>
      <c r="D3154" s="4">
        <v>45890.250684537037</v>
      </c>
      <c r="E3154" s="2">
        <v>3.58</v>
      </c>
      <c r="F3154" s="2">
        <v>78.599999999999994</v>
      </c>
      <c r="G3154" s="2" t="s">
        <v>983</v>
      </c>
      <c r="H3154" s="2" t="s">
        <v>984</v>
      </c>
      <c r="I3154" s="2"/>
      <c r="J3154" s="2" t="s">
        <v>37</v>
      </c>
    </row>
    <row r="3155" spans="1:10" ht="21" customHeight="1">
      <c r="A3155" s="2" t="s">
        <v>4150</v>
      </c>
      <c r="B3155" s="2" t="s">
        <v>37</v>
      </c>
      <c r="C3155" s="4">
        <v>45891.25</v>
      </c>
      <c r="D3155" s="4">
        <v>45891.250093333336</v>
      </c>
      <c r="E3155" s="2">
        <v>3.84</v>
      </c>
      <c r="F3155" s="2">
        <v>79.599999999999994</v>
      </c>
      <c r="G3155" s="2" t="s">
        <v>983</v>
      </c>
      <c r="H3155" s="2" t="s">
        <v>984</v>
      </c>
      <c r="I3155" s="2"/>
      <c r="J3155" s="2" t="s">
        <v>37</v>
      </c>
    </row>
    <row r="3156" spans="1:10" ht="21" customHeight="1">
      <c r="A3156" s="2" t="s">
        <v>4151</v>
      </c>
      <c r="B3156" s="2" t="s">
        <v>37</v>
      </c>
      <c r="C3156" s="4">
        <v>45892.25</v>
      </c>
      <c r="D3156" s="4">
        <v>45892.250362951389</v>
      </c>
      <c r="E3156" s="2">
        <v>3.31</v>
      </c>
      <c r="F3156" s="2">
        <v>73.5</v>
      </c>
      <c r="G3156" s="2" t="s">
        <v>983</v>
      </c>
      <c r="H3156" s="2" t="s">
        <v>984</v>
      </c>
      <c r="I3156" s="2"/>
      <c r="J3156" s="2" t="s">
        <v>37</v>
      </c>
    </row>
    <row r="3157" spans="1:10" ht="21" customHeight="1">
      <c r="A3157" s="2" t="s">
        <v>4152</v>
      </c>
      <c r="B3157" s="2" t="s">
        <v>37</v>
      </c>
      <c r="C3157" s="4">
        <v>45893.25</v>
      </c>
      <c r="D3157" s="4">
        <v>45893.250041192128</v>
      </c>
      <c r="E3157" s="2">
        <v>3.13</v>
      </c>
      <c r="F3157" s="2">
        <v>77.5</v>
      </c>
      <c r="G3157" s="2" t="s">
        <v>983</v>
      </c>
      <c r="H3157" s="2" t="s">
        <v>984</v>
      </c>
      <c r="I3157" s="2"/>
      <c r="J3157" s="2" t="s">
        <v>37</v>
      </c>
    </row>
    <row r="3158" spans="1:10" ht="21" customHeight="1">
      <c r="A3158" s="2" t="s">
        <v>4153</v>
      </c>
      <c r="B3158" s="2" t="s">
        <v>37</v>
      </c>
      <c r="C3158" s="4">
        <v>45894.25</v>
      </c>
      <c r="D3158" s="4">
        <v>45894.250308576389</v>
      </c>
      <c r="E3158" s="2">
        <v>2.82</v>
      </c>
      <c r="F3158" s="2">
        <v>79.099999999999994</v>
      </c>
      <c r="G3158" s="2" t="s">
        <v>983</v>
      </c>
      <c r="H3158" s="2" t="s">
        <v>984</v>
      </c>
      <c r="I3158" s="2"/>
      <c r="J3158" s="2" t="s">
        <v>37</v>
      </c>
    </row>
    <row r="3159" spans="1:10" ht="21" customHeight="1">
      <c r="A3159" s="2" t="s">
        <v>4154</v>
      </c>
      <c r="B3159" s="2" t="s">
        <v>3949</v>
      </c>
      <c r="C3159" s="4">
        <v>45895.25</v>
      </c>
      <c r="D3159" s="4">
        <v>45895.250454340276</v>
      </c>
      <c r="E3159" s="2">
        <v>2.98</v>
      </c>
      <c r="F3159" s="2">
        <v>72</v>
      </c>
      <c r="G3159" s="2" t="s">
        <v>983</v>
      </c>
      <c r="H3159" s="2" t="s">
        <v>984</v>
      </c>
      <c r="I3159" s="2"/>
      <c r="J3159" s="2" t="s">
        <v>37</v>
      </c>
    </row>
    <row r="3160" spans="1:10" ht="21" customHeight="1">
      <c r="A3160" s="2" t="s">
        <v>4155</v>
      </c>
      <c r="B3160" s="2" t="s">
        <v>37</v>
      </c>
      <c r="C3160" s="4">
        <v>45896.25</v>
      </c>
      <c r="D3160" s="4">
        <v>45896.250174583329</v>
      </c>
      <c r="E3160" s="2">
        <v>3.81</v>
      </c>
      <c r="F3160" s="2">
        <v>79.599999999999994</v>
      </c>
      <c r="G3160" s="2" t="s">
        <v>983</v>
      </c>
      <c r="H3160" s="2" t="s">
        <v>984</v>
      </c>
      <c r="I3160" s="2" t="s">
        <v>985</v>
      </c>
      <c r="J3160" s="2" t="s">
        <v>37</v>
      </c>
    </row>
    <row r="3161" spans="1:10" ht="21" customHeight="1">
      <c r="A3161" s="2" t="s">
        <v>4156</v>
      </c>
      <c r="B3161" s="2" t="s">
        <v>37</v>
      </c>
      <c r="C3161" s="4">
        <v>45897.25</v>
      </c>
      <c r="D3161" s="4">
        <v>45897.250353634256</v>
      </c>
      <c r="E3161" s="2">
        <v>3.51</v>
      </c>
      <c r="F3161" s="2">
        <v>78.400000000000006</v>
      </c>
      <c r="G3161" s="2" t="s">
        <v>983</v>
      </c>
      <c r="H3161" s="2" t="s">
        <v>984</v>
      </c>
      <c r="I3161" s="2"/>
      <c r="J3161" s="2" t="s">
        <v>37</v>
      </c>
    </row>
    <row r="3162" spans="1:10" ht="21" customHeight="1">
      <c r="A3162" s="2" t="s">
        <v>4157</v>
      </c>
      <c r="B3162" s="2" t="s">
        <v>37</v>
      </c>
      <c r="C3162" s="4">
        <v>45898.25</v>
      </c>
      <c r="D3162" s="4">
        <v>45898.250243935181</v>
      </c>
      <c r="E3162" s="2">
        <v>2.9</v>
      </c>
      <c r="F3162" s="2">
        <v>74.8</v>
      </c>
      <c r="G3162" s="2" t="s">
        <v>983</v>
      </c>
      <c r="H3162" s="2" t="s">
        <v>984</v>
      </c>
      <c r="I3162" s="2"/>
      <c r="J3162" s="2" t="s">
        <v>37</v>
      </c>
    </row>
    <row r="3163" spans="1:10" ht="21" customHeight="1">
      <c r="A3163" s="2" t="s">
        <v>4158</v>
      </c>
      <c r="B3163" s="2" t="s">
        <v>37</v>
      </c>
      <c r="C3163" s="4">
        <v>45899.25</v>
      </c>
      <c r="D3163" s="4">
        <v>45899.250020879626</v>
      </c>
      <c r="E3163" s="2">
        <v>3.24</v>
      </c>
      <c r="F3163" s="2">
        <v>74.599999999999994</v>
      </c>
      <c r="G3163" s="2" t="s">
        <v>983</v>
      </c>
      <c r="H3163" s="2" t="s">
        <v>984</v>
      </c>
      <c r="I3163" s="2"/>
      <c r="J3163" s="2" t="s">
        <v>37</v>
      </c>
    </row>
    <row r="3164" spans="1:10" ht="21" customHeight="1">
      <c r="A3164" s="2" t="s">
        <v>4159</v>
      </c>
      <c r="B3164" s="2" t="s">
        <v>37</v>
      </c>
      <c r="C3164" s="4">
        <v>45900.25</v>
      </c>
      <c r="D3164" s="4">
        <v>45900.2502680787</v>
      </c>
      <c r="E3164" s="2">
        <v>3.76</v>
      </c>
      <c r="F3164" s="2">
        <v>77.2</v>
      </c>
      <c r="G3164" s="2" t="s">
        <v>983</v>
      </c>
      <c r="H3164" s="2" t="s">
        <v>984</v>
      </c>
      <c r="I3164" s="2"/>
      <c r="J3164" s="2" t="s">
        <v>37</v>
      </c>
    </row>
    <row r="3165" spans="1:10" ht="21" customHeight="1">
      <c r="A3165" s="2" t="s">
        <v>4160</v>
      </c>
      <c r="B3165" s="2" t="s">
        <v>37</v>
      </c>
      <c r="C3165" s="4">
        <v>45901.25</v>
      </c>
      <c r="D3165" s="4">
        <v>45901.250319108796</v>
      </c>
      <c r="E3165" s="2">
        <v>3.83</v>
      </c>
      <c r="F3165" s="2">
        <v>74.7</v>
      </c>
      <c r="G3165" s="2" t="s">
        <v>983</v>
      </c>
      <c r="H3165" s="2" t="s">
        <v>984</v>
      </c>
      <c r="I3165" s="2"/>
      <c r="J3165" s="2" t="s">
        <v>37</v>
      </c>
    </row>
    <row r="3166" spans="1:10" ht="21" customHeight="1">
      <c r="A3166" s="2" t="s">
        <v>4161</v>
      </c>
      <c r="B3166" s="2" t="s">
        <v>37</v>
      </c>
      <c r="C3166" s="4">
        <v>45902.25</v>
      </c>
      <c r="D3166" s="4">
        <v>45902.250673449074</v>
      </c>
      <c r="E3166" s="2">
        <v>3.73</v>
      </c>
      <c r="F3166" s="2">
        <v>79.3</v>
      </c>
      <c r="G3166" s="2" t="s">
        <v>983</v>
      </c>
      <c r="H3166" s="2" t="s">
        <v>984</v>
      </c>
      <c r="I3166" s="2"/>
      <c r="J3166" s="2" t="s">
        <v>37</v>
      </c>
    </row>
    <row r="3167" spans="1:10" ht="21" customHeight="1">
      <c r="A3167" s="2" t="s">
        <v>4162</v>
      </c>
      <c r="B3167" s="2" t="s">
        <v>37</v>
      </c>
      <c r="C3167" s="4">
        <v>45903.25</v>
      </c>
      <c r="D3167" s="4">
        <v>45903.250005219903</v>
      </c>
      <c r="E3167" s="2">
        <v>3.08</v>
      </c>
      <c r="F3167" s="2">
        <v>75</v>
      </c>
      <c r="G3167" s="2" t="s">
        <v>983</v>
      </c>
      <c r="H3167" s="2" t="s">
        <v>984</v>
      </c>
      <c r="I3167" s="2"/>
      <c r="J3167" s="2" t="s">
        <v>37</v>
      </c>
    </row>
    <row r="3168" spans="1:10" ht="21" customHeight="1">
      <c r="A3168" s="2" t="s">
        <v>4163</v>
      </c>
      <c r="B3168" s="2" t="s">
        <v>37</v>
      </c>
      <c r="C3168" s="4">
        <v>45904.25</v>
      </c>
      <c r="D3168" s="4">
        <v>45904.25033112269</v>
      </c>
      <c r="E3168" s="2">
        <v>2.86</v>
      </c>
      <c r="F3168" s="2">
        <v>73.3</v>
      </c>
      <c r="G3168" s="2" t="s">
        <v>983</v>
      </c>
      <c r="H3168" s="2" t="s">
        <v>984</v>
      </c>
      <c r="I3168" s="2"/>
      <c r="J3168" s="2" t="s">
        <v>37</v>
      </c>
    </row>
    <row r="3169" spans="1:10" ht="21" customHeight="1">
      <c r="A3169" s="2" t="s">
        <v>4164</v>
      </c>
      <c r="B3169" s="2" t="s">
        <v>37</v>
      </c>
      <c r="C3169" s="4">
        <v>45905.25</v>
      </c>
      <c r="D3169" s="4">
        <v>45905.250014490739</v>
      </c>
      <c r="E3169" s="2">
        <v>3.16</v>
      </c>
      <c r="F3169" s="2">
        <v>78.2</v>
      </c>
      <c r="G3169" s="2" t="s">
        <v>983</v>
      </c>
      <c r="H3169" s="2" t="s">
        <v>984</v>
      </c>
      <c r="I3169" s="2"/>
      <c r="J3169" s="2" t="s">
        <v>37</v>
      </c>
    </row>
    <row r="3170" spans="1:10" ht="21" customHeight="1">
      <c r="A3170" s="2" t="s">
        <v>4165</v>
      </c>
      <c r="B3170" s="2" t="s">
        <v>37</v>
      </c>
      <c r="C3170" s="4">
        <v>45906.25</v>
      </c>
      <c r="D3170" s="4">
        <v>45906.250450798616</v>
      </c>
      <c r="E3170" s="2">
        <v>3.54</v>
      </c>
      <c r="F3170" s="2">
        <v>76.5</v>
      </c>
      <c r="G3170" s="2" t="s">
        <v>983</v>
      </c>
      <c r="H3170" s="2" t="s">
        <v>984</v>
      </c>
      <c r="I3170" s="2"/>
      <c r="J3170" s="2" t="s">
        <v>37</v>
      </c>
    </row>
    <row r="3171" spans="1:10" ht="21" customHeight="1">
      <c r="A3171" s="2" t="s">
        <v>4166</v>
      </c>
      <c r="B3171" s="2" t="s">
        <v>37</v>
      </c>
      <c r="C3171" s="4">
        <v>45907.25</v>
      </c>
      <c r="D3171" s="4">
        <v>45907.250582152774</v>
      </c>
      <c r="E3171" s="2">
        <v>3.47</v>
      </c>
      <c r="F3171" s="2">
        <v>78.5</v>
      </c>
      <c r="G3171" s="2" t="s">
        <v>983</v>
      </c>
      <c r="H3171" s="2" t="s">
        <v>984</v>
      </c>
      <c r="I3171" s="2"/>
      <c r="J3171" s="2" t="s">
        <v>37</v>
      </c>
    </row>
    <row r="3172" spans="1:10" ht="21" customHeight="1">
      <c r="A3172" s="2" t="s">
        <v>4167</v>
      </c>
      <c r="B3172" s="2" t="s">
        <v>37</v>
      </c>
      <c r="C3172" s="4">
        <v>45908.25</v>
      </c>
      <c r="D3172" s="4">
        <v>45908.250251006946</v>
      </c>
      <c r="E3172" s="2">
        <v>3.88</v>
      </c>
      <c r="F3172" s="2">
        <v>76</v>
      </c>
      <c r="G3172" s="2" t="s">
        <v>983</v>
      </c>
      <c r="H3172" s="2" t="s">
        <v>984</v>
      </c>
      <c r="I3172" s="2"/>
      <c r="J3172" s="2" t="s">
        <v>37</v>
      </c>
    </row>
    <row r="3173" spans="1:10" ht="21" customHeight="1">
      <c r="A3173" s="2" t="s">
        <v>4168</v>
      </c>
      <c r="B3173" s="2" t="s">
        <v>37</v>
      </c>
      <c r="C3173" s="4">
        <v>45909.25</v>
      </c>
      <c r="D3173" s="4">
        <v>45909.250074386575</v>
      </c>
      <c r="E3173" s="2">
        <v>3.66</v>
      </c>
      <c r="F3173" s="2">
        <v>76.7</v>
      </c>
      <c r="G3173" s="2" t="s">
        <v>983</v>
      </c>
      <c r="H3173" s="2" t="s">
        <v>984</v>
      </c>
      <c r="I3173" s="2"/>
      <c r="J3173" s="2" t="s">
        <v>37</v>
      </c>
    </row>
    <row r="3174" spans="1:10" ht="21" customHeight="1">
      <c r="A3174" s="2" t="s">
        <v>4169</v>
      </c>
      <c r="B3174" s="2" t="s">
        <v>37</v>
      </c>
      <c r="C3174" s="4">
        <v>45910.25</v>
      </c>
      <c r="D3174" s="4">
        <v>45910.250668194443</v>
      </c>
      <c r="E3174" s="2">
        <v>3.4</v>
      </c>
      <c r="F3174" s="2">
        <v>72.3</v>
      </c>
      <c r="G3174" s="2" t="s">
        <v>983</v>
      </c>
      <c r="H3174" s="2" t="s">
        <v>984</v>
      </c>
      <c r="I3174" s="2"/>
      <c r="J3174" s="2" t="s">
        <v>37</v>
      </c>
    </row>
    <row r="3175" spans="1:10" ht="21" customHeight="1">
      <c r="A3175" s="2" t="s">
        <v>4170</v>
      </c>
      <c r="B3175" s="2" t="s">
        <v>37</v>
      </c>
      <c r="C3175" s="4">
        <v>45911.25</v>
      </c>
      <c r="D3175" s="4">
        <v>45911.250481782408</v>
      </c>
      <c r="E3175" s="2">
        <v>2.94</v>
      </c>
      <c r="F3175" s="2">
        <v>72.5</v>
      </c>
      <c r="G3175" s="2" t="s">
        <v>983</v>
      </c>
      <c r="H3175" s="2" t="s">
        <v>984</v>
      </c>
      <c r="I3175" s="2"/>
      <c r="J3175" s="2" t="s">
        <v>37</v>
      </c>
    </row>
    <row r="3176" spans="1:10" ht="21" customHeight="1">
      <c r="A3176" s="2" t="s">
        <v>4171</v>
      </c>
      <c r="B3176" s="2" t="s">
        <v>37</v>
      </c>
      <c r="C3176" s="4">
        <v>45912.25</v>
      </c>
      <c r="D3176" s="4">
        <v>45912.250526516204</v>
      </c>
      <c r="E3176" s="2">
        <v>2.86</v>
      </c>
      <c r="F3176" s="2">
        <v>73.900000000000006</v>
      </c>
      <c r="G3176" s="2" t="s">
        <v>983</v>
      </c>
      <c r="H3176" s="2" t="s">
        <v>984</v>
      </c>
      <c r="I3176" s="2"/>
      <c r="J3176" s="2" t="s">
        <v>37</v>
      </c>
    </row>
    <row r="3177" spans="1:10" ht="21" customHeight="1">
      <c r="A3177" s="2" t="s">
        <v>4172</v>
      </c>
      <c r="B3177" s="2" t="s">
        <v>37</v>
      </c>
      <c r="C3177" s="4">
        <v>45913.25</v>
      </c>
      <c r="D3177" s="4">
        <v>45913.250150266205</v>
      </c>
      <c r="E3177" s="2">
        <v>3.88</v>
      </c>
      <c r="F3177" s="2">
        <v>78.3</v>
      </c>
      <c r="G3177" s="2" t="s">
        <v>983</v>
      </c>
      <c r="H3177" s="2" t="s">
        <v>984</v>
      </c>
      <c r="I3177" s="2" t="s">
        <v>985</v>
      </c>
      <c r="J3177" s="2" t="s">
        <v>37</v>
      </c>
    </row>
    <row r="3178" spans="1:10" ht="21" customHeight="1">
      <c r="A3178" s="2" t="s">
        <v>4173</v>
      </c>
      <c r="B3178" s="2" t="s">
        <v>37</v>
      </c>
      <c r="C3178" s="4">
        <v>45914.25</v>
      </c>
      <c r="D3178" s="4">
        <v>45914.250341782405</v>
      </c>
      <c r="E3178" s="2">
        <v>2.98</v>
      </c>
      <c r="F3178" s="2">
        <v>74.8</v>
      </c>
      <c r="G3178" s="2" t="s">
        <v>983</v>
      </c>
      <c r="H3178" s="2" t="s">
        <v>984</v>
      </c>
      <c r="I3178" s="2"/>
      <c r="J3178" s="2" t="s">
        <v>37</v>
      </c>
    </row>
    <row r="3179" spans="1:10" ht="21" customHeight="1">
      <c r="A3179" s="2" t="s">
        <v>4174</v>
      </c>
      <c r="B3179" s="2" t="s">
        <v>37</v>
      </c>
      <c r="C3179" s="4">
        <v>45915.25</v>
      </c>
      <c r="D3179" s="4">
        <v>45915.250329236107</v>
      </c>
      <c r="E3179" s="2">
        <v>3.24</v>
      </c>
      <c r="F3179" s="2">
        <v>72.599999999999994</v>
      </c>
      <c r="G3179" s="2" t="s">
        <v>983</v>
      </c>
      <c r="H3179" s="2" t="s">
        <v>984</v>
      </c>
      <c r="I3179" s="2"/>
      <c r="J3179" s="2" t="s">
        <v>37</v>
      </c>
    </row>
    <row r="3180" spans="1:10" ht="21" customHeight="1">
      <c r="A3180" s="2" t="s">
        <v>4175</v>
      </c>
      <c r="B3180" s="2" t="s">
        <v>37</v>
      </c>
      <c r="C3180" s="4">
        <v>45916.25</v>
      </c>
      <c r="D3180" s="4">
        <v>45916.250445196754</v>
      </c>
      <c r="E3180" s="2">
        <v>3.18</v>
      </c>
      <c r="F3180" s="2">
        <v>76.8</v>
      </c>
      <c r="G3180" s="2" t="s">
        <v>983</v>
      </c>
      <c r="H3180" s="2" t="s">
        <v>984</v>
      </c>
      <c r="I3180" s="2"/>
      <c r="J3180" s="2" t="s">
        <v>37</v>
      </c>
    </row>
    <row r="3181" spans="1:10" ht="21" customHeight="1">
      <c r="A3181" s="2" t="s">
        <v>4176</v>
      </c>
      <c r="B3181" s="2" t="s">
        <v>37</v>
      </c>
      <c r="C3181" s="4">
        <v>45917.25</v>
      </c>
      <c r="D3181" s="4">
        <v>45917.250666388893</v>
      </c>
      <c r="E3181" s="2">
        <v>3.1</v>
      </c>
      <c r="F3181" s="2">
        <v>78</v>
      </c>
      <c r="G3181" s="2" t="s">
        <v>983</v>
      </c>
      <c r="H3181" s="2" t="s">
        <v>984</v>
      </c>
      <c r="I3181" s="2"/>
      <c r="J3181" s="2" t="s">
        <v>37</v>
      </c>
    </row>
    <row r="3182" spans="1:10" ht="21" customHeight="1">
      <c r="A3182" s="2" t="s">
        <v>4177</v>
      </c>
      <c r="B3182" s="2" t="s">
        <v>37</v>
      </c>
      <c r="C3182" s="4">
        <v>45918.25</v>
      </c>
      <c r="D3182" s="4">
        <v>45918.250067500005</v>
      </c>
      <c r="E3182" s="2">
        <v>3.81</v>
      </c>
      <c r="F3182" s="2">
        <v>73.900000000000006</v>
      </c>
      <c r="G3182" s="2" t="s">
        <v>983</v>
      </c>
      <c r="H3182" s="2" t="s">
        <v>984</v>
      </c>
      <c r="I3182" s="2"/>
      <c r="J3182" s="2" t="s">
        <v>37</v>
      </c>
    </row>
    <row r="3183" spans="1:10" ht="21" customHeight="1">
      <c r="A3183" s="2" t="s">
        <v>4178</v>
      </c>
      <c r="B3183" s="2" t="s">
        <v>37</v>
      </c>
      <c r="C3183" s="4">
        <v>45919.25</v>
      </c>
      <c r="D3183" s="4">
        <v>45919.250019826388</v>
      </c>
      <c r="E3183" s="2">
        <v>3.77</v>
      </c>
      <c r="F3183" s="2">
        <v>78.2</v>
      </c>
      <c r="G3183" s="2" t="s">
        <v>983</v>
      </c>
      <c r="H3183" s="2" t="s">
        <v>984</v>
      </c>
      <c r="I3183" s="2"/>
      <c r="J3183" s="2" t="s">
        <v>37</v>
      </c>
    </row>
    <row r="3184" spans="1:10" ht="21" customHeight="1">
      <c r="A3184" s="2" t="s">
        <v>4179</v>
      </c>
      <c r="B3184" s="2" t="s">
        <v>37</v>
      </c>
      <c r="C3184" s="4">
        <v>45920.25</v>
      </c>
      <c r="D3184" s="4">
        <v>45920.250590775468</v>
      </c>
      <c r="E3184" s="2">
        <v>3.68</v>
      </c>
      <c r="F3184" s="2">
        <v>72.7</v>
      </c>
      <c r="G3184" s="2" t="s">
        <v>983</v>
      </c>
      <c r="H3184" s="2" t="s">
        <v>984</v>
      </c>
      <c r="I3184" s="2"/>
      <c r="J3184" s="2" t="s">
        <v>37</v>
      </c>
    </row>
    <row r="3185" spans="1:10" ht="21" customHeight="1">
      <c r="A3185" s="2" t="s">
        <v>4180</v>
      </c>
      <c r="B3185" s="2" t="s">
        <v>37</v>
      </c>
      <c r="C3185" s="4">
        <v>45921.25</v>
      </c>
      <c r="D3185" s="4">
        <v>45921.25033091435</v>
      </c>
      <c r="E3185" s="2">
        <v>2.99</v>
      </c>
      <c r="F3185" s="2">
        <v>75.099999999999994</v>
      </c>
      <c r="G3185" s="2" t="s">
        <v>983</v>
      </c>
      <c r="H3185" s="2" t="s">
        <v>984</v>
      </c>
      <c r="I3185" s="2"/>
      <c r="J3185" s="2" t="s">
        <v>37</v>
      </c>
    </row>
    <row r="3186" spans="1:10" ht="21" customHeight="1">
      <c r="A3186" s="2" t="s">
        <v>4181</v>
      </c>
      <c r="B3186" s="2" t="s">
        <v>37</v>
      </c>
      <c r="C3186" s="4">
        <v>45922.25</v>
      </c>
      <c r="D3186" s="4">
        <v>45922.250507268516</v>
      </c>
      <c r="E3186" s="2">
        <v>3.02</v>
      </c>
      <c r="F3186" s="2">
        <v>74</v>
      </c>
      <c r="G3186" s="2" t="s">
        <v>983</v>
      </c>
      <c r="H3186" s="2" t="s">
        <v>984</v>
      </c>
      <c r="I3186" s="2"/>
      <c r="J3186" s="2" t="s">
        <v>37</v>
      </c>
    </row>
    <row r="3187" spans="1:10" ht="21" customHeight="1">
      <c r="A3187" s="2" t="s">
        <v>4182</v>
      </c>
      <c r="B3187" s="2" t="s">
        <v>37</v>
      </c>
      <c r="C3187" s="4">
        <v>45923.25</v>
      </c>
      <c r="D3187" s="4">
        <v>45923.250036446756</v>
      </c>
      <c r="E3187" s="2">
        <v>3.13</v>
      </c>
      <c r="F3187" s="2">
        <v>78.400000000000006</v>
      </c>
      <c r="G3187" s="2" t="s">
        <v>983</v>
      </c>
      <c r="H3187" s="2" t="s">
        <v>984</v>
      </c>
      <c r="I3187" s="2"/>
      <c r="J3187" s="2" t="s">
        <v>37</v>
      </c>
    </row>
    <row r="3188" spans="1:10" ht="21" customHeight="1">
      <c r="A3188" s="2" t="s">
        <v>4183</v>
      </c>
      <c r="B3188" s="2" t="s">
        <v>37</v>
      </c>
      <c r="C3188" s="4">
        <v>45924.25</v>
      </c>
      <c r="D3188" s="4">
        <v>45924.250446724538</v>
      </c>
      <c r="E3188" s="2">
        <v>2.97</v>
      </c>
      <c r="F3188" s="2">
        <v>77</v>
      </c>
      <c r="G3188" s="2" t="s">
        <v>983</v>
      </c>
      <c r="H3188" s="2" t="s">
        <v>984</v>
      </c>
      <c r="I3188" s="2"/>
      <c r="J3188" s="2" t="s">
        <v>37</v>
      </c>
    </row>
    <row r="3189" spans="1:10" ht="21" customHeight="1">
      <c r="A3189" s="2" t="s">
        <v>4184</v>
      </c>
      <c r="B3189" s="2" t="s">
        <v>37</v>
      </c>
      <c r="C3189" s="4">
        <v>45925.25</v>
      </c>
      <c r="D3189" s="4">
        <v>45925.250090324073</v>
      </c>
      <c r="E3189" s="2">
        <v>2.81</v>
      </c>
      <c r="F3189" s="2">
        <v>78.2</v>
      </c>
      <c r="G3189" s="2" t="s">
        <v>983</v>
      </c>
      <c r="H3189" s="2" t="s">
        <v>984</v>
      </c>
      <c r="I3189" s="2"/>
      <c r="J3189" s="2" t="s">
        <v>37</v>
      </c>
    </row>
    <row r="3190" spans="1:10" ht="21" customHeight="1">
      <c r="A3190" s="2" t="s">
        <v>4185</v>
      </c>
      <c r="B3190" s="2" t="s">
        <v>37</v>
      </c>
      <c r="C3190" s="4">
        <v>45926.25</v>
      </c>
      <c r="D3190" s="4">
        <v>45926.250100092591</v>
      </c>
      <c r="E3190" s="2">
        <v>3.89</v>
      </c>
      <c r="F3190" s="2">
        <v>79.5</v>
      </c>
      <c r="G3190" s="2" t="s">
        <v>983</v>
      </c>
      <c r="H3190" s="2" t="s">
        <v>984</v>
      </c>
      <c r="I3190" s="2"/>
      <c r="J3190" s="2" t="s">
        <v>37</v>
      </c>
    </row>
    <row r="3191" spans="1:10" ht="21" customHeight="1">
      <c r="A3191" s="2" t="s">
        <v>4186</v>
      </c>
      <c r="B3191" s="2" t="s">
        <v>37</v>
      </c>
      <c r="C3191" s="4">
        <v>45927.25</v>
      </c>
      <c r="D3191" s="4">
        <v>45927.250122777783</v>
      </c>
      <c r="E3191" s="2">
        <v>3.52</v>
      </c>
      <c r="F3191" s="2">
        <v>75</v>
      </c>
      <c r="G3191" s="2" t="s">
        <v>983</v>
      </c>
      <c r="H3191" s="2" t="s">
        <v>984</v>
      </c>
      <c r="I3191" s="2"/>
      <c r="J3191" s="2" t="s">
        <v>37</v>
      </c>
    </row>
    <row r="3192" spans="1:10" ht="21" customHeight="1">
      <c r="A3192" s="2" t="s">
        <v>4187</v>
      </c>
      <c r="B3192" s="2" t="s">
        <v>37</v>
      </c>
      <c r="C3192" s="4">
        <v>45928.25</v>
      </c>
      <c r="D3192" s="4">
        <v>45928.250091180555</v>
      </c>
      <c r="E3192" s="2">
        <v>3.06</v>
      </c>
      <c r="F3192" s="2">
        <v>77.7</v>
      </c>
      <c r="G3192" s="2" t="s">
        <v>983</v>
      </c>
      <c r="H3192" s="2" t="s">
        <v>984</v>
      </c>
      <c r="I3192" s="2"/>
      <c r="J3192" s="2" t="s">
        <v>37</v>
      </c>
    </row>
    <row r="3193" spans="1:10" ht="21" customHeight="1">
      <c r="A3193" s="2" t="s">
        <v>4188</v>
      </c>
      <c r="B3193" s="2" t="s">
        <v>37</v>
      </c>
      <c r="C3193" s="4">
        <v>45929.25</v>
      </c>
      <c r="D3193" s="4">
        <v>45929.250083194449</v>
      </c>
      <c r="E3193" s="2">
        <v>3.8</v>
      </c>
      <c r="F3193" s="2">
        <v>73</v>
      </c>
      <c r="G3193" s="2" t="s">
        <v>983</v>
      </c>
      <c r="H3193" s="2" t="s">
        <v>984</v>
      </c>
      <c r="I3193" s="2"/>
      <c r="J3193" s="2" t="s">
        <v>37</v>
      </c>
    </row>
    <row r="3194" spans="1:10" ht="21" customHeight="1">
      <c r="A3194" s="2" t="s">
        <v>4189</v>
      </c>
      <c r="B3194" s="2" t="s">
        <v>37</v>
      </c>
      <c r="C3194" s="4">
        <v>45930.25</v>
      </c>
      <c r="D3194" s="4">
        <v>45930.25003826389</v>
      </c>
      <c r="E3194" s="2">
        <v>3.91</v>
      </c>
      <c r="F3194" s="2">
        <v>74.599999999999994</v>
      </c>
      <c r="G3194" s="2" t="s">
        <v>983</v>
      </c>
      <c r="H3194" s="2" t="s">
        <v>984</v>
      </c>
      <c r="I3194" s="2" t="s">
        <v>985</v>
      </c>
      <c r="J3194" s="2" t="s">
        <v>37</v>
      </c>
    </row>
    <row r="3195" spans="1:10" ht="21" customHeight="1">
      <c r="A3195" s="2" t="s">
        <v>4190</v>
      </c>
      <c r="B3195" s="2" t="s">
        <v>37</v>
      </c>
      <c r="C3195" s="4">
        <v>45931.25</v>
      </c>
      <c r="D3195" s="4">
        <v>45931.25001069445</v>
      </c>
      <c r="E3195" s="2">
        <v>3.17</v>
      </c>
      <c r="F3195" s="2">
        <v>77</v>
      </c>
      <c r="G3195" s="2" t="s">
        <v>983</v>
      </c>
      <c r="H3195" s="2" t="s">
        <v>984</v>
      </c>
      <c r="I3195" s="2"/>
      <c r="J3195" s="2" t="s">
        <v>37</v>
      </c>
    </row>
    <row r="3196" spans="1:10" ht="21" customHeight="1">
      <c r="A3196" s="2" t="s">
        <v>4191</v>
      </c>
      <c r="B3196" s="2" t="s">
        <v>37</v>
      </c>
      <c r="C3196" s="4">
        <v>45932.25</v>
      </c>
      <c r="D3196" s="4">
        <v>45932.25056886574</v>
      </c>
      <c r="E3196" s="2">
        <v>3.3</v>
      </c>
      <c r="F3196" s="2">
        <v>80</v>
      </c>
      <c r="G3196" s="2" t="s">
        <v>983</v>
      </c>
      <c r="H3196" s="2" t="s">
        <v>984</v>
      </c>
      <c r="I3196" s="2"/>
      <c r="J3196" s="2" t="s">
        <v>37</v>
      </c>
    </row>
    <row r="3197" spans="1:10" ht="21" customHeight="1">
      <c r="A3197" s="2" t="s">
        <v>4192</v>
      </c>
      <c r="B3197" s="2" t="s">
        <v>37</v>
      </c>
      <c r="C3197" s="4">
        <v>45933.25</v>
      </c>
      <c r="D3197" s="4">
        <v>45933.250628263893</v>
      </c>
      <c r="E3197" s="2">
        <v>2.82</v>
      </c>
      <c r="F3197" s="2">
        <v>74.7</v>
      </c>
      <c r="G3197" s="2" t="s">
        <v>983</v>
      </c>
      <c r="H3197" s="2" t="s">
        <v>984</v>
      </c>
      <c r="I3197" s="2"/>
      <c r="J3197" s="2" t="s">
        <v>37</v>
      </c>
    </row>
    <row r="3198" spans="1:10" ht="21" customHeight="1">
      <c r="A3198" s="2" t="s">
        <v>4193</v>
      </c>
      <c r="B3198" s="2" t="s">
        <v>37</v>
      </c>
      <c r="C3198" s="4">
        <v>45934.25</v>
      </c>
      <c r="D3198" s="4">
        <v>45934.250417337964</v>
      </c>
      <c r="E3198" s="2">
        <v>3.13</v>
      </c>
      <c r="F3198" s="2">
        <v>77.3</v>
      </c>
      <c r="G3198" s="2" t="s">
        <v>983</v>
      </c>
      <c r="H3198" s="2" t="s">
        <v>984</v>
      </c>
      <c r="I3198" s="2"/>
      <c r="J3198" s="2" t="s">
        <v>37</v>
      </c>
    </row>
    <row r="3199" spans="1:10" ht="21" customHeight="1">
      <c r="A3199" s="2" t="s">
        <v>4194</v>
      </c>
      <c r="B3199" s="2" t="s">
        <v>37</v>
      </c>
      <c r="C3199" s="4">
        <v>45935.25</v>
      </c>
      <c r="D3199" s="4">
        <v>45935.250129270833</v>
      </c>
      <c r="E3199" s="2">
        <v>3.23</v>
      </c>
      <c r="F3199" s="2">
        <v>75.5</v>
      </c>
      <c r="G3199" s="2" t="s">
        <v>983</v>
      </c>
      <c r="H3199" s="2" t="s">
        <v>984</v>
      </c>
      <c r="I3199" s="2"/>
      <c r="J3199" s="2" t="s">
        <v>37</v>
      </c>
    </row>
    <row r="3200" spans="1:10" ht="21" customHeight="1">
      <c r="A3200" s="2" t="s">
        <v>4195</v>
      </c>
      <c r="B3200" s="2" t="s">
        <v>3949</v>
      </c>
      <c r="C3200" s="4">
        <v>45936.25</v>
      </c>
      <c r="D3200" s="4">
        <v>45936.250476631947</v>
      </c>
      <c r="E3200" s="2">
        <v>3.38</v>
      </c>
      <c r="F3200" s="2">
        <v>73.5</v>
      </c>
      <c r="G3200" s="2" t="s">
        <v>983</v>
      </c>
      <c r="H3200" s="2" t="s">
        <v>984</v>
      </c>
      <c r="I3200" s="2"/>
      <c r="J3200" s="2" t="s">
        <v>37</v>
      </c>
    </row>
    <row r="3201" spans="1:10" ht="21" customHeight="1">
      <c r="A3201" s="2" t="s">
        <v>4196</v>
      </c>
      <c r="B3201" s="2" t="s">
        <v>37</v>
      </c>
      <c r="C3201" s="4">
        <v>45937.25</v>
      </c>
      <c r="D3201" s="4">
        <v>45937.250400277779</v>
      </c>
      <c r="E3201" s="2">
        <v>3.44</v>
      </c>
      <c r="F3201" s="2">
        <v>77.599999999999994</v>
      </c>
      <c r="G3201" s="2" t="s">
        <v>983</v>
      </c>
      <c r="H3201" s="2" t="s">
        <v>984</v>
      </c>
      <c r="I3201" s="2"/>
      <c r="J3201" s="2" t="s">
        <v>37</v>
      </c>
    </row>
    <row r="3202" spans="1:10" ht="21" customHeight="1">
      <c r="A3202" s="2" t="s">
        <v>4197</v>
      </c>
      <c r="B3202" s="2" t="s">
        <v>37</v>
      </c>
      <c r="C3202" s="4">
        <v>45938.25</v>
      </c>
      <c r="D3202" s="4">
        <v>45938.250113877315</v>
      </c>
      <c r="E3202" s="2">
        <v>3.53</v>
      </c>
      <c r="F3202" s="2">
        <v>72.5</v>
      </c>
      <c r="G3202" s="2" t="s">
        <v>983</v>
      </c>
      <c r="H3202" s="2" t="s">
        <v>984</v>
      </c>
      <c r="I3202" s="2"/>
      <c r="J3202" s="2" t="s">
        <v>37</v>
      </c>
    </row>
    <row r="3203" spans="1:10" ht="21" customHeight="1">
      <c r="A3203" s="2" t="s">
        <v>4198</v>
      </c>
      <c r="B3203" s="2" t="s">
        <v>37</v>
      </c>
      <c r="C3203" s="4">
        <v>45939.25</v>
      </c>
      <c r="D3203" s="4">
        <v>45939.25039671296</v>
      </c>
      <c r="E3203" s="2">
        <v>2.9</v>
      </c>
      <c r="F3203" s="2">
        <v>78.900000000000006</v>
      </c>
      <c r="G3203" s="2" t="s">
        <v>983</v>
      </c>
      <c r="H3203" s="2" t="s">
        <v>984</v>
      </c>
      <c r="I3203" s="2"/>
      <c r="J3203" s="2" t="s">
        <v>37</v>
      </c>
    </row>
    <row r="3204" spans="1:10" ht="21" customHeight="1">
      <c r="A3204" s="2" t="s">
        <v>4199</v>
      </c>
      <c r="B3204" s="2" t="s">
        <v>37</v>
      </c>
      <c r="C3204" s="4">
        <v>45940.25</v>
      </c>
      <c r="D3204" s="4">
        <v>45940.25036233796</v>
      </c>
      <c r="E3204" s="2">
        <v>3.26</v>
      </c>
      <c r="F3204" s="2">
        <v>75</v>
      </c>
      <c r="G3204" s="2" t="s">
        <v>983</v>
      </c>
      <c r="H3204" s="2" t="s">
        <v>984</v>
      </c>
      <c r="I3204" s="2"/>
      <c r="J3204" s="2" t="s">
        <v>37</v>
      </c>
    </row>
    <row r="3205" spans="1:10" ht="21" customHeight="1">
      <c r="A3205" s="2" t="s">
        <v>4200</v>
      </c>
      <c r="B3205" s="2" t="s">
        <v>37</v>
      </c>
      <c r="C3205" s="4">
        <v>45941.25</v>
      </c>
      <c r="D3205" s="4">
        <v>45941.250397916665</v>
      </c>
      <c r="E3205" s="2">
        <v>3.59</v>
      </c>
      <c r="F3205" s="2">
        <v>75.7</v>
      </c>
      <c r="G3205" s="2" t="s">
        <v>983</v>
      </c>
      <c r="H3205" s="2" t="s">
        <v>984</v>
      </c>
      <c r="I3205" s="2"/>
      <c r="J3205" s="2" t="s">
        <v>37</v>
      </c>
    </row>
    <row r="3206" spans="1:10" ht="21" customHeight="1">
      <c r="A3206" s="2" t="s">
        <v>4201</v>
      </c>
      <c r="B3206" s="2" t="s">
        <v>37</v>
      </c>
      <c r="C3206" s="4">
        <v>45942.25</v>
      </c>
      <c r="D3206" s="4">
        <v>45942.250619074075</v>
      </c>
      <c r="E3206" s="2">
        <v>3.11</v>
      </c>
      <c r="F3206" s="2">
        <v>77.400000000000006</v>
      </c>
      <c r="G3206" s="2" t="s">
        <v>983</v>
      </c>
      <c r="H3206" s="2" t="s">
        <v>984</v>
      </c>
      <c r="I3206" s="2"/>
      <c r="J3206" s="2" t="s">
        <v>37</v>
      </c>
    </row>
    <row r="3207" spans="1:10" ht="21" customHeight="1">
      <c r="A3207" s="2" t="s">
        <v>4202</v>
      </c>
      <c r="B3207" s="2" t="s">
        <v>37</v>
      </c>
      <c r="C3207" s="4">
        <v>45943.25</v>
      </c>
      <c r="D3207" s="4">
        <v>45943.250230902777</v>
      </c>
      <c r="E3207" s="2">
        <v>3.81</v>
      </c>
      <c r="F3207" s="2">
        <v>77.099999999999994</v>
      </c>
      <c r="G3207" s="2" t="s">
        <v>983</v>
      </c>
      <c r="H3207" s="2" t="s">
        <v>984</v>
      </c>
      <c r="I3207" s="2"/>
      <c r="J3207" s="2" t="s">
        <v>37</v>
      </c>
    </row>
    <row r="3208" spans="1:10" ht="21" customHeight="1">
      <c r="A3208" s="2" t="s">
        <v>4203</v>
      </c>
      <c r="B3208" s="2" t="s">
        <v>37</v>
      </c>
      <c r="C3208" s="4">
        <v>45944.25</v>
      </c>
      <c r="D3208" s="4">
        <v>45944.250320949075</v>
      </c>
      <c r="E3208" s="2">
        <v>3.75</v>
      </c>
      <c r="F3208" s="2">
        <v>72.900000000000006</v>
      </c>
      <c r="G3208" s="2" t="s">
        <v>983</v>
      </c>
      <c r="H3208" s="2" t="s">
        <v>984</v>
      </c>
      <c r="I3208" s="2"/>
      <c r="J3208" s="2" t="s">
        <v>37</v>
      </c>
    </row>
    <row r="3209" spans="1:10" ht="21" customHeight="1">
      <c r="A3209" s="2" t="s">
        <v>4204</v>
      </c>
      <c r="B3209" s="2" t="s">
        <v>37</v>
      </c>
      <c r="C3209" s="4">
        <v>45945.25</v>
      </c>
      <c r="D3209" s="4">
        <v>45945.250260069442</v>
      </c>
      <c r="E3209" s="2">
        <v>2.95</v>
      </c>
      <c r="F3209" s="2">
        <v>74.8</v>
      </c>
      <c r="G3209" s="2" t="s">
        <v>983</v>
      </c>
      <c r="H3209" s="2" t="s">
        <v>984</v>
      </c>
      <c r="I3209" s="2"/>
      <c r="J3209" s="2" t="s">
        <v>37</v>
      </c>
    </row>
    <row r="3210" spans="1:10" ht="21" customHeight="1">
      <c r="A3210" s="2" t="s">
        <v>4205</v>
      </c>
      <c r="B3210" s="2" t="s">
        <v>37</v>
      </c>
      <c r="C3210" s="4">
        <v>45946.25</v>
      </c>
      <c r="D3210" s="4">
        <v>45946.250340601851</v>
      </c>
      <c r="E3210" s="2">
        <v>3.07</v>
      </c>
      <c r="F3210" s="2">
        <v>74.5</v>
      </c>
      <c r="G3210" s="2" t="s">
        <v>983</v>
      </c>
      <c r="H3210" s="2" t="s">
        <v>984</v>
      </c>
      <c r="I3210" s="2"/>
      <c r="J3210" s="2" t="s">
        <v>37</v>
      </c>
    </row>
    <row r="3211" spans="1:10" ht="21" customHeight="1">
      <c r="A3211" s="2" t="s">
        <v>4206</v>
      </c>
      <c r="B3211" s="2" t="s">
        <v>37</v>
      </c>
      <c r="C3211" s="4">
        <v>45947.25</v>
      </c>
      <c r="D3211" s="4">
        <v>45947.250310300922</v>
      </c>
      <c r="E3211" s="2">
        <v>3.96</v>
      </c>
      <c r="F3211" s="2">
        <v>72.7</v>
      </c>
      <c r="G3211" s="2" t="s">
        <v>983</v>
      </c>
      <c r="H3211" s="2" t="s">
        <v>984</v>
      </c>
      <c r="I3211" s="2" t="s">
        <v>985</v>
      </c>
      <c r="J3211" s="2" t="s">
        <v>37</v>
      </c>
    </row>
    <row r="3212" spans="1:10" ht="21" customHeight="1">
      <c r="A3212" s="2" t="s">
        <v>4207</v>
      </c>
      <c r="B3212" s="2" t="s">
        <v>37</v>
      </c>
      <c r="C3212" s="4">
        <v>45948.25</v>
      </c>
      <c r="D3212" s="4">
        <v>45948.250651180555</v>
      </c>
      <c r="E3212" s="2">
        <v>3.5</v>
      </c>
      <c r="F3212" s="2">
        <v>77.599999999999994</v>
      </c>
      <c r="G3212" s="2" t="s">
        <v>983</v>
      </c>
      <c r="H3212" s="2" t="s">
        <v>984</v>
      </c>
      <c r="I3212" s="2"/>
      <c r="J3212" s="2" t="s">
        <v>37</v>
      </c>
    </row>
    <row r="3213" spans="1:10" ht="21" customHeight="1">
      <c r="A3213" s="2" t="s">
        <v>4208</v>
      </c>
      <c r="B3213" s="2" t="s">
        <v>37</v>
      </c>
      <c r="C3213" s="4">
        <v>45949.25</v>
      </c>
      <c r="D3213" s="4">
        <v>45949.250048761576</v>
      </c>
      <c r="E3213" s="2">
        <v>2.96</v>
      </c>
      <c r="F3213" s="2">
        <v>74</v>
      </c>
      <c r="G3213" s="2" t="s">
        <v>983</v>
      </c>
      <c r="H3213" s="2" t="s">
        <v>984</v>
      </c>
      <c r="I3213" s="2"/>
      <c r="J3213" s="2" t="s">
        <v>37</v>
      </c>
    </row>
    <row r="3214" spans="1:10" ht="21" customHeight="1">
      <c r="A3214" s="2" t="s">
        <v>4209</v>
      </c>
      <c r="B3214" s="2" t="s">
        <v>37</v>
      </c>
      <c r="C3214" s="4">
        <v>45950.25</v>
      </c>
      <c r="D3214" s="4">
        <v>45950.250086851855</v>
      </c>
      <c r="E3214" s="2">
        <v>3.4</v>
      </c>
      <c r="F3214" s="2">
        <v>78.099999999999994</v>
      </c>
      <c r="G3214" s="2" t="s">
        <v>983</v>
      </c>
      <c r="H3214" s="2" t="s">
        <v>984</v>
      </c>
      <c r="I3214" s="2"/>
      <c r="J3214" s="2" t="s">
        <v>37</v>
      </c>
    </row>
    <row r="3215" spans="1:10" ht="21" customHeight="1">
      <c r="A3215" s="2" t="s">
        <v>4210</v>
      </c>
      <c r="B3215" s="2" t="s">
        <v>37</v>
      </c>
      <c r="C3215" s="4">
        <v>45951.25</v>
      </c>
      <c r="D3215" s="4">
        <v>45951.250540497684</v>
      </c>
      <c r="E3215" s="2">
        <v>2.96</v>
      </c>
      <c r="F3215" s="2">
        <v>79.599999999999994</v>
      </c>
      <c r="G3215" s="2" t="s">
        <v>983</v>
      </c>
      <c r="H3215" s="2" t="s">
        <v>984</v>
      </c>
      <c r="I3215" s="2"/>
      <c r="J3215" s="2" t="s">
        <v>37</v>
      </c>
    </row>
    <row r="3216" spans="1:10" ht="21" customHeight="1">
      <c r="A3216" s="2" t="s">
        <v>4211</v>
      </c>
      <c r="B3216" s="2" t="s">
        <v>37</v>
      </c>
      <c r="C3216" s="4">
        <v>45952.25</v>
      </c>
      <c r="D3216" s="4">
        <v>45952.250331886578</v>
      </c>
      <c r="E3216" s="2">
        <v>3.88</v>
      </c>
      <c r="F3216" s="2">
        <v>77.900000000000006</v>
      </c>
      <c r="G3216" s="2" t="s">
        <v>983</v>
      </c>
      <c r="H3216" s="2" t="s">
        <v>984</v>
      </c>
      <c r="I3216" s="2"/>
      <c r="J3216" s="2" t="s">
        <v>37</v>
      </c>
    </row>
    <row r="3217" spans="1:10" ht="21" customHeight="1">
      <c r="A3217" s="2" t="s">
        <v>4212</v>
      </c>
      <c r="B3217" s="2" t="s">
        <v>37</v>
      </c>
      <c r="C3217" s="4">
        <v>45953.25</v>
      </c>
      <c r="D3217" s="4">
        <v>45953.250266990741</v>
      </c>
      <c r="E3217" s="2">
        <v>27.27</v>
      </c>
      <c r="F3217" s="2">
        <v>76.5</v>
      </c>
      <c r="G3217" s="2" t="s">
        <v>983</v>
      </c>
      <c r="H3217" s="2" t="s">
        <v>1022</v>
      </c>
      <c r="I3217" s="2"/>
      <c r="J3217" s="2" t="s">
        <v>37</v>
      </c>
    </row>
    <row r="3218" spans="1:10" ht="21" customHeight="1">
      <c r="A3218" s="2" t="s">
        <v>4213</v>
      </c>
      <c r="B3218" s="2" t="s">
        <v>37</v>
      </c>
      <c r="C3218" s="4">
        <v>45954.25</v>
      </c>
      <c r="D3218" s="4">
        <v>45954.250459525458</v>
      </c>
      <c r="E3218" s="2">
        <v>3.18</v>
      </c>
      <c r="F3218" s="2">
        <v>73.5</v>
      </c>
      <c r="G3218" s="2" t="s">
        <v>983</v>
      </c>
      <c r="H3218" s="2" t="s">
        <v>984</v>
      </c>
      <c r="I3218" s="2"/>
      <c r="J3218" s="2" t="s">
        <v>37</v>
      </c>
    </row>
    <row r="3219" spans="1:10" ht="21" customHeight="1">
      <c r="A3219" s="2" t="s">
        <v>4214</v>
      </c>
      <c r="B3219" s="2" t="s">
        <v>37</v>
      </c>
      <c r="C3219" s="4">
        <v>45955.25</v>
      </c>
      <c r="D3219" s="4">
        <v>45955.250521979164</v>
      </c>
      <c r="E3219" s="2">
        <v>3.32</v>
      </c>
      <c r="F3219" s="2">
        <v>76.099999999999994</v>
      </c>
      <c r="G3219" s="2" t="s">
        <v>983</v>
      </c>
      <c r="H3219" s="2" t="s">
        <v>984</v>
      </c>
      <c r="I3219" s="2"/>
      <c r="J3219" s="2" t="s">
        <v>37</v>
      </c>
    </row>
    <row r="3220" spans="1:10" ht="21" customHeight="1">
      <c r="A3220" s="2" t="s">
        <v>4215</v>
      </c>
      <c r="B3220" s="2" t="s">
        <v>37</v>
      </c>
      <c r="C3220" s="4">
        <v>45956.25</v>
      </c>
      <c r="D3220" s="4">
        <v>45956.250210266204</v>
      </c>
      <c r="E3220" s="2">
        <v>3.7</v>
      </c>
      <c r="F3220" s="2">
        <v>78.099999999999994</v>
      </c>
      <c r="G3220" s="2" t="s">
        <v>983</v>
      </c>
      <c r="H3220" s="2" t="s">
        <v>984</v>
      </c>
      <c r="I3220" s="2"/>
      <c r="J3220" s="2" t="s">
        <v>37</v>
      </c>
    </row>
    <row r="3221" spans="1:10" ht="21" customHeight="1">
      <c r="A3221" s="2" t="s">
        <v>4216</v>
      </c>
      <c r="B3221" s="2" t="s">
        <v>37</v>
      </c>
      <c r="C3221" s="4">
        <v>45957.25</v>
      </c>
      <c r="D3221" s="4">
        <v>45957.250170069441</v>
      </c>
      <c r="E3221" s="2">
        <v>2.85</v>
      </c>
      <c r="F3221" s="2">
        <v>74.599999999999994</v>
      </c>
      <c r="G3221" s="2" t="s">
        <v>983</v>
      </c>
      <c r="H3221" s="2" t="s">
        <v>984</v>
      </c>
      <c r="I3221" s="2"/>
      <c r="J3221" s="2" t="s">
        <v>37</v>
      </c>
    </row>
    <row r="3222" spans="1:10" ht="21" customHeight="1">
      <c r="A3222" s="2" t="s">
        <v>4217</v>
      </c>
      <c r="B3222" s="2" t="s">
        <v>37</v>
      </c>
      <c r="C3222" s="4">
        <v>45958.25</v>
      </c>
      <c r="D3222" s="4">
        <v>45958.250421018514</v>
      </c>
      <c r="E3222" s="2">
        <v>2.82</v>
      </c>
      <c r="F3222" s="2">
        <v>75.3</v>
      </c>
      <c r="G3222" s="2" t="s">
        <v>983</v>
      </c>
      <c r="H3222" s="2" t="s">
        <v>984</v>
      </c>
      <c r="I3222" s="2"/>
      <c r="J3222" s="2" t="s">
        <v>37</v>
      </c>
    </row>
    <row r="3223" spans="1:10" ht="21" customHeight="1">
      <c r="A3223" s="2" t="s">
        <v>4218</v>
      </c>
      <c r="B3223" s="2" t="s">
        <v>37</v>
      </c>
      <c r="C3223" s="4">
        <v>45959.25</v>
      </c>
      <c r="D3223" s="4">
        <v>45959.250575682869</v>
      </c>
      <c r="E3223" s="2">
        <v>3.65</v>
      </c>
      <c r="F3223" s="2">
        <v>73.099999999999994</v>
      </c>
      <c r="G3223" s="2" t="s">
        <v>983</v>
      </c>
      <c r="H3223" s="2" t="s">
        <v>984</v>
      </c>
      <c r="I3223" s="2"/>
      <c r="J3223" s="2" t="s">
        <v>37</v>
      </c>
    </row>
    <row r="3224" spans="1:10" ht="21" customHeight="1">
      <c r="A3224" s="2" t="s">
        <v>4219</v>
      </c>
      <c r="B3224" s="2" t="s">
        <v>37</v>
      </c>
      <c r="C3224" s="4">
        <v>45960.25</v>
      </c>
      <c r="D3224" s="4">
        <v>45960.250113171292</v>
      </c>
      <c r="E3224" s="2">
        <v>3.44</v>
      </c>
      <c r="F3224" s="2">
        <v>75.099999999999994</v>
      </c>
      <c r="G3224" s="2" t="s">
        <v>983</v>
      </c>
      <c r="H3224" s="2" t="s">
        <v>984</v>
      </c>
      <c r="I3224" s="2"/>
      <c r="J3224" s="2" t="s">
        <v>37</v>
      </c>
    </row>
    <row r="3225" spans="1:10" ht="21" customHeight="1">
      <c r="A3225" s="2" t="s">
        <v>4220</v>
      </c>
      <c r="B3225" s="2" t="s">
        <v>37</v>
      </c>
      <c r="C3225" s="4">
        <v>45961.25</v>
      </c>
      <c r="D3225" s="4">
        <v>45961.250632986106</v>
      </c>
      <c r="E3225" s="2">
        <v>2.92</v>
      </c>
      <c r="F3225" s="2">
        <v>79.7</v>
      </c>
      <c r="G3225" s="2" t="s">
        <v>983</v>
      </c>
      <c r="H3225" s="2" t="s">
        <v>984</v>
      </c>
      <c r="I3225" s="2"/>
      <c r="J3225" s="2" t="s">
        <v>37</v>
      </c>
    </row>
    <row r="3226" spans="1:10" ht="21" customHeight="1">
      <c r="A3226" s="2" t="s">
        <v>4221</v>
      </c>
      <c r="B3226" s="2" t="s">
        <v>37</v>
      </c>
      <c r="C3226" s="4">
        <v>45962.25</v>
      </c>
      <c r="D3226" s="4">
        <v>45962.250277314815</v>
      </c>
      <c r="E3226" s="2">
        <v>3.81</v>
      </c>
      <c r="F3226" s="2">
        <v>78.099999999999994</v>
      </c>
      <c r="G3226" s="2" t="s">
        <v>983</v>
      </c>
      <c r="H3226" s="2" t="s">
        <v>984</v>
      </c>
      <c r="I3226" s="2"/>
      <c r="J3226" s="2" t="s">
        <v>37</v>
      </c>
    </row>
    <row r="3227" spans="1:10" ht="21" customHeight="1">
      <c r="A3227" s="2" t="s">
        <v>4222</v>
      </c>
      <c r="B3227" s="2" t="s">
        <v>37</v>
      </c>
      <c r="C3227" s="4">
        <v>45963.25</v>
      </c>
      <c r="D3227" s="4">
        <v>45963.250478252317</v>
      </c>
      <c r="E3227" s="2">
        <v>3.78</v>
      </c>
      <c r="F3227" s="2">
        <v>78.8</v>
      </c>
      <c r="G3227" s="2" t="s">
        <v>983</v>
      </c>
      <c r="H3227" s="2" t="s">
        <v>984</v>
      </c>
      <c r="I3227" s="2"/>
      <c r="J3227" s="2" t="s">
        <v>37</v>
      </c>
    </row>
    <row r="3228" spans="1:10" ht="21" customHeight="1">
      <c r="A3228" s="2" t="s">
        <v>4223</v>
      </c>
      <c r="B3228" s="2" t="s">
        <v>37</v>
      </c>
      <c r="C3228" s="4">
        <v>45964.25</v>
      </c>
      <c r="D3228" s="4">
        <v>45964.250148182866</v>
      </c>
      <c r="E3228" s="2">
        <v>3.24</v>
      </c>
      <c r="F3228" s="2">
        <v>76.8</v>
      </c>
      <c r="G3228" s="2" t="s">
        <v>983</v>
      </c>
      <c r="H3228" s="2" t="s">
        <v>984</v>
      </c>
      <c r="I3228" s="2" t="s">
        <v>985</v>
      </c>
      <c r="J3228" s="2" t="s">
        <v>37</v>
      </c>
    </row>
    <row r="3229" spans="1:10" ht="21" customHeight="1">
      <c r="A3229" s="2" t="s">
        <v>4224</v>
      </c>
      <c r="B3229" s="2" t="s">
        <v>37</v>
      </c>
      <c r="C3229" s="4">
        <v>45965.25</v>
      </c>
      <c r="D3229" s="4">
        <v>45965.250173611115</v>
      </c>
      <c r="E3229" s="2">
        <v>3.82</v>
      </c>
      <c r="F3229" s="2">
        <v>75</v>
      </c>
      <c r="G3229" s="2" t="s">
        <v>983</v>
      </c>
      <c r="H3229" s="2" t="s">
        <v>984</v>
      </c>
      <c r="I3229" s="2"/>
      <c r="J3229" s="2" t="s">
        <v>37</v>
      </c>
    </row>
    <row r="3230" spans="1:10" ht="21" customHeight="1">
      <c r="A3230" s="2" t="s">
        <v>4225</v>
      </c>
      <c r="B3230" s="2" t="s">
        <v>37</v>
      </c>
      <c r="C3230" s="4">
        <v>45966.25</v>
      </c>
      <c r="D3230" s="4">
        <v>45966.250493622691</v>
      </c>
      <c r="E3230" s="2">
        <v>3.67</v>
      </c>
      <c r="F3230" s="2">
        <v>75.2</v>
      </c>
      <c r="G3230" s="2" t="s">
        <v>983</v>
      </c>
      <c r="H3230" s="2" t="s">
        <v>984</v>
      </c>
      <c r="I3230" s="2"/>
      <c r="J3230" s="2" t="s">
        <v>37</v>
      </c>
    </row>
    <row r="3231" spans="1:10" ht="21" customHeight="1">
      <c r="A3231" s="2" t="s">
        <v>4226</v>
      </c>
      <c r="B3231" s="2" t="s">
        <v>37</v>
      </c>
      <c r="C3231" s="4">
        <v>45967.25</v>
      </c>
      <c r="D3231" s="4">
        <v>45967.250273576385</v>
      </c>
      <c r="E3231" s="2">
        <v>3.27</v>
      </c>
      <c r="F3231" s="2">
        <v>73.599999999999994</v>
      </c>
      <c r="G3231" s="2" t="s">
        <v>983</v>
      </c>
      <c r="H3231" s="2" t="s">
        <v>984</v>
      </c>
      <c r="I3231" s="2"/>
      <c r="J3231" s="2" t="s">
        <v>37</v>
      </c>
    </row>
    <row r="3232" spans="1:10" ht="21" customHeight="1">
      <c r="A3232" s="2" t="s">
        <v>4227</v>
      </c>
      <c r="B3232" s="2" t="s">
        <v>37</v>
      </c>
      <c r="C3232" s="4">
        <v>45968.25</v>
      </c>
      <c r="D3232" s="4">
        <v>45968.250591851851</v>
      </c>
      <c r="E3232" s="2">
        <v>3.35</v>
      </c>
      <c r="F3232" s="2">
        <v>73.2</v>
      </c>
      <c r="G3232" s="2" t="s">
        <v>983</v>
      </c>
      <c r="H3232" s="2" t="s">
        <v>984</v>
      </c>
      <c r="I3232" s="2"/>
      <c r="J3232" s="2" t="s">
        <v>37</v>
      </c>
    </row>
    <row r="3233" spans="1:10" ht="21" customHeight="1">
      <c r="A3233" s="2" t="s">
        <v>4228</v>
      </c>
      <c r="B3233" s="2" t="s">
        <v>37</v>
      </c>
      <c r="C3233" s="4">
        <v>45969.25</v>
      </c>
      <c r="D3233" s="4">
        <v>45969.25058501157</v>
      </c>
      <c r="E3233" s="2">
        <v>3.27</v>
      </c>
      <c r="F3233" s="2">
        <v>73.599999999999994</v>
      </c>
      <c r="G3233" s="2" t="s">
        <v>983</v>
      </c>
      <c r="H3233" s="2" t="s">
        <v>984</v>
      </c>
      <c r="I3233" s="2"/>
      <c r="J3233" s="2" t="s">
        <v>37</v>
      </c>
    </row>
    <row r="3234" spans="1:10" ht="21" customHeight="1">
      <c r="A3234" s="2" t="s">
        <v>4229</v>
      </c>
      <c r="B3234" s="2" t="s">
        <v>37</v>
      </c>
      <c r="C3234" s="4">
        <v>45970.25</v>
      </c>
      <c r="D3234" s="4">
        <v>45970.250146226856</v>
      </c>
      <c r="E3234" s="2">
        <v>3.11</v>
      </c>
      <c r="F3234" s="2">
        <v>73.8</v>
      </c>
      <c r="G3234" s="2" t="s">
        <v>983</v>
      </c>
      <c r="H3234" s="2" t="s">
        <v>984</v>
      </c>
      <c r="I3234" s="2"/>
      <c r="J3234" s="2" t="s">
        <v>37</v>
      </c>
    </row>
    <row r="3235" spans="1:10" ht="21" customHeight="1">
      <c r="A3235" s="2" t="s">
        <v>4230</v>
      </c>
      <c r="B3235" s="2" t="s">
        <v>37</v>
      </c>
      <c r="C3235" s="4">
        <v>45971.25</v>
      </c>
      <c r="D3235" s="4">
        <v>45971.250414652779</v>
      </c>
      <c r="E3235" s="2">
        <v>3.89</v>
      </c>
      <c r="F3235" s="2">
        <v>76.7</v>
      </c>
      <c r="G3235" s="2" t="s">
        <v>983</v>
      </c>
      <c r="H3235" s="2" t="s">
        <v>984</v>
      </c>
      <c r="I3235" s="2"/>
      <c r="J3235" s="2" t="s">
        <v>37</v>
      </c>
    </row>
    <row r="3236" spans="1:10" ht="21" customHeight="1">
      <c r="A3236" s="2" t="s">
        <v>4231</v>
      </c>
      <c r="B3236" s="2" t="s">
        <v>37</v>
      </c>
      <c r="C3236" s="4">
        <v>45972.25</v>
      </c>
      <c r="D3236" s="4">
        <v>45972.250148460647</v>
      </c>
      <c r="E3236" s="2">
        <v>2.98</v>
      </c>
      <c r="F3236" s="2">
        <v>72.3</v>
      </c>
      <c r="G3236" s="2" t="s">
        <v>983</v>
      </c>
      <c r="H3236" s="2" t="s">
        <v>984</v>
      </c>
      <c r="I3236" s="2"/>
      <c r="J3236" s="2" t="s">
        <v>37</v>
      </c>
    </row>
    <row r="3237" spans="1:10" ht="21" customHeight="1">
      <c r="A3237" s="2" t="s">
        <v>4232</v>
      </c>
      <c r="B3237" s="2" t="s">
        <v>37</v>
      </c>
      <c r="C3237" s="4">
        <v>45973.25</v>
      </c>
      <c r="D3237" s="4">
        <v>45973.250430347223</v>
      </c>
      <c r="E3237" s="2">
        <v>2.94</v>
      </c>
      <c r="F3237" s="2">
        <v>78.599999999999994</v>
      </c>
      <c r="G3237" s="2" t="s">
        <v>983</v>
      </c>
      <c r="H3237" s="2" t="s">
        <v>984</v>
      </c>
      <c r="I3237" s="2"/>
      <c r="J3237" s="2" t="s">
        <v>37</v>
      </c>
    </row>
    <row r="3238" spans="1:10" ht="21" customHeight="1">
      <c r="A3238" s="2" t="s">
        <v>4233</v>
      </c>
      <c r="B3238" s="2" t="s">
        <v>37</v>
      </c>
      <c r="C3238" s="4">
        <v>45974.25</v>
      </c>
      <c r="D3238" s="4">
        <v>45974.250019293977</v>
      </c>
      <c r="E3238" s="2">
        <v>3.14</v>
      </c>
      <c r="F3238" s="2">
        <v>77.400000000000006</v>
      </c>
      <c r="G3238" s="2" t="s">
        <v>983</v>
      </c>
      <c r="H3238" s="2" t="s">
        <v>984</v>
      </c>
      <c r="I3238" s="2"/>
      <c r="J3238" s="2" t="s">
        <v>37</v>
      </c>
    </row>
    <row r="3239" spans="1:10" ht="21" customHeight="1">
      <c r="A3239" s="2" t="s">
        <v>4234</v>
      </c>
      <c r="B3239" s="2" t="s">
        <v>37</v>
      </c>
      <c r="C3239" s="4">
        <v>45975.25</v>
      </c>
      <c r="D3239" s="4">
        <v>45975.250278657404</v>
      </c>
      <c r="E3239" s="2">
        <v>3.13</v>
      </c>
      <c r="F3239" s="2">
        <v>73.5</v>
      </c>
      <c r="G3239" s="2" t="s">
        <v>983</v>
      </c>
      <c r="H3239" s="2" t="s">
        <v>984</v>
      </c>
      <c r="I3239" s="2"/>
      <c r="J3239" s="2" t="s">
        <v>37</v>
      </c>
    </row>
    <row r="3240" spans="1:10" ht="21" customHeight="1">
      <c r="A3240" s="2" t="s">
        <v>4235</v>
      </c>
      <c r="B3240" s="2" t="s">
        <v>37</v>
      </c>
      <c r="C3240" s="4">
        <v>45976.25</v>
      </c>
      <c r="D3240" s="4">
        <v>45976.250642210653</v>
      </c>
      <c r="E3240" s="2">
        <v>3.64</v>
      </c>
      <c r="F3240" s="2">
        <v>77.3</v>
      </c>
      <c r="G3240" s="2" t="s">
        <v>983</v>
      </c>
      <c r="H3240" s="2" t="s">
        <v>984</v>
      </c>
      <c r="I3240" s="2"/>
      <c r="J3240" s="2" t="s">
        <v>37</v>
      </c>
    </row>
    <row r="3241" spans="1:10" ht="21" customHeight="1">
      <c r="A3241" s="2" t="s">
        <v>4236</v>
      </c>
      <c r="B3241" s="2" t="s">
        <v>3949</v>
      </c>
      <c r="C3241" s="4">
        <v>45977.25</v>
      </c>
      <c r="D3241" s="4">
        <v>45977.25026262732</v>
      </c>
      <c r="E3241" s="2">
        <v>2.94</v>
      </c>
      <c r="F3241" s="2">
        <v>77.599999999999994</v>
      </c>
      <c r="G3241" s="2" t="s">
        <v>983</v>
      </c>
      <c r="H3241" s="2" t="s">
        <v>984</v>
      </c>
      <c r="I3241" s="2"/>
      <c r="J3241" s="2" t="s">
        <v>37</v>
      </c>
    </row>
    <row r="3242" spans="1:10" ht="21" customHeight="1">
      <c r="A3242" s="2" t="s">
        <v>4237</v>
      </c>
      <c r="B3242" s="2" t="s">
        <v>37</v>
      </c>
      <c r="C3242" s="4">
        <v>45978.25</v>
      </c>
      <c r="D3242" s="4">
        <v>45978.250279861109</v>
      </c>
      <c r="E3242" s="2">
        <v>3.79</v>
      </c>
      <c r="F3242" s="2">
        <v>77.7</v>
      </c>
      <c r="G3242" s="2" t="s">
        <v>983</v>
      </c>
      <c r="H3242" s="2" t="s">
        <v>984</v>
      </c>
      <c r="I3242" s="2"/>
      <c r="J3242" s="2" t="s">
        <v>37</v>
      </c>
    </row>
    <row r="3243" spans="1:10" ht="21" customHeight="1">
      <c r="A3243" s="2" t="s">
        <v>4238</v>
      </c>
      <c r="B3243" s="2" t="s">
        <v>37</v>
      </c>
      <c r="C3243" s="4">
        <v>45979.25</v>
      </c>
      <c r="D3243" s="4">
        <v>45979.250078854166</v>
      </c>
      <c r="E3243" s="2">
        <v>3.92</v>
      </c>
      <c r="F3243" s="2">
        <v>79.8</v>
      </c>
      <c r="G3243" s="2" t="s">
        <v>983</v>
      </c>
      <c r="H3243" s="2" t="s">
        <v>984</v>
      </c>
      <c r="I3243" s="2"/>
      <c r="J3243" s="2" t="s">
        <v>37</v>
      </c>
    </row>
    <row r="3244" spans="1:10" ht="21" customHeight="1">
      <c r="A3244" s="2" t="s">
        <v>4239</v>
      </c>
      <c r="B3244" s="2" t="s">
        <v>37</v>
      </c>
      <c r="C3244" s="4">
        <v>45980.25</v>
      </c>
      <c r="D3244" s="4">
        <v>45980.250542187496</v>
      </c>
      <c r="E3244" s="2">
        <v>3.73</v>
      </c>
      <c r="F3244" s="2">
        <v>74.8</v>
      </c>
      <c r="G3244" s="2" t="s">
        <v>983</v>
      </c>
      <c r="H3244" s="2" t="s">
        <v>984</v>
      </c>
      <c r="I3244" s="2"/>
      <c r="J3244" s="2" t="s">
        <v>37</v>
      </c>
    </row>
    <row r="3245" spans="1:10" ht="21" customHeight="1">
      <c r="A3245" s="2" t="s">
        <v>4240</v>
      </c>
      <c r="B3245" s="2" t="s">
        <v>37</v>
      </c>
      <c r="C3245" s="4">
        <v>45981.25</v>
      </c>
      <c r="D3245" s="4">
        <v>45981.250526319447</v>
      </c>
      <c r="E3245" s="2">
        <v>3.73</v>
      </c>
      <c r="F3245" s="2">
        <v>74.5</v>
      </c>
      <c r="G3245" s="2" t="s">
        <v>983</v>
      </c>
      <c r="H3245" s="2" t="s">
        <v>984</v>
      </c>
      <c r="I3245" s="2" t="s">
        <v>985</v>
      </c>
      <c r="J3245" s="2" t="s">
        <v>37</v>
      </c>
    </row>
    <row r="3246" spans="1:10" ht="21" customHeight="1">
      <c r="A3246" s="2" t="s">
        <v>4241</v>
      </c>
      <c r="B3246" s="2" t="s">
        <v>37</v>
      </c>
      <c r="C3246" s="4">
        <v>45982.25</v>
      </c>
      <c r="D3246" s="4">
        <v>45982.250206921293</v>
      </c>
      <c r="E3246" s="2">
        <v>3.02</v>
      </c>
      <c r="F3246" s="2">
        <v>72.900000000000006</v>
      </c>
      <c r="G3246" s="2" t="s">
        <v>983</v>
      </c>
      <c r="H3246" s="2" t="s">
        <v>984</v>
      </c>
      <c r="I3246" s="2"/>
      <c r="J3246" s="2" t="s">
        <v>37</v>
      </c>
    </row>
    <row r="3247" spans="1:10" ht="21" customHeight="1">
      <c r="A3247" s="2" t="s">
        <v>4242</v>
      </c>
      <c r="B3247" s="2" t="s">
        <v>37</v>
      </c>
      <c r="C3247" s="4">
        <v>45983.25</v>
      </c>
      <c r="D3247" s="4">
        <v>45983.250064641208</v>
      </c>
      <c r="E3247" s="2">
        <v>3.87</v>
      </c>
      <c r="F3247" s="2">
        <v>72.3</v>
      </c>
      <c r="G3247" s="2" t="s">
        <v>983</v>
      </c>
      <c r="H3247" s="2" t="s">
        <v>984</v>
      </c>
      <c r="I3247" s="2"/>
      <c r="J3247" s="2" t="s">
        <v>37</v>
      </c>
    </row>
    <row r="3248" spans="1:10" ht="21" customHeight="1">
      <c r="A3248" s="2" t="s">
        <v>4243</v>
      </c>
      <c r="B3248" s="2" t="s">
        <v>37</v>
      </c>
      <c r="C3248" s="4">
        <v>45984.25</v>
      </c>
      <c r="D3248" s="4">
        <v>45984.250160543983</v>
      </c>
      <c r="E3248" s="2">
        <v>3.94</v>
      </c>
      <c r="F3248" s="2">
        <v>76</v>
      </c>
      <c r="G3248" s="2" t="s">
        <v>983</v>
      </c>
      <c r="H3248" s="2" t="s">
        <v>984</v>
      </c>
      <c r="I3248" s="2"/>
      <c r="J3248" s="2" t="s">
        <v>37</v>
      </c>
    </row>
    <row r="3249" spans="1:10" ht="21" customHeight="1">
      <c r="A3249" s="2" t="s">
        <v>4244</v>
      </c>
      <c r="B3249" s="2" t="s">
        <v>37</v>
      </c>
      <c r="C3249" s="4">
        <v>45985.25</v>
      </c>
      <c r="D3249" s="4">
        <v>45985.250354814816</v>
      </c>
      <c r="E3249" s="2">
        <v>3.12</v>
      </c>
      <c r="F3249" s="2">
        <v>72.599999999999994</v>
      </c>
      <c r="G3249" s="2" t="s">
        <v>983</v>
      </c>
      <c r="H3249" s="2" t="s">
        <v>984</v>
      </c>
      <c r="I3249" s="2"/>
      <c r="J3249" s="2" t="s">
        <v>37</v>
      </c>
    </row>
    <row r="3250" spans="1:10" ht="21" customHeight="1">
      <c r="A3250" s="2" t="s">
        <v>4245</v>
      </c>
      <c r="B3250" s="2" t="s">
        <v>37</v>
      </c>
      <c r="C3250" s="4">
        <v>45986.25</v>
      </c>
      <c r="D3250" s="4">
        <v>45986.250680046302</v>
      </c>
      <c r="E3250" s="2">
        <v>3.89</v>
      </c>
      <c r="F3250" s="2">
        <v>75.599999999999994</v>
      </c>
      <c r="G3250" s="2" t="s">
        <v>983</v>
      </c>
      <c r="H3250" s="2" t="s">
        <v>984</v>
      </c>
      <c r="I3250" s="2"/>
      <c r="J3250" s="2" t="s">
        <v>37</v>
      </c>
    </row>
    <row r="3251" spans="1:10" ht="21" customHeight="1">
      <c r="A3251" s="2" t="s">
        <v>4246</v>
      </c>
      <c r="B3251" s="2" t="s">
        <v>37</v>
      </c>
      <c r="C3251" s="4">
        <v>45987.25</v>
      </c>
      <c r="D3251" s="4">
        <v>45987.250101886573</v>
      </c>
      <c r="E3251" s="2">
        <v>3.13</v>
      </c>
      <c r="F3251" s="2">
        <v>75</v>
      </c>
      <c r="G3251" s="2" t="s">
        <v>983</v>
      </c>
      <c r="H3251" s="2" t="s">
        <v>984</v>
      </c>
      <c r="I3251" s="2"/>
      <c r="J3251" s="2" t="s">
        <v>37</v>
      </c>
    </row>
    <row r="3252" spans="1:10" ht="21" customHeight="1">
      <c r="A3252" s="2" t="s">
        <v>4247</v>
      </c>
      <c r="B3252" s="2" t="s">
        <v>37</v>
      </c>
      <c r="C3252" s="4">
        <v>45988.25</v>
      </c>
      <c r="D3252" s="4">
        <v>45988.250566099538</v>
      </c>
      <c r="E3252" s="2">
        <v>3.75</v>
      </c>
      <c r="F3252" s="2">
        <v>78.099999999999994</v>
      </c>
      <c r="G3252" s="2" t="s">
        <v>983</v>
      </c>
      <c r="H3252" s="2" t="s">
        <v>984</v>
      </c>
      <c r="I3252" s="2"/>
      <c r="J3252" s="2" t="s">
        <v>37</v>
      </c>
    </row>
    <row r="3253" spans="1:10" ht="21" customHeight="1">
      <c r="A3253" s="2" t="s">
        <v>4248</v>
      </c>
      <c r="B3253" s="2" t="s">
        <v>37</v>
      </c>
      <c r="C3253" s="4">
        <v>45989.25</v>
      </c>
      <c r="D3253" s="4">
        <v>45989.250095798612</v>
      </c>
      <c r="E3253" s="2">
        <v>3.53</v>
      </c>
      <c r="F3253" s="2">
        <v>75.599999999999994</v>
      </c>
      <c r="G3253" s="2" t="s">
        <v>983</v>
      </c>
      <c r="H3253" s="2" t="s">
        <v>984</v>
      </c>
      <c r="I3253" s="2"/>
      <c r="J3253" s="2" t="s">
        <v>37</v>
      </c>
    </row>
    <row r="3254" spans="1:10" ht="21" customHeight="1">
      <c r="A3254" s="2" t="s">
        <v>4249</v>
      </c>
      <c r="B3254" s="2" t="s">
        <v>37</v>
      </c>
      <c r="C3254" s="4">
        <v>45990.25</v>
      </c>
      <c r="D3254" s="4">
        <v>45990.250584074078</v>
      </c>
      <c r="E3254" s="2">
        <v>2.93</v>
      </c>
      <c r="F3254" s="2">
        <v>76.400000000000006</v>
      </c>
      <c r="G3254" s="2" t="s">
        <v>983</v>
      </c>
      <c r="H3254" s="2" t="s">
        <v>984</v>
      </c>
      <c r="I3254" s="2"/>
      <c r="J3254" s="2" t="s">
        <v>37</v>
      </c>
    </row>
    <row r="3255" spans="1:10" ht="21" customHeight="1">
      <c r="A3255" s="2" t="s">
        <v>4250</v>
      </c>
      <c r="B3255" s="2" t="s">
        <v>37</v>
      </c>
      <c r="C3255" s="4">
        <v>45991.25</v>
      </c>
      <c r="D3255" s="4">
        <v>45991.25012217593</v>
      </c>
      <c r="E3255" s="2">
        <v>3.17</v>
      </c>
      <c r="F3255" s="2">
        <v>79.900000000000006</v>
      </c>
      <c r="G3255" s="2" t="s">
        <v>983</v>
      </c>
      <c r="H3255" s="2" t="s">
        <v>984</v>
      </c>
      <c r="I3255" s="2"/>
      <c r="J3255" s="2" t="s">
        <v>37</v>
      </c>
    </row>
    <row r="3256" spans="1:10" ht="21" customHeight="1">
      <c r="A3256" s="2" t="s">
        <v>4251</v>
      </c>
      <c r="B3256" s="2" t="s">
        <v>37</v>
      </c>
      <c r="C3256" s="4">
        <v>45992.25</v>
      </c>
      <c r="D3256" s="4">
        <v>45992.25065130787</v>
      </c>
      <c r="E3256" s="2">
        <v>3.21</v>
      </c>
      <c r="F3256" s="2">
        <v>74.599999999999994</v>
      </c>
      <c r="G3256" s="2" t="s">
        <v>983</v>
      </c>
      <c r="H3256" s="2" t="s">
        <v>984</v>
      </c>
      <c r="I3256" s="2"/>
      <c r="J3256" s="2" t="s">
        <v>37</v>
      </c>
    </row>
    <row r="3257" spans="1:10" ht="21" customHeight="1">
      <c r="A3257" s="2" t="s">
        <v>4252</v>
      </c>
      <c r="B3257" s="2" t="s">
        <v>37</v>
      </c>
      <c r="C3257" s="4">
        <v>45993.25</v>
      </c>
      <c r="D3257" s="4">
        <v>45993.250153518515</v>
      </c>
      <c r="E3257" s="2">
        <v>3.2</v>
      </c>
      <c r="F3257" s="2">
        <v>74.099999999999994</v>
      </c>
      <c r="G3257" s="2" t="s">
        <v>983</v>
      </c>
      <c r="H3257" s="2" t="s">
        <v>984</v>
      </c>
      <c r="I3257" s="2"/>
      <c r="J3257" s="2" t="s">
        <v>37</v>
      </c>
    </row>
    <row r="3258" spans="1:10" ht="21" customHeight="1">
      <c r="A3258" s="2" t="s">
        <v>4253</v>
      </c>
      <c r="B3258" s="2" t="s">
        <v>37</v>
      </c>
      <c r="C3258" s="4">
        <v>45994.25</v>
      </c>
      <c r="D3258" s="4">
        <v>45994.250682557875</v>
      </c>
      <c r="E3258" s="2">
        <v>3.22</v>
      </c>
      <c r="F3258" s="2">
        <v>72.3</v>
      </c>
      <c r="G3258" s="2" t="s">
        <v>983</v>
      </c>
      <c r="H3258" s="2" t="s">
        <v>984</v>
      </c>
      <c r="I3258" s="2"/>
      <c r="J3258" s="2" t="s">
        <v>37</v>
      </c>
    </row>
    <row r="3259" spans="1:10" ht="21" customHeight="1">
      <c r="A3259" s="2" t="s">
        <v>4254</v>
      </c>
      <c r="B3259" s="2" t="s">
        <v>37</v>
      </c>
      <c r="C3259" s="4">
        <v>45995.25</v>
      </c>
      <c r="D3259" s="4">
        <v>45995.250019212966</v>
      </c>
      <c r="E3259" s="2">
        <v>3.89</v>
      </c>
      <c r="F3259" s="2">
        <v>78.2</v>
      </c>
      <c r="G3259" s="2" t="s">
        <v>983</v>
      </c>
      <c r="H3259" s="2" t="s">
        <v>984</v>
      </c>
      <c r="I3259" s="2"/>
      <c r="J3259" s="2" t="s">
        <v>37</v>
      </c>
    </row>
    <row r="3260" spans="1:10" ht="21" customHeight="1">
      <c r="A3260" s="2" t="s">
        <v>4255</v>
      </c>
      <c r="B3260" s="2" t="s">
        <v>37</v>
      </c>
      <c r="C3260" s="4">
        <v>45996.25</v>
      </c>
      <c r="D3260" s="4">
        <v>45996.250436377319</v>
      </c>
      <c r="E3260" s="2">
        <v>2.93</v>
      </c>
      <c r="F3260" s="2">
        <v>78.7</v>
      </c>
      <c r="G3260" s="2" t="s">
        <v>983</v>
      </c>
      <c r="H3260" s="2" t="s">
        <v>984</v>
      </c>
      <c r="I3260" s="2"/>
      <c r="J3260" s="2" t="s">
        <v>37</v>
      </c>
    </row>
    <row r="3261" spans="1:10" ht="21" customHeight="1">
      <c r="A3261" s="2" t="s">
        <v>4256</v>
      </c>
      <c r="B3261" s="2" t="s">
        <v>37</v>
      </c>
      <c r="C3261" s="4">
        <v>45997.25</v>
      </c>
      <c r="D3261" s="4">
        <v>45997.250021562504</v>
      </c>
      <c r="E3261" s="2">
        <v>3.96</v>
      </c>
      <c r="F3261" s="2">
        <v>78.3</v>
      </c>
      <c r="G3261" s="2" t="s">
        <v>983</v>
      </c>
      <c r="H3261" s="2" t="s">
        <v>984</v>
      </c>
      <c r="I3261" s="2"/>
      <c r="J3261" s="2" t="s">
        <v>37</v>
      </c>
    </row>
    <row r="3262" spans="1:10" ht="21" customHeight="1">
      <c r="A3262" s="2" t="s">
        <v>4257</v>
      </c>
      <c r="B3262" s="2" t="s">
        <v>37</v>
      </c>
      <c r="C3262" s="4">
        <v>45998.25</v>
      </c>
      <c r="D3262" s="4">
        <v>45998.250213680556</v>
      </c>
      <c r="E3262" s="2">
        <v>2.81</v>
      </c>
      <c r="F3262" s="2">
        <v>75.099999999999994</v>
      </c>
      <c r="G3262" s="2" t="s">
        <v>983</v>
      </c>
      <c r="H3262" s="2" t="s">
        <v>984</v>
      </c>
      <c r="I3262" s="2" t="s">
        <v>985</v>
      </c>
      <c r="J3262" s="2" t="s">
        <v>37</v>
      </c>
    </row>
    <row r="3263" spans="1:10" ht="21" customHeight="1">
      <c r="A3263" s="2" t="s">
        <v>4258</v>
      </c>
      <c r="B3263" s="2" t="s">
        <v>37</v>
      </c>
      <c r="C3263" s="4">
        <v>45999.25</v>
      </c>
      <c r="D3263" s="4">
        <v>45999.250522523143</v>
      </c>
      <c r="E3263" s="2">
        <v>3.04</v>
      </c>
      <c r="F3263" s="2">
        <v>77.099999999999994</v>
      </c>
      <c r="G3263" s="2" t="s">
        <v>983</v>
      </c>
      <c r="H3263" s="2" t="s">
        <v>984</v>
      </c>
      <c r="I3263" s="2"/>
      <c r="J3263" s="2" t="s">
        <v>37</v>
      </c>
    </row>
    <row r="3264" spans="1:10" ht="21" customHeight="1">
      <c r="A3264" s="2" t="s">
        <v>4259</v>
      </c>
      <c r="B3264" s="2" t="s">
        <v>37</v>
      </c>
      <c r="C3264" s="4">
        <v>46000.25</v>
      </c>
      <c r="D3264" s="4">
        <v>46000.25011778935</v>
      </c>
      <c r="E3264" s="2">
        <v>3.86</v>
      </c>
      <c r="F3264" s="2">
        <v>77.900000000000006</v>
      </c>
      <c r="G3264" s="2" t="s">
        <v>983</v>
      </c>
      <c r="H3264" s="2" t="s">
        <v>984</v>
      </c>
      <c r="I3264" s="2"/>
      <c r="J3264" s="2" t="s">
        <v>37</v>
      </c>
    </row>
    <row r="3265" spans="1:10" ht="21" customHeight="1">
      <c r="A3265" s="2" t="s">
        <v>4260</v>
      </c>
      <c r="B3265" s="2" t="s">
        <v>37</v>
      </c>
      <c r="C3265" s="4">
        <v>46001.25</v>
      </c>
      <c r="D3265" s="4">
        <v>46001.250164675926</v>
      </c>
      <c r="E3265" s="2">
        <v>3.97</v>
      </c>
      <c r="F3265" s="2">
        <v>74.2</v>
      </c>
      <c r="G3265" s="2" t="s">
        <v>983</v>
      </c>
      <c r="H3265" s="2" t="s">
        <v>984</v>
      </c>
      <c r="I3265" s="2"/>
      <c r="J3265" s="2" t="s">
        <v>37</v>
      </c>
    </row>
    <row r="3266" spans="1:10" ht="21" customHeight="1">
      <c r="A3266" s="2" t="s">
        <v>4261</v>
      </c>
      <c r="B3266" s="2" t="s">
        <v>37</v>
      </c>
      <c r="C3266" s="4">
        <v>46002.25</v>
      </c>
      <c r="D3266" s="4">
        <v>46002.250108599532</v>
      </c>
      <c r="E3266" s="2"/>
      <c r="F3266" s="2"/>
      <c r="G3266" s="2" t="s">
        <v>983</v>
      </c>
      <c r="H3266" s="2" t="s">
        <v>1066</v>
      </c>
      <c r="I3266" s="2"/>
      <c r="J3266" s="2" t="s">
        <v>37</v>
      </c>
    </row>
    <row r="3267" spans="1:10" ht="21" customHeight="1">
      <c r="A3267" s="2" t="s">
        <v>4262</v>
      </c>
      <c r="B3267" s="2" t="s">
        <v>37</v>
      </c>
      <c r="C3267" s="4">
        <v>46003.25</v>
      </c>
      <c r="D3267" s="4">
        <v>46003.250501956019</v>
      </c>
      <c r="E3267" s="2">
        <v>3.57</v>
      </c>
      <c r="F3267" s="2">
        <v>78.7</v>
      </c>
      <c r="G3267" s="2" t="s">
        <v>983</v>
      </c>
      <c r="H3267" s="2" t="s">
        <v>984</v>
      </c>
      <c r="I3267" s="2"/>
      <c r="J3267" s="2" t="s">
        <v>37</v>
      </c>
    </row>
    <row r="3268" spans="1:10" ht="21" customHeight="1">
      <c r="A3268" s="2" t="s">
        <v>4263</v>
      </c>
      <c r="B3268" s="2" t="s">
        <v>37</v>
      </c>
      <c r="C3268" s="4">
        <v>46004.25</v>
      </c>
      <c r="D3268" s="4">
        <v>46004.25051460648</v>
      </c>
      <c r="E3268" s="2">
        <v>3.92</v>
      </c>
      <c r="F3268" s="2">
        <v>73.5</v>
      </c>
      <c r="G3268" s="2" t="s">
        <v>983</v>
      </c>
      <c r="H3268" s="2" t="s">
        <v>984</v>
      </c>
      <c r="I3268" s="2"/>
      <c r="J3268" s="2" t="s">
        <v>37</v>
      </c>
    </row>
    <row r="3269" spans="1:10" ht="21" customHeight="1">
      <c r="A3269" s="2" t="s">
        <v>4264</v>
      </c>
      <c r="B3269" s="2" t="s">
        <v>37</v>
      </c>
      <c r="C3269" s="4">
        <v>46005.25</v>
      </c>
      <c r="D3269" s="4">
        <v>46005.250553749996</v>
      </c>
      <c r="E3269" s="2">
        <v>3.72</v>
      </c>
      <c r="F3269" s="2">
        <v>78.7</v>
      </c>
      <c r="G3269" s="2" t="s">
        <v>983</v>
      </c>
      <c r="H3269" s="2" t="s">
        <v>984</v>
      </c>
      <c r="I3269" s="2"/>
      <c r="J3269" s="2" t="s">
        <v>37</v>
      </c>
    </row>
    <row r="3270" spans="1:10" ht="21" customHeight="1">
      <c r="A3270" s="2" t="s">
        <v>4265</v>
      </c>
      <c r="B3270" s="2" t="s">
        <v>37</v>
      </c>
      <c r="C3270" s="4">
        <v>46006.25</v>
      </c>
      <c r="D3270" s="4">
        <v>46006.250516504631</v>
      </c>
      <c r="E3270" s="2">
        <v>3.15</v>
      </c>
      <c r="F3270" s="2">
        <v>79.599999999999994</v>
      </c>
      <c r="G3270" s="2" t="s">
        <v>983</v>
      </c>
      <c r="H3270" s="2" t="s">
        <v>984</v>
      </c>
      <c r="I3270" s="2"/>
      <c r="J3270" s="2" t="s">
        <v>37</v>
      </c>
    </row>
    <row r="3271" spans="1:10" ht="21" customHeight="1">
      <c r="A3271" s="2" t="s">
        <v>4266</v>
      </c>
      <c r="B3271" s="2" t="s">
        <v>37</v>
      </c>
      <c r="C3271" s="4">
        <v>46007.25</v>
      </c>
      <c r="D3271" s="4">
        <v>46007.250219027774</v>
      </c>
      <c r="E3271" s="2">
        <v>3.65</v>
      </c>
      <c r="F3271" s="2">
        <v>75.8</v>
      </c>
      <c r="G3271" s="2" t="s">
        <v>983</v>
      </c>
      <c r="H3271" s="2" t="s">
        <v>984</v>
      </c>
      <c r="I3271" s="2"/>
      <c r="J3271" s="2" t="s">
        <v>37</v>
      </c>
    </row>
    <row r="3272" spans="1:10" ht="21" customHeight="1">
      <c r="A3272" s="2" t="s">
        <v>4267</v>
      </c>
      <c r="B3272" s="2" t="s">
        <v>37</v>
      </c>
      <c r="C3272" s="4">
        <v>46008.25</v>
      </c>
      <c r="D3272" s="4">
        <v>46008.250322569445</v>
      </c>
      <c r="E3272" s="2">
        <v>3.35</v>
      </c>
      <c r="F3272" s="2">
        <v>75.099999999999994</v>
      </c>
      <c r="G3272" s="2" t="s">
        <v>983</v>
      </c>
      <c r="H3272" s="2" t="s">
        <v>984</v>
      </c>
      <c r="I3272" s="2"/>
      <c r="J3272" s="2" t="s">
        <v>37</v>
      </c>
    </row>
    <row r="3273" spans="1:10" ht="21" customHeight="1">
      <c r="A3273" s="2" t="s">
        <v>4268</v>
      </c>
      <c r="B3273" s="2" t="s">
        <v>37</v>
      </c>
      <c r="C3273" s="4">
        <v>46009.25</v>
      </c>
      <c r="D3273" s="4">
        <v>46009.250248645832</v>
      </c>
      <c r="E3273" s="2">
        <v>3.89</v>
      </c>
      <c r="F3273" s="2">
        <v>80</v>
      </c>
      <c r="G3273" s="2" t="s">
        <v>983</v>
      </c>
      <c r="H3273" s="2" t="s">
        <v>984</v>
      </c>
      <c r="I3273" s="2"/>
      <c r="J3273" s="2" t="s">
        <v>37</v>
      </c>
    </row>
    <row r="3274" spans="1:10" ht="21" customHeight="1">
      <c r="A3274" s="2" t="s">
        <v>4269</v>
      </c>
      <c r="B3274" s="2" t="s">
        <v>37</v>
      </c>
      <c r="C3274" s="4">
        <v>46010.25</v>
      </c>
      <c r="D3274" s="4">
        <v>46010.250633379634</v>
      </c>
      <c r="E3274" s="2">
        <v>3.35</v>
      </c>
      <c r="F3274" s="2">
        <v>75</v>
      </c>
      <c r="G3274" s="2" t="s">
        <v>983</v>
      </c>
      <c r="H3274" s="2" t="s">
        <v>984</v>
      </c>
      <c r="I3274" s="2"/>
      <c r="J3274" s="2" t="s">
        <v>37</v>
      </c>
    </row>
    <row r="3275" spans="1:10" ht="21" customHeight="1">
      <c r="A3275" s="2" t="s">
        <v>4270</v>
      </c>
      <c r="B3275" s="2" t="s">
        <v>37</v>
      </c>
      <c r="C3275" s="4">
        <v>46011.25</v>
      </c>
      <c r="D3275" s="4">
        <v>46011.250075902775</v>
      </c>
      <c r="E3275" s="2">
        <v>2.97</v>
      </c>
      <c r="F3275" s="2">
        <v>76.400000000000006</v>
      </c>
      <c r="G3275" s="2" t="s">
        <v>983</v>
      </c>
      <c r="H3275" s="2" t="s">
        <v>984</v>
      </c>
      <c r="I3275" s="2"/>
      <c r="J3275" s="2" t="s">
        <v>37</v>
      </c>
    </row>
    <row r="3276" spans="1:10" ht="21" customHeight="1">
      <c r="A3276" s="2" t="s">
        <v>4271</v>
      </c>
      <c r="B3276" s="2" t="s">
        <v>37</v>
      </c>
      <c r="C3276" s="4">
        <v>46012.25</v>
      </c>
      <c r="D3276" s="4">
        <v>46012.250343287036</v>
      </c>
      <c r="E3276" s="2">
        <v>3.17</v>
      </c>
      <c r="F3276" s="2">
        <v>76.3</v>
      </c>
      <c r="G3276" s="2" t="s">
        <v>983</v>
      </c>
      <c r="H3276" s="2" t="s">
        <v>984</v>
      </c>
      <c r="I3276" s="2"/>
      <c r="J3276" s="2" t="s">
        <v>37</v>
      </c>
    </row>
    <row r="3277" spans="1:10" ht="21" customHeight="1">
      <c r="A3277" s="2" t="s">
        <v>4272</v>
      </c>
      <c r="B3277" s="2" t="s">
        <v>37</v>
      </c>
      <c r="C3277" s="4">
        <v>46013.25</v>
      </c>
      <c r="D3277" s="4">
        <v>46013.250513599538</v>
      </c>
      <c r="E3277" s="2">
        <v>3.73</v>
      </c>
      <c r="F3277" s="2">
        <v>73.400000000000006</v>
      </c>
      <c r="G3277" s="2" t="s">
        <v>983</v>
      </c>
      <c r="H3277" s="2" t="s">
        <v>984</v>
      </c>
      <c r="I3277" s="2"/>
      <c r="J3277" s="2" t="s">
        <v>37</v>
      </c>
    </row>
    <row r="3278" spans="1:10" ht="21" customHeight="1">
      <c r="A3278" s="2" t="s">
        <v>4273</v>
      </c>
      <c r="B3278" s="2" t="s">
        <v>37</v>
      </c>
      <c r="C3278" s="4">
        <v>46014.25</v>
      </c>
      <c r="D3278" s="4">
        <v>46014.250671851856</v>
      </c>
      <c r="E3278" s="2">
        <v>2.92</v>
      </c>
      <c r="F3278" s="2">
        <v>76.900000000000006</v>
      </c>
      <c r="G3278" s="2" t="s">
        <v>983</v>
      </c>
      <c r="H3278" s="2" t="s">
        <v>984</v>
      </c>
      <c r="I3278" s="2"/>
      <c r="J3278" s="2" t="s">
        <v>37</v>
      </c>
    </row>
    <row r="3279" spans="1:10" ht="21" customHeight="1">
      <c r="A3279" s="2" t="s">
        <v>4274</v>
      </c>
      <c r="B3279" s="2" t="s">
        <v>37</v>
      </c>
      <c r="C3279" s="4">
        <v>46015.25</v>
      </c>
      <c r="D3279" s="4">
        <v>46015.250558657412</v>
      </c>
      <c r="E3279" s="2">
        <v>3.07</v>
      </c>
      <c r="F3279" s="2">
        <v>72.900000000000006</v>
      </c>
      <c r="G3279" s="2" t="s">
        <v>983</v>
      </c>
      <c r="H3279" s="2" t="s">
        <v>984</v>
      </c>
      <c r="I3279" s="2" t="s">
        <v>985</v>
      </c>
      <c r="J3279" s="2" t="s">
        <v>37</v>
      </c>
    </row>
    <row r="3280" spans="1:10" ht="21" customHeight="1">
      <c r="A3280" s="2" t="s">
        <v>4275</v>
      </c>
      <c r="B3280" s="2" t="s">
        <v>37</v>
      </c>
      <c r="C3280" s="4">
        <v>46016.25</v>
      </c>
      <c r="D3280" s="4">
        <v>46016.250028900467</v>
      </c>
      <c r="E3280" s="2">
        <v>3.28</v>
      </c>
      <c r="F3280" s="2">
        <v>75.099999999999994</v>
      </c>
      <c r="G3280" s="2" t="s">
        <v>983</v>
      </c>
      <c r="H3280" s="2" t="s">
        <v>984</v>
      </c>
      <c r="I3280" s="2"/>
      <c r="J3280" s="2" t="s">
        <v>37</v>
      </c>
    </row>
    <row r="3281" spans="1:10" ht="21" customHeight="1">
      <c r="A3281" s="2" t="s">
        <v>4276</v>
      </c>
      <c r="B3281" s="2" t="s">
        <v>37</v>
      </c>
      <c r="C3281" s="4">
        <v>46017.25</v>
      </c>
      <c r="D3281" s="4">
        <v>46017.250234641207</v>
      </c>
      <c r="E3281" s="2">
        <v>2.92</v>
      </c>
      <c r="F3281" s="2">
        <v>72.5</v>
      </c>
      <c r="G3281" s="2" t="s">
        <v>983</v>
      </c>
      <c r="H3281" s="2" t="s">
        <v>984</v>
      </c>
      <c r="I3281" s="2"/>
      <c r="J3281" s="2" t="s">
        <v>37</v>
      </c>
    </row>
    <row r="3282" spans="1:10" ht="21" customHeight="1">
      <c r="A3282" s="2" t="s">
        <v>4277</v>
      </c>
      <c r="B3282" s="2" t="s">
        <v>3949</v>
      </c>
      <c r="C3282" s="4">
        <v>46018.25</v>
      </c>
      <c r="D3282" s="4">
        <v>46018.2504271875</v>
      </c>
      <c r="E3282" s="2">
        <v>2.87</v>
      </c>
      <c r="F3282" s="2">
        <v>75</v>
      </c>
      <c r="G3282" s="2" t="s">
        <v>983</v>
      </c>
      <c r="H3282" s="2" t="s">
        <v>984</v>
      </c>
      <c r="I3282" s="2"/>
      <c r="J3282" s="2" t="s">
        <v>37</v>
      </c>
    </row>
    <row r="3283" spans="1:10" ht="21" customHeight="1">
      <c r="A3283" s="2" t="s">
        <v>4278</v>
      </c>
      <c r="B3283" s="2" t="s">
        <v>37</v>
      </c>
      <c r="C3283" s="4">
        <v>46019.25</v>
      </c>
      <c r="D3283" s="4">
        <v>46019.250217222223</v>
      </c>
      <c r="E3283" s="2">
        <v>3.77</v>
      </c>
      <c r="F3283" s="2">
        <v>75.400000000000006</v>
      </c>
      <c r="G3283" s="2" t="s">
        <v>983</v>
      </c>
      <c r="H3283" s="2" t="s">
        <v>984</v>
      </c>
      <c r="I3283" s="2"/>
      <c r="J3283" s="2" t="s">
        <v>37</v>
      </c>
    </row>
    <row r="3284" spans="1:10" ht="21" customHeight="1">
      <c r="A3284" s="2" t="s">
        <v>4279</v>
      </c>
      <c r="B3284" s="2" t="s">
        <v>37</v>
      </c>
      <c r="C3284" s="4">
        <v>46020.25</v>
      </c>
      <c r="D3284" s="4">
        <v>46020.250329166665</v>
      </c>
      <c r="E3284" s="2">
        <v>3.09</v>
      </c>
      <c r="F3284" s="2">
        <v>72.7</v>
      </c>
      <c r="G3284" s="2" t="s">
        <v>983</v>
      </c>
      <c r="H3284" s="2" t="s">
        <v>984</v>
      </c>
      <c r="I3284" s="2"/>
      <c r="J3284" s="2" t="s">
        <v>37</v>
      </c>
    </row>
    <row r="3285" spans="1:10" ht="21" customHeight="1">
      <c r="A3285" s="2" t="s">
        <v>4280</v>
      </c>
      <c r="B3285" s="2" t="s">
        <v>37</v>
      </c>
      <c r="C3285" s="4">
        <v>46021.25</v>
      </c>
      <c r="D3285" s="4">
        <v>46021.250360185186</v>
      </c>
      <c r="E3285" s="2">
        <v>3.13</v>
      </c>
      <c r="F3285" s="2">
        <v>76.599999999999994</v>
      </c>
      <c r="G3285" s="2" t="s">
        <v>983</v>
      </c>
      <c r="H3285" s="2" t="s">
        <v>984</v>
      </c>
      <c r="I3285" s="2"/>
      <c r="J3285" s="2" t="s">
        <v>37</v>
      </c>
    </row>
    <row r="3286" spans="1:10" ht="21" customHeight="1">
      <c r="A3286" s="2" t="s">
        <v>4281</v>
      </c>
      <c r="B3286" s="2" t="s">
        <v>37</v>
      </c>
      <c r="C3286" s="4">
        <v>46022.25</v>
      </c>
      <c r="D3286" s="4">
        <v>46022.250179664348</v>
      </c>
      <c r="E3286" s="2">
        <v>3.5</v>
      </c>
      <c r="F3286" s="2">
        <v>78.599999999999994</v>
      </c>
      <c r="G3286" s="2" t="s">
        <v>983</v>
      </c>
      <c r="H3286" s="2" t="s">
        <v>984</v>
      </c>
      <c r="I3286" s="2"/>
      <c r="J3286" s="2" t="s">
        <v>37</v>
      </c>
    </row>
    <row r="3287" spans="1:10" ht="21" customHeight="1">
      <c r="A3287" s="2" t="s">
        <v>4282</v>
      </c>
      <c r="B3287" s="2" t="s">
        <v>38</v>
      </c>
      <c r="C3287" s="4">
        <v>45658.25</v>
      </c>
      <c r="D3287" s="4">
        <v>45659.5</v>
      </c>
      <c r="E3287" s="2">
        <v>3.08</v>
      </c>
      <c r="F3287" s="2">
        <v>58.1</v>
      </c>
      <c r="G3287" s="2" t="s">
        <v>983</v>
      </c>
      <c r="H3287" s="2" t="s">
        <v>984</v>
      </c>
      <c r="I3287" s="2" t="s">
        <v>985</v>
      </c>
      <c r="J3287" s="2" t="s">
        <v>38</v>
      </c>
    </row>
    <row r="3288" spans="1:10" ht="21" customHeight="1">
      <c r="A3288" s="2" t="s">
        <v>4283</v>
      </c>
      <c r="B3288" s="2" t="s">
        <v>38</v>
      </c>
      <c r="C3288" s="4">
        <v>45659.25</v>
      </c>
      <c r="D3288" s="4">
        <v>45659.250205729171</v>
      </c>
      <c r="E3288" s="2">
        <v>2.2999999999999998</v>
      </c>
      <c r="F3288" s="2">
        <v>63</v>
      </c>
      <c r="G3288" s="2" t="s">
        <v>983</v>
      </c>
      <c r="H3288" s="2" t="s">
        <v>984</v>
      </c>
      <c r="I3288" s="2"/>
      <c r="J3288" s="2" t="s">
        <v>38</v>
      </c>
    </row>
    <row r="3289" spans="1:10" ht="21" customHeight="1">
      <c r="A3289" s="2" t="s">
        <v>4284</v>
      </c>
      <c r="B3289" s="2" t="s">
        <v>38</v>
      </c>
      <c r="C3289" s="4">
        <v>45660.25</v>
      </c>
      <c r="D3289" s="4">
        <v>45660.250389479166</v>
      </c>
      <c r="E3289" s="2">
        <v>3.14</v>
      </c>
      <c r="F3289" s="2">
        <v>60.7</v>
      </c>
      <c r="G3289" s="2" t="s">
        <v>983</v>
      </c>
      <c r="H3289" s="2" t="s">
        <v>984</v>
      </c>
      <c r="I3289" s="2"/>
      <c r="J3289" s="2" t="s">
        <v>38</v>
      </c>
    </row>
    <row r="3290" spans="1:10" ht="21" customHeight="1">
      <c r="A3290" s="2" t="s">
        <v>4285</v>
      </c>
      <c r="B3290" s="2" t="s">
        <v>38</v>
      </c>
      <c r="C3290" s="4">
        <v>45661.25</v>
      </c>
      <c r="D3290" s="4">
        <v>45661.250471932872</v>
      </c>
      <c r="E3290" s="2">
        <v>2.98</v>
      </c>
      <c r="F3290" s="2">
        <v>65.900000000000006</v>
      </c>
      <c r="G3290" s="2" t="s">
        <v>983</v>
      </c>
      <c r="H3290" s="2" t="s">
        <v>984</v>
      </c>
      <c r="I3290" s="2"/>
      <c r="J3290" s="2" t="s">
        <v>38</v>
      </c>
    </row>
    <row r="3291" spans="1:10" ht="21" customHeight="1">
      <c r="A3291" s="2" t="s">
        <v>4286</v>
      </c>
      <c r="B3291" s="2" t="s">
        <v>38</v>
      </c>
      <c r="C3291" s="4">
        <v>45662.25</v>
      </c>
      <c r="D3291" s="4">
        <v>45662.250543182869</v>
      </c>
      <c r="E3291" s="2">
        <v>2.1800000000000002</v>
      </c>
      <c r="F3291" s="2">
        <v>61.8</v>
      </c>
      <c r="G3291" s="2" t="s">
        <v>983</v>
      </c>
      <c r="H3291" s="2" t="s">
        <v>984</v>
      </c>
      <c r="I3291" s="2"/>
      <c r="J3291" s="2" t="s">
        <v>38</v>
      </c>
    </row>
    <row r="3292" spans="1:10" ht="21" customHeight="1">
      <c r="A3292" s="2" t="s">
        <v>4287</v>
      </c>
      <c r="B3292" s="2" t="s">
        <v>38</v>
      </c>
      <c r="C3292" s="4">
        <v>45663.25</v>
      </c>
      <c r="D3292" s="4">
        <v>45663.250608993054</v>
      </c>
      <c r="E3292" s="2"/>
      <c r="F3292" s="2"/>
      <c r="G3292" s="2" t="s">
        <v>983</v>
      </c>
      <c r="H3292" s="2" t="s">
        <v>1066</v>
      </c>
      <c r="I3292" s="2"/>
      <c r="J3292" s="2" t="s">
        <v>38</v>
      </c>
    </row>
    <row r="3293" spans="1:10" ht="21" customHeight="1">
      <c r="A3293" s="2" t="s">
        <v>4288</v>
      </c>
      <c r="B3293" s="2" t="s">
        <v>38</v>
      </c>
      <c r="C3293" s="4">
        <v>45664.25</v>
      </c>
      <c r="D3293" s="4">
        <v>45664.250625231478</v>
      </c>
      <c r="E3293" s="2">
        <v>4.41</v>
      </c>
      <c r="F3293" s="2">
        <v>65.7</v>
      </c>
      <c r="G3293" s="2" t="s">
        <v>983</v>
      </c>
      <c r="H3293" s="2" t="s">
        <v>984</v>
      </c>
      <c r="I3293" s="2" t="s">
        <v>1053</v>
      </c>
      <c r="J3293" s="2" t="s">
        <v>38</v>
      </c>
    </row>
    <row r="3294" spans="1:10" ht="21" customHeight="1">
      <c r="A3294" s="2" t="s">
        <v>4289</v>
      </c>
      <c r="B3294" s="2" t="s">
        <v>38</v>
      </c>
      <c r="C3294" s="4">
        <v>45665.25</v>
      </c>
      <c r="D3294" s="4">
        <v>45665.250229895828</v>
      </c>
      <c r="E3294" s="2">
        <v>6.03</v>
      </c>
      <c r="F3294" s="2">
        <v>72</v>
      </c>
      <c r="G3294" s="2" t="s">
        <v>983</v>
      </c>
      <c r="H3294" s="2" t="s">
        <v>984</v>
      </c>
      <c r="I3294" s="2"/>
      <c r="J3294" s="2" t="s">
        <v>38</v>
      </c>
    </row>
    <row r="3295" spans="1:10" ht="21" customHeight="1">
      <c r="A3295" s="2" t="s">
        <v>4290</v>
      </c>
      <c r="B3295" s="2" t="s">
        <v>38</v>
      </c>
      <c r="C3295" s="4">
        <v>45666.25</v>
      </c>
      <c r="D3295" s="4">
        <v>45666.250428287036</v>
      </c>
      <c r="E3295" s="2">
        <v>0</v>
      </c>
      <c r="F3295" s="2">
        <v>59.7</v>
      </c>
      <c r="G3295" s="2" t="s">
        <v>1175</v>
      </c>
      <c r="H3295" s="2" t="s">
        <v>984</v>
      </c>
      <c r="I3295" s="2"/>
      <c r="J3295" s="2" t="s">
        <v>38</v>
      </c>
    </row>
    <row r="3296" spans="1:10" ht="21" customHeight="1">
      <c r="A3296" s="2" t="s">
        <v>4291</v>
      </c>
      <c r="B3296" s="2" t="s">
        <v>38</v>
      </c>
      <c r="C3296" s="4">
        <v>45667.25</v>
      </c>
      <c r="D3296" s="4">
        <v>45667.250633495365</v>
      </c>
      <c r="E3296" s="2">
        <v>2.16</v>
      </c>
      <c r="F3296" s="2">
        <v>59.3</v>
      </c>
      <c r="G3296" s="2" t="s">
        <v>983</v>
      </c>
      <c r="H3296" s="2" t="s">
        <v>984</v>
      </c>
      <c r="I3296" s="2"/>
      <c r="J3296" s="2" t="s">
        <v>38</v>
      </c>
    </row>
    <row r="3297" spans="1:10" ht="21" customHeight="1">
      <c r="A3297" s="2" t="s">
        <v>4292</v>
      </c>
      <c r="B3297" s="2" t="s">
        <v>38</v>
      </c>
      <c r="C3297" s="4">
        <v>45668.25</v>
      </c>
      <c r="D3297" s="4">
        <v>45668.250677627315</v>
      </c>
      <c r="E3297" s="2">
        <v>2.93</v>
      </c>
      <c r="F3297" s="2">
        <v>64.5</v>
      </c>
      <c r="G3297" s="2" t="s">
        <v>983</v>
      </c>
      <c r="H3297" s="2" t="s">
        <v>984</v>
      </c>
      <c r="I3297" s="2"/>
      <c r="J3297" s="2" t="s">
        <v>38</v>
      </c>
    </row>
    <row r="3298" spans="1:10" ht="21" customHeight="1">
      <c r="A3298" s="2" t="s">
        <v>4293</v>
      </c>
      <c r="B3298" s="2" t="s">
        <v>38</v>
      </c>
      <c r="C3298" s="4">
        <v>45669.25</v>
      </c>
      <c r="D3298" s="4">
        <v>45670.5</v>
      </c>
      <c r="E3298" s="2">
        <v>3.11</v>
      </c>
      <c r="F3298" s="2">
        <v>61.3</v>
      </c>
      <c r="G3298" s="2" t="s">
        <v>983</v>
      </c>
      <c r="H3298" s="2" t="s">
        <v>984</v>
      </c>
      <c r="I3298" s="2"/>
      <c r="J3298" s="2" t="s">
        <v>38</v>
      </c>
    </row>
    <row r="3299" spans="1:10" ht="21" customHeight="1">
      <c r="A3299" s="2" t="s">
        <v>4294</v>
      </c>
      <c r="B3299" s="2" t="s">
        <v>38</v>
      </c>
      <c r="C3299" s="4">
        <v>45670.25</v>
      </c>
      <c r="D3299" s="4">
        <v>45670.250392534726</v>
      </c>
      <c r="E3299" s="2">
        <v>2.1800000000000002</v>
      </c>
      <c r="F3299" s="2">
        <v>58.7</v>
      </c>
      <c r="G3299" s="2" t="s">
        <v>983</v>
      </c>
      <c r="H3299" s="2" t="s">
        <v>984</v>
      </c>
      <c r="I3299" s="2"/>
      <c r="J3299" s="2" t="s">
        <v>38</v>
      </c>
    </row>
    <row r="3300" spans="1:10" ht="21" customHeight="1">
      <c r="A3300" s="2" t="s">
        <v>4295</v>
      </c>
      <c r="B3300" s="2" t="s">
        <v>38</v>
      </c>
      <c r="C3300" s="4">
        <v>45671.25</v>
      </c>
      <c r="D3300" s="4">
        <v>45671.250248564815</v>
      </c>
      <c r="E3300" s="2">
        <v>2.9</v>
      </c>
      <c r="F3300" s="2">
        <v>60.4</v>
      </c>
      <c r="G3300" s="2" t="s">
        <v>983</v>
      </c>
      <c r="H3300" s="2" t="s">
        <v>984</v>
      </c>
      <c r="I3300" s="2"/>
      <c r="J3300" s="2" t="s">
        <v>38</v>
      </c>
    </row>
    <row r="3301" spans="1:10" ht="21" customHeight="1">
      <c r="A3301" s="2" t="s">
        <v>4296</v>
      </c>
      <c r="B3301" s="2" t="s">
        <v>38</v>
      </c>
      <c r="C3301" s="4">
        <v>45672.25</v>
      </c>
      <c r="D3301" s="4">
        <v>45672.25041385417</v>
      </c>
      <c r="E3301" s="2">
        <v>2.72</v>
      </c>
      <c r="F3301" s="2">
        <v>62.1</v>
      </c>
      <c r="G3301" s="2" t="s">
        <v>983</v>
      </c>
      <c r="H3301" s="2" t="s">
        <v>984</v>
      </c>
      <c r="I3301" s="2"/>
      <c r="J3301" s="2" t="s">
        <v>38</v>
      </c>
    </row>
    <row r="3302" spans="1:10" ht="21" customHeight="1">
      <c r="A3302" s="2" t="s">
        <v>4297</v>
      </c>
      <c r="B3302" s="2" t="s">
        <v>38</v>
      </c>
      <c r="C3302" s="4">
        <v>45673.25</v>
      </c>
      <c r="D3302" s="4">
        <v>45673.250290023148</v>
      </c>
      <c r="E3302" s="2">
        <v>2.71</v>
      </c>
      <c r="F3302" s="2">
        <v>66</v>
      </c>
      <c r="G3302" s="2" t="s">
        <v>983</v>
      </c>
      <c r="H3302" s="2" t="s">
        <v>984</v>
      </c>
      <c r="I3302" s="2"/>
      <c r="J3302" s="2" t="s">
        <v>38</v>
      </c>
    </row>
    <row r="3303" spans="1:10" ht="21" customHeight="1">
      <c r="A3303" s="2" t="s">
        <v>4298</v>
      </c>
      <c r="B3303" s="2" t="s">
        <v>38</v>
      </c>
      <c r="C3303" s="4">
        <v>45674.25</v>
      </c>
      <c r="D3303" s="4">
        <v>45674.250458206021</v>
      </c>
      <c r="E3303" s="2">
        <v>2.39</v>
      </c>
      <c r="F3303" s="2">
        <v>61</v>
      </c>
      <c r="G3303" s="2" t="s">
        <v>983</v>
      </c>
      <c r="H3303" s="2" t="s">
        <v>984</v>
      </c>
      <c r="I3303" s="2"/>
      <c r="J3303" s="2" t="s">
        <v>38</v>
      </c>
    </row>
    <row r="3304" spans="1:10" ht="21" customHeight="1">
      <c r="A3304" s="2" t="s">
        <v>4299</v>
      </c>
      <c r="B3304" s="2" t="s">
        <v>38</v>
      </c>
      <c r="C3304" s="4">
        <v>45675.25</v>
      </c>
      <c r="D3304" s="4">
        <v>45675.250227581018</v>
      </c>
      <c r="E3304" s="2">
        <v>3.22</v>
      </c>
      <c r="F3304" s="2">
        <v>61.8</v>
      </c>
      <c r="G3304" s="2" t="s">
        <v>983</v>
      </c>
      <c r="H3304" s="2" t="s">
        <v>984</v>
      </c>
      <c r="I3304" s="2" t="s">
        <v>985</v>
      </c>
      <c r="J3304" s="2" t="s">
        <v>38</v>
      </c>
    </row>
    <row r="3305" spans="1:10" ht="21" customHeight="1">
      <c r="A3305" s="2" t="s">
        <v>4300</v>
      </c>
      <c r="B3305" s="2" t="s">
        <v>38</v>
      </c>
      <c r="C3305" s="4">
        <v>45676.25</v>
      </c>
      <c r="D3305" s="4">
        <v>45676.250425312501</v>
      </c>
      <c r="E3305" s="2">
        <v>2.52</v>
      </c>
      <c r="F3305" s="2">
        <v>61.1</v>
      </c>
      <c r="G3305" s="2" t="s">
        <v>983</v>
      </c>
      <c r="H3305" s="2" t="s">
        <v>984</v>
      </c>
      <c r="I3305" s="2"/>
      <c r="J3305" s="2" t="s">
        <v>38</v>
      </c>
    </row>
    <row r="3306" spans="1:10" ht="21" customHeight="1">
      <c r="A3306" s="2" t="s">
        <v>4301</v>
      </c>
      <c r="B3306" s="2" t="s">
        <v>38</v>
      </c>
      <c r="C3306" s="4">
        <v>45677.25</v>
      </c>
      <c r="D3306" s="4">
        <v>45677.25002806713</v>
      </c>
      <c r="E3306" s="2"/>
      <c r="F3306" s="2"/>
      <c r="G3306" s="2" t="s">
        <v>983</v>
      </c>
      <c r="H3306" s="2" t="s">
        <v>1066</v>
      </c>
      <c r="I3306" s="2"/>
      <c r="J3306" s="2" t="s">
        <v>38</v>
      </c>
    </row>
    <row r="3307" spans="1:10" ht="21" customHeight="1">
      <c r="A3307" s="2" t="s">
        <v>4302</v>
      </c>
      <c r="B3307" s="2" t="s">
        <v>38</v>
      </c>
      <c r="C3307" s="4">
        <v>45678.25</v>
      </c>
      <c r="D3307" s="4">
        <v>45678.250138587959</v>
      </c>
      <c r="E3307" s="2">
        <v>3.14</v>
      </c>
      <c r="F3307" s="2">
        <v>62.5</v>
      </c>
      <c r="G3307" s="2" t="s">
        <v>983</v>
      </c>
      <c r="H3307" s="2" t="s">
        <v>984</v>
      </c>
      <c r="I3307" s="2"/>
      <c r="J3307" s="2" t="s">
        <v>38</v>
      </c>
    </row>
    <row r="3308" spans="1:10" ht="21" customHeight="1">
      <c r="A3308" s="2" t="s">
        <v>4303</v>
      </c>
      <c r="B3308" s="2" t="s">
        <v>38</v>
      </c>
      <c r="C3308" s="4">
        <v>45679.25</v>
      </c>
      <c r="D3308" s="4">
        <v>45679.250658807869</v>
      </c>
      <c r="E3308" s="2">
        <v>2.5</v>
      </c>
      <c r="F3308" s="2">
        <v>65.2</v>
      </c>
      <c r="G3308" s="2" t="s">
        <v>983</v>
      </c>
      <c r="H3308" s="2" t="s">
        <v>984</v>
      </c>
      <c r="I3308" s="2"/>
      <c r="J3308" s="2" t="s">
        <v>38</v>
      </c>
    </row>
    <row r="3309" spans="1:10" ht="21" customHeight="1">
      <c r="A3309" s="2" t="s">
        <v>4304</v>
      </c>
      <c r="B3309" s="2" t="s">
        <v>38</v>
      </c>
      <c r="C3309" s="4">
        <v>45680.25</v>
      </c>
      <c r="D3309" s="4">
        <v>45681.5</v>
      </c>
      <c r="E3309" s="2">
        <v>2.93</v>
      </c>
      <c r="F3309" s="2">
        <v>65.900000000000006</v>
      </c>
      <c r="G3309" s="2" t="s">
        <v>983</v>
      </c>
      <c r="H3309" s="2" t="s">
        <v>984</v>
      </c>
      <c r="I3309" s="2"/>
      <c r="J3309" s="2" t="s">
        <v>38</v>
      </c>
    </row>
    <row r="3310" spans="1:10" ht="21" customHeight="1">
      <c r="A3310" s="2" t="s">
        <v>4305</v>
      </c>
      <c r="B3310" s="2" t="s">
        <v>38</v>
      </c>
      <c r="C3310" s="4">
        <v>45681.25</v>
      </c>
      <c r="D3310" s="4">
        <v>45681.250033356482</v>
      </c>
      <c r="E3310" s="2">
        <v>2.69</v>
      </c>
      <c r="F3310" s="2">
        <v>63.9</v>
      </c>
      <c r="G3310" s="2" t="s">
        <v>983</v>
      </c>
      <c r="H3310" s="2" t="s">
        <v>984</v>
      </c>
      <c r="I3310" s="2"/>
      <c r="J3310" s="2" t="s">
        <v>38</v>
      </c>
    </row>
    <row r="3311" spans="1:10" ht="21" customHeight="1">
      <c r="A3311" s="2" t="s">
        <v>4306</v>
      </c>
      <c r="B3311" s="2" t="s">
        <v>38</v>
      </c>
      <c r="C3311" s="4">
        <v>45682.25</v>
      </c>
      <c r="D3311" s="4">
        <v>45682.250206805555</v>
      </c>
      <c r="E3311" s="2">
        <v>3.15</v>
      </c>
      <c r="F3311" s="2">
        <v>64.2</v>
      </c>
      <c r="G3311" s="2" t="s">
        <v>983</v>
      </c>
      <c r="H3311" s="2" t="s">
        <v>984</v>
      </c>
      <c r="I3311" s="2"/>
      <c r="J3311" s="2" t="s">
        <v>38</v>
      </c>
    </row>
    <row r="3312" spans="1:10" ht="21" customHeight="1">
      <c r="A3312" s="2" t="s">
        <v>4307</v>
      </c>
      <c r="B3312" s="2" t="s">
        <v>38</v>
      </c>
      <c r="C3312" s="4">
        <v>45683.25</v>
      </c>
      <c r="D3312" s="4">
        <v>45683.250352384261</v>
      </c>
      <c r="E3312" s="2">
        <v>2.85</v>
      </c>
      <c r="F3312" s="2">
        <v>65.7</v>
      </c>
      <c r="G3312" s="2" t="s">
        <v>983</v>
      </c>
      <c r="H3312" s="2" t="s">
        <v>984</v>
      </c>
      <c r="I3312" s="2"/>
      <c r="J3312" s="2" t="s">
        <v>38</v>
      </c>
    </row>
    <row r="3313" spans="1:10" ht="21" customHeight="1">
      <c r="A3313" s="2" t="s">
        <v>4308</v>
      </c>
      <c r="B3313" s="2" t="s">
        <v>38</v>
      </c>
      <c r="C3313" s="4">
        <v>45684.25</v>
      </c>
      <c r="D3313" s="4">
        <v>45684.250024525463</v>
      </c>
      <c r="E3313" s="2"/>
      <c r="F3313" s="2"/>
      <c r="G3313" s="2" t="s">
        <v>983</v>
      </c>
      <c r="H3313" s="2" t="s">
        <v>1066</v>
      </c>
      <c r="I3313" s="2"/>
      <c r="J3313" s="2" t="s">
        <v>38</v>
      </c>
    </row>
    <row r="3314" spans="1:10" ht="21" customHeight="1">
      <c r="A3314" s="2" t="s">
        <v>4309</v>
      </c>
      <c r="B3314" s="2" t="s">
        <v>38</v>
      </c>
      <c r="C3314" s="4">
        <v>45685.25</v>
      </c>
      <c r="D3314" s="4">
        <v>45685.250122858793</v>
      </c>
      <c r="E3314" s="2">
        <v>2.9</v>
      </c>
      <c r="F3314" s="2">
        <v>64.900000000000006</v>
      </c>
      <c r="G3314" s="2" t="s">
        <v>983</v>
      </c>
      <c r="H3314" s="2" t="s">
        <v>984</v>
      </c>
      <c r="I3314" s="2"/>
      <c r="J3314" s="2" t="s">
        <v>38</v>
      </c>
    </row>
    <row r="3315" spans="1:10" ht="21" customHeight="1">
      <c r="A3315" s="2" t="s">
        <v>4310</v>
      </c>
      <c r="B3315" s="2" t="s">
        <v>38</v>
      </c>
      <c r="C3315" s="4">
        <v>45686.25</v>
      </c>
      <c r="D3315" s="4">
        <v>45686.250689583336</v>
      </c>
      <c r="E3315" s="2">
        <v>2.92</v>
      </c>
      <c r="F3315" s="2">
        <v>63.5</v>
      </c>
      <c r="G3315" s="2" t="s">
        <v>983</v>
      </c>
      <c r="H3315" s="2" t="s">
        <v>984</v>
      </c>
      <c r="I3315" s="2"/>
      <c r="J3315" s="2" t="s">
        <v>38</v>
      </c>
    </row>
    <row r="3316" spans="1:10" ht="21" customHeight="1">
      <c r="A3316" s="2" t="s">
        <v>4311</v>
      </c>
      <c r="B3316" s="2" t="s">
        <v>38</v>
      </c>
      <c r="C3316" s="4">
        <v>45687.25</v>
      </c>
      <c r="D3316" s="4">
        <v>45687.250033657408</v>
      </c>
      <c r="E3316" s="2">
        <v>3.19</v>
      </c>
      <c r="F3316" s="2">
        <v>59.9</v>
      </c>
      <c r="G3316" s="2" t="s">
        <v>983</v>
      </c>
      <c r="H3316" s="2" t="s">
        <v>984</v>
      </c>
      <c r="I3316" s="2"/>
      <c r="J3316" s="2" t="s">
        <v>38</v>
      </c>
    </row>
    <row r="3317" spans="1:10" ht="21" customHeight="1">
      <c r="A3317" s="2" t="s">
        <v>4312</v>
      </c>
      <c r="B3317" s="2" t="s">
        <v>38</v>
      </c>
      <c r="C3317" s="4">
        <v>45688.25</v>
      </c>
      <c r="D3317" s="4">
        <v>45688.250041504631</v>
      </c>
      <c r="E3317" s="2">
        <v>2.48</v>
      </c>
      <c r="F3317" s="2">
        <v>59.8</v>
      </c>
      <c r="G3317" s="2" t="s">
        <v>983</v>
      </c>
      <c r="H3317" s="2" t="s">
        <v>984</v>
      </c>
      <c r="I3317" s="2"/>
      <c r="J3317" s="2" t="s">
        <v>38</v>
      </c>
    </row>
    <row r="3318" spans="1:10" ht="21" customHeight="1">
      <c r="A3318" s="2" t="s">
        <v>4313</v>
      </c>
      <c r="B3318" s="2" t="s">
        <v>38</v>
      </c>
      <c r="C3318" s="4">
        <v>45689.25</v>
      </c>
      <c r="D3318" s="4">
        <v>45689.250631342591</v>
      </c>
      <c r="E3318" s="2">
        <v>2.96</v>
      </c>
      <c r="F3318" s="2">
        <v>61.4</v>
      </c>
      <c r="G3318" s="2" t="s">
        <v>983</v>
      </c>
      <c r="H3318" s="2" t="s">
        <v>984</v>
      </c>
      <c r="I3318" s="2"/>
      <c r="J3318" s="2" t="s">
        <v>38</v>
      </c>
    </row>
    <row r="3319" spans="1:10" ht="21" customHeight="1">
      <c r="A3319" s="2" t="s">
        <v>4314</v>
      </c>
      <c r="B3319" s="2" t="s">
        <v>38</v>
      </c>
      <c r="C3319" s="4">
        <v>45690.25</v>
      </c>
      <c r="D3319" s="4">
        <v>45690.250051423616</v>
      </c>
      <c r="E3319" s="2">
        <v>2.78</v>
      </c>
      <c r="F3319" s="2">
        <v>65.599999999999994</v>
      </c>
      <c r="G3319" s="2" t="s">
        <v>983</v>
      </c>
      <c r="H3319" s="2" t="s">
        <v>984</v>
      </c>
      <c r="I3319" s="2"/>
      <c r="J3319" s="2" t="s">
        <v>38</v>
      </c>
    </row>
    <row r="3320" spans="1:10" ht="21" customHeight="1">
      <c r="A3320" s="2" t="s">
        <v>4315</v>
      </c>
      <c r="B3320" s="2" t="s">
        <v>38</v>
      </c>
      <c r="C3320" s="4">
        <v>45691.25</v>
      </c>
      <c r="D3320" s="4">
        <v>45692.5</v>
      </c>
      <c r="E3320" s="2">
        <v>3.1</v>
      </c>
      <c r="F3320" s="2">
        <v>63</v>
      </c>
      <c r="G3320" s="2" t="s">
        <v>983</v>
      </c>
      <c r="H3320" s="2" t="s">
        <v>984</v>
      </c>
      <c r="I3320" s="2"/>
      <c r="J3320" s="2" t="s">
        <v>38</v>
      </c>
    </row>
    <row r="3321" spans="1:10" ht="21" customHeight="1">
      <c r="A3321" s="2" t="s">
        <v>4316</v>
      </c>
      <c r="B3321" s="2" t="s">
        <v>38</v>
      </c>
      <c r="C3321" s="4">
        <v>45692.25</v>
      </c>
      <c r="D3321" s="4">
        <v>45692.250361643513</v>
      </c>
      <c r="E3321" s="2">
        <v>3.2</v>
      </c>
      <c r="F3321" s="2">
        <v>65.8</v>
      </c>
      <c r="G3321" s="2" t="s">
        <v>983</v>
      </c>
      <c r="H3321" s="2" t="s">
        <v>984</v>
      </c>
      <c r="I3321" s="2" t="s">
        <v>985</v>
      </c>
      <c r="J3321" s="2" t="s">
        <v>38</v>
      </c>
    </row>
    <row r="3322" spans="1:10" ht="21" customHeight="1">
      <c r="A3322" s="2" t="s">
        <v>4317</v>
      </c>
      <c r="B3322" s="2" t="s">
        <v>38</v>
      </c>
      <c r="C3322" s="4">
        <v>45693.25</v>
      </c>
      <c r="D3322" s="4">
        <v>45693.250449872685</v>
      </c>
      <c r="E3322" s="2"/>
      <c r="F3322" s="2"/>
      <c r="G3322" s="2" t="s">
        <v>983</v>
      </c>
      <c r="H3322" s="2" t="s">
        <v>1066</v>
      </c>
      <c r="I3322" s="2"/>
      <c r="J3322" s="2" t="s">
        <v>38</v>
      </c>
    </row>
    <row r="3323" spans="1:10" ht="21" customHeight="1">
      <c r="A3323" s="2" t="s">
        <v>4318</v>
      </c>
      <c r="B3323" s="2" t="s">
        <v>4319</v>
      </c>
      <c r="C3323" s="4">
        <v>45694.25</v>
      </c>
      <c r="D3323" s="4">
        <v>45694.250668032408</v>
      </c>
      <c r="E3323" s="2">
        <v>2.66</v>
      </c>
      <c r="F3323" s="2">
        <v>58.7</v>
      </c>
      <c r="G3323" s="2" t="s">
        <v>983</v>
      </c>
      <c r="H3323" s="2" t="s">
        <v>984</v>
      </c>
      <c r="I3323" s="2"/>
      <c r="J3323" s="2" t="s">
        <v>38</v>
      </c>
    </row>
    <row r="3324" spans="1:10" ht="21" customHeight="1">
      <c r="A3324" s="2" t="s">
        <v>4320</v>
      </c>
      <c r="B3324" s="2" t="s">
        <v>38</v>
      </c>
      <c r="C3324" s="4">
        <v>45695.25</v>
      </c>
      <c r="D3324" s="4">
        <v>45695.250274699079</v>
      </c>
      <c r="E3324" s="2">
        <v>2.1800000000000002</v>
      </c>
      <c r="F3324" s="2">
        <v>61.2</v>
      </c>
      <c r="G3324" s="2" t="s">
        <v>983</v>
      </c>
      <c r="H3324" s="2" t="s">
        <v>984</v>
      </c>
      <c r="I3324" s="2"/>
      <c r="J3324" s="2" t="s">
        <v>38</v>
      </c>
    </row>
    <row r="3325" spans="1:10" ht="21" customHeight="1">
      <c r="A3325" s="2" t="s">
        <v>4321</v>
      </c>
      <c r="B3325" s="2" t="s">
        <v>38</v>
      </c>
      <c r="C3325" s="4">
        <v>45696.25</v>
      </c>
      <c r="D3325" s="4">
        <v>45696.250139756943</v>
      </c>
      <c r="E3325" s="2">
        <v>2.36</v>
      </c>
      <c r="F3325" s="2">
        <v>63.9</v>
      </c>
      <c r="G3325" s="2" t="s">
        <v>983</v>
      </c>
      <c r="H3325" s="2" t="s">
        <v>984</v>
      </c>
      <c r="I3325" s="2"/>
      <c r="J3325" s="2" t="s">
        <v>38</v>
      </c>
    </row>
    <row r="3326" spans="1:10" ht="21" customHeight="1">
      <c r="A3326" s="2" t="s">
        <v>4322</v>
      </c>
      <c r="B3326" s="2" t="s">
        <v>38</v>
      </c>
      <c r="C3326" s="4">
        <v>45697.25</v>
      </c>
      <c r="D3326" s="4">
        <v>45697.250214444444</v>
      </c>
      <c r="E3326" s="2">
        <v>3.12</v>
      </c>
      <c r="F3326" s="2">
        <v>60.7</v>
      </c>
      <c r="G3326" s="2" t="s">
        <v>983</v>
      </c>
      <c r="H3326" s="2" t="s">
        <v>984</v>
      </c>
      <c r="I3326" s="2"/>
      <c r="J3326" s="2" t="s">
        <v>38</v>
      </c>
    </row>
    <row r="3327" spans="1:10" ht="21" customHeight="1">
      <c r="A3327" s="2" t="s">
        <v>4323</v>
      </c>
      <c r="B3327" s="2" t="s">
        <v>38</v>
      </c>
      <c r="C3327" s="4">
        <v>45698.25</v>
      </c>
      <c r="D3327" s="4">
        <v>45698.250595937498</v>
      </c>
      <c r="E3327" s="2">
        <v>0</v>
      </c>
      <c r="F3327" s="2">
        <v>60.1</v>
      </c>
      <c r="G3327" s="2" t="s">
        <v>1175</v>
      </c>
      <c r="H3327" s="2" t="s">
        <v>984</v>
      </c>
      <c r="I3327" s="2"/>
      <c r="J3327" s="2" t="s">
        <v>38</v>
      </c>
    </row>
    <row r="3328" spans="1:10" ht="21" customHeight="1">
      <c r="A3328" s="2" t="s">
        <v>4324</v>
      </c>
      <c r="B3328" s="2" t="s">
        <v>38</v>
      </c>
      <c r="C3328" s="4">
        <v>45699.25</v>
      </c>
      <c r="D3328" s="4">
        <v>45699.250453229164</v>
      </c>
      <c r="E3328" s="2">
        <v>2.95</v>
      </c>
      <c r="F3328" s="2">
        <v>60.5</v>
      </c>
      <c r="G3328" s="2" t="s">
        <v>983</v>
      </c>
      <c r="H3328" s="2" t="s">
        <v>984</v>
      </c>
      <c r="I3328" s="2"/>
      <c r="J3328" s="2" t="s">
        <v>38</v>
      </c>
    </row>
    <row r="3329" spans="1:10" ht="21" customHeight="1">
      <c r="A3329" s="2" t="s">
        <v>4325</v>
      </c>
      <c r="B3329" s="2" t="s">
        <v>38</v>
      </c>
      <c r="C3329" s="4">
        <v>45700.25</v>
      </c>
      <c r="D3329" s="4">
        <v>45700.250521898153</v>
      </c>
      <c r="E3329" s="2"/>
      <c r="F3329" s="2"/>
      <c r="G3329" s="2" t="s">
        <v>983</v>
      </c>
      <c r="H3329" s="2" t="s">
        <v>1066</v>
      </c>
      <c r="I3329" s="2"/>
      <c r="J3329" s="2" t="s">
        <v>38</v>
      </c>
    </row>
    <row r="3330" spans="1:10" ht="21" customHeight="1">
      <c r="A3330" s="2" t="s">
        <v>4326</v>
      </c>
      <c r="B3330" s="2" t="s">
        <v>38</v>
      </c>
      <c r="C3330" s="4">
        <v>45701.25</v>
      </c>
      <c r="D3330" s="4">
        <v>45701.250245682866</v>
      </c>
      <c r="E3330" s="2">
        <v>2.36</v>
      </c>
      <c r="F3330" s="2">
        <v>66</v>
      </c>
      <c r="G3330" s="2" t="s">
        <v>983</v>
      </c>
      <c r="H3330" s="2" t="s">
        <v>984</v>
      </c>
      <c r="I3330" s="2"/>
      <c r="J3330" s="2" t="s">
        <v>38</v>
      </c>
    </row>
    <row r="3331" spans="1:10" ht="21" customHeight="1">
      <c r="A3331" s="2" t="s">
        <v>4327</v>
      </c>
      <c r="B3331" s="2" t="s">
        <v>38</v>
      </c>
      <c r="C3331" s="4">
        <v>45702.25</v>
      </c>
      <c r="D3331" s="4">
        <v>45703.5</v>
      </c>
      <c r="E3331" s="2">
        <v>2.79</v>
      </c>
      <c r="F3331" s="2">
        <v>58.6</v>
      </c>
      <c r="G3331" s="2" t="s">
        <v>983</v>
      </c>
      <c r="H3331" s="2" t="s">
        <v>984</v>
      </c>
      <c r="I3331" s="2"/>
      <c r="J3331" s="2" t="s">
        <v>38</v>
      </c>
    </row>
    <row r="3332" spans="1:10" ht="21" customHeight="1">
      <c r="A3332" s="2" t="s">
        <v>4328</v>
      </c>
      <c r="B3332" s="2" t="s">
        <v>38</v>
      </c>
      <c r="C3332" s="4">
        <v>45703.25</v>
      </c>
      <c r="D3332" s="4">
        <v>45703.250468622689</v>
      </c>
      <c r="E3332" s="2">
        <v>2.2599999999999998</v>
      </c>
      <c r="F3332" s="2">
        <v>65.7</v>
      </c>
      <c r="G3332" s="2" t="s">
        <v>983</v>
      </c>
      <c r="H3332" s="2" t="s">
        <v>984</v>
      </c>
      <c r="I3332" s="2"/>
      <c r="J3332" s="2" t="s">
        <v>38</v>
      </c>
    </row>
    <row r="3333" spans="1:10" ht="21" customHeight="1">
      <c r="A3333" s="2" t="s">
        <v>4329</v>
      </c>
      <c r="B3333" s="2" t="s">
        <v>38</v>
      </c>
      <c r="C3333" s="4">
        <v>45704.25</v>
      </c>
      <c r="D3333" s="4">
        <v>45704.250222523144</v>
      </c>
      <c r="E3333" s="2">
        <v>3.28</v>
      </c>
      <c r="F3333" s="2">
        <v>62.6</v>
      </c>
      <c r="G3333" s="2" t="s">
        <v>983</v>
      </c>
      <c r="H3333" s="2" t="s">
        <v>984</v>
      </c>
      <c r="I3333" s="2"/>
      <c r="J3333" s="2" t="s">
        <v>38</v>
      </c>
    </row>
    <row r="3334" spans="1:10" ht="21" customHeight="1">
      <c r="A3334" s="2" t="s">
        <v>4330</v>
      </c>
      <c r="B3334" s="2" t="s">
        <v>38</v>
      </c>
      <c r="C3334" s="4">
        <v>45705.25</v>
      </c>
      <c r="D3334" s="4">
        <v>45705.250344687505</v>
      </c>
      <c r="E3334" s="2">
        <v>2.5499999999999998</v>
      </c>
      <c r="F3334" s="2">
        <v>59.6</v>
      </c>
      <c r="G3334" s="2" t="s">
        <v>983</v>
      </c>
      <c r="H3334" s="2" t="s">
        <v>984</v>
      </c>
      <c r="I3334" s="2"/>
      <c r="J3334" s="2" t="s">
        <v>38</v>
      </c>
    </row>
    <row r="3335" spans="1:10" ht="21" customHeight="1">
      <c r="A3335" s="2" t="s">
        <v>4331</v>
      </c>
      <c r="B3335" s="2" t="s">
        <v>38</v>
      </c>
      <c r="C3335" s="4">
        <v>45706.25</v>
      </c>
      <c r="D3335" s="4">
        <v>45706.250553391204</v>
      </c>
      <c r="E3335" s="2">
        <v>2.2400000000000002</v>
      </c>
      <c r="F3335" s="2">
        <v>64.099999999999994</v>
      </c>
      <c r="G3335" s="2" t="s">
        <v>983</v>
      </c>
      <c r="H3335" s="2" t="s">
        <v>984</v>
      </c>
      <c r="I3335" s="2"/>
      <c r="J3335" s="2" t="s">
        <v>38</v>
      </c>
    </row>
    <row r="3336" spans="1:10" ht="21" customHeight="1">
      <c r="A3336" s="2" t="s">
        <v>4332</v>
      </c>
      <c r="B3336" s="2" t="s">
        <v>38</v>
      </c>
      <c r="C3336" s="4">
        <v>45707.25</v>
      </c>
      <c r="D3336" s="4">
        <v>45707.250229756944</v>
      </c>
      <c r="E3336" s="2">
        <v>2.75</v>
      </c>
      <c r="F3336" s="2">
        <v>60.6</v>
      </c>
      <c r="G3336" s="2" t="s">
        <v>983</v>
      </c>
      <c r="H3336" s="2" t="s">
        <v>984</v>
      </c>
      <c r="I3336" s="2"/>
      <c r="J3336" s="2" t="s">
        <v>38</v>
      </c>
    </row>
    <row r="3337" spans="1:10" ht="21" customHeight="1">
      <c r="A3337" s="2" t="s">
        <v>4333</v>
      </c>
      <c r="B3337" s="2" t="s">
        <v>38</v>
      </c>
      <c r="C3337" s="4">
        <v>45708.25</v>
      </c>
      <c r="D3337" s="4">
        <v>45708.250650983799</v>
      </c>
      <c r="E3337" s="2">
        <v>2.5299999999999998</v>
      </c>
      <c r="F3337" s="2">
        <v>64.2</v>
      </c>
      <c r="G3337" s="2" t="s">
        <v>983</v>
      </c>
      <c r="H3337" s="2" t="s">
        <v>984</v>
      </c>
      <c r="I3337" s="2"/>
      <c r="J3337" s="2" t="s">
        <v>38</v>
      </c>
    </row>
    <row r="3338" spans="1:10" ht="21" customHeight="1">
      <c r="A3338" s="2" t="s">
        <v>4334</v>
      </c>
      <c r="B3338" s="2" t="s">
        <v>38</v>
      </c>
      <c r="C3338" s="4">
        <v>45709.25</v>
      </c>
      <c r="D3338" s="4">
        <v>45709.250379224541</v>
      </c>
      <c r="E3338" s="2">
        <v>3.11</v>
      </c>
      <c r="F3338" s="2">
        <v>64.3</v>
      </c>
      <c r="G3338" s="2" t="s">
        <v>983</v>
      </c>
      <c r="H3338" s="2" t="s">
        <v>984</v>
      </c>
      <c r="I3338" s="2" t="s">
        <v>985</v>
      </c>
      <c r="J3338" s="2" t="s">
        <v>38</v>
      </c>
    </row>
    <row r="3339" spans="1:10" ht="21" customHeight="1">
      <c r="A3339" s="2" t="s">
        <v>4335</v>
      </c>
      <c r="B3339" s="2" t="s">
        <v>38</v>
      </c>
      <c r="C3339" s="4">
        <v>45710.25</v>
      </c>
      <c r="D3339" s="4">
        <v>45710.250572141202</v>
      </c>
      <c r="E3339" s="2">
        <v>3.01</v>
      </c>
      <c r="F3339" s="2">
        <v>65.7</v>
      </c>
      <c r="G3339" s="2" t="s">
        <v>983</v>
      </c>
      <c r="H3339" s="2" t="s">
        <v>984</v>
      </c>
      <c r="I3339" s="2"/>
      <c r="J3339" s="2" t="s">
        <v>38</v>
      </c>
    </row>
    <row r="3340" spans="1:10" ht="21" customHeight="1">
      <c r="A3340" s="2" t="s">
        <v>4336</v>
      </c>
      <c r="B3340" s="2" t="s">
        <v>38</v>
      </c>
      <c r="C3340" s="4">
        <v>45711.25</v>
      </c>
      <c r="D3340" s="4">
        <v>45711.250466597223</v>
      </c>
      <c r="E3340" s="2">
        <v>2.7</v>
      </c>
      <c r="F3340" s="2">
        <v>61.1</v>
      </c>
      <c r="G3340" s="2" t="s">
        <v>983</v>
      </c>
      <c r="H3340" s="2" t="s">
        <v>984</v>
      </c>
      <c r="I3340" s="2"/>
      <c r="J3340" s="2" t="s">
        <v>38</v>
      </c>
    </row>
    <row r="3341" spans="1:10" ht="21" customHeight="1">
      <c r="A3341" s="2" t="s">
        <v>4337</v>
      </c>
      <c r="B3341" s="2" t="s">
        <v>38</v>
      </c>
      <c r="C3341" s="4">
        <v>45712.25</v>
      </c>
      <c r="D3341" s="4">
        <v>45712.250273368059</v>
      </c>
      <c r="E3341" s="2">
        <v>2.13</v>
      </c>
      <c r="F3341" s="2">
        <v>59.2</v>
      </c>
      <c r="G3341" s="2" t="s">
        <v>983</v>
      </c>
      <c r="H3341" s="2" t="s">
        <v>984</v>
      </c>
      <c r="I3341" s="2"/>
      <c r="J3341" s="2" t="s">
        <v>38</v>
      </c>
    </row>
    <row r="3342" spans="1:10" ht="21" customHeight="1">
      <c r="A3342" s="2" t="s">
        <v>4338</v>
      </c>
      <c r="B3342" s="2" t="s">
        <v>38</v>
      </c>
      <c r="C3342" s="4">
        <v>45713.25</v>
      </c>
      <c r="D3342" s="4">
        <v>45714.5</v>
      </c>
      <c r="E3342" s="2">
        <v>2.39</v>
      </c>
      <c r="F3342" s="2">
        <v>63.7</v>
      </c>
      <c r="G3342" s="2" t="s">
        <v>983</v>
      </c>
      <c r="H3342" s="2" t="s">
        <v>984</v>
      </c>
      <c r="I3342" s="2"/>
      <c r="J3342" s="2" t="s">
        <v>38</v>
      </c>
    </row>
    <row r="3343" spans="1:10" ht="21" customHeight="1">
      <c r="A3343" s="2" t="s">
        <v>4339</v>
      </c>
      <c r="B3343" s="2" t="s">
        <v>38</v>
      </c>
      <c r="C3343" s="4">
        <v>45714.25</v>
      </c>
      <c r="D3343" s="4">
        <v>45714.250264131944</v>
      </c>
      <c r="E3343" s="2">
        <v>2.88</v>
      </c>
      <c r="F3343" s="2">
        <v>62.6</v>
      </c>
      <c r="G3343" s="2" t="s">
        <v>983</v>
      </c>
      <c r="H3343" s="2" t="s">
        <v>984</v>
      </c>
      <c r="I3343" s="2"/>
      <c r="J3343" s="2" t="s">
        <v>38</v>
      </c>
    </row>
    <row r="3344" spans="1:10" ht="21" customHeight="1">
      <c r="A3344" s="2" t="s">
        <v>4340</v>
      </c>
      <c r="B3344" s="2" t="s">
        <v>38</v>
      </c>
      <c r="C3344" s="4">
        <v>45715.25</v>
      </c>
      <c r="D3344" s="4">
        <v>45715.250000891203</v>
      </c>
      <c r="E3344" s="2">
        <v>2.94</v>
      </c>
      <c r="F3344" s="2">
        <v>63.1</v>
      </c>
      <c r="G3344" s="2" t="s">
        <v>983</v>
      </c>
      <c r="H3344" s="2" t="s">
        <v>984</v>
      </c>
      <c r="I3344" s="2"/>
      <c r="J3344" s="2" t="s">
        <v>38</v>
      </c>
    </row>
    <row r="3345" spans="1:10" ht="21" customHeight="1">
      <c r="A3345" s="2" t="s">
        <v>4341</v>
      </c>
      <c r="B3345" s="2" t="s">
        <v>38</v>
      </c>
      <c r="C3345" s="4">
        <v>45716.25</v>
      </c>
      <c r="D3345" s="4">
        <v>45716.250530289355</v>
      </c>
      <c r="E3345" s="2">
        <v>3.18</v>
      </c>
      <c r="F3345" s="2">
        <v>64.400000000000006</v>
      </c>
      <c r="G3345" s="2" t="s">
        <v>983</v>
      </c>
      <c r="H3345" s="2" t="s">
        <v>984</v>
      </c>
      <c r="I3345" s="2"/>
      <c r="J3345" s="2" t="s">
        <v>38</v>
      </c>
    </row>
    <row r="3346" spans="1:10" ht="21" customHeight="1">
      <c r="A3346" s="2" t="s">
        <v>4342</v>
      </c>
      <c r="B3346" s="2" t="s">
        <v>38</v>
      </c>
      <c r="C3346" s="4">
        <v>45717.25</v>
      </c>
      <c r="D3346" s="4">
        <v>45717.250131990746</v>
      </c>
      <c r="E3346" s="2"/>
      <c r="F3346" s="2"/>
      <c r="G3346" s="2" t="s">
        <v>983</v>
      </c>
      <c r="H3346" s="2" t="s">
        <v>1066</v>
      </c>
      <c r="I3346" s="2"/>
      <c r="J3346" s="2" t="s">
        <v>38</v>
      </c>
    </row>
    <row r="3347" spans="1:10" ht="21" customHeight="1">
      <c r="A3347" s="2" t="s">
        <v>4343</v>
      </c>
      <c r="B3347" s="2" t="s">
        <v>38</v>
      </c>
      <c r="C3347" s="4">
        <v>45718.25</v>
      </c>
      <c r="D3347" s="4">
        <v>45718.250233032406</v>
      </c>
      <c r="E3347" s="2">
        <v>2.4500000000000002</v>
      </c>
      <c r="F3347" s="2">
        <v>59.4</v>
      </c>
      <c r="G3347" s="2" t="s">
        <v>983</v>
      </c>
      <c r="H3347" s="2" t="s">
        <v>984</v>
      </c>
      <c r="I3347" s="2"/>
      <c r="J3347" s="2" t="s">
        <v>38</v>
      </c>
    </row>
    <row r="3348" spans="1:10" ht="21" customHeight="1">
      <c r="A3348" s="2" t="s">
        <v>4344</v>
      </c>
      <c r="B3348" s="2" t="s">
        <v>38</v>
      </c>
      <c r="C3348" s="4">
        <v>45719.25</v>
      </c>
      <c r="D3348" s="4">
        <v>45719.250231261569</v>
      </c>
      <c r="E3348" s="2">
        <v>2.88</v>
      </c>
      <c r="F3348" s="2">
        <v>59.5</v>
      </c>
      <c r="G3348" s="2" t="s">
        <v>983</v>
      </c>
      <c r="H3348" s="2" t="s">
        <v>984</v>
      </c>
      <c r="I3348" s="2"/>
      <c r="J3348" s="2" t="s">
        <v>38</v>
      </c>
    </row>
    <row r="3349" spans="1:10" ht="21" customHeight="1">
      <c r="A3349" s="2" t="s">
        <v>4345</v>
      </c>
      <c r="B3349" s="2" t="s">
        <v>38</v>
      </c>
      <c r="C3349" s="4">
        <v>45720.25</v>
      </c>
      <c r="D3349" s="4">
        <v>45720.25016236111</v>
      </c>
      <c r="E3349" s="2">
        <v>2.9</v>
      </c>
      <c r="F3349" s="2">
        <v>60.6</v>
      </c>
      <c r="G3349" s="2" t="s">
        <v>983</v>
      </c>
      <c r="H3349" s="2" t="s">
        <v>984</v>
      </c>
      <c r="I3349" s="2"/>
      <c r="J3349" s="2" t="s">
        <v>38</v>
      </c>
    </row>
    <row r="3350" spans="1:10" ht="21" customHeight="1">
      <c r="A3350" s="2" t="s">
        <v>4346</v>
      </c>
      <c r="B3350" s="2" t="s">
        <v>38</v>
      </c>
      <c r="C3350" s="4">
        <v>45721.25</v>
      </c>
      <c r="D3350" s="4">
        <v>45721.250194293985</v>
      </c>
      <c r="E3350" s="2">
        <v>2.2400000000000002</v>
      </c>
      <c r="F3350" s="2">
        <v>59.3</v>
      </c>
      <c r="G3350" s="2" t="s">
        <v>983</v>
      </c>
      <c r="H3350" s="2" t="s">
        <v>984</v>
      </c>
      <c r="I3350" s="2"/>
      <c r="J3350" s="2" t="s">
        <v>38</v>
      </c>
    </row>
    <row r="3351" spans="1:10" ht="21" customHeight="1">
      <c r="A3351" s="2" t="s">
        <v>4347</v>
      </c>
      <c r="B3351" s="2" t="s">
        <v>38</v>
      </c>
      <c r="C3351" s="4">
        <v>45722.25</v>
      </c>
      <c r="D3351" s="4">
        <v>45722.250480127317</v>
      </c>
      <c r="E3351" s="2"/>
      <c r="F3351" s="2"/>
      <c r="G3351" s="2" t="s">
        <v>983</v>
      </c>
      <c r="H3351" s="2" t="s">
        <v>1066</v>
      </c>
      <c r="I3351" s="2"/>
      <c r="J3351" s="2" t="s">
        <v>38</v>
      </c>
    </row>
    <row r="3352" spans="1:10" ht="21" customHeight="1">
      <c r="A3352" s="2" t="s">
        <v>4348</v>
      </c>
      <c r="B3352" s="2" t="s">
        <v>38</v>
      </c>
      <c r="C3352" s="4">
        <v>45723.25</v>
      </c>
      <c r="D3352" s="4">
        <v>45723.250330601848</v>
      </c>
      <c r="E3352" s="2">
        <v>2.25</v>
      </c>
      <c r="F3352" s="2">
        <v>60</v>
      </c>
      <c r="G3352" s="2" t="s">
        <v>983</v>
      </c>
      <c r="H3352" s="2" t="s">
        <v>984</v>
      </c>
      <c r="I3352" s="2"/>
      <c r="J3352" s="2" t="s">
        <v>38</v>
      </c>
    </row>
    <row r="3353" spans="1:10" ht="21" customHeight="1">
      <c r="A3353" s="2" t="s">
        <v>4349</v>
      </c>
      <c r="B3353" s="2" t="s">
        <v>38</v>
      </c>
      <c r="C3353" s="4">
        <v>45724.25</v>
      </c>
      <c r="D3353" s="4">
        <v>45725.5</v>
      </c>
      <c r="E3353" s="2">
        <v>2.84</v>
      </c>
      <c r="F3353" s="2">
        <v>59.5</v>
      </c>
      <c r="G3353" s="2" t="s">
        <v>983</v>
      </c>
      <c r="H3353" s="2" t="s">
        <v>984</v>
      </c>
      <c r="I3353" s="2"/>
      <c r="J3353" s="2" t="s">
        <v>38</v>
      </c>
    </row>
    <row r="3354" spans="1:10" ht="21" customHeight="1">
      <c r="A3354" s="2" t="s">
        <v>4350</v>
      </c>
      <c r="B3354" s="2" t="s">
        <v>38</v>
      </c>
      <c r="C3354" s="4">
        <v>45725.25</v>
      </c>
      <c r="D3354" s="4">
        <v>45725.250312974538</v>
      </c>
      <c r="E3354" s="2">
        <v>2.25</v>
      </c>
      <c r="F3354" s="2">
        <v>60.7</v>
      </c>
      <c r="G3354" s="2" t="s">
        <v>983</v>
      </c>
      <c r="H3354" s="2" t="s">
        <v>984</v>
      </c>
      <c r="I3354" s="2"/>
      <c r="J3354" s="2" t="s">
        <v>38</v>
      </c>
    </row>
    <row r="3355" spans="1:10" ht="21" customHeight="1">
      <c r="A3355" s="2" t="s">
        <v>4351</v>
      </c>
      <c r="B3355" s="2" t="s">
        <v>38</v>
      </c>
      <c r="C3355" s="4">
        <v>45726.25</v>
      </c>
      <c r="D3355" s="4">
        <v>45726.250493402782</v>
      </c>
      <c r="E3355" s="2">
        <v>2.68</v>
      </c>
      <c r="F3355" s="2">
        <v>59.3</v>
      </c>
      <c r="G3355" s="2" t="s">
        <v>983</v>
      </c>
      <c r="H3355" s="2" t="s">
        <v>984</v>
      </c>
      <c r="I3355" s="2" t="s">
        <v>985</v>
      </c>
      <c r="J3355" s="2" t="s">
        <v>38</v>
      </c>
    </row>
    <row r="3356" spans="1:10" ht="21" customHeight="1">
      <c r="A3356" s="2" t="s">
        <v>4352</v>
      </c>
      <c r="B3356" s="2" t="s">
        <v>38</v>
      </c>
      <c r="C3356" s="4">
        <v>45727.25</v>
      </c>
      <c r="D3356" s="4">
        <v>45727.250673645831</v>
      </c>
      <c r="E3356" s="2">
        <v>3.15</v>
      </c>
      <c r="F3356" s="2">
        <v>62.8</v>
      </c>
      <c r="G3356" s="2" t="s">
        <v>983</v>
      </c>
      <c r="H3356" s="2" t="s">
        <v>984</v>
      </c>
      <c r="I3356" s="2"/>
      <c r="J3356" s="2" t="s">
        <v>38</v>
      </c>
    </row>
    <row r="3357" spans="1:10" ht="21" customHeight="1">
      <c r="A3357" s="2" t="s">
        <v>4353</v>
      </c>
      <c r="B3357" s="2" t="s">
        <v>38</v>
      </c>
      <c r="C3357" s="4">
        <v>45728.25</v>
      </c>
      <c r="D3357" s="4">
        <v>45728.250180034724</v>
      </c>
      <c r="E3357" s="2">
        <v>3.28</v>
      </c>
      <c r="F3357" s="2">
        <v>65.3</v>
      </c>
      <c r="G3357" s="2" t="s">
        <v>983</v>
      </c>
      <c r="H3357" s="2" t="s">
        <v>984</v>
      </c>
      <c r="I3357" s="2"/>
      <c r="J3357" s="2" t="s">
        <v>38</v>
      </c>
    </row>
    <row r="3358" spans="1:10" ht="21" customHeight="1">
      <c r="A3358" s="2" t="s">
        <v>4354</v>
      </c>
      <c r="B3358" s="2" t="s">
        <v>38</v>
      </c>
      <c r="C3358" s="4">
        <v>45729.25</v>
      </c>
      <c r="D3358" s="4">
        <v>45729.250021655098</v>
      </c>
      <c r="E3358" s="2">
        <v>3.07</v>
      </c>
      <c r="F3358" s="2">
        <v>60.8</v>
      </c>
      <c r="G3358" s="2" t="s">
        <v>983</v>
      </c>
      <c r="H3358" s="2" t="s">
        <v>984</v>
      </c>
      <c r="I3358" s="2"/>
      <c r="J3358" s="2" t="s">
        <v>38</v>
      </c>
    </row>
    <row r="3359" spans="1:10" ht="21" customHeight="1">
      <c r="A3359" s="2" t="s">
        <v>4355</v>
      </c>
      <c r="B3359" s="2" t="s">
        <v>38</v>
      </c>
      <c r="C3359" s="4">
        <v>45730.25</v>
      </c>
      <c r="D3359" s="4">
        <v>45730.250134479167</v>
      </c>
      <c r="E3359" s="2">
        <v>2.54</v>
      </c>
      <c r="F3359" s="2">
        <v>63.3</v>
      </c>
      <c r="G3359" s="2" t="s">
        <v>983</v>
      </c>
      <c r="H3359" s="2" t="s">
        <v>984</v>
      </c>
      <c r="I3359" s="2"/>
      <c r="J3359" s="2" t="s">
        <v>38</v>
      </c>
    </row>
    <row r="3360" spans="1:10" ht="21" customHeight="1">
      <c r="A3360" s="2" t="s">
        <v>4356</v>
      </c>
      <c r="B3360" s="2" t="s">
        <v>38</v>
      </c>
      <c r="C3360" s="4">
        <v>45731.25</v>
      </c>
      <c r="D3360" s="4">
        <v>45731.250597013888</v>
      </c>
      <c r="E3360" s="2"/>
      <c r="F3360" s="2"/>
      <c r="G3360" s="2" t="s">
        <v>983</v>
      </c>
      <c r="H3360" s="2" t="s">
        <v>1066</v>
      </c>
      <c r="I3360" s="2"/>
      <c r="J3360" s="2" t="s">
        <v>38</v>
      </c>
    </row>
    <row r="3361" spans="1:10" ht="21" customHeight="1">
      <c r="A3361" s="2" t="s">
        <v>4357</v>
      </c>
      <c r="B3361" s="2" t="s">
        <v>38</v>
      </c>
      <c r="C3361" s="4">
        <v>45732.25</v>
      </c>
      <c r="D3361" s="4">
        <v>45732.250441712968</v>
      </c>
      <c r="E3361" s="2">
        <v>3.22</v>
      </c>
      <c r="F3361" s="2">
        <v>60.2</v>
      </c>
      <c r="G3361" s="2" t="s">
        <v>983</v>
      </c>
      <c r="H3361" s="2" t="s">
        <v>984</v>
      </c>
      <c r="I3361" s="2"/>
      <c r="J3361" s="2" t="s">
        <v>38</v>
      </c>
    </row>
    <row r="3362" spans="1:10" ht="21" customHeight="1">
      <c r="A3362" s="2" t="s">
        <v>4358</v>
      </c>
      <c r="B3362" s="2" t="s">
        <v>38</v>
      </c>
      <c r="C3362" s="4">
        <v>45733.25</v>
      </c>
      <c r="D3362" s="4">
        <v>45733.250694386574</v>
      </c>
      <c r="E3362" s="2">
        <v>2.14</v>
      </c>
      <c r="F3362" s="2">
        <v>59.3</v>
      </c>
      <c r="G3362" s="2" t="s">
        <v>983</v>
      </c>
      <c r="H3362" s="2" t="s">
        <v>984</v>
      </c>
      <c r="I3362" s="2"/>
      <c r="J3362" s="2" t="s">
        <v>38</v>
      </c>
    </row>
    <row r="3363" spans="1:10" ht="21" customHeight="1">
      <c r="A3363" s="2" t="s">
        <v>4359</v>
      </c>
      <c r="B3363" s="2" t="s">
        <v>38</v>
      </c>
      <c r="C3363" s="4">
        <v>45734.25</v>
      </c>
      <c r="D3363" s="4">
        <v>45734.250020231484</v>
      </c>
      <c r="E3363" s="2">
        <v>3.27</v>
      </c>
      <c r="F3363" s="2">
        <v>58.9</v>
      </c>
      <c r="G3363" s="2" t="s">
        <v>983</v>
      </c>
      <c r="H3363" s="2" t="s">
        <v>984</v>
      </c>
      <c r="I3363" s="2"/>
      <c r="J3363" s="2" t="s">
        <v>38</v>
      </c>
    </row>
    <row r="3364" spans="1:10" ht="21" customHeight="1">
      <c r="A3364" s="2" t="s">
        <v>4360</v>
      </c>
      <c r="B3364" s="2" t="s">
        <v>4319</v>
      </c>
      <c r="C3364" s="4">
        <v>45735.25</v>
      </c>
      <c r="D3364" s="4">
        <v>45736.5</v>
      </c>
      <c r="E3364" s="2">
        <v>2.56</v>
      </c>
      <c r="F3364" s="2">
        <v>60.8</v>
      </c>
      <c r="G3364" s="2" t="s">
        <v>983</v>
      </c>
      <c r="H3364" s="2" t="s">
        <v>984</v>
      </c>
      <c r="I3364" s="2"/>
      <c r="J3364" s="2" t="s">
        <v>38</v>
      </c>
    </row>
    <row r="3365" spans="1:10" ht="21" customHeight="1">
      <c r="A3365" s="2" t="s">
        <v>4361</v>
      </c>
      <c r="B3365" s="2" t="s">
        <v>38</v>
      </c>
      <c r="C3365" s="4">
        <v>45736.25</v>
      </c>
      <c r="D3365" s="4">
        <v>45736.250384664352</v>
      </c>
      <c r="E3365" s="2"/>
      <c r="F3365" s="2"/>
      <c r="G3365" s="2" t="s">
        <v>1175</v>
      </c>
      <c r="H3365" s="2" t="s">
        <v>1066</v>
      </c>
      <c r="I3365" s="2"/>
      <c r="J3365" s="2" t="s">
        <v>38</v>
      </c>
    </row>
    <row r="3366" spans="1:10" ht="21" customHeight="1">
      <c r="A3366" s="2" t="s">
        <v>4362</v>
      </c>
      <c r="B3366" s="2" t="s">
        <v>38</v>
      </c>
      <c r="C3366" s="4">
        <v>45737.25</v>
      </c>
      <c r="D3366" s="4">
        <v>45737.250573981481</v>
      </c>
      <c r="E3366" s="2">
        <v>2.4</v>
      </c>
      <c r="F3366" s="2">
        <v>62.5</v>
      </c>
      <c r="G3366" s="2" t="s">
        <v>983</v>
      </c>
      <c r="H3366" s="2" t="s">
        <v>984</v>
      </c>
      <c r="I3366" s="2"/>
      <c r="J3366" s="2" t="s">
        <v>38</v>
      </c>
    </row>
    <row r="3367" spans="1:10" ht="21" customHeight="1">
      <c r="A3367" s="2" t="s">
        <v>4363</v>
      </c>
      <c r="B3367" s="2" t="s">
        <v>38</v>
      </c>
      <c r="C3367" s="4">
        <v>45738.25</v>
      </c>
      <c r="D3367" s="4">
        <v>45738.250679918987</v>
      </c>
      <c r="E3367" s="2"/>
      <c r="F3367" s="2"/>
      <c r="G3367" s="2" t="s">
        <v>983</v>
      </c>
      <c r="H3367" s="2" t="s">
        <v>1066</v>
      </c>
      <c r="I3367" s="2"/>
      <c r="J3367" s="2" t="s">
        <v>38</v>
      </c>
    </row>
    <row r="3368" spans="1:10" ht="21" customHeight="1">
      <c r="A3368" s="2" t="s">
        <v>4364</v>
      </c>
      <c r="B3368" s="2" t="s">
        <v>38</v>
      </c>
      <c r="C3368" s="4">
        <v>45739.25</v>
      </c>
      <c r="D3368" s="4">
        <v>45739.250377407407</v>
      </c>
      <c r="E3368" s="2">
        <v>3.21</v>
      </c>
      <c r="F3368" s="2">
        <v>62</v>
      </c>
      <c r="G3368" s="2" t="s">
        <v>983</v>
      </c>
      <c r="H3368" s="2" t="s">
        <v>984</v>
      </c>
      <c r="I3368" s="2"/>
      <c r="J3368" s="2" t="s">
        <v>38</v>
      </c>
    </row>
    <row r="3369" spans="1:10" ht="21" customHeight="1">
      <c r="A3369" s="2" t="s">
        <v>4365</v>
      </c>
      <c r="B3369" s="2" t="s">
        <v>38</v>
      </c>
      <c r="C3369" s="4">
        <v>45740.25</v>
      </c>
      <c r="D3369" s="4">
        <v>45740.250556921295</v>
      </c>
      <c r="E3369" s="2">
        <v>2.54</v>
      </c>
      <c r="F3369" s="2">
        <v>64</v>
      </c>
      <c r="G3369" s="2" t="s">
        <v>983</v>
      </c>
      <c r="H3369" s="2" t="s">
        <v>984</v>
      </c>
      <c r="I3369" s="2"/>
      <c r="J3369" s="2" t="s">
        <v>38</v>
      </c>
    </row>
    <row r="3370" spans="1:10" ht="21" customHeight="1">
      <c r="A3370" s="2" t="s">
        <v>4366</v>
      </c>
      <c r="B3370" s="2" t="s">
        <v>38</v>
      </c>
      <c r="C3370" s="4">
        <v>45741.25</v>
      </c>
      <c r="D3370" s="4">
        <v>45741.250339687496</v>
      </c>
      <c r="E3370" s="2">
        <v>2.11</v>
      </c>
      <c r="F3370" s="2">
        <v>62.8</v>
      </c>
      <c r="G3370" s="2" t="s">
        <v>983</v>
      </c>
      <c r="H3370" s="2" t="s">
        <v>984</v>
      </c>
      <c r="I3370" s="2"/>
      <c r="J3370" s="2" t="s">
        <v>38</v>
      </c>
    </row>
    <row r="3371" spans="1:10" ht="21" customHeight="1">
      <c r="A3371" s="2" t="s">
        <v>4367</v>
      </c>
      <c r="B3371" s="2" t="s">
        <v>38</v>
      </c>
      <c r="C3371" s="4">
        <v>45742.25</v>
      </c>
      <c r="D3371" s="4">
        <v>45742.250071875002</v>
      </c>
      <c r="E3371" s="2">
        <v>2.3199999999999998</v>
      </c>
      <c r="F3371" s="2">
        <v>59.2</v>
      </c>
      <c r="G3371" s="2" t="s">
        <v>983</v>
      </c>
      <c r="H3371" s="2" t="s">
        <v>984</v>
      </c>
      <c r="I3371" s="2"/>
      <c r="J3371" s="2" t="s">
        <v>38</v>
      </c>
    </row>
    <row r="3372" spans="1:10" ht="21" customHeight="1">
      <c r="A3372" s="2" t="s">
        <v>4368</v>
      </c>
      <c r="B3372" s="2" t="s">
        <v>38</v>
      </c>
      <c r="C3372" s="4">
        <v>45743.25</v>
      </c>
      <c r="D3372" s="4">
        <v>45743.250379872683</v>
      </c>
      <c r="E3372" s="2">
        <v>2.65</v>
      </c>
      <c r="F3372" s="2">
        <v>60.5</v>
      </c>
      <c r="G3372" s="2" t="s">
        <v>983</v>
      </c>
      <c r="H3372" s="2" t="s">
        <v>984</v>
      </c>
      <c r="I3372" s="2" t="s">
        <v>985</v>
      </c>
      <c r="J3372" s="2" t="s">
        <v>38</v>
      </c>
    </row>
    <row r="3373" spans="1:10" ht="21" customHeight="1">
      <c r="A3373" s="2" t="s">
        <v>4369</v>
      </c>
      <c r="B3373" s="2" t="s">
        <v>38</v>
      </c>
      <c r="C3373" s="4">
        <v>45744.25</v>
      </c>
      <c r="D3373" s="4">
        <v>45744.250097233795</v>
      </c>
      <c r="E3373" s="2">
        <v>2.87</v>
      </c>
      <c r="F3373" s="2">
        <v>59.8</v>
      </c>
      <c r="G3373" s="2" t="s">
        <v>983</v>
      </c>
      <c r="H3373" s="2" t="s">
        <v>984</v>
      </c>
      <c r="I3373" s="2"/>
      <c r="J3373" s="2" t="s">
        <v>38</v>
      </c>
    </row>
    <row r="3374" spans="1:10" ht="21" customHeight="1">
      <c r="A3374" s="2" t="s">
        <v>4370</v>
      </c>
      <c r="B3374" s="2" t="s">
        <v>38</v>
      </c>
      <c r="C3374" s="4">
        <v>45745.25</v>
      </c>
      <c r="D3374" s="4">
        <v>45745.250233275467</v>
      </c>
      <c r="E3374" s="2">
        <v>2.1</v>
      </c>
      <c r="F3374" s="2">
        <v>59.3</v>
      </c>
      <c r="G3374" s="2" t="s">
        <v>983</v>
      </c>
      <c r="H3374" s="2" t="s">
        <v>984</v>
      </c>
      <c r="I3374" s="2"/>
      <c r="J3374" s="2" t="s">
        <v>38</v>
      </c>
    </row>
    <row r="3375" spans="1:10" ht="21" customHeight="1">
      <c r="A3375" s="2" t="s">
        <v>4371</v>
      </c>
      <c r="B3375" s="2" t="s">
        <v>38</v>
      </c>
      <c r="C3375" s="4">
        <v>45746.25</v>
      </c>
      <c r="D3375" s="4">
        <v>45747.5</v>
      </c>
      <c r="E3375" s="2">
        <v>2.2200000000000002</v>
      </c>
      <c r="F3375" s="2">
        <v>59.7</v>
      </c>
      <c r="G3375" s="2" t="s">
        <v>983</v>
      </c>
      <c r="H3375" s="2" t="s">
        <v>984</v>
      </c>
      <c r="I3375" s="2"/>
      <c r="J3375" s="2" t="s">
        <v>38</v>
      </c>
    </row>
    <row r="3376" spans="1:10" ht="21" customHeight="1">
      <c r="A3376" s="2" t="s">
        <v>4372</v>
      </c>
      <c r="B3376" s="2" t="s">
        <v>38</v>
      </c>
      <c r="C3376" s="4">
        <v>45747.25</v>
      </c>
      <c r="D3376" s="4">
        <v>45747.250666643522</v>
      </c>
      <c r="E3376" s="2">
        <v>2.1800000000000002</v>
      </c>
      <c r="F3376" s="2">
        <v>64.2</v>
      </c>
      <c r="G3376" s="2" t="s">
        <v>983</v>
      </c>
      <c r="H3376" s="2" t="s">
        <v>984</v>
      </c>
      <c r="I3376" s="2"/>
      <c r="J3376" s="2" t="s">
        <v>38</v>
      </c>
    </row>
    <row r="3377" spans="1:10" ht="21" customHeight="1">
      <c r="A3377" s="2" t="s">
        <v>4373</v>
      </c>
      <c r="B3377" s="2" t="s">
        <v>38</v>
      </c>
      <c r="C3377" s="4">
        <v>45748.25</v>
      </c>
      <c r="D3377" s="4">
        <v>45748.250235763888</v>
      </c>
      <c r="E3377" s="2"/>
      <c r="F3377" s="2"/>
      <c r="G3377" s="2" t="s">
        <v>983</v>
      </c>
      <c r="H3377" s="2" t="s">
        <v>1066</v>
      </c>
      <c r="I3377" s="2"/>
      <c r="J3377" s="2" t="s">
        <v>38</v>
      </c>
    </row>
    <row r="3378" spans="1:10" ht="21" customHeight="1">
      <c r="A3378" s="2" t="s">
        <v>4374</v>
      </c>
      <c r="B3378" s="2" t="s">
        <v>38</v>
      </c>
      <c r="C3378" s="4">
        <v>45749.25</v>
      </c>
      <c r="D3378" s="4">
        <v>45749.250111018519</v>
      </c>
      <c r="E3378" s="2">
        <v>3.03</v>
      </c>
      <c r="F3378" s="2">
        <v>61.9</v>
      </c>
      <c r="G3378" s="2" t="s">
        <v>983</v>
      </c>
      <c r="H3378" s="2" t="s">
        <v>984</v>
      </c>
      <c r="I3378" s="2"/>
      <c r="J3378" s="2" t="s">
        <v>38</v>
      </c>
    </row>
    <row r="3379" spans="1:10" ht="21" customHeight="1">
      <c r="A3379" s="2" t="s">
        <v>4375</v>
      </c>
      <c r="B3379" s="2" t="s">
        <v>38</v>
      </c>
      <c r="C3379" s="4">
        <v>45750.25</v>
      </c>
      <c r="D3379" s="4">
        <v>45750.250418379626</v>
      </c>
      <c r="E3379" s="2"/>
      <c r="F3379" s="2"/>
      <c r="G3379" s="2" t="s">
        <v>983</v>
      </c>
      <c r="H3379" s="2" t="s">
        <v>1066</v>
      </c>
      <c r="I3379" s="2"/>
      <c r="J3379" s="2" t="s">
        <v>38</v>
      </c>
    </row>
    <row r="3380" spans="1:10" ht="21" customHeight="1">
      <c r="A3380" s="2" t="s">
        <v>4376</v>
      </c>
      <c r="B3380" s="2" t="s">
        <v>38</v>
      </c>
      <c r="C3380" s="4">
        <v>45751.25</v>
      </c>
      <c r="D3380" s="4">
        <v>45751.25063811343</v>
      </c>
      <c r="E3380" s="2">
        <v>2.27</v>
      </c>
      <c r="F3380" s="2">
        <v>65.900000000000006</v>
      </c>
      <c r="G3380" s="2" t="s">
        <v>983</v>
      </c>
      <c r="H3380" s="2" t="s">
        <v>984</v>
      </c>
      <c r="I3380" s="2"/>
      <c r="J3380" s="2" t="s">
        <v>38</v>
      </c>
    </row>
    <row r="3381" spans="1:10" ht="21" customHeight="1">
      <c r="A3381" s="2" t="s">
        <v>4377</v>
      </c>
      <c r="B3381" s="2" t="s">
        <v>38</v>
      </c>
      <c r="C3381" s="4">
        <v>45752.25</v>
      </c>
      <c r="D3381" s="4">
        <v>45752.250359479163</v>
      </c>
      <c r="E3381" s="2">
        <v>2.97</v>
      </c>
      <c r="F3381" s="2">
        <v>62.2</v>
      </c>
      <c r="G3381" s="2" t="s">
        <v>983</v>
      </c>
      <c r="H3381" s="2" t="s">
        <v>984</v>
      </c>
      <c r="I3381" s="2"/>
      <c r="J3381" s="2" t="s">
        <v>38</v>
      </c>
    </row>
    <row r="3382" spans="1:10" ht="21" customHeight="1">
      <c r="A3382" s="2" t="s">
        <v>4378</v>
      </c>
      <c r="B3382" s="2" t="s">
        <v>38</v>
      </c>
      <c r="C3382" s="4">
        <v>45753.25</v>
      </c>
      <c r="D3382" s="4">
        <v>45753.250431678243</v>
      </c>
      <c r="E3382" s="2"/>
      <c r="F3382" s="2"/>
      <c r="G3382" s="2" t="s">
        <v>983</v>
      </c>
      <c r="H3382" s="2" t="s">
        <v>1066</v>
      </c>
      <c r="I3382" s="2"/>
      <c r="J3382" s="2" t="s">
        <v>38</v>
      </c>
    </row>
    <row r="3383" spans="1:10" ht="21" customHeight="1">
      <c r="A3383" s="2" t="s">
        <v>4379</v>
      </c>
      <c r="B3383" s="2" t="s">
        <v>38</v>
      </c>
      <c r="C3383" s="4">
        <v>45754.25</v>
      </c>
      <c r="D3383" s="4">
        <v>45754.250463865741</v>
      </c>
      <c r="E3383" s="2">
        <v>4.99</v>
      </c>
      <c r="F3383" s="2">
        <v>71.099999999999994</v>
      </c>
      <c r="G3383" s="2" t="s">
        <v>983</v>
      </c>
      <c r="H3383" s="2" t="s">
        <v>984</v>
      </c>
      <c r="I3383" s="2" t="s">
        <v>1053</v>
      </c>
      <c r="J3383" s="2" t="s">
        <v>38</v>
      </c>
    </row>
    <row r="3384" spans="1:10" ht="21" customHeight="1">
      <c r="A3384" s="2" t="s">
        <v>4380</v>
      </c>
      <c r="B3384" s="2" t="s">
        <v>38</v>
      </c>
      <c r="C3384" s="4">
        <v>45755.25</v>
      </c>
      <c r="D3384" s="4">
        <v>45755.250211307866</v>
      </c>
      <c r="E3384" s="2">
        <v>4.5199999999999996</v>
      </c>
      <c r="F3384" s="2">
        <v>68.900000000000006</v>
      </c>
      <c r="G3384" s="2" t="s">
        <v>983</v>
      </c>
      <c r="H3384" s="2" t="s">
        <v>984</v>
      </c>
      <c r="I3384" s="2"/>
      <c r="J3384" s="2" t="s">
        <v>38</v>
      </c>
    </row>
    <row r="3385" spans="1:10" ht="21" customHeight="1">
      <c r="A3385" s="2" t="s">
        <v>4381</v>
      </c>
      <c r="B3385" s="2" t="s">
        <v>38</v>
      </c>
      <c r="C3385" s="4">
        <v>45756.25</v>
      </c>
      <c r="D3385" s="4">
        <v>45756.250619085651</v>
      </c>
      <c r="E3385" s="2">
        <v>0</v>
      </c>
      <c r="F3385" s="2">
        <v>65</v>
      </c>
      <c r="G3385" s="2" t="s">
        <v>1175</v>
      </c>
      <c r="H3385" s="2" t="s">
        <v>984</v>
      </c>
      <c r="I3385" s="2"/>
      <c r="J3385" s="2" t="s">
        <v>38</v>
      </c>
    </row>
    <row r="3386" spans="1:10" ht="21" customHeight="1">
      <c r="A3386" s="2" t="s">
        <v>4382</v>
      </c>
      <c r="B3386" s="2" t="s">
        <v>38</v>
      </c>
      <c r="C3386" s="4">
        <v>45757.25</v>
      </c>
      <c r="D3386" s="4">
        <v>45758.5</v>
      </c>
      <c r="E3386" s="2">
        <v>2.35</v>
      </c>
      <c r="F3386" s="2">
        <v>63.1</v>
      </c>
      <c r="G3386" s="2" t="s">
        <v>983</v>
      </c>
      <c r="H3386" s="2" t="s">
        <v>984</v>
      </c>
      <c r="I3386" s="2"/>
      <c r="J3386" s="2" t="s">
        <v>38</v>
      </c>
    </row>
    <row r="3387" spans="1:10" ht="21" customHeight="1">
      <c r="A3387" s="2" t="s">
        <v>4383</v>
      </c>
      <c r="B3387" s="2" t="s">
        <v>38</v>
      </c>
      <c r="C3387" s="4">
        <v>45758.25</v>
      </c>
      <c r="D3387" s="4">
        <v>45758.250477800924</v>
      </c>
      <c r="E3387" s="2">
        <v>2.78</v>
      </c>
      <c r="F3387" s="2">
        <v>58.6</v>
      </c>
      <c r="G3387" s="2" t="s">
        <v>983</v>
      </c>
      <c r="H3387" s="2" t="s">
        <v>984</v>
      </c>
      <c r="I3387" s="2"/>
      <c r="J3387" s="2" t="s">
        <v>38</v>
      </c>
    </row>
    <row r="3388" spans="1:10" ht="21" customHeight="1">
      <c r="A3388" s="2" t="s">
        <v>4384</v>
      </c>
      <c r="B3388" s="2" t="s">
        <v>38</v>
      </c>
      <c r="C3388" s="4">
        <v>45759.25</v>
      </c>
      <c r="D3388" s="4">
        <v>45759.250294803242</v>
      </c>
      <c r="E3388" s="2">
        <v>2.9</v>
      </c>
      <c r="F3388" s="2">
        <v>58.7</v>
      </c>
      <c r="G3388" s="2" t="s">
        <v>983</v>
      </c>
      <c r="H3388" s="2" t="s">
        <v>984</v>
      </c>
      <c r="I3388" s="2"/>
      <c r="J3388" s="2" t="s">
        <v>38</v>
      </c>
    </row>
    <row r="3389" spans="1:10" ht="21" customHeight="1">
      <c r="A3389" s="2" t="s">
        <v>4385</v>
      </c>
      <c r="B3389" s="2" t="s">
        <v>38</v>
      </c>
      <c r="C3389" s="4">
        <v>45760.25</v>
      </c>
      <c r="D3389" s="4">
        <v>45760.250120902776</v>
      </c>
      <c r="E3389" s="2">
        <v>2.2999999999999998</v>
      </c>
      <c r="F3389" s="2">
        <v>62.3</v>
      </c>
      <c r="G3389" s="2" t="s">
        <v>983</v>
      </c>
      <c r="H3389" s="2" t="s">
        <v>984</v>
      </c>
      <c r="I3389" s="2" t="s">
        <v>985</v>
      </c>
      <c r="J3389" s="2" t="s">
        <v>38</v>
      </c>
    </row>
    <row r="3390" spans="1:10" ht="21" customHeight="1">
      <c r="A3390" s="2" t="s">
        <v>4386</v>
      </c>
      <c r="B3390" s="2" t="s">
        <v>38</v>
      </c>
      <c r="C3390" s="4">
        <v>45761.25</v>
      </c>
      <c r="D3390" s="4">
        <v>45761.250666886575</v>
      </c>
      <c r="E3390" s="2">
        <v>2.38</v>
      </c>
      <c r="F3390" s="2">
        <v>62</v>
      </c>
      <c r="G3390" s="2" t="s">
        <v>983</v>
      </c>
      <c r="H3390" s="2" t="s">
        <v>984</v>
      </c>
      <c r="I3390" s="2"/>
      <c r="J3390" s="2" t="s">
        <v>38</v>
      </c>
    </row>
    <row r="3391" spans="1:10" ht="21" customHeight="1">
      <c r="A3391" s="2" t="s">
        <v>4387</v>
      </c>
      <c r="B3391" s="2" t="s">
        <v>38</v>
      </c>
      <c r="C3391" s="4">
        <v>45762.25</v>
      </c>
      <c r="D3391" s="4">
        <v>45762.250448993058</v>
      </c>
      <c r="E3391" s="2">
        <v>2.79</v>
      </c>
      <c r="F3391" s="2">
        <v>62.9</v>
      </c>
      <c r="G3391" s="2" t="s">
        <v>983</v>
      </c>
      <c r="H3391" s="2" t="s">
        <v>984</v>
      </c>
      <c r="I3391" s="2"/>
      <c r="J3391" s="2" t="s">
        <v>38</v>
      </c>
    </row>
    <row r="3392" spans="1:10" ht="21" customHeight="1">
      <c r="A3392" s="2" t="s">
        <v>4388</v>
      </c>
      <c r="B3392" s="2" t="s">
        <v>38</v>
      </c>
      <c r="C3392" s="4">
        <v>45763.25</v>
      </c>
      <c r="D3392" s="4">
        <v>45763.250598969906</v>
      </c>
      <c r="E3392" s="2">
        <v>3.24</v>
      </c>
      <c r="F3392" s="2">
        <v>62.1</v>
      </c>
      <c r="G3392" s="2" t="s">
        <v>983</v>
      </c>
      <c r="H3392" s="2" t="s">
        <v>984</v>
      </c>
      <c r="I3392" s="2"/>
      <c r="J3392" s="2" t="s">
        <v>38</v>
      </c>
    </row>
    <row r="3393" spans="1:10" ht="21" customHeight="1">
      <c r="A3393" s="2" t="s">
        <v>4389</v>
      </c>
      <c r="B3393" s="2" t="s">
        <v>38</v>
      </c>
      <c r="C3393" s="4">
        <v>45764.25</v>
      </c>
      <c r="D3393" s="4">
        <v>45764.250136932867</v>
      </c>
      <c r="E3393" s="2">
        <v>2.99</v>
      </c>
      <c r="F3393" s="2">
        <v>59.3</v>
      </c>
      <c r="G3393" s="2" t="s">
        <v>983</v>
      </c>
      <c r="H3393" s="2" t="s">
        <v>984</v>
      </c>
      <c r="I3393" s="2"/>
      <c r="J3393" s="2" t="s">
        <v>38</v>
      </c>
    </row>
    <row r="3394" spans="1:10" ht="21" customHeight="1">
      <c r="A3394" s="2" t="s">
        <v>4390</v>
      </c>
      <c r="B3394" s="2" t="s">
        <v>38</v>
      </c>
      <c r="C3394" s="4">
        <v>45765.25</v>
      </c>
      <c r="D3394" s="4">
        <v>45765.250099340279</v>
      </c>
      <c r="E3394" s="2">
        <v>2.68</v>
      </c>
      <c r="F3394" s="2">
        <v>63.6</v>
      </c>
      <c r="G3394" s="2" t="s">
        <v>983</v>
      </c>
      <c r="H3394" s="2" t="s">
        <v>984</v>
      </c>
      <c r="I3394" s="2"/>
      <c r="J3394" s="2" t="s">
        <v>38</v>
      </c>
    </row>
    <row r="3395" spans="1:10" ht="21" customHeight="1">
      <c r="A3395" s="2" t="s">
        <v>4391</v>
      </c>
      <c r="B3395" s="2" t="s">
        <v>38</v>
      </c>
      <c r="C3395" s="4">
        <v>45766.25</v>
      </c>
      <c r="D3395" s="4">
        <v>45766.250571331024</v>
      </c>
      <c r="E3395" s="2">
        <v>6.12</v>
      </c>
      <c r="F3395" s="2">
        <v>70.2</v>
      </c>
      <c r="G3395" s="2" t="s">
        <v>983</v>
      </c>
      <c r="H3395" s="2" t="s">
        <v>984</v>
      </c>
      <c r="I3395" s="2" t="s">
        <v>1053</v>
      </c>
      <c r="J3395" s="2" t="s">
        <v>38</v>
      </c>
    </row>
    <row r="3396" spans="1:10" ht="21" customHeight="1">
      <c r="A3396" s="2" t="s">
        <v>4392</v>
      </c>
      <c r="B3396" s="2" t="s">
        <v>38</v>
      </c>
      <c r="C3396" s="4">
        <v>45767.25</v>
      </c>
      <c r="D3396" s="4">
        <v>45767.250289143514</v>
      </c>
      <c r="E3396" s="2">
        <v>6.34</v>
      </c>
      <c r="F3396" s="2">
        <v>73.5</v>
      </c>
      <c r="G3396" s="2" t="s">
        <v>983</v>
      </c>
      <c r="H3396" s="2" t="s">
        <v>984</v>
      </c>
      <c r="I3396" s="2"/>
      <c r="J3396" s="2" t="s">
        <v>38</v>
      </c>
    </row>
    <row r="3397" spans="1:10" ht="21" customHeight="1">
      <c r="A3397" s="2" t="s">
        <v>4393</v>
      </c>
      <c r="B3397" s="2" t="s">
        <v>38</v>
      </c>
      <c r="C3397" s="4">
        <v>45768.25</v>
      </c>
      <c r="D3397" s="4">
        <v>45769.5</v>
      </c>
      <c r="E3397" s="2">
        <v>5.55</v>
      </c>
      <c r="F3397" s="2">
        <v>66.3</v>
      </c>
      <c r="G3397" s="2" t="s">
        <v>983</v>
      </c>
      <c r="H3397" s="2" t="s">
        <v>984</v>
      </c>
      <c r="I3397" s="2" t="s">
        <v>1053</v>
      </c>
      <c r="J3397" s="2" t="s">
        <v>38</v>
      </c>
    </row>
    <row r="3398" spans="1:10" ht="21" customHeight="1">
      <c r="A3398" s="2" t="s">
        <v>4394</v>
      </c>
      <c r="B3398" s="2" t="s">
        <v>38</v>
      </c>
      <c r="C3398" s="4">
        <v>45769.25</v>
      </c>
      <c r="D3398" s="4">
        <v>45769.250442280092</v>
      </c>
      <c r="E3398" s="2">
        <v>0</v>
      </c>
      <c r="F3398" s="2">
        <v>63.4</v>
      </c>
      <c r="G3398" s="2" t="s">
        <v>1175</v>
      </c>
      <c r="H3398" s="2" t="s">
        <v>984</v>
      </c>
      <c r="I3398" s="2"/>
      <c r="J3398" s="2" t="s">
        <v>38</v>
      </c>
    </row>
    <row r="3399" spans="1:10" ht="21" customHeight="1">
      <c r="A3399" s="2" t="s">
        <v>4395</v>
      </c>
      <c r="B3399" s="2" t="s">
        <v>38</v>
      </c>
      <c r="C3399" s="4">
        <v>45770.25</v>
      </c>
      <c r="D3399" s="4">
        <v>45770.250562511574</v>
      </c>
      <c r="E3399" s="2">
        <v>2.8</v>
      </c>
      <c r="F3399" s="2">
        <v>59.7</v>
      </c>
      <c r="G3399" s="2" t="s">
        <v>983</v>
      </c>
      <c r="H3399" s="2" t="s">
        <v>984</v>
      </c>
      <c r="I3399" s="2"/>
      <c r="J3399" s="2" t="s">
        <v>38</v>
      </c>
    </row>
    <row r="3400" spans="1:10" ht="21" customHeight="1">
      <c r="A3400" s="2" t="s">
        <v>4396</v>
      </c>
      <c r="B3400" s="2" t="s">
        <v>38</v>
      </c>
      <c r="C3400" s="4">
        <v>45771.25</v>
      </c>
      <c r="D3400" s="4">
        <v>45771.250374317126</v>
      </c>
      <c r="E3400" s="2">
        <v>2.62</v>
      </c>
      <c r="F3400" s="2">
        <v>59.1</v>
      </c>
      <c r="G3400" s="2" t="s">
        <v>983</v>
      </c>
      <c r="H3400" s="2" t="s">
        <v>984</v>
      </c>
      <c r="I3400" s="2"/>
      <c r="J3400" s="2" t="s">
        <v>38</v>
      </c>
    </row>
    <row r="3401" spans="1:10" ht="21" customHeight="1">
      <c r="A3401" s="2" t="s">
        <v>4397</v>
      </c>
      <c r="B3401" s="2" t="s">
        <v>38</v>
      </c>
      <c r="C3401" s="4">
        <v>45772.25</v>
      </c>
      <c r="D3401" s="4">
        <v>45772.25026508102</v>
      </c>
      <c r="E3401" s="2">
        <v>2.17</v>
      </c>
      <c r="F3401" s="2">
        <v>64.3</v>
      </c>
      <c r="G3401" s="2" t="s">
        <v>983</v>
      </c>
      <c r="H3401" s="2" t="s">
        <v>984</v>
      </c>
      <c r="I3401" s="2"/>
      <c r="J3401" s="2" t="s">
        <v>38</v>
      </c>
    </row>
    <row r="3402" spans="1:10" ht="21" customHeight="1">
      <c r="A3402" s="2" t="s">
        <v>4398</v>
      </c>
      <c r="B3402" s="2" t="s">
        <v>38</v>
      </c>
      <c r="C3402" s="4">
        <v>45773.25</v>
      </c>
      <c r="D3402" s="4">
        <v>45773.250418530093</v>
      </c>
      <c r="E3402" s="2">
        <v>2.19</v>
      </c>
      <c r="F3402" s="2">
        <v>58.7</v>
      </c>
      <c r="G3402" s="2" t="s">
        <v>983</v>
      </c>
      <c r="H3402" s="2" t="s">
        <v>984</v>
      </c>
      <c r="I3402" s="2"/>
      <c r="J3402" s="2" t="s">
        <v>38</v>
      </c>
    </row>
    <row r="3403" spans="1:10" ht="21" customHeight="1">
      <c r="A3403" s="2" t="s">
        <v>4399</v>
      </c>
      <c r="B3403" s="2" t="s">
        <v>38</v>
      </c>
      <c r="C3403" s="4">
        <v>45774.25</v>
      </c>
      <c r="D3403" s="4">
        <v>45774.250363483792</v>
      </c>
      <c r="E3403" s="2"/>
      <c r="F3403" s="2"/>
      <c r="G3403" s="2" t="s">
        <v>983</v>
      </c>
      <c r="H3403" s="2" t="s">
        <v>1066</v>
      </c>
      <c r="I3403" s="2"/>
      <c r="J3403" s="2" t="s">
        <v>38</v>
      </c>
    </row>
    <row r="3404" spans="1:10" ht="21" customHeight="1">
      <c r="A3404" s="2" t="s">
        <v>4400</v>
      </c>
      <c r="B3404" s="2" t="s">
        <v>38</v>
      </c>
      <c r="C3404" s="4">
        <v>45775.25</v>
      </c>
      <c r="D3404" s="4">
        <v>45775.250360821759</v>
      </c>
      <c r="E3404" s="2">
        <v>2.99</v>
      </c>
      <c r="F3404" s="2">
        <v>65.8</v>
      </c>
      <c r="G3404" s="2" t="s">
        <v>983</v>
      </c>
      <c r="H3404" s="2" t="s">
        <v>984</v>
      </c>
      <c r="I3404" s="2"/>
      <c r="J3404" s="2" t="s">
        <v>38</v>
      </c>
    </row>
    <row r="3405" spans="1:10" ht="21" customHeight="1">
      <c r="A3405" s="2" t="s">
        <v>4401</v>
      </c>
      <c r="B3405" s="2" t="s">
        <v>4319</v>
      </c>
      <c r="C3405" s="4">
        <v>45776.25</v>
      </c>
      <c r="D3405" s="4">
        <v>45776.250514756946</v>
      </c>
      <c r="E3405" s="2">
        <v>2.14</v>
      </c>
      <c r="F3405" s="2">
        <v>61.5</v>
      </c>
      <c r="G3405" s="2" t="s">
        <v>983</v>
      </c>
      <c r="H3405" s="2" t="s">
        <v>984</v>
      </c>
      <c r="I3405" s="2"/>
      <c r="J3405" s="2" t="s">
        <v>38</v>
      </c>
    </row>
    <row r="3406" spans="1:10" ht="21" customHeight="1">
      <c r="A3406" s="2" t="s">
        <v>4402</v>
      </c>
      <c r="B3406" s="2" t="s">
        <v>38</v>
      </c>
      <c r="C3406" s="4">
        <v>45777.25</v>
      </c>
      <c r="D3406" s="4">
        <v>45777.250169351857</v>
      </c>
      <c r="E3406" s="2">
        <v>2.5499999999999998</v>
      </c>
      <c r="F3406" s="2">
        <v>65.5</v>
      </c>
      <c r="G3406" s="2" t="s">
        <v>983</v>
      </c>
      <c r="H3406" s="2" t="s">
        <v>984</v>
      </c>
      <c r="I3406" s="2" t="s">
        <v>985</v>
      </c>
      <c r="J3406" s="2" t="s">
        <v>38</v>
      </c>
    </row>
    <row r="3407" spans="1:10" ht="21" customHeight="1">
      <c r="A3407" s="2" t="s">
        <v>4403</v>
      </c>
      <c r="B3407" s="2" t="s">
        <v>38</v>
      </c>
      <c r="C3407" s="4">
        <v>45778.25</v>
      </c>
      <c r="D3407" s="4">
        <v>45778.250619351849</v>
      </c>
      <c r="E3407" s="2">
        <v>2.2799999999999998</v>
      </c>
      <c r="F3407" s="2">
        <v>65.2</v>
      </c>
      <c r="G3407" s="2" t="s">
        <v>983</v>
      </c>
      <c r="H3407" s="2" t="s">
        <v>984</v>
      </c>
      <c r="I3407" s="2"/>
      <c r="J3407" s="2" t="s">
        <v>38</v>
      </c>
    </row>
    <row r="3408" spans="1:10" ht="21" customHeight="1">
      <c r="A3408" s="2" t="s">
        <v>4404</v>
      </c>
      <c r="B3408" s="2" t="s">
        <v>38</v>
      </c>
      <c r="C3408" s="4">
        <v>45779.25</v>
      </c>
      <c r="D3408" s="4">
        <v>45780.5</v>
      </c>
      <c r="E3408" s="2">
        <v>2.65</v>
      </c>
      <c r="F3408" s="2">
        <v>59.3</v>
      </c>
      <c r="G3408" s="2" t="s">
        <v>983</v>
      </c>
      <c r="H3408" s="2" t="s">
        <v>984</v>
      </c>
      <c r="I3408" s="2"/>
      <c r="J3408" s="2" t="s">
        <v>38</v>
      </c>
    </row>
    <row r="3409" spans="1:10" ht="21" customHeight="1">
      <c r="A3409" s="2" t="s">
        <v>4405</v>
      </c>
      <c r="B3409" s="2" t="s">
        <v>38</v>
      </c>
      <c r="C3409" s="4">
        <v>45780.25</v>
      </c>
      <c r="D3409" s="4">
        <v>45780.250258796295</v>
      </c>
      <c r="E3409" s="2">
        <v>2.88</v>
      </c>
      <c r="F3409" s="2">
        <v>64.3</v>
      </c>
      <c r="G3409" s="2" t="s">
        <v>983</v>
      </c>
      <c r="H3409" s="2" t="s">
        <v>984</v>
      </c>
      <c r="I3409" s="2"/>
      <c r="J3409" s="2" t="s">
        <v>38</v>
      </c>
    </row>
    <row r="3410" spans="1:10" ht="21" customHeight="1">
      <c r="A3410" s="2" t="s">
        <v>4406</v>
      </c>
      <c r="B3410" s="2" t="s">
        <v>38</v>
      </c>
      <c r="C3410" s="4">
        <v>45781.25</v>
      </c>
      <c r="D3410" s="4">
        <v>45781.250380798607</v>
      </c>
      <c r="E3410" s="2">
        <v>2.2999999999999998</v>
      </c>
      <c r="F3410" s="2">
        <v>62.5</v>
      </c>
      <c r="G3410" s="2" t="s">
        <v>983</v>
      </c>
      <c r="H3410" s="2" t="s">
        <v>984</v>
      </c>
      <c r="I3410" s="2"/>
      <c r="J3410" s="2" t="s">
        <v>38</v>
      </c>
    </row>
    <row r="3411" spans="1:10" ht="21" customHeight="1">
      <c r="A3411" s="2" t="s">
        <v>4407</v>
      </c>
      <c r="B3411" s="2" t="s">
        <v>38</v>
      </c>
      <c r="C3411" s="4">
        <v>45782.25</v>
      </c>
      <c r="D3411" s="4">
        <v>45782.25020436343</v>
      </c>
      <c r="E3411" s="2">
        <v>2.75</v>
      </c>
      <c r="F3411" s="2">
        <v>65.599999999999994</v>
      </c>
      <c r="G3411" s="2" t="s">
        <v>983</v>
      </c>
      <c r="H3411" s="2" t="s">
        <v>984</v>
      </c>
      <c r="I3411" s="2"/>
      <c r="J3411" s="2" t="s">
        <v>38</v>
      </c>
    </row>
    <row r="3412" spans="1:10" ht="21" customHeight="1">
      <c r="A3412" s="2" t="s">
        <v>4408</v>
      </c>
      <c r="B3412" s="2" t="s">
        <v>38</v>
      </c>
      <c r="C3412" s="4">
        <v>45783.25</v>
      </c>
      <c r="D3412" s="4">
        <v>45783.250200509261</v>
      </c>
      <c r="E3412" s="2">
        <v>0</v>
      </c>
      <c r="F3412" s="2">
        <v>59.2</v>
      </c>
      <c r="G3412" s="2" t="s">
        <v>1175</v>
      </c>
      <c r="H3412" s="2" t="s">
        <v>984</v>
      </c>
      <c r="I3412" s="2"/>
      <c r="J3412" s="2" t="s">
        <v>38</v>
      </c>
    </row>
    <row r="3413" spans="1:10" ht="21" customHeight="1">
      <c r="A3413" s="2" t="s">
        <v>4409</v>
      </c>
      <c r="B3413" s="2" t="s">
        <v>38</v>
      </c>
      <c r="C3413" s="4">
        <v>45784.25</v>
      </c>
      <c r="D3413" s="4">
        <v>45784.250538321758</v>
      </c>
      <c r="E3413" s="2">
        <v>3.28</v>
      </c>
      <c r="F3413" s="2">
        <v>63.5</v>
      </c>
      <c r="G3413" s="2" t="s">
        <v>983</v>
      </c>
      <c r="H3413" s="2" t="s">
        <v>984</v>
      </c>
      <c r="I3413" s="2"/>
      <c r="J3413" s="2" t="s">
        <v>38</v>
      </c>
    </row>
    <row r="3414" spans="1:10" ht="21" customHeight="1">
      <c r="A3414" s="2" t="s">
        <v>4410</v>
      </c>
      <c r="B3414" s="2" t="s">
        <v>38</v>
      </c>
      <c r="C3414" s="4">
        <v>45785.25</v>
      </c>
      <c r="D3414" s="4">
        <v>45785.250532118051</v>
      </c>
      <c r="E3414" s="2"/>
      <c r="F3414" s="2"/>
      <c r="G3414" s="2" t="s">
        <v>983</v>
      </c>
      <c r="H3414" s="2" t="s">
        <v>1066</v>
      </c>
      <c r="I3414" s="2"/>
      <c r="J3414" s="2" t="s">
        <v>38</v>
      </c>
    </row>
    <row r="3415" spans="1:10" ht="21" customHeight="1">
      <c r="A3415" s="2" t="s">
        <v>4411</v>
      </c>
      <c r="B3415" s="2" t="s">
        <v>38</v>
      </c>
      <c r="C3415" s="4">
        <v>45786.25</v>
      </c>
      <c r="D3415" s="4">
        <v>45786.250035127319</v>
      </c>
      <c r="E3415" s="2"/>
      <c r="F3415" s="2"/>
      <c r="G3415" s="2" t="s">
        <v>983</v>
      </c>
      <c r="H3415" s="2" t="s">
        <v>1066</v>
      </c>
      <c r="I3415" s="2"/>
      <c r="J3415" s="2" t="s">
        <v>38</v>
      </c>
    </row>
    <row r="3416" spans="1:10" ht="21" customHeight="1">
      <c r="A3416" s="2" t="s">
        <v>4412</v>
      </c>
      <c r="B3416" s="2" t="s">
        <v>38</v>
      </c>
      <c r="C3416" s="4">
        <v>45787.25</v>
      </c>
      <c r="D3416" s="4">
        <v>45787.250211909719</v>
      </c>
      <c r="E3416" s="2">
        <v>2.35</v>
      </c>
      <c r="F3416" s="2">
        <v>64.7</v>
      </c>
      <c r="G3416" s="2" t="s">
        <v>983</v>
      </c>
      <c r="H3416" s="2" t="s">
        <v>984</v>
      </c>
      <c r="I3416" s="2"/>
      <c r="J3416" s="2" t="s">
        <v>38</v>
      </c>
    </row>
    <row r="3417" spans="1:10" ht="21" customHeight="1">
      <c r="A3417" s="2" t="s">
        <v>4413</v>
      </c>
      <c r="B3417" s="2" t="s">
        <v>38</v>
      </c>
      <c r="C3417" s="4">
        <v>45788.25</v>
      </c>
      <c r="D3417" s="4">
        <v>45788.250127638894</v>
      </c>
      <c r="E3417" s="2">
        <v>2.4</v>
      </c>
      <c r="F3417" s="2">
        <v>63.5</v>
      </c>
      <c r="G3417" s="2" t="s">
        <v>983</v>
      </c>
      <c r="H3417" s="2" t="s">
        <v>984</v>
      </c>
      <c r="I3417" s="2"/>
      <c r="J3417" s="2" t="s">
        <v>38</v>
      </c>
    </row>
    <row r="3418" spans="1:10" ht="21" customHeight="1">
      <c r="A3418" s="2" t="s">
        <v>4414</v>
      </c>
      <c r="B3418" s="2" t="s">
        <v>38</v>
      </c>
      <c r="C3418" s="4">
        <v>45789.25</v>
      </c>
      <c r="D3418" s="4">
        <v>45789.250601180553</v>
      </c>
      <c r="E3418" s="2">
        <v>2.2799999999999998</v>
      </c>
      <c r="F3418" s="2">
        <v>64.3</v>
      </c>
      <c r="G3418" s="2" t="s">
        <v>983</v>
      </c>
      <c r="H3418" s="2" t="s">
        <v>984</v>
      </c>
      <c r="I3418" s="2"/>
      <c r="J3418" s="2" t="s">
        <v>38</v>
      </c>
    </row>
    <row r="3419" spans="1:10" ht="21" customHeight="1">
      <c r="A3419" s="2" t="s">
        <v>4415</v>
      </c>
      <c r="B3419" s="2" t="s">
        <v>38</v>
      </c>
      <c r="C3419" s="4">
        <v>45790.25</v>
      </c>
      <c r="D3419" s="4">
        <v>45791.5</v>
      </c>
      <c r="E3419" s="2">
        <v>2.89</v>
      </c>
      <c r="F3419" s="2">
        <v>59.3</v>
      </c>
      <c r="G3419" s="2" t="s">
        <v>983</v>
      </c>
      <c r="H3419" s="2" t="s">
        <v>984</v>
      </c>
      <c r="I3419" s="2"/>
      <c r="J3419" s="2" t="s">
        <v>38</v>
      </c>
    </row>
    <row r="3420" spans="1:10" ht="21" customHeight="1">
      <c r="A3420" s="2" t="s">
        <v>4416</v>
      </c>
      <c r="B3420" s="2" t="s">
        <v>38</v>
      </c>
      <c r="C3420" s="4">
        <v>45791.25</v>
      </c>
      <c r="D3420" s="4">
        <v>45791.250300706015</v>
      </c>
      <c r="E3420" s="2">
        <v>2.17</v>
      </c>
      <c r="F3420" s="2">
        <v>61.5</v>
      </c>
      <c r="G3420" s="2" t="s">
        <v>983</v>
      </c>
      <c r="H3420" s="2" t="s">
        <v>984</v>
      </c>
      <c r="I3420" s="2"/>
      <c r="J3420" s="2" t="s">
        <v>38</v>
      </c>
    </row>
    <row r="3421" spans="1:10" ht="21" customHeight="1">
      <c r="A3421" s="2" t="s">
        <v>4417</v>
      </c>
      <c r="B3421" s="2" t="s">
        <v>38</v>
      </c>
      <c r="C3421" s="4">
        <v>45792.25</v>
      </c>
      <c r="D3421" s="4">
        <v>45792.250085717591</v>
      </c>
      <c r="E3421" s="2">
        <v>2.12</v>
      </c>
      <c r="F3421" s="2">
        <v>64.7</v>
      </c>
      <c r="G3421" s="2" t="s">
        <v>983</v>
      </c>
      <c r="H3421" s="2" t="s">
        <v>984</v>
      </c>
      <c r="I3421" s="2"/>
      <c r="J3421" s="2" t="s">
        <v>38</v>
      </c>
    </row>
    <row r="3422" spans="1:10" ht="21" customHeight="1">
      <c r="A3422" s="2" t="s">
        <v>4418</v>
      </c>
      <c r="B3422" s="2" t="s">
        <v>38</v>
      </c>
      <c r="C3422" s="4">
        <v>45793.25</v>
      </c>
      <c r="D3422" s="4">
        <v>45793.250178726856</v>
      </c>
      <c r="E3422" s="2">
        <v>2.4500000000000002</v>
      </c>
      <c r="F3422" s="2">
        <v>58.9</v>
      </c>
      <c r="G3422" s="2" t="s">
        <v>983</v>
      </c>
      <c r="H3422" s="2" t="s">
        <v>984</v>
      </c>
      <c r="I3422" s="2"/>
      <c r="J3422" s="2" t="s">
        <v>38</v>
      </c>
    </row>
    <row r="3423" spans="1:10" ht="21" customHeight="1">
      <c r="A3423" s="2" t="s">
        <v>4419</v>
      </c>
      <c r="B3423" s="2" t="s">
        <v>38</v>
      </c>
      <c r="C3423" s="4">
        <v>45794.25</v>
      </c>
      <c r="D3423" s="4">
        <v>45794.250619918981</v>
      </c>
      <c r="E3423" s="2">
        <v>3.17</v>
      </c>
      <c r="F3423" s="2">
        <v>60.6</v>
      </c>
      <c r="G3423" s="2" t="s">
        <v>983</v>
      </c>
      <c r="H3423" s="2" t="s">
        <v>984</v>
      </c>
      <c r="I3423" s="2" t="s">
        <v>985</v>
      </c>
      <c r="J3423" s="2" t="s">
        <v>38</v>
      </c>
    </row>
    <row r="3424" spans="1:10" ht="21" customHeight="1">
      <c r="A3424" s="2" t="s">
        <v>4420</v>
      </c>
      <c r="B3424" s="2" t="s">
        <v>38</v>
      </c>
      <c r="C3424" s="4">
        <v>45795.25</v>
      </c>
      <c r="D3424" s="4">
        <v>45795.250056180557</v>
      </c>
      <c r="E3424" s="2">
        <v>3.08</v>
      </c>
      <c r="F3424" s="2">
        <v>62.5</v>
      </c>
      <c r="G3424" s="2" t="s">
        <v>983</v>
      </c>
      <c r="H3424" s="2" t="s">
        <v>984</v>
      </c>
      <c r="I3424" s="2"/>
      <c r="J3424" s="2" t="s">
        <v>38</v>
      </c>
    </row>
    <row r="3425" spans="1:10" ht="21" customHeight="1">
      <c r="A3425" s="2" t="s">
        <v>4421</v>
      </c>
      <c r="B3425" s="2" t="s">
        <v>38</v>
      </c>
      <c r="C3425" s="4">
        <v>45796.25</v>
      </c>
      <c r="D3425" s="4">
        <v>45796.250357858793</v>
      </c>
      <c r="E3425" s="2"/>
      <c r="F3425" s="2"/>
      <c r="G3425" s="2" t="s">
        <v>983</v>
      </c>
      <c r="H3425" s="2" t="s">
        <v>1066</v>
      </c>
      <c r="I3425" s="2" t="s">
        <v>1053</v>
      </c>
      <c r="J3425" s="2" t="s">
        <v>38</v>
      </c>
    </row>
    <row r="3426" spans="1:10" ht="21" customHeight="1">
      <c r="A3426" s="2" t="s">
        <v>4422</v>
      </c>
      <c r="B3426" s="2" t="s">
        <v>38</v>
      </c>
      <c r="C3426" s="4">
        <v>45797.25</v>
      </c>
      <c r="D3426" s="4">
        <v>45797.250166504629</v>
      </c>
      <c r="E3426" s="2">
        <v>4.63</v>
      </c>
      <c r="F3426" s="2">
        <v>68.7</v>
      </c>
      <c r="G3426" s="2" t="s">
        <v>983</v>
      </c>
      <c r="H3426" s="2" t="s">
        <v>984</v>
      </c>
      <c r="I3426" s="2"/>
      <c r="J3426" s="2" t="s">
        <v>38</v>
      </c>
    </row>
    <row r="3427" spans="1:10" ht="21" customHeight="1">
      <c r="A3427" s="2" t="s">
        <v>4423</v>
      </c>
      <c r="B3427" s="2" t="s">
        <v>38</v>
      </c>
      <c r="C3427" s="4">
        <v>45798.25</v>
      </c>
      <c r="D3427" s="4">
        <v>45798.250011145836</v>
      </c>
      <c r="E3427" s="2"/>
      <c r="F3427" s="2"/>
      <c r="G3427" s="2" t="s">
        <v>983</v>
      </c>
      <c r="H3427" s="2" t="s">
        <v>1066</v>
      </c>
      <c r="I3427" s="2" t="s">
        <v>1053</v>
      </c>
      <c r="J3427" s="2" t="s">
        <v>38</v>
      </c>
    </row>
    <row r="3428" spans="1:10" ht="21" customHeight="1">
      <c r="A3428" s="2" t="s">
        <v>4424</v>
      </c>
      <c r="B3428" s="2" t="s">
        <v>38</v>
      </c>
      <c r="C3428" s="4">
        <v>45799.25</v>
      </c>
      <c r="D3428" s="4">
        <v>45799.25039400463</v>
      </c>
      <c r="E3428" s="2">
        <v>2.15</v>
      </c>
      <c r="F3428" s="2">
        <v>60.3</v>
      </c>
      <c r="G3428" s="2" t="s">
        <v>983</v>
      </c>
      <c r="H3428" s="2" t="s">
        <v>984</v>
      </c>
      <c r="I3428" s="2"/>
      <c r="J3428" s="2" t="s">
        <v>38</v>
      </c>
    </row>
    <row r="3429" spans="1:10" ht="21" customHeight="1">
      <c r="A3429" s="2" t="s">
        <v>4425</v>
      </c>
      <c r="B3429" s="2" t="s">
        <v>38</v>
      </c>
      <c r="C3429" s="4">
        <v>45800.25</v>
      </c>
      <c r="D3429" s="4">
        <v>45800.250196215275</v>
      </c>
      <c r="E3429" s="2"/>
      <c r="F3429" s="2"/>
      <c r="G3429" s="2" t="s">
        <v>983</v>
      </c>
      <c r="H3429" s="2" t="s">
        <v>1066</v>
      </c>
      <c r="I3429" s="2"/>
      <c r="J3429" s="2" t="s">
        <v>38</v>
      </c>
    </row>
    <row r="3430" spans="1:10" ht="21" customHeight="1">
      <c r="A3430" s="2" t="s">
        <v>4426</v>
      </c>
      <c r="B3430" s="2" t="s">
        <v>38</v>
      </c>
      <c r="C3430" s="4">
        <v>45801.25</v>
      </c>
      <c r="D3430" s="4">
        <v>45802.5</v>
      </c>
      <c r="E3430" s="2">
        <v>2.2000000000000002</v>
      </c>
      <c r="F3430" s="2">
        <v>62</v>
      </c>
      <c r="G3430" s="2" t="s">
        <v>983</v>
      </c>
      <c r="H3430" s="2" t="s">
        <v>984</v>
      </c>
      <c r="I3430" s="2"/>
      <c r="J3430" s="2" t="s">
        <v>38</v>
      </c>
    </row>
    <row r="3431" spans="1:10" ht="21" customHeight="1">
      <c r="A3431" s="2" t="s">
        <v>4427</v>
      </c>
      <c r="B3431" s="2" t="s">
        <v>38</v>
      </c>
      <c r="C3431" s="4">
        <v>45802.25</v>
      </c>
      <c r="D3431" s="4">
        <v>45802.250422280093</v>
      </c>
      <c r="E3431" s="2">
        <v>2.34</v>
      </c>
      <c r="F3431" s="2">
        <v>58.8</v>
      </c>
      <c r="G3431" s="2" t="s">
        <v>983</v>
      </c>
      <c r="H3431" s="2" t="s">
        <v>984</v>
      </c>
      <c r="I3431" s="2"/>
      <c r="J3431" s="2" t="s">
        <v>38</v>
      </c>
    </row>
    <row r="3432" spans="1:10" ht="21" customHeight="1">
      <c r="A3432" s="2" t="s">
        <v>4428</v>
      </c>
      <c r="B3432" s="2" t="s">
        <v>38</v>
      </c>
      <c r="C3432" s="4">
        <v>45803.25</v>
      </c>
      <c r="D3432" s="4">
        <v>45803.250169340274</v>
      </c>
      <c r="E3432" s="2"/>
      <c r="F3432" s="2"/>
      <c r="G3432" s="2" t="s">
        <v>983</v>
      </c>
      <c r="H3432" s="2" t="s">
        <v>1066</v>
      </c>
      <c r="I3432" s="2"/>
      <c r="J3432" s="2" t="s">
        <v>38</v>
      </c>
    </row>
    <row r="3433" spans="1:10" ht="21" customHeight="1">
      <c r="A3433" s="2" t="s">
        <v>4429</v>
      </c>
      <c r="B3433" s="2" t="s">
        <v>38</v>
      </c>
      <c r="C3433" s="4">
        <v>45804.25</v>
      </c>
      <c r="D3433" s="4">
        <v>45804.250017199069</v>
      </c>
      <c r="E3433" s="2">
        <v>2.77</v>
      </c>
      <c r="F3433" s="2">
        <v>65.599999999999994</v>
      </c>
      <c r="G3433" s="2" t="s">
        <v>983</v>
      </c>
      <c r="H3433" s="2" t="s">
        <v>984</v>
      </c>
      <c r="I3433" s="2"/>
      <c r="J3433" s="2" t="s">
        <v>38</v>
      </c>
    </row>
    <row r="3434" spans="1:10" ht="21" customHeight="1">
      <c r="A3434" s="2" t="s">
        <v>4430</v>
      </c>
      <c r="B3434" s="2" t="s">
        <v>38</v>
      </c>
      <c r="C3434" s="4">
        <v>45805.25</v>
      </c>
      <c r="D3434" s="4">
        <v>45805.250580416665</v>
      </c>
      <c r="E3434" s="2">
        <v>2.75</v>
      </c>
      <c r="F3434" s="2">
        <v>62.9</v>
      </c>
      <c r="G3434" s="2" t="s">
        <v>983</v>
      </c>
      <c r="H3434" s="2" t="s">
        <v>984</v>
      </c>
      <c r="I3434" s="2"/>
      <c r="J3434" s="2" t="s">
        <v>38</v>
      </c>
    </row>
    <row r="3435" spans="1:10" ht="21" customHeight="1">
      <c r="A3435" s="2" t="s">
        <v>4431</v>
      </c>
      <c r="B3435" s="2" t="s">
        <v>38</v>
      </c>
      <c r="C3435" s="4">
        <v>45806.25</v>
      </c>
      <c r="D3435" s="4">
        <v>45806.250306724542</v>
      </c>
      <c r="E3435" s="2">
        <v>2.91</v>
      </c>
      <c r="F3435" s="2">
        <v>65</v>
      </c>
      <c r="G3435" s="2" t="s">
        <v>983</v>
      </c>
      <c r="H3435" s="2" t="s">
        <v>984</v>
      </c>
      <c r="I3435" s="2"/>
      <c r="J3435" s="2" t="s">
        <v>38</v>
      </c>
    </row>
    <row r="3436" spans="1:10" ht="21" customHeight="1">
      <c r="A3436" s="2" t="s">
        <v>4432</v>
      </c>
      <c r="B3436" s="2" t="s">
        <v>38</v>
      </c>
      <c r="C3436" s="4">
        <v>45807.25</v>
      </c>
      <c r="D3436" s="4">
        <v>45807.250102604172</v>
      </c>
      <c r="E3436" s="2">
        <v>3.08</v>
      </c>
      <c r="F3436" s="2">
        <v>60.7</v>
      </c>
      <c r="G3436" s="2" t="s">
        <v>983</v>
      </c>
      <c r="H3436" s="2" t="s">
        <v>984</v>
      </c>
      <c r="I3436" s="2"/>
      <c r="J3436" s="2" t="s">
        <v>38</v>
      </c>
    </row>
    <row r="3437" spans="1:10" ht="21" customHeight="1">
      <c r="A3437" s="2" t="s">
        <v>4433</v>
      </c>
      <c r="B3437" s="2" t="s">
        <v>38</v>
      </c>
      <c r="C3437" s="4">
        <v>45808.25</v>
      </c>
      <c r="D3437" s="4">
        <v>45808.250055196761</v>
      </c>
      <c r="E3437" s="2">
        <v>2.4</v>
      </c>
      <c r="F3437" s="2">
        <v>63.2</v>
      </c>
      <c r="G3437" s="2" t="s">
        <v>983</v>
      </c>
      <c r="H3437" s="2" t="s">
        <v>984</v>
      </c>
      <c r="I3437" s="2"/>
      <c r="J3437" s="2" t="s">
        <v>38</v>
      </c>
    </row>
    <row r="3438" spans="1:10" ht="21" customHeight="1">
      <c r="A3438" s="2" t="s">
        <v>4434</v>
      </c>
      <c r="B3438" s="2" t="s">
        <v>38</v>
      </c>
      <c r="C3438" s="4">
        <v>45809.25</v>
      </c>
      <c r="D3438" s="4">
        <v>45809.250084479165</v>
      </c>
      <c r="E3438" s="2"/>
      <c r="F3438" s="2"/>
      <c r="G3438" s="2" t="s">
        <v>983</v>
      </c>
      <c r="H3438" s="2" t="s">
        <v>1066</v>
      </c>
      <c r="I3438" s="2"/>
      <c r="J3438" s="2" t="s">
        <v>38</v>
      </c>
    </row>
    <row r="3439" spans="1:10" ht="21" customHeight="1">
      <c r="A3439" s="2" t="s">
        <v>4435</v>
      </c>
      <c r="B3439" s="2" t="s">
        <v>38</v>
      </c>
      <c r="C3439" s="4">
        <v>45810.25</v>
      </c>
      <c r="D3439" s="4">
        <v>45810.250090995367</v>
      </c>
      <c r="E3439" s="2">
        <v>2.62</v>
      </c>
      <c r="F3439" s="2">
        <v>59.4</v>
      </c>
      <c r="G3439" s="2" t="s">
        <v>983</v>
      </c>
      <c r="H3439" s="2" t="s">
        <v>984</v>
      </c>
      <c r="I3439" s="2"/>
      <c r="J3439" s="2" t="s">
        <v>38</v>
      </c>
    </row>
    <row r="3440" spans="1:10" ht="21" customHeight="1">
      <c r="A3440" s="2" t="s">
        <v>4436</v>
      </c>
      <c r="B3440" s="2" t="s">
        <v>38</v>
      </c>
      <c r="C3440" s="4">
        <v>45811.25</v>
      </c>
      <c r="D3440" s="4">
        <v>45811.250267615746</v>
      </c>
      <c r="E3440" s="2">
        <v>3.01</v>
      </c>
      <c r="F3440" s="2">
        <v>62.8</v>
      </c>
      <c r="G3440" s="2" t="s">
        <v>983</v>
      </c>
      <c r="H3440" s="2" t="s">
        <v>984</v>
      </c>
      <c r="I3440" s="2" t="s">
        <v>985</v>
      </c>
      <c r="J3440" s="2" t="s">
        <v>38</v>
      </c>
    </row>
    <row r="3441" spans="1:10" ht="21" customHeight="1">
      <c r="A3441" s="2" t="s">
        <v>4437</v>
      </c>
      <c r="B3441" s="2" t="s">
        <v>38</v>
      </c>
      <c r="C3441" s="4">
        <v>45812.25</v>
      </c>
      <c r="D3441" s="4">
        <v>45813.5</v>
      </c>
      <c r="E3441" s="2"/>
      <c r="F3441" s="2"/>
      <c r="G3441" s="2" t="s">
        <v>983</v>
      </c>
      <c r="H3441" s="2" t="s">
        <v>1066</v>
      </c>
      <c r="I3441" s="2"/>
      <c r="J3441" s="2" t="s">
        <v>38</v>
      </c>
    </row>
    <row r="3442" spans="1:10" ht="21" customHeight="1">
      <c r="A3442" s="2" t="s">
        <v>4438</v>
      </c>
      <c r="B3442" s="2" t="s">
        <v>38</v>
      </c>
      <c r="C3442" s="4">
        <v>45813.25</v>
      </c>
      <c r="D3442" s="4">
        <v>45813.250074085649</v>
      </c>
      <c r="E3442" s="2">
        <v>2.8</v>
      </c>
      <c r="F3442" s="2">
        <v>60.7</v>
      </c>
      <c r="G3442" s="2" t="s">
        <v>983</v>
      </c>
      <c r="H3442" s="2" t="s">
        <v>984</v>
      </c>
      <c r="I3442" s="2"/>
      <c r="J3442" s="2" t="s">
        <v>38</v>
      </c>
    </row>
    <row r="3443" spans="1:10" ht="21" customHeight="1">
      <c r="A3443" s="2" t="s">
        <v>4439</v>
      </c>
      <c r="B3443" s="2" t="s">
        <v>38</v>
      </c>
      <c r="C3443" s="4">
        <v>45814.25</v>
      </c>
      <c r="D3443" s="4">
        <v>45814.250627870366</v>
      </c>
      <c r="E3443" s="2">
        <v>5.99</v>
      </c>
      <c r="F3443" s="2">
        <v>75.099999999999994</v>
      </c>
      <c r="G3443" s="2" t="s">
        <v>983</v>
      </c>
      <c r="H3443" s="2" t="s">
        <v>984</v>
      </c>
      <c r="I3443" s="2" t="s">
        <v>1053</v>
      </c>
      <c r="J3443" s="2" t="s">
        <v>38</v>
      </c>
    </row>
    <row r="3444" spans="1:10" ht="21" customHeight="1">
      <c r="A3444" s="2" t="s">
        <v>4440</v>
      </c>
      <c r="B3444" s="2" t="s">
        <v>38</v>
      </c>
      <c r="C3444" s="4">
        <v>45815.25</v>
      </c>
      <c r="D3444" s="4">
        <v>45815.250230949074</v>
      </c>
      <c r="E3444" s="2">
        <v>6.14</v>
      </c>
      <c r="F3444" s="2">
        <v>64.7</v>
      </c>
      <c r="G3444" s="2" t="s">
        <v>983</v>
      </c>
      <c r="H3444" s="2" t="s">
        <v>984</v>
      </c>
      <c r="I3444" s="2"/>
      <c r="J3444" s="2" t="s">
        <v>38</v>
      </c>
    </row>
    <row r="3445" spans="1:10" ht="21" customHeight="1">
      <c r="A3445" s="2" t="s">
        <v>4441</v>
      </c>
      <c r="B3445" s="2" t="s">
        <v>38</v>
      </c>
      <c r="C3445" s="4">
        <v>45816.25</v>
      </c>
      <c r="D3445" s="4">
        <v>45816.250445578698</v>
      </c>
      <c r="E3445" s="2">
        <v>5.85</v>
      </c>
      <c r="F3445" s="2">
        <v>76.5</v>
      </c>
      <c r="G3445" s="2" t="s">
        <v>983</v>
      </c>
      <c r="H3445" s="2" t="s">
        <v>984</v>
      </c>
      <c r="I3445" s="2" t="s">
        <v>1053</v>
      </c>
      <c r="J3445" s="2" t="s">
        <v>38</v>
      </c>
    </row>
    <row r="3446" spans="1:10" ht="21" customHeight="1">
      <c r="A3446" s="2" t="s">
        <v>4442</v>
      </c>
      <c r="B3446" s="2" t="s">
        <v>4319</v>
      </c>
      <c r="C3446" s="4">
        <v>45817.25</v>
      </c>
      <c r="D3446" s="4">
        <v>45817.250020879626</v>
      </c>
      <c r="E3446" s="2"/>
      <c r="F3446" s="2"/>
      <c r="G3446" s="2" t="s">
        <v>1175</v>
      </c>
      <c r="H3446" s="2" t="s">
        <v>1066</v>
      </c>
      <c r="I3446" s="2"/>
      <c r="J3446" s="2" t="s">
        <v>38</v>
      </c>
    </row>
    <row r="3447" spans="1:10" ht="21" customHeight="1">
      <c r="A3447" s="2" t="s">
        <v>4443</v>
      </c>
      <c r="B3447" s="2" t="s">
        <v>38</v>
      </c>
      <c r="C3447" s="4">
        <v>45818.25</v>
      </c>
      <c r="D3447" s="4">
        <v>45818.250313356482</v>
      </c>
      <c r="E3447" s="2">
        <v>2.33</v>
      </c>
      <c r="F3447" s="2">
        <v>66</v>
      </c>
      <c r="G3447" s="2" t="s">
        <v>983</v>
      </c>
      <c r="H3447" s="2" t="s">
        <v>984</v>
      </c>
      <c r="I3447" s="2"/>
      <c r="J3447" s="2" t="s">
        <v>38</v>
      </c>
    </row>
    <row r="3448" spans="1:10" ht="21" customHeight="1">
      <c r="A3448" s="2" t="s">
        <v>4444</v>
      </c>
      <c r="B3448" s="2" t="s">
        <v>38</v>
      </c>
      <c r="C3448" s="4">
        <v>45819.25</v>
      </c>
      <c r="D3448" s="4">
        <v>45819.250029953706</v>
      </c>
      <c r="E3448" s="2">
        <v>2.87</v>
      </c>
      <c r="F3448" s="2">
        <v>58.4</v>
      </c>
      <c r="G3448" s="2" t="s">
        <v>983</v>
      </c>
      <c r="H3448" s="2" t="s">
        <v>984</v>
      </c>
      <c r="I3448" s="2"/>
      <c r="J3448" s="2" t="s">
        <v>38</v>
      </c>
    </row>
    <row r="3449" spans="1:10" ht="21" customHeight="1">
      <c r="A3449" s="2" t="s">
        <v>4445</v>
      </c>
      <c r="B3449" s="2" t="s">
        <v>38</v>
      </c>
      <c r="C3449" s="4">
        <v>45820.25</v>
      </c>
      <c r="D3449" s="4">
        <v>45820.250658715275</v>
      </c>
      <c r="E3449" s="2">
        <v>2.91</v>
      </c>
      <c r="F3449" s="2">
        <v>59.9</v>
      </c>
      <c r="G3449" s="2" t="s">
        <v>983</v>
      </c>
      <c r="H3449" s="2" t="s">
        <v>984</v>
      </c>
      <c r="I3449" s="2"/>
      <c r="J3449" s="2" t="s">
        <v>38</v>
      </c>
    </row>
    <row r="3450" spans="1:10" ht="21" customHeight="1">
      <c r="A3450" s="2" t="s">
        <v>4446</v>
      </c>
      <c r="B3450" s="2" t="s">
        <v>38</v>
      </c>
      <c r="C3450" s="4">
        <v>45821.25</v>
      </c>
      <c r="D3450" s="4">
        <v>45821.250158159717</v>
      </c>
      <c r="E3450" s="2">
        <v>2.23</v>
      </c>
      <c r="F3450" s="2">
        <v>61.9</v>
      </c>
      <c r="G3450" s="2" t="s">
        <v>983</v>
      </c>
      <c r="H3450" s="2" t="s">
        <v>984</v>
      </c>
      <c r="I3450" s="2"/>
      <c r="J3450" s="2" t="s">
        <v>38</v>
      </c>
    </row>
    <row r="3451" spans="1:10" ht="21" customHeight="1">
      <c r="A3451" s="2" t="s">
        <v>4447</v>
      </c>
      <c r="B3451" s="2" t="s">
        <v>38</v>
      </c>
      <c r="C3451" s="4">
        <v>45822.25</v>
      </c>
      <c r="D3451" s="4">
        <v>45822.250416122683</v>
      </c>
      <c r="E3451" s="2">
        <v>2.2200000000000002</v>
      </c>
      <c r="F3451" s="2">
        <v>60.4</v>
      </c>
      <c r="G3451" s="2" t="s">
        <v>983</v>
      </c>
      <c r="H3451" s="2" t="s">
        <v>984</v>
      </c>
      <c r="I3451" s="2"/>
      <c r="J3451" s="2" t="s">
        <v>38</v>
      </c>
    </row>
    <row r="3452" spans="1:10" ht="21" customHeight="1">
      <c r="A3452" s="2" t="s">
        <v>4448</v>
      </c>
      <c r="B3452" s="2" t="s">
        <v>38</v>
      </c>
      <c r="C3452" s="4">
        <v>45823.25</v>
      </c>
      <c r="D3452" s="4">
        <v>45824.5</v>
      </c>
      <c r="E3452" s="2">
        <v>2.81</v>
      </c>
      <c r="F3452" s="2">
        <v>60.9</v>
      </c>
      <c r="G3452" s="2" t="s">
        <v>983</v>
      </c>
      <c r="H3452" s="2" t="s">
        <v>984</v>
      </c>
      <c r="I3452" s="2"/>
      <c r="J3452" s="2" t="s">
        <v>38</v>
      </c>
    </row>
    <row r="3453" spans="1:10" ht="21" customHeight="1">
      <c r="A3453" s="2" t="s">
        <v>4449</v>
      </c>
      <c r="B3453" s="2" t="s">
        <v>38</v>
      </c>
      <c r="C3453" s="4">
        <v>45824.25</v>
      </c>
      <c r="D3453" s="4">
        <v>45824.250452685184</v>
      </c>
      <c r="E3453" s="2">
        <v>2.5499999999999998</v>
      </c>
      <c r="F3453" s="2">
        <v>58.2</v>
      </c>
      <c r="G3453" s="2" t="s">
        <v>983</v>
      </c>
      <c r="H3453" s="2" t="s">
        <v>984</v>
      </c>
      <c r="I3453" s="2"/>
      <c r="J3453" s="2" t="s">
        <v>38</v>
      </c>
    </row>
    <row r="3454" spans="1:10" ht="21" customHeight="1">
      <c r="A3454" s="2" t="s">
        <v>4450</v>
      </c>
      <c r="B3454" s="2" t="s">
        <v>38</v>
      </c>
      <c r="C3454" s="4">
        <v>45825.25</v>
      </c>
      <c r="D3454" s="4">
        <v>45825.250516678236</v>
      </c>
      <c r="E3454" s="2">
        <v>2.5499999999999998</v>
      </c>
      <c r="F3454" s="2">
        <v>65.900000000000006</v>
      </c>
      <c r="G3454" s="2" t="s">
        <v>983</v>
      </c>
      <c r="H3454" s="2" t="s">
        <v>984</v>
      </c>
      <c r="I3454" s="2"/>
      <c r="J3454" s="2" t="s">
        <v>38</v>
      </c>
    </row>
    <row r="3455" spans="1:10" ht="21" customHeight="1">
      <c r="A3455" s="2" t="s">
        <v>4451</v>
      </c>
      <c r="B3455" s="2" t="s">
        <v>38</v>
      </c>
      <c r="C3455" s="4">
        <v>45826.25</v>
      </c>
      <c r="D3455" s="4">
        <v>45826.250585405098</v>
      </c>
      <c r="E3455" s="2">
        <v>2.15</v>
      </c>
      <c r="F3455" s="2">
        <v>65.099999999999994</v>
      </c>
      <c r="G3455" s="2" t="s">
        <v>983</v>
      </c>
      <c r="H3455" s="2" t="s">
        <v>984</v>
      </c>
      <c r="I3455" s="2"/>
      <c r="J3455" s="2" t="s">
        <v>38</v>
      </c>
    </row>
    <row r="3456" spans="1:10" ht="21" customHeight="1">
      <c r="A3456" s="2" t="s">
        <v>4452</v>
      </c>
      <c r="B3456" s="2" t="s">
        <v>38</v>
      </c>
      <c r="C3456" s="4">
        <v>45827.25</v>
      </c>
      <c r="D3456" s="4">
        <v>45827.250296030092</v>
      </c>
      <c r="E3456" s="2">
        <v>2.5</v>
      </c>
      <c r="F3456" s="2">
        <v>61.2</v>
      </c>
      <c r="G3456" s="2" t="s">
        <v>983</v>
      </c>
      <c r="H3456" s="2" t="s">
        <v>984</v>
      </c>
      <c r="I3456" s="2"/>
      <c r="J3456" s="2" t="s">
        <v>38</v>
      </c>
    </row>
    <row r="3457" spans="1:10" ht="21" customHeight="1">
      <c r="A3457" s="2" t="s">
        <v>4453</v>
      </c>
      <c r="B3457" s="2" t="s">
        <v>38</v>
      </c>
      <c r="C3457" s="4">
        <v>45828.25</v>
      </c>
      <c r="D3457" s="4">
        <v>45828.250068622685</v>
      </c>
      <c r="E3457" s="2">
        <v>0</v>
      </c>
      <c r="F3457" s="2">
        <v>59.2</v>
      </c>
      <c r="G3457" s="2" t="s">
        <v>1175</v>
      </c>
      <c r="H3457" s="2" t="s">
        <v>984</v>
      </c>
      <c r="I3457" s="2" t="s">
        <v>985</v>
      </c>
      <c r="J3457" s="2" t="s">
        <v>38</v>
      </c>
    </row>
    <row r="3458" spans="1:10" ht="21" customHeight="1">
      <c r="A3458" s="2" t="s">
        <v>4454</v>
      </c>
      <c r="B3458" s="2" t="s">
        <v>38</v>
      </c>
      <c r="C3458" s="4">
        <v>45829.25</v>
      </c>
      <c r="D3458" s="4">
        <v>45829.250090937501</v>
      </c>
      <c r="E3458" s="2">
        <v>2.37</v>
      </c>
      <c r="F3458" s="2">
        <v>61.7</v>
      </c>
      <c r="G3458" s="2" t="s">
        <v>983</v>
      </c>
      <c r="H3458" s="2" t="s">
        <v>984</v>
      </c>
      <c r="I3458" s="2"/>
      <c r="J3458" s="2" t="s">
        <v>38</v>
      </c>
    </row>
    <row r="3459" spans="1:10" ht="21" customHeight="1">
      <c r="A3459" s="2" t="s">
        <v>4455</v>
      </c>
      <c r="B3459" s="2" t="s">
        <v>38</v>
      </c>
      <c r="C3459" s="4">
        <v>45830.25</v>
      </c>
      <c r="D3459" s="4">
        <v>45830.250004756948</v>
      </c>
      <c r="E3459" s="2"/>
      <c r="F3459" s="2"/>
      <c r="G3459" s="2" t="s">
        <v>983</v>
      </c>
      <c r="H3459" s="2" t="s">
        <v>1066</v>
      </c>
      <c r="I3459" s="2"/>
      <c r="J3459" s="2" t="s">
        <v>38</v>
      </c>
    </row>
    <row r="3460" spans="1:10" ht="21" customHeight="1">
      <c r="A3460" s="2" t="s">
        <v>4456</v>
      </c>
      <c r="B3460" s="2" t="s">
        <v>38</v>
      </c>
      <c r="C3460" s="4">
        <v>45831.25</v>
      </c>
      <c r="D3460" s="4">
        <v>45831.250210613427</v>
      </c>
      <c r="E3460" s="2">
        <v>3.02</v>
      </c>
      <c r="F3460" s="2">
        <v>64.900000000000006</v>
      </c>
      <c r="G3460" s="2" t="s">
        <v>983</v>
      </c>
      <c r="H3460" s="2" t="s">
        <v>984</v>
      </c>
      <c r="I3460" s="2"/>
      <c r="J3460" s="2" t="s">
        <v>38</v>
      </c>
    </row>
    <row r="3461" spans="1:10" ht="21" customHeight="1">
      <c r="A3461" s="2" t="s">
        <v>4457</v>
      </c>
      <c r="B3461" s="2" t="s">
        <v>38</v>
      </c>
      <c r="C3461" s="4">
        <v>45832.25</v>
      </c>
      <c r="D3461" s="4">
        <v>45832.250274120372</v>
      </c>
      <c r="E3461" s="2">
        <v>3.01</v>
      </c>
      <c r="F3461" s="2">
        <v>64.8</v>
      </c>
      <c r="G3461" s="2" t="s">
        <v>983</v>
      </c>
      <c r="H3461" s="2" t="s">
        <v>984</v>
      </c>
      <c r="I3461" s="2"/>
      <c r="J3461" s="2" t="s">
        <v>38</v>
      </c>
    </row>
    <row r="3462" spans="1:10" ht="21" customHeight="1">
      <c r="A3462" s="2" t="s">
        <v>4458</v>
      </c>
      <c r="B3462" s="2" t="s">
        <v>38</v>
      </c>
      <c r="C3462" s="4">
        <v>45833.25</v>
      </c>
      <c r="D3462" s="4">
        <v>45833.250464236116</v>
      </c>
      <c r="E3462" s="2">
        <v>2.33</v>
      </c>
      <c r="F3462" s="2">
        <v>61.9</v>
      </c>
      <c r="G3462" s="2" t="s">
        <v>983</v>
      </c>
      <c r="H3462" s="2" t="s">
        <v>984</v>
      </c>
      <c r="I3462" s="2"/>
      <c r="J3462" s="2" t="s">
        <v>38</v>
      </c>
    </row>
    <row r="3463" spans="1:10" ht="21" customHeight="1">
      <c r="A3463" s="2" t="s">
        <v>4459</v>
      </c>
      <c r="B3463" s="2" t="s">
        <v>38</v>
      </c>
      <c r="C3463" s="4">
        <v>45834.25</v>
      </c>
      <c r="D3463" s="4">
        <v>45835.5</v>
      </c>
      <c r="E3463" s="2">
        <v>3.24</v>
      </c>
      <c r="F3463" s="2">
        <v>59.3</v>
      </c>
      <c r="G3463" s="2" t="s">
        <v>983</v>
      </c>
      <c r="H3463" s="2" t="s">
        <v>984</v>
      </c>
      <c r="I3463" s="2"/>
      <c r="J3463" s="2" t="s">
        <v>38</v>
      </c>
    </row>
    <row r="3464" spans="1:10" ht="21" customHeight="1">
      <c r="A3464" s="2" t="s">
        <v>4460</v>
      </c>
      <c r="B3464" s="2" t="s">
        <v>38</v>
      </c>
      <c r="C3464" s="4">
        <v>45835.25</v>
      </c>
      <c r="D3464" s="4">
        <v>45835.250175960653</v>
      </c>
      <c r="E3464" s="2">
        <v>3.29</v>
      </c>
      <c r="F3464" s="2">
        <v>61.4</v>
      </c>
      <c r="G3464" s="2" t="s">
        <v>983</v>
      </c>
      <c r="H3464" s="2" t="s">
        <v>984</v>
      </c>
      <c r="I3464" s="2"/>
      <c r="J3464" s="2" t="s">
        <v>38</v>
      </c>
    </row>
    <row r="3465" spans="1:10" ht="21" customHeight="1">
      <c r="A3465" s="2" t="s">
        <v>4461</v>
      </c>
      <c r="B3465" s="2" t="s">
        <v>38</v>
      </c>
      <c r="C3465" s="4">
        <v>45836.25</v>
      </c>
      <c r="D3465" s="4">
        <v>45836.250436759263</v>
      </c>
      <c r="E3465" s="2">
        <v>2.4700000000000002</v>
      </c>
      <c r="F3465" s="2">
        <v>58.2</v>
      </c>
      <c r="G3465" s="2" t="s">
        <v>983</v>
      </c>
      <c r="H3465" s="2" t="s">
        <v>984</v>
      </c>
      <c r="I3465" s="2"/>
      <c r="J3465" s="2" t="s">
        <v>38</v>
      </c>
    </row>
    <row r="3466" spans="1:10" ht="21" customHeight="1">
      <c r="A3466" s="2" t="s">
        <v>4462</v>
      </c>
      <c r="B3466" s="2" t="s">
        <v>38</v>
      </c>
      <c r="C3466" s="4">
        <v>45837.25</v>
      </c>
      <c r="D3466" s="4">
        <v>45837.250337083329</v>
      </c>
      <c r="E3466" s="2">
        <v>3.23</v>
      </c>
      <c r="F3466" s="2">
        <v>65.5</v>
      </c>
      <c r="G3466" s="2" t="s">
        <v>983</v>
      </c>
      <c r="H3466" s="2" t="s">
        <v>984</v>
      </c>
      <c r="I3466" s="2"/>
      <c r="J3466" s="2" t="s">
        <v>38</v>
      </c>
    </row>
    <row r="3467" spans="1:10" ht="21" customHeight="1">
      <c r="A3467" s="2" t="s">
        <v>4463</v>
      </c>
      <c r="B3467" s="2" t="s">
        <v>38</v>
      </c>
      <c r="C3467" s="4">
        <v>45838.25</v>
      </c>
      <c r="D3467" s="4">
        <v>45838.250464814817</v>
      </c>
      <c r="E3467" s="2">
        <v>2.14</v>
      </c>
      <c r="F3467" s="2">
        <v>61.1</v>
      </c>
      <c r="G3467" s="2" t="s">
        <v>983</v>
      </c>
      <c r="H3467" s="2" t="s">
        <v>984</v>
      </c>
      <c r="I3467" s="2"/>
      <c r="J3467" s="2" t="s">
        <v>38</v>
      </c>
    </row>
    <row r="3468" spans="1:10" ht="21" customHeight="1">
      <c r="A3468" s="2" t="s">
        <v>4464</v>
      </c>
      <c r="B3468" s="2" t="s">
        <v>38</v>
      </c>
      <c r="C3468" s="4">
        <v>45839.25</v>
      </c>
      <c r="D3468" s="4">
        <v>45839.250216377317</v>
      </c>
      <c r="E3468" s="2">
        <v>2.23</v>
      </c>
      <c r="F3468" s="2">
        <v>58.5</v>
      </c>
      <c r="G3468" s="2" t="s">
        <v>983</v>
      </c>
      <c r="H3468" s="2" t="s">
        <v>984</v>
      </c>
      <c r="I3468" s="2"/>
      <c r="J3468" s="2" t="s">
        <v>38</v>
      </c>
    </row>
    <row r="3469" spans="1:10" ht="21" customHeight="1">
      <c r="A3469" s="2" t="s">
        <v>4465</v>
      </c>
      <c r="B3469" s="2" t="s">
        <v>38</v>
      </c>
      <c r="C3469" s="4">
        <v>45840.25</v>
      </c>
      <c r="D3469" s="4">
        <v>45840.250615092591</v>
      </c>
      <c r="E3469" s="2">
        <v>3.13</v>
      </c>
      <c r="F3469" s="2">
        <v>62.1</v>
      </c>
      <c r="G3469" s="2" t="s">
        <v>983</v>
      </c>
      <c r="H3469" s="2" t="s">
        <v>984</v>
      </c>
      <c r="I3469" s="2"/>
      <c r="J3469" s="2" t="s">
        <v>38</v>
      </c>
    </row>
    <row r="3470" spans="1:10" ht="21" customHeight="1">
      <c r="A3470" s="2" t="s">
        <v>4466</v>
      </c>
      <c r="B3470" s="2" t="s">
        <v>38</v>
      </c>
      <c r="C3470" s="4">
        <v>45841.25</v>
      </c>
      <c r="D3470" s="4">
        <v>45841.250501585644</v>
      </c>
      <c r="E3470" s="2">
        <v>2.74</v>
      </c>
      <c r="F3470" s="2">
        <v>58.8</v>
      </c>
      <c r="G3470" s="2" t="s">
        <v>983</v>
      </c>
      <c r="H3470" s="2" t="s">
        <v>984</v>
      </c>
      <c r="I3470" s="2"/>
      <c r="J3470" s="2" t="s">
        <v>38</v>
      </c>
    </row>
    <row r="3471" spans="1:10" ht="21" customHeight="1">
      <c r="A3471" s="2" t="s">
        <v>4467</v>
      </c>
      <c r="B3471" s="2" t="s">
        <v>38</v>
      </c>
      <c r="C3471" s="4">
        <v>45842.25</v>
      </c>
      <c r="D3471" s="4">
        <v>45842.250253113423</v>
      </c>
      <c r="E3471" s="2">
        <v>5.2</v>
      </c>
      <c r="F3471" s="2">
        <v>67.5</v>
      </c>
      <c r="G3471" s="2" t="s">
        <v>983</v>
      </c>
      <c r="H3471" s="2" t="s">
        <v>984</v>
      </c>
      <c r="I3471" s="2" t="s">
        <v>1053</v>
      </c>
      <c r="J3471" s="2" t="s">
        <v>38</v>
      </c>
    </row>
    <row r="3472" spans="1:10" ht="21" customHeight="1">
      <c r="A3472" s="2" t="s">
        <v>4468</v>
      </c>
      <c r="B3472" s="2" t="s">
        <v>38</v>
      </c>
      <c r="C3472" s="4">
        <v>45843.25</v>
      </c>
      <c r="D3472" s="4">
        <v>45843.250272546298</v>
      </c>
      <c r="E3472" s="2">
        <v>4.67</v>
      </c>
      <c r="F3472" s="2">
        <v>74.3</v>
      </c>
      <c r="G3472" s="2" t="s">
        <v>983</v>
      </c>
      <c r="H3472" s="2" t="s">
        <v>984</v>
      </c>
      <c r="I3472" s="2"/>
      <c r="J3472" s="2" t="s">
        <v>38</v>
      </c>
    </row>
    <row r="3473" spans="1:10" ht="21" customHeight="1">
      <c r="A3473" s="2" t="s">
        <v>4469</v>
      </c>
      <c r="B3473" s="2" t="s">
        <v>38</v>
      </c>
      <c r="C3473" s="4">
        <v>45844.25</v>
      </c>
      <c r="D3473" s="4">
        <v>45844.250470474537</v>
      </c>
      <c r="E3473" s="2">
        <v>5.3</v>
      </c>
      <c r="F3473" s="2">
        <v>64.099999999999994</v>
      </c>
      <c r="G3473" s="2" t="s">
        <v>983</v>
      </c>
      <c r="H3473" s="2" t="s">
        <v>984</v>
      </c>
      <c r="I3473" s="2" t="s">
        <v>1053</v>
      </c>
      <c r="J3473" s="2" t="s">
        <v>38</v>
      </c>
    </row>
    <row r="3474" spans="1:10" ht="21" customHeight="1">
      <c r="A3474" s="2" t="s">
        <v>4470</v>
      </c>
      <c r="B3474" s="2" t="s">
        <v>38</v>
      </c>
      <c r="C3474" s="4">
        <v>45845.25</v>
      </c>
      <c r="D3474" s="4">
        <v>45846.5</v>
      </c>
      <c r="E3474" s="2">
        <v>0</v>
      </c>
      <c r="F3474" s="2">
        <v>61.3</v>
      </c>
      <c r="G3474" s="2" t="s">
        <v>1175</v>
      </c>
      <c r="H3474" s="2" t="s">
        <v>984</v>
      </c>
      <c r="I3474" s="2" t="s">
        <v>985</v>
      </c>
      <c r="J3474" s="2" t="s">
        <v>38</v>
      </c>
    </row>
    <row r="3475" spans="1:10" ht="21" customHeight="1">
      <c r="A3475" s="2" t="s">
        <v>4471</v>
      </c>
      <c r="B3475" s="2" t="s">
        <v>38</v>
      </c>
      <c r="C3475" s="4">
        <v>45846.25</v>
      </c>
      <c r="D3475" s="4">
        <v>45846.250659953701</v>
      </c>
      <c r="E3475" s="2">
        <v>3.18</v>
      </c>
      <c r="F3475" s="2">
        <v>65.3</v>
      </c>
      <c r="G3475" s="2" t="s">
        <v>983</v>
      </c>
      <c r="H3475" s="2" t="s">
        <v>984</v>
      </c>
      <c r="I3475" s="2"/>
      <c r="J3475" s="2" t="s">
        <v>38</v>
      </c>
    </row>
    <row r="3476" spans="1:10" ht="21" customHeight="1">
      <c r="A3476" s="2" t="s">
        <v>4472</v>
      </c>
      <c r="B3476" s="2" t="s">
        <v>38</v>
      </c>
      <c r="C3476" s="4">
        <v>45847.25</v>
      </c>
      <c r="D3476" s="4">
        <v>45847.250259363427</v>
      </c>
      <c r="E3476" s="2">
        <v>3.05</v>
      </c>
      <c r="F3476" s="2">
        <v>63.6</v>
      </c>
      <c r="G3476" s="2" t="s">
        <v>983</v>
      </c>
      <c r="H3476" s="2" t="s">
        <v>984</v>
      </c>
      <c r="I3476" s="2"/>
      <c r="J3476" s="2" t="s">
        <v>38</v>
      </c>
    </row>
    <row r="3477" spans="1:10" ht="21" customHeight="1">
      <c r="A3477" s="2" t="s">
        <v>4473</v>
      </c>
      <c r="B3477" s="2" t="s">
        <v>38</v>
      </c>
      <c r="C3477" s="4">
        <v>45848.25</v>
      </c>
      <c r="D3477" s="4">
        <v>45848.250140289354</v>
      </c>
      <c r="E3477" s="2"/>
      <c r="F3477" s="2"/>
      <c r="G3477" s="2" t="s">
        <v>983</v>
      </c>
      <c r="H3477" s="2" t="s">
        <v>1066</v>
      </c>
      <c r="I3477" s="2"/>
      <c r="J3477" s="2" t="s">
        <v>38</v>
      </c>
    </row>
    <row r="3478" spans="1:10" ht="21" customHeight="1">
      <c r="A3478" s="2" t="s">
        <v>4474</v>
      </c>
      <c r="B3478" s="2" t="s">
        <v>38</v>
      </c>
      <c r="C3478" s="4">
        <v>45849.25</v>
      </c>
      <c r="D3478" s="4">
        <v>45849.250429131949</v>
      </c>
      <c r="E3478" s="2">
        <v>3.1</v>
      </c>
      <c r="F3478" s="2">
        <v>61.1</v>
      </c>
      <c r="G3478" s="2" t="s">
        <v>983</v>
      </c>
      <c r="H3478" s="2" t="s">
        <v>984</v>
      </c>
      <c r="I3478" s="2"/>
      <c r="J3478" s="2" t="s">
        <v>38</v>
      </c>
    </row>
    <row r="3479" spans="1:10" ht="21" customHeight="1">
      <c r="A3479" s="2" t="s">
        <v>4475</v>
      </c>
      <c r="B3479" s="2" t="s">
        <v>38</v>
      </c>
      <c r="C3479" s="4">
        <v>45850.25</v>
      </c>
      <c r="D3479" s="4">
        <v>45850.250541041663</v>
      </c>
      <c r="E3479" s="2">
        <v>2.4900000000000002</v>
      </c>
      <c r="F3479" s="2">
        <v>59.2</v>
      </c>
      <c r="G3479" s="2" t="s">
        <v>983</v>
      </c>
      <c r="H3479" s="2" t="s">
        <v>984</v>
      </c>
      <c r="I3479" s="2"/>
      <c r="J3479" s="2" t="s">
        <v>38</v>
      </c>
    </row>
    <row r="3480" spans="1:10" ht="21" customHeight="1">
      <c r="A3480" s="2" t="s">
        <v>4476</v>
      </c>
      <c r="B3480" s="2" t="s">
        <v>38</v>
      </c>
      <c r="C3480" s="4">
        <v>45851.25</v>
      </c>
      <c r="D3480" s="4">
        <v>45851.250530185185</v>
      </c>
      <c r="E3480" s="2">
        <v>3.05</v>
      </c>
      <c r="F3480" s="2">
        <v>65.7</v>
      </c>
      <c r="G3480" s="2" t="s">
        <v>983</v>
      </c>
      <c r="H3480" s="2" t="s">
        <v>984</v>
      </c>
      <c r="I3480" s="2"/>
      <c r="J3480" s="2" t="s">
        <v>38</v>
      </c>
    </row>
    <row r="3481" spans="1:10" ht="21" customHeight="1">
      <c r="A3481" s="2" t="s">
        <v>4477</v>
      </c>
      <c r="B3481" s="2" t="s">
        <v>38</v>
      </c>
      <c r="C3481" s="4">
        <v>45852.25</v>
      </c>
      <c r="D3481" s="4">
        <v>45852.250158275463</v>
      </c>
      <c r="E3481" s="2">
        <v>2.84</v>
      </c>
      <c r="F3481" s="2">
        <v>62.7</v>
      </c>
      <c r="G3481" s="2" t="s">
        <v>983</v>
      </c>
      <c r="H3481" s="2" t="s">
        <v>984</v>
      </c>
      <c r="I3481" s="2"/>
      <c r="J3481" s="2" t="s">
        <v>38</v>
      </c>
    </row>
    <row r="3482" spans="1:10" ht="21" customHeight="1">
      <c r="A3482" s="2" t="s">
        <v>4478</v>
      </c>
      <c r="B3482" s="2" t="s">
        <v>38</v>
      </c>
      <c r="C3482" s="4">
        <v>45853.25</v>
      </c>
      <c r="D3482" s="4">
        <v>45853.250610636576</v>
      </c>
      <c r="E3482" s="2">
        <v>2.63</v>
      </c>
      <c r="F3482" s="2">
        <v>65.599999999999994</v>
      </c>
      <c r="G3482" s="2" t="s">
        <v>983</v>
      </c>
      <c r="H3482" s="2" t="s">
        <v>984</v>
      </c>
      <c r="I3482" s="2"/>
      <c r="J3482" s="2" t="s">
        <v>38</v>
      </c>
    </row>
    <row r="3483" spans="1:10" ht="21" customHeight="1">
      <c r="A3483" s="2" t="s">
        <v>4479</v>
      </c>
      <c r="B3483" s="2" t="s">
        <v>38</v>
      </c>
      <c r="C3483" s="4">
        <v>45854.25</v>
      </c>
      <c r="D3483" s="4">
        <v>45854.250287407413</v>
      </c>
      <c r="E3483" s="2"/>
      <c r="F3483" s="2"/>
      <c r="G3483" s="2" t="s">
        <v>983</v>
      </c>
      <c r="H3483" s="2" t="s">
        <v>1066</v>
      </c>
      <c r="I3483" s="2"/>
      <c r="J3483" s="2" t="s">
        <v>38</v>
      </c>
    </row>
    <row r="3484" spans="1:10" ht="21" customHeight="1">
      <c r="A3484" s="2" t="s">
        <v>4480</v>
      </c>
      <c r="B3484" s="2" t="s">
        <v>38</v>
      </c>
      <c r="C3484" s="4">
        <v>45855.25</v>
      </c>
      <c r="D3484" s="4">
        <v>45855.250421099539</v>
      </c>
      <c r="E3484" s="2">
        <v>3.2</v>
      </c>
      <c r="F3484" s="2">
        <v>60.8</v>
      </c>
      <c r="G3484" s="2" t="s">
        <v>983</v>
      </c>
      <c r="H3484" s="2" t="s">
        <v>984</v>
      </c>
      <c r="I3484" s="2"/>
      <c r="J3484" s="2" t="s">
        <v>38</v>
      </c>
    </row>
    <row r="3485" spans="1:10" ht="21" customHeight="1">
      <c r="A3485" s="2" t="s">
        <v>4481</v>
      </c>
      <c r="B3485" s="2" t="s">
        <v>38</v>
      </c>
      <c r="C3485" s="4">
        <v>45856.25</v>
      </c>
      <c r="D3485" s="4">
        <v>45857.5</v>
      </c>
      <c r="E3485" s="2">
        <v>4.24</v>
      </c>
      <c r="F3485" s="2">
        <v>74.3</v>
      </c>
      <c r="G3485" s="2" t="s">
        <v>983</v>
      </c>
      <c r="H3485" s="2" t="s">
        <v>984</v>
      </c>
      <c r="I3485" s="2" t="s">
        <v>1053</v>
      </c>
      <c r="J3485" s="2" t="s">
        <v>38</v>
      </c>
    </row>
    <row r="3486" spans="1:10" ht="21" customHeight="1">
      <c r="A3486" s="2" t="s">
        <v>4482</v>
      </c>
      <c r="B3486" s="2" t="s">
        <v>38</v>
      </c>
      <c r="C3486" s="4">
        <v>45857.25</v>
      </c>
      <c r="D3486" s="4">
        <v>45857.250108877313</v>
      </c>
      <c r="E3486" s="2">
        <v>5.64</v>
      </c>
      <c r="F3486" s="2">
        <v>67</v>
      </c>
      <c r="G3486" s="2" t="s">
        <v>983</v>
      </c>
      <c r="H3486" s="2" t="s">
        <v>984</v>
      </c>
      <c r="I3486" s="2"/>
      <c r="J3486" s="2" t="s">
        <v>38</v>
      </c>
    </row>
    <row r="3487" spans="1:10" ht="21" customHeight="1">
      <c r="A3487" s="2" t="s">
        <v>4483</v>
      </c>
      <c r="B3487" s="2" t="s">
        <v>4319</v>
      </c>
      <c r="C3487" s="4">
        <v>45858.25</v>
      </c>
      <c r="D3487" s="4">
        <v>45858.25002673611</v>
      </c>
      <c r="E3487" s="2"/>
      <c r="F3487" s="2"/>
      <c r="G3487" s="2" t="s">
        <v>983</v>
      </c>
      <c r="H3487" s="2" t="s">
        <v>1066</v>
      </c>
      <c r="I3487" s="2" t="s">
        <v>1053</v>
      </c>
      <c r="J3487" s="2" t="s">
        <v>38</v>
      </c>
    </row>
    <row r="3488" spans="1:10" ht="21" customHeight="1">
      <c r="A3488" s="2" t="s">
        <v>4484</v>
      </c>
      <c r="B3488" s="2" t="s">
        <v>38</v>
      </c>
      <c r="C3488" s="4">
        <v>45859.25</v>
      </c>
      <c r="D3488" s="4">
        <v>45859.250320613428</v>
      </c>
      <c r="E3488" s="2"/>
      <c r="F3488" s="2"/>
      <c r="G3488" s="2" t="s">
        <v>1175</v>
      </c>
      <c r="H3488" s="2" t="s">
        <v>1066</v>
      </c>
      <c r="I3488" s="2"/>
      <c r="J3488" s="2" t="s">
        <v>38</v>
      </c>
    </row>
    <row r="3489" spans="1:10" ht="21" customHeight="1">
      <c r="A3489" s="2" t="s">
        <v>4485</v>
      </c>
      <c r="B3489" s="2" t="s">
        <v>38</v>
      </c>
      <c r="C3489" s="4">
        <v>45860.25</v>
      </c>
      <c r="D3489" s="4">
        <v>45860.250263368056</v>
      </c>
      <c r="E3489" s="2"/>
      <c r="F3489" s="2"/>
      <c r="G3489" s="2" t="s">
        <v>983</v>
      </c>
      <c r="H3489" s="2" t="s">
        <v>1066</v>
      </c>
      <c r="I3489" s="2"/>
      <c r="J3489" s="2" t="s">
        <v>38</v>
      </c>
    </row>
    <row r="3490" spans="1:10" ht="21" customHeight="1">
      <c r="A3490" s="2" t="s">
        <v>4486</v>
      </c>
      <c r="B3490" s="2" t="s">
        <v>38</v>
      </c>
      <c r="C3490" s="4">
        <v>45861.25</v>
      </c>
      <c r="D3490" s="4">
        <v>45861.250110821755</v>
      </c>
      <c r="E3490" s="2">
        <v>2.2999999999999998</v>
      </c>
      <c r="F3490" s="2">
        <v>63.7</v>
      </c>
      <c r="G3490" s="2" t="s">
        <v>983</v>
      </c>
      <c r="H3490" s="2" t="s">
        <v>984</v>
      </c>
      <c r="I3490" s="2"/>
      <c r="J3490" s="2" t="s">
        <v>38</v>
      </c>
    </row>
    <row r="3491" spans="1:10" ht="21" customHeight="1">
      <c r="A3491" s="2" t="s">
        <v>4487</v>
      </c>
      <c r="B3491" s="2" t="s">
        <v>38</v>
      </c>
      <c r="C3491" s="4">
        <v>45862.25</v>
      </c>
      <c r="D3491" s="4">
        <v>45862.250553923615</v>
      </c>
      <c r="E3491" s="2">
        <v>2.12</v>
      </c>
      <c r="F3491" s="2">
        <v>59.5</v>
      </c>
      <c r="G3491" s="2" t="s">
        <v>983</v>
      </c>
      <c r="H3491" s="2" t="s">
        <v>984</v>
      </c>
      <c r="I3491" s="2" t="s">
        <v>985</v>
      </c>
      <c r="J3491" s="2" t="s">
        <v>38</v>
      </c>
    </row>
    <row r="3492" spans="1:10" ht="21" customHeight="1">
      <c r="A3492" s="2" t="s">
        <v>4488</v>
      </c>
      <c r="B3492" s="2" t="s">
        <v>38</v>
      </c>
      <c r="C3492" s="4">
        <v>45863.25</v>
      </c>
      <c r="D3492" s="4">
        <v>45863.250478773145</v>
      </c>
      <c r="E3492" s="2">
        <v>2.44</v>
      </c>
      <c r="F3492" s="2">
        <v>62.6</v>
      </c>
      <c r="G3492" s="2" t="s">
        <v>983</v>
      </c>
      <c r="H3492" s="2" t="s">
        <v>984</v>
      </c>
      <c r="I3492" s="2"/>
      <c r="J3492" s="2" t="s">
        <v>38</v>
      </c>
    </row>
    <row r="3493" spans="1:10" ht="21" customHeight="1">
      <c r="A3493" s="2" t="s">
        <v>4489</v>
      </c>
      <c r="B3493" s="2" t="s">
        <v>38</v>
      </c>
      <c r="C3493" s="4">
        <v>45864.25</v>
      </c>
      <c r="D3493" s="4">
        <v>45864.250091481481</v>
      </c>
      <c r="E3493" s="2">
        <v>3.02</v>
      </c>
      <c r="F3493" s="2">
        <v>64.599999999999994</v>
      </c>
      <c r="G3493" s="2" t="s">
        <v>983</v>
      </c>
      <c r="H3493" s="2" t="s">
        <v>984</v>
      </c>
      <c r="I3493" s="2"/>
      <c r="J3493" s="2" t="s">
        <v>38</v>
      </c>
    </row>
    <row r="3494" spans="1:10" ht="21" customHeight="1">
      <c r="A3494" s="2" t="s">
        <v>4490</v>
      </c>
      <c r="B3494" s="2" t="s">
        <v>38</v>
      </c>
      <c r="C3494" s="4">
        <v>45865.25</v>
      </c>
      <c r="D3494" s="4">
        <v>45865.250383993058</v>
      </c>
      <c r="E3494" s="2">
        <v>3.21</v>
      </c>
      <c r="F3494" s="2">
        <v>63.1</v>
      </c>
      <c r="G3494" s="2" t="s">
        <v>983</v>
      </c>
      <c r="H3494" s="2" t="s">
        <v>984</v>
      </c>
      <c r="I3494" s="2"/>
      <c r="J3494" s="2" t="s">
        <v>38</v>
      </c>
    </row>
    <row r="3495" spans="1:10" ht="21" customHeight="1">
      <c r="A3495" s="2" t="s">
        <v>4491</v>
      </c>
      <c r="B3495" s="2" t="s">
        <v>38</v>
      </c>
      <c r="C3495" s="4">
        <v>45866.25</v>
      </c>
      <c r="D3495" s="4">
        <v>45866.250381307866</v>
      </c>
      <c r="E3495" s="2">
        <v>2.23</v>
      </c>
      <c r="F3495" s="2">
        <v>64.900000000000006</v>
      </c>
      <c r="G3495" s="2" t="s">
        <v>983</v>
      </c>
      <c r="H3495" s="2" t="s">
        <v>984</v>
      </c>
      <c r="I3495" s="2"/>
      <c r="J3495" s="2" t="s">
        <v>38</v>
      </c>
    </row>
    <row r="3496" spans="1:10" ht="21" customHeight="1">
      <c r="A3496" s="2" t="s">
        <v>4492</v>
      </c>
      <c r="B3496" s="2" t="s">
        <v>38</v>
      </c>
      <c r="C3496" s="4">
        <v>45867.25</v>
      </c>
      <c r="D3496" s="4">
        <v>45868.5</v>
      </c>
      <c r="E3496" s="2">
        <v>2.96</v>
      </c>
      <c r="F3496" s="2">
        <v>59.6</v>
      </c>
      <c r="G3496" s="2" t="s">
        <v>983</v>
      </c>
      <c r="H3496" s="2" t="s">
        <v>984</v>
      </c>
      <c r="I3496" s="2"/>
      <c r="J3496" s="2" t="s">
        <v>38</v>
      </c>
    </row>
    <row r="3497" spans="1:10" ht="21" customHeight="1">
      <c r="A3497" s="2" t="s">
        <v>4493</v>
      </c>
      <c r="B3497" s="2" t="s">
        <v>38</v>
      </c>
      <c r="C3497" s="4">
        <v>45868.25</v>
      </c>
      <c r="D3497" s="4">
        <v>45868.250232743056</v>
      </c>
      <c r="E3497" s="2">
        <v>2.78</v>
      </c>
      <c r="F3497" s="2">
        <v>63.2</v>
      </c>
      <c r="G3497" s="2" t="s">
        <v>983</v>
      </c>
      <c r="H3497" s="2" t="s">
        <v>984</v>
      </c>
      <c r="I3497" s="2"/>
      <c r="J3497" s="2" t="s">
        <v>38</v>
      </c>
    </row>
    <row r="3498" spans="1:10" ht="21" customHeight="1">
      <c r="A3498" s="2" t="s">
        <v>4494</v>
      </c>
      <c r="B3498" s="2" t="s">
        <v>38</v>
      </c>
      <c r="C3498" s="4">
        <v>45869.25</v>
      </c>
      <c r="D3498" s="4">
        <v>45869.250083831022</v>
      </c>
      <c r="E3498" s="2">
        <v>2.78</v>
      </c>
      <c r="F3498" s="2">
        <v>65.3</v>
      </c>
      <c r="G3498" s="2" t="s">
        <v>983</v>
      </c>
      <c r="H3498" s="2" t="s">
        <v>984</v>
      </c>
      <c r="I3498" s="2"/>
      <c r="J3498" s="2" t="s">
        <v>38</v>
      </c>
    </row>
    <row r="3499" spans="1:10" ht="21" customHeight="1">
      <c r="A3499" s="2" t="s">
        <v>4495</v>
      </c>
      <c r="B3499" s="2" t="s">
        <v>38</v>
      </c>
      <c r="C3499" s="4">
        <v>45870.25</v>
      </c>
      <c r="D3499" s="4">
        <v>45870.250495868051</v>
      </c>
      <c r="E3499" s="2">
        <v>2.61</v>
      </c>
      <c r="F3499" s="2">
        <v>60.3</v>
      </c>
      <c r="G3499" s="2" t="s">
        <v>983</v>
      </c>
      <c r="H3499" s="2" t="s">
        <v>984</v>
      </c>
      <c r="I3499" s="2"/>
      <c r="J3499" s="2" t="s">
        <v>38</v>
      </c>
    </row>
    <row r="3500" spans="1:10" ht="21" customHeight="1">
      <c r="A3500" s="2" t="s">
        <v>4496</v>
      </c>
      <c r="B3500" s="2" t="s">
        <v>38</v>
      </c>
      <c r="C3500" s="4">
        <v>45871.25</v>
      </c>
      <c r="D3500" s="4">
        <v>45871.250162303244</v>
      </c>
      <c r="E3500" s="2">
        <v>2.61</v>
      </c>
      <c r="F3500" s="2">
        <v>64.400000000000006</v>
      </c>
      <c r="G3500" s="2" t="s">
        <v>983</v>
      </c>
      <c r="H3500" s="2" t="s">
        <v>984</v>
      </c>
      <c r="I3500" s="2"/>
      <c r="J3500" s="2" t="s">
        <v>38</v>
      </c>
    </row>
    <row r="3501" spans="1:10" ht="21" customHeight="1">
      <c r="A3501" s="2" t="s">
        <v>4497</v>
      </c>
      <c r="B3501" s="2" t="s">
        <v>38</v>
      </c>
      <c r="C3501" s="4">
        <v>45872.25</v>
      </c>
      <c r="D3501" s="4">
        <v>45872.250060682869</v>
      </c>
      <c r="E3501" s="2">
        <v>3.02</v>
      </c>
      <c r="F3501" s="2">
        <v>65.7</v>
      </c>
      <c r="G3501" s="2" t="s">
        <v>983</v>
      </c>
      <c r="H3501" s="2" t="s">
        <v>984</v>
      </c>
      <c r="I3501" s="2"/>
      <c r="J3501" s="2" t="s">
        <v>38</v>
      </c>
    </row>
    <row r="3502" spans="1:10" ht="21" customHeight="1">
      <c r="A3502" s="2" t="s">
        <v>4498</v>
      </c>
      <c r="B3502" s="2" t="s">
        <v>38</v>
      </c>
      <c r="C3502" s="4">
        <v>45873.25</v>
      </c>
      <c r="D3502" s="4">
        <v>45873.250135625</v>
      </c>
      <c r="E3502" s="2">
        <v>2.11</v>
      </c>
      <c r="F3502" s="2">
        <v>61</v>
      </c>
      <c r="G3502" s="2" t="s">
        <v>983</v>
      </c>
      <c r="H3502" s="2" t="s">
        <v>984</v>
      </c>
      <c r="I3502" s="2"/>
      <c r="J3502" s="2" t="s">
        <v>38</v>
      </c>
    </row>
    <row r="3503" spans="1:10" ht="21" customHeight="1">
      <c r="A3503" s="2" t="s">
        <v>4499</v>
      </c>
      <c r="B3503" s="2" t="s">
        <v>38</v>
      </c>
      <c r="C3503" s="4">
        <v>45874.25</v>
      </c>
      <c r="D3503" s="4">
        <v>45874.250499999995</v>
      </c>
      <c r="E3503" s="2">
        <v>3</v>
      </c>
      <c r="F3503" s="2">
        <v>60.1</v>
      </c>
      <c r="G3503" s="2" t="s">
        <v>983</v>
      </c>
      <c r="H3503" s="2" t="s">
        <v>984</v>
      </c>
      <c r="I3503" s="2"/>
      <c r="J3503" s="2" t="s">
        <v>38</v>
      </c>
    </row>
    <row r="3504" spans="1:10" ht="21" customHeight="1">
      <c r="A3504" s="2" t="s">
        <v>4500</v>
      </c>
      <c r="B3504" s="2" t="s">
        <v>38</v>
      </c>
      <c r="C3504" s="4">
        <v>45875.25</v>
      </c>
      <c r="D3504" s="4">
        <v>45875.25028252315</v>
      </c>
      <c r="E3504" s="2"/>
      <c r="F3504" s="2"/>
      <c r="G3504" s="2" t="s">
        <v>983</v>
      </c>
      <c r="H3504" s="2" t="s">
        <v>1066</v>
      </c>
      <c r="I3504" s="2"/>
      <c r="J3504" s="2" t="s">
        <v>38</v>
      </c>
    </row>
    <row r="3505" spans="1:10" ht="21" customHeight="1">
      <c r="A3505" s="2" t="s">
        <v>4501</v>
      </c>
      <c r="B3505" s="2" t="s">
        <v>38</v>
      </c>
      <c r="C3505" s="4">
        <v>45876.25</v>
      </c>
      <c r="D3505" s="4">
        <v>45876.25006528935</v>
      </c>
      <c r="E3505" s="2">
        <v>26.99</v>
      </c>
      <c r="F3505" s="2">
        <v>72.8</v>
      </c>
      <c r="G3505" s="2" t="s">
        <v>983</v>
      </c>
      <c r="H3505" s="2" t="s">
        <v>1022</v>
      </c>
      <c r="I3505" s="2" t="s">
        <v>1053</v>
      </c>
      <c r="J3505" s="2" t="s">
        <v>38</v>
      </c>
    </row>
    <row r="3506" spans="1:10" ht="21" customHeight="1">
      <c r="A3506" s="2" t="s">
        <v>4502</v>
      </c>
      <c r="B3506" s="2" t="s">
        <v>38</v>
      </c>
      <c r="C3506" s="4">
        <v>45877.25</v>
      </c>
      <c r="D3506" s="4">
        <v>45877.250470520834</v>
      </c>
      <c r="E3506" s="2">
        <v>4.5999999999999996</v>
      </c>
      <c r="F3506" s="2">
        <v>65.400000000000006</v>
      </c>
      <c r="G3506" s="2" t="s">
        <v>983</v>
      </c>
      <c r="H3506" s="2" t="s">
        <v>984</v>
      </c>
      <c r="I3506" s="2"/>
      <c r="J3506" s="2" t="s">
        <v>38</v>
      </c>
    </row>
    <row r="3507" spans="1:10" ht="21" customHeight="1">
      <c r="A3507" s="2" t="s">
        <v>4503</v>
      </c>
      <c r="B3507" s="2" t="s">
        <v>38</v>
      </c>
      <c r="C3507" s="4">
        <v>45878.25</v>
      </c>
      <c r="D3507" s="4">
        <v>45879.5</v>
      </c>
      <c r="E3507" s="2">
        <v>0</v>
      </c>
      <c r="F3507" s="2">
        <v>62</v>
      </c>
      <c r="G3507" s="2" t="s">
        <v>1175</v>
      </c>
      <c r="H3507" s="2" t="s">
        <v>984</v>
      </c>
      <c r="I3507" s="2"/>
      <c r="J3507" s="2" t="s">
        <v>38</v>
      </c>
    </row>
    <row r="3508" spans="1:10" ht="21" customHeight="1">
      <c r="A3508" s="2" t="s">
        <v>4504</v>
      </c>
      <c r="B3508" s="2" t="s">
        <v>38</v>
      </c>
      <c r="C3508" s="4">
        <v>45879.25</v>
      </c>
      <c r="D3508" s="4">
        <v>45879.250646168977</v>
      </c>
      <c r="E3508" s="2">
        <v>3.16</v>
      </c>
      <c r="F3508" s="2">
        <v>59</v>
      </c>
      <c r="G3508" s="2" t="s">
        <v>983</v>
      </c>
      <c r="H3508" s="2" t="s">
        <v>984</v>
      </c>
      <c r="I3508" s="2" t="s">
        <v>985</v>
      </c>
      <c r="J3508" s="2" t="s">
        <v>38</v>
      </c>
    </row>
    <row r="3509" spans="1:10" ht="21" customHeight="1">
      <c r="A3509" s="2" t="s">
        <v>4505</v>
      </c>
      <c r="B3509" s="2" t="s">
        <v>38</v>
      </c>
      <c r="C3509" s="4">
        <v>45880.25</v>
      </c>
      <c r="D3509" s="4">
        <v>45880.250373113427</v>
      </c>
      <c r="E3509" s="2"/>
      <c r="F3509" s="2"/>
      <c r="G3509" s="2" t="s">
        <v>983</v>
      </c>
      <c r="H3509" s="2" t="s">
        <v>1066</v>
      </c>
      <c r="I3509" s="2"/>
      <c r="J3509" s="2" t="s">
        <v>38</v>
      </c>
    </row>
    <row r="3510" spans="1:10" ht="21" customHeight="1">
      <c r="A3510" s="2" t="s">
        <v>4506</v>
      </c>
      <c r="B3510" s="2" t="s">
        <v>38</v>
      </c>
      <c r="C3510" s="4">
        <v>45881.25</v>
      </c>
      <c r="D3510" s="4">
        <v>45881.250618877311</v>
      </c>
      <c r="E3510" s="2">
        <v>2.4900000000000002</v>
      </c>
      <c r="F3510" s="2">
        <v>63.9</v>
      </c>
      <c r="G3510" s="2" t="s">
        <v>983</v>
      </c>
      <c r="H3510" s="2" t="s">
        <v>984</v>
      </c>
      <c r="I3510" s="2"/>
      <c r="J3510" s="2" t="s">
        <v>38</v>
      </c>
    </row>
    <row r="3511" spans="1:10" ht="21" customHeight="1">
      <c r="A3511" s="2" t="s">
        <v>4507</v>
      </c>
      <c r="B3511" s="2" t="s">
        <v>38</v>
      </c>
      <c r="C3511" s="4">
        <v>45882.25</v>
      </c>
      <c r="D3511" s="4">
        <v>45882.250478796297</v>
      </c>
      <c r="E3511" s="2">
        <v>2.7</v>
      </c>
      <c r="F3511" s="2">
        <v>62.2</v>
      </c>
      <c r="G3511" s="2" t="s">
        <v>983</v>
      </c>
      <c r="H3511" s="2" t="s">
        <v>984</v>
      </c>
      <c r="I3511" s="2"/>
      <c r="J3511" s="2" t="s">
        <v>38</v>
      </c>
    </row>
    <row r="3512" spans="1:10" ht="21" customHeight="1">
      <c r="A3512" s="2" t="s">
        <v>4508</v>
      </c>
      <c r="B3512" s="2" t="s">
        <v>38</v>
      </c>
      <c r="C3512" s="4">
        <v>45883.25</v>
      </c>
      <c r="D3512" s="4">
        <v>45883.250479930561</v>
      </c>
      <c r="E3512" s="2">
        <v>3.11</v>
      </c>
      <c r="F3512" s="2">
        <v>58.3</v>
      </c>
      <c r="G3512" s="2" t="s">
        <v>983</v>
      </c>
      <c r="H3512" s="2" t="s">
        <v>984</v>
      </c>
      <c r="I3512" s="2"/>
      <c r="J3512" s="2" t="s">
        <v>38</v>
      </c>
    </row>
    <row r="3513" spans="1:10" ht="21" customHeight="1">
      <c r="A3513" s="2" t="s">
        <v>4509</v>
      </c>
      <c r="B3513" s="2" t="s">
        <v>38</v>
      </c>
      <c r="C3513" s="4">
        <v>45884.25</v>
      </c>
      <c r="D3513" s="4">
        <v>45884.250665659725</v>
      </c>
      <c r="E3513" s="2">
        <v>2.99</v>
      </c>
      <c r="F3513" s="2">
        <v>62.4</v>
      </c>
      <c r="G3513" s="2" t="s">
        <v>983</v>
      </c>
      <c r="H3513" s="2" t="s">
        <v>984</v>
      </c>
      <c r="I3513" s="2"/>
      <c r="J3513" s="2" t="s">
        <v>38</v>
      </c>
    </row>
    <row r="3514" spans="1:10" ht="21" customHeight="1">
      <c r="A3514" s="2" t="s">
        <v>4510</v>
      </c>
      <c r="B3514" s="2" t="s">
        <v>38</v>
      </c>
      <c r="C3514" s="4">
        <v>45885.25</v>
      </c>
      <c r="D3514" s="4">
        <v>45885.250382511571</v>
      </c>
      <c r="E3514" s="2">
        <v>2.67</v>
      </c>
      <c r="F3514" s="2">
        <v>61.7</v>
      </c>
      <c r="G3514" s="2" t="s">
        <v>983</v>
      </c>
      <c r="H3514" s="2" t="s">
        <v>984</v>
      </c>
      <c r="I3514" s="2"/>
      <c r="J3514" s="2" t="s">
        <v>38</v>
      </c>
    </row>
    <row r="3515" spans="1:10" ht="21" customHeight="1">
      <c r="A3515" s="2" t="s">
        <v>4511</v>
      </c>
      <c r="B3515" s="2" t="s">
        <v>38</v>
      </c>
      <c r="C3515" s="4">
        <v>45886.25</v>
      </c>
      <c r="D3515" s="4">
        <v>45886.250270034725</v>
      </c>
      <c r="E3515" s="2">
        <v>2.4</v>
      </c>
      <c r="F3515" s="2">
        <v>58.7</v>
      </c>
      <c r="G3515" s="2" t="s">
        <v>983</v>
      </c>
      <c r="H3515" s="2" t="s">
        <v>984</v>
      </c>
      <c r="I3515" s="2"/>
      <c r="J3515" s="2" t="s">
        <v>38</v>
      </c>
    </row>
    <row r="3516" spans="1:10" ht="21" customHeight="1">
      <c r="A3516" s="2" t="s">
        <v>4512</v>
      </c>
      <c r="B3516" s="2" t="s">
        <v>38</v>
      </c>
      <c r="C3516" s="4">
        <v>45887.25</v>
      </c>
      <c r="D3516" s="4">
        <v>45887.250548773147</v>
      </c>
      <c r="E3516" s="2">
        <v>2.54</v>
      </c>
      <c r="F3516" s="2">
        <v>60.5</v>
      </c>
      <c r="G3516" s="2" t="s">
        <v>983</v>
      </c>
      <c r="H3516" s="2" t="s">
        <v>984</v>
      </c>
      <c r="I3516" s="2"/>
      <c r="J3516" s="2" t="s">
        <v>38</v>
      </c>
    </row>
    <row r="3517" spans="1:10" ht="21" customHeight="1">
      <c r="A3517" s="2" t="s">
        <v>4513</v>
      </c>
      <c r="B3517" s="2" t="s">
        <v>38</v>
      </c>
      <c r="C3517" s="4">
        <v>45888.25</v>
      </c>
      <c r="D3517" s="4">
        <v>45888.250050659721</v>
      </c>
      <c r="E3517" s="2">
        <v>2.81</v>
      </c>
      <c r="F3517" s="2">
        <v>61.5</v>
      </c>
      <c r="G3517" s="2" t="s">
        <v>983</v>
      </c>
      <c r="H3517" s="2" t="s">
        <v>984</v>
      </c>
      <c r="I3517" s="2"/>
      <c r="J3517" s="2" t="s">
        <v>38</v>
      </c>
    </row>
    <row r="3518" spans="1:10" ht="21" customHeight="1">
      <c r="A3518" s="2" t="s">
        <v>4514</v>
      </c>
      <c r="B3518" s="2" t="s">
        <v>38</v>
      </c>
      <c r="C3518" s="4">
        <v>45889.25</v>
      </c>
      <c r="D3518" s="4">
        <v>45890.5</v>
      </c>
      <c r="E3518" s="2">
        <v>2.12</v>
      </c>
      <c r="F3518" s="2">
        <v>65.2</v>
      </c>
      <c r="G3518" s="2" t="s">
        <v>983</v>
      </c>
      <c r="H3518" s="2" t="s">
        <v>984</v>
      </c>
      <c r="I3518" s="2"/>
      <c r="J3518" s="2" t="s">
        <v>38</v>
      </c>
    </row>
    <row r="3519" spans="1:10" ht="21" customHeight="1">
      <c r="A3519" s="2" t="s">
        <v>4515</v>
      </c>
      <c r="B3519" s="2" t="s">
        <v>38</v>
      </c>
      <c r="C3519" s="4">
        <v>45890.25</v>
      </c>
      <c r="D3519" s="4">
        <v>45890.250114097224</v>
      </c>
      <c r="E3519" s="2">
        <v>3.11</v>
      </c>
      <c r="F3519" s="2">
        <v>58.9</v>
      </c>
      <c r="G3519" s="2" t="s">
        <v>983</v>
      </c>
      <c r="H3519" s="2" t="s">
        <v>984</v>
      </c>
      <c r="I3519" s="2"/>
      <c r="J3519" s="2" t="s">
        <v>38</v>
      </c>
    </row>
    <row r="3520" spans="1:10" ht="21" customHeight="1">
      <c r="A3520" s="2" t="s">
        <v>4516</v>
      </c>
      <c r="B3520" s="2" t="s">
        <v>38</v>
      </c>
      <c r="C3520" s="4">
        <v>45891.25</v>
      </c>
      <c r="D3520" s="4">
        <v>45891.250413217596</v>
      </c>
      <c r="E3520" s="2">
        <v>0</v>
      </c>
      <c r="F3520" s="2">
        <v>61.6</v>
      </c>
      <c r="G3520" s="2" t="s">
        <v>1175</v>
      </c>
      <c r="H3520" s="2" t="s">
        <v>984</v>
      </c>
      <c r="I3520" s="2"/>
      <c r="J3520" s="2" t="s">
        <v>38</v>
      </c>
    </row>
    <row r="3521" spans="1:10" ht="21" customHeight="1">
      <c r="A3521" s="2" t="s">
        <v>4517</v>
      </c>
      <c r="B3521" s="2" t="s">
        <v>38</v>
      </c>
      <c r="C3521" s="4">
        <v>45892.25</v>
      </c>
      <c r="D3521" s="4">
        <v>45892.250597847218</v>
      </c>
      <c r="E3521" s="2">
        <v>3.01</v>
      </c>
      <c r="F3521" s="2">
        <v>64.7</v>
      </c>
      <c r="G3521" s="2" t="s">
        <v>983</v>
      </c>
      <c r="H3521" s="2" t="s">
        <v>984</v>
      </c>
      <c r="I3521" s="2"/>
      <c r="J3521" s="2" t="s">
        <v>38</v>
      </c>
    </row>
    <row r="3522" spans="1:10" ht="21" customHeight="1">
      <c r="A3522" s="2" t="s">
        <v>4518</v>
      </c>
      <c r="B3522" s="2" t="s">
        <v>38</v>
      </c>
      <c r="C3522" s="4">
        <v>45893.25</v>
      </c>
      <c r="D3522" s="4">
        <v>45893.250099143523</v>
      </c>
      <c r="E3522" s="2">
        <v>2.4500000000000002</v>
      </c>
      <c r="F3522" s="2">
        <v>65.7</v>
      </c>
      <c r="G3522" s="2" t="s">
        <v>983</v>
      </c>
      <c r="H3522" s="2" t="s">
        <v>984</v>
      </c>
      <c r="I3522" s="2"/>
      <c r="J3522" s="2" t="s">
        <v>38</v>
      </c>
    </row>
    <row r="3523" spans="1:10" ht="21" customHeight="1">
      <c r="A3523" s="2" t="s">
        <v>4519</v>
      </c>
      <c r="B3523" s="2" t="s">
        <v>38</v>
      </c>
      <c r="C3523" s="4">
        <v>45894.25</v>
      </c>
      <c r="D3523" s="4">
        <v>45894.250425613427</v>
      </c>
      <c r="E3523" s="2">
        <v>2.4900000000000002</v>
      </c>
      <c r="F3523" s="2">
        <v>60.5</v>
      </c>
      <c r="G3523" s="2" t="s">
        <v>983</v>
      </c>
      <c r="H3523" s="2" t="s">
        <v>984</v>
      </c>
      <c r="I3523" s="2"/>
      <c r="J3523" s="2" t="s">
        <v>38</v>
      </c>
    </row>
    <row r="3524" spans="1:10" ht="21" customHeight="1">
      <c r="A3524" s="2" t="s">
        <v>4520</v>
      </c>
      <c r="B3524" s="2" t="s">
        <v>38</v>
      </c>
      <c r="C3524" s="4">
        <v>45895.25</v>
      </c>
      <c r="D3524" s="4">
        <v>45895.250044236112</v>
      </c>
      <c r="E3524" s="2">
        <v>2.4</v>
      </c>
      <c r="F3524" s="2">
        <v>62.9</v>
      </c>
      <c r="G3524" s="2" t="s">
        <v>983</v>
      </c>
      <c r="H3524" s="2" t="s">
        <v>984</v>
      </c>
      <c r="I3524" s="2"/>
      <c r="J3524" s="2" t="s">
        <v>38</v>
      </c>
    </row>
    <row r="3525" spans="1:10" ht="21" customHeight="1">
      <c r="A3525" s="2" t="s">
        <v>4521</v>
      </c>
      <c r="B3525" s="2" t="s">
        <v>38</v>
      </c>
      <c r="C3525" s="4">
        <v>45896.25</v>
      </c>
      <c r="D3525" s="4">
        <v>45896.250033703705</v>
      </c>
      <c r="E3525" s="2">
        <v>2.2000000000000002</v>
      </c>
      <c r="F3525" s="2">
        <v>61.1</v>
      </c>
      <c r="G3525" s="2" t="s">
        <v>983</v>
      </c>
      <c r="H3525" s="2" t="s">
        <v>984</v>
      </c>
      <c r="I3525" s="2" t="s">
        <v>985</v>
      </c>
      <c r="J3525" s="2" t="s">
        <v>38</v>
      </c>
    </row>
    <row r="3526" spans="1:10" ht="21" customHeight="1">
      <c r="A3526" s="2" t="s">
        <v>4522</v>
      </c>
      <c r="B3526" s="2" t="s">
        <v>38</v>
      </c>
      <c r="C3526" s="4">
        <v>45897.25</v>
      </c>
      <c r="D3526" s="4">
        <v>45897.250164351848</v>
      </c>
      <c r="E3526" s="2"/>
      <c r="F3526" s="2"/>
      <c r="G3526" s="2" t="s">
        <v>983</v>
      </c>
      <c r="H3526" s="2" t="s">
        <v>1066</v>
      </c>
      <c r="I3526" s="2"/>
      <c r="J3526" s="2" t="s">
        <v>38</v>
      </c>
    </row>
    <row r="3527" spans="1:10" ht="21" customHeight="1">
      <c r="A3527" s="2" t="s">
        <v>4523</v>
      </c>
      <c r="B3527" s="2" t="s">
        <v>38</v>
      </c>
      <c r="C3527" s="4">
        <v>45898.25</v>
      </c>
      <c r="D3527" s="4">
        <v>45898.250166446756</v>
      </c>
      <c r="E3527" s="2">
        <v>2.46</v>
      </c>
      <c r="F3527" s="2">
        <v>60.1</v>
      </c>
      <c r="G3527" s="2" t="s">
        <v>983</v>
      </c>
      <c r="H3527" s="2" t="s">
        <v>984</v>
      </c>
      <c r="I3527" s="2"/>
      <c r="J3527" s="2" t="s">
        <v>38</v>
      </c>
    </row>
    <row r="3528" spans="1:10" ht="21" customHeight="1">
      <c r="A3528" s="2" t="s">
        <v>4524</v>
      </c>
      <c r="B3528" s="2" t="s">
        <v>4319</v>
      </c>
      <c r="C3528" s="4">
        <v>45899.25</v>
      </c>
      <c r="D3528" s="4">
        <v>45899.250055289347</v>
      </c>
      <c r="E3528" s="2">
        <v>2.87</v>
      </c>
      <c r="F3528" s="2">
        <v>61.6</v>
      </c>
      <c r="G3528" s="2" t="s">
        <v>983</v>
      </c>
      <c r="H3528" s="2" t="s">
        <v>984</v>
      </c>
      <c r="I3528" s="2"/>
      <c r="J3528" s="2" t="s">
        <v>38</v>
      </c>
    </row>
    <row r="3529" spans="1:10" ht="21" customHeight="1">
      <c r="A3529" s="2" t="s">
        <v>4525</v>
      </c>
      <c r="B3529" s="2" t="s">
        <v>38</v>
      </c>
      <c r="C3529" s="4">
        <v>45900.25</v>
      </c>
      <c r="D3529" s="4">
        <v>45901.5</v>
      </c>
      <c r="E3529" s="2">
        <v>2.5499999999999998</v>
      </c>
      <c r="F3529" s="2">
        <v>64.8</v>
      </c>
      <c r="G3529" s="2" t="s">
        <v>983</v>
      </c>
      <c r="H3529" s="2" t="s">
        <v>984</v>
      </c>
      <c r="I3529" s="2"/>
      <c r="J3529" s="2" t="s">
        <v>38</v>
      </c>
    </row>
    <row r="3530" spans="1:10" ht="21" customHeight="1">
      <c r="A3530" s="2" t="s">
        <v>4526</v>
      </c>
      <c r="B3530" s="2" t="s">
        <v>38</v>
      </c>
      <c r="C3530" s="4">
        <v>45901.25</v>
      </c>
      <c r="D3530" s="4">
        <v>45901.250673807866</v>
      </c>
      <c r="E3530" s="2">
        <v>2.5299999999999998</v>
      </c>
      <c r="F3530" s="2">
        <v>63.7</v>
      </c>
      <c r="G3530" s="2" t="s">
        <v>983</v>
      </c>
      <c r="H3530" s="2" t="s">
        <v>984</v>
      </c>
      <c r="I3530" s="2"/>
      <c r="J3530" s="2" t="s">
        <v>38</v>
      </c>
    </row>
    <row r="3531" spans="1:10" ht="21" customHeight="1">
      <c r="A3531" s="2" t="s">
        <v>4527</v>
      </c>
      <c r="B3531" s="2" t="s">
        <v>38</v>
      </c>
      <c r="C3531" s="4">
        <v>45902.25</v>
      </c>
      <c r="D3531" s="4">
        <v>45902.250189988423</v>
      </c>
      <c r="E3531" s="2">
        <v>6.94</v>
      </c>
      <c r="F3531" s="2">
        <v>76.3</v>
      </c>
      <c r="G3531" s="2" t="s">
        <v>983</v>
      </c>
      <c r="H3531" s="2" t="s">
        <v>984</v>
      </c>
      <c r="I3531" s="2" t="s">
        <v>1053</v>
      </c>
      <c r="J3531" s="2" t="s">
        <v>38</v>
      </c>
    </row>
    <row r="3532" spans="1:10" ht="21" customHeight="1">
      <c r="A3532" s="2" t="s">
        <v>4528</v>
      </c>
      <c r="B3532" s="2" t="s">
        <v>38</v>
      </c>
      <c r="C3532" s="4">
        <v>45903.25</v>
      </c>
      <c r="D3532" s="4">
        <v>45903.250117407406</v>
      </c>
      <c r="E3532" s="2">
        <v>4</v>
      </c>
      <c r="F3532" s="2">
        <v>70.599999999999994</v>
      </c>
      <c r="G3532" s="2" t="s">
        <v>983</v>
      </c>
      <c r="H3532" s="2" t="s">
        <v>984</v>
      </c>
      <c r="I3532" s="2"/>
      <c r="J3532" s="2" t="s">
        <v>38</v>
      </c>
    </row>
    <row r="3533" spans="1:10" ht="21" customHeight="1">
      <c r="A3533" s="2" t="s">
        <v>4529</v>
      </c>
      <c r="B3533" s="2" t="s">
        <v>38</v>
      </c>
      <c r="C3533" s="4">
        <v>45904.25</v>
      </c>
      <c r="D3533" s="4">
        <v>45904.250649872687</v>
      </c>
      <c r="E3533" s="2">
        <v>5.58</v>
      </c>
      <c r="F3533" s="2">
        <v>66.099999999999994</v>
      </c>
      <c r="G3533" s="2" t="s">
        <v>983</v>
      </c>
      <c r="H3533" s="2" t="s">
        <v>984</v>
      </c>
      <c r="I3533" s="2" t="s">
        <v>1053</v>
      </c>
      <c r="J3533" s="2" t="s">
        <v>38</v>
      </c>
    </row>
    <row r="3534" spans="1:10" ht="21" customHeight="1">
      <c r="A3534" s="2" t="s">
        <v>4530</v>
      </c>
      <c r="B3534" s="2" t="s">
        <v>38</v>
      </c>
      <c r="C3534" s="4">
        <v>45905.25</v>
      </c>
      <c r="D3534" s="4">
        <v>45905.250179722221</v>
      </c>
      <c r="E3534" s="2">
        <v>0</v>
      </c>
      <c r="F3534" s="2">
        <v>59.1</v>
      </c>
      <c r="G3534" s="2" t="s">
        <v>1175</v>
      </c>
      <c r="H3534" s="2" t="s">
        <v>984</v>
      </c>
      <c r="I3534" s="2"/>
      <c r="J3534" s="2" t="s">
        <v>38</v>
      </c>
    </row>
    <row r="3535" spans="1:10" ht="21" customHeight="1">
      <c r="A3535" s="2" t="s">
        <v>4531</v>
      </c>
      <c r="B3535" s="2" t="s">
        <v>38</v>
      </c>
      <c r="C3535" s="4">
        <v>45906.25</v>
      </c>
      <c r="D3535" s="4">
        <v>45906.250320277773</v>
      </c>
      <c r="E3535" s="2">
        <v>2.3199999999999998</v>
      </c>
      <c r="F3535" s="2">
        <v>63.2</v>
      </c>
      <c r="G3535" s="2" t="s">
        <v>983</v>
      </c>
      <c r="H3535" s="2" t="s">
        <v>984</v>
      </c>
      <c r="I3535" s="2"/>
      <c r="J3535" s="2" t="s">
        <v>38</v>
      </c>
    </row>
    <row r="3536" spans="1:10" ht="21" customHeight="1">
      <c r="A3536" s="2" t="s">
        <v>4532</v>
      </c>
      <c r="B3536" s="2" t="s">
        <v>38</v>
      </c>
      <c r="C3536" s="4">
        <v>45907.25</v>
      </c>
      <c r="D3536" s="4">
        <v>45907.250096620366</v>
      </c>
      <c r="E3536" s="2">
        <v>3.22</v>
      </c>
      <c r="F3536" s="2">
        <v>64.900000000000006</v>
      </c>
      <c r="G3536" s="2" t="s">
        <v>983</v>
      </c>
      <c r="H3536" s="2" t="s">
        <v>984</v>
      </c>
      <c r="I3536" s="2"/>
      <c r="J3536" s="2" t="s">
        <v>38</v>
      </c>
    </row>
    <row r="3537" spans="1:10" ht="21" customHeight="1">
      <c r="A3537" s="2" t="s">
        <v>4533</v>
      </c>
      <c r="B3537" s="2" t="s">
        <v>38</v>
      </c>
      <c r="C3537" s="4">
        <v>45908.25</v>
      </c>
      <c r="D3537" s="4">
        <v>45908.25028818287</v>
      </c>
      <c r="E3537" s="2">
        <v>2.67</v>
      </c>
      <c r="F3537" s="2">
        <v>62.2</v>
      </c>
      <c r="G3537" s="2" t="s">
        <v>983</v>
      </c>
      <c r="H3537" s="2" t="s">
        <v>984</v>
      </c>
      <c r="I3537" s="2"/>
      <c r="J3537" s="2" t="s">
        <v>38</v>
      </c>
    </row>
    <row r="3538" spans="1:10" ht="21" customHeight="1">
      <c r="A3538" s="2" t="s">
        <v>4534</v>
      </c>
      <c r="B3538" s="2" t="s">
        <v>38</v>
      </c>
      <c r="C3538" s="4">
        <v>45909.25</v>
      </c>
      <c r="D3538" s="4">
        <v>45909.250304120374</v>
      </c>
      <c r="E3538" s="2">
        <v>3.16</v>
      </c>
      <c r="F3538" s="2">
        <v>63.3</v>
      </c>
      <c r="G3538" s="2" t="s">
        <v>983</v>
      </c>
      <c r="H3538" s="2" t="s">
        <v>984</v>
      </c>
      <c r="I3538" s="2"/>
      <c r="J3538" s="2" t="s">
        <v>38</v>
      </c>
    </row>
    <row r="3539" spans="1:10" ht="21" customHeight="1">
      <c r="A3539" s="2" t="s">
        <v>4535</v>
      </c>
      <c r="B3539" s="2" t="s">
        <v>38</v>
      </c>
      <c r="C3539" s="4">
        <v>45910.25</v>
      </c>
      <c r="D3539" s="4">
        <v>45910.250472719912</v>
      </c>
      <c r="E3539" s="2">
        <v>3.26</v>
      </c>
      <c r="F3539" s="2">
        <v>58.1</v>
      </c>
      <c r="G3539" s="2" t="s">
        <v>983</v>
      </c>
      <c r="H3539" s="2" t="s">
        <v>984</v>
      </c>
      <c r="I3539" s="2"/>
      <c r="J3539" s="2" t="s">
        <v>38</v>
      </c>
    </row>
    <row r="3540" spans="1:10" ht="21" customHeight="1">
      <c r="A3540" s="2" t="s">
        <v>4536</v>
      </c>
      <c r="B3540" s="2" t="s">
        <v>38</v>
      </c>
      <c r="C3540" s="4">
        <v>45911.25</v>
      </c>
      <c r="D3540" s="4">
        <v>45912.5</v>
      </c>
      <c r="E3540" s="2"/>
      <c r="F3540" s="2"/>
      <c r="G3540" s="2" t="s">
        <v>983</v>
      </c>
      <c r="H3540" s="2" t="s">
        <v>1066</v>
      </c>
      <c r="I3540" s="2"/>
      <c r="J3540" s="2" t="s">
        <v>38</v>
      </c>
    </row>
    <row r="3541" spans="1:10" ht="21" customHeight="1">
      <c r="A3541" s="2" t="s">
        <v>4537</v>
      </c>
      <c r="B3541" s="2" t="s">
        <v>38</v>
      </c>
      <c r="C3541" s="4">
        <v>45912.25</v>
      </c>
      <c r="D3541" s="4">
        <v>45912.250291828706</v>
      </c>
      <c r="E3541" s="2">
        <v>2.13</v>
      </c>
      <c r="F3541" s="2">
        <v>60</v>
      </c>
      <c r="G3541" s="2" t="s">
        <v>983</v>
      </c>
      <c r="H3541" s="2" t="s">
        <v>984</v>
      </c>
      <c r="I3541" s="2"/>
      <c r="J3541" s="2" t="s">
        <v>38</v>
      </c>
    </row>
    <row r="3542" spans="1:10" ht="21" customHeight="1">
      <c r="A3542" s="2" t="s">
        <v>4538</v>
      </c>
      <c r="B3542" s="2" t="s">
        <v>38</v>
      </c>
      <c r="C3542" s="4">
        <v>45913.25</v>
      </c>
      <c r="D3542" s="4">
        <v>45913.250367303241</v>
      </c>
      <c r="E3542" s="2">
        <v>2.37</v>
      </c>
      <c r="F3542" s="2">
        <v>58.4</v>
      </c>
      <c r="G3542" s="2" t="s">
        <v>983</v>
      </c>
      <c r="H3542" s="2" t="s">
        <v>984</v>
      </c>
      <c r="I3542" s="2" t="s">
        <v>985</v>
      </c>
      <c r="J3542" s="2" t="s">
        <v>38</v>
      </c>
    </row>
    <row r="3543" spans="1:10" ht="21" customHeight="1">
      <c r="A3543" s="2" t="s">
        <v>4539</v>
      </c>
      <c r="B3543" s="2" t="s">
        <v>38</v>
      </c>
      <c r="C3543" s="4">
        <v>45914.25</v>
      </c>
      <c r="D3543" s="4">
        <v>45914.250555706021</v>
      </c>
      <c r="E3543" s="2">
        <v>2.73</v>
      </c>
      <c r="F3543" s="2">
        <v>64</v>
      </c>
      <c r="G3543" s="2" t="s">
        <v>983</v>
      </c>
      <c r="H3543" s="2" t="s">
        <v>984</v>
      </c>
      <c r="I3543" s="2"/>
      <c r="J3543" s="2" t="s">
        <v>38</v>
      </c>
    </row>
    <row r="3544" spans="1:10" ht="21" customHeight="1">
      <c r="A3544" s="2" t="s">
        <v>4540</v>
      </c>
      <c r="B3544" s="2" t="s">
        <v>38</v>
      </c>
      <c r="C3544" s="4">
        <v>45915.25</v>
      </c>
      <c r="D3544" s="4">
        <v>45915.250598171297</v>
      </c>
      <c r="E3544" s="2">
        <v>2.63</v>
      </c>
      <c r="F3544" s="2">
        <v>59.3</v>
      </c>
      <c r="G3544" s="2" t="s">
        <v>983</v>
      </c>
      <c r="H3544" s="2" t="s">
        <v>984</v>
      </c>
      <c r="I3544" s="2"/>
      <c r="J3544" s="2" t="s">
        <v>38</v>
      </c>
    </row>
    <row r="3545" spans="1:10" ht="21" customHeight="1">
      <c r="A3545" s="2" t="s">
        <v>4541</v>
      </c>
      <c r="B3545" s="2" t="s">
        <v>38</v>
      </c>
      <c r="C3545" s="4">
        <v>45916.25</v>
      </c>
      <c r="D3545" s="4">
        <v>45916.250571041666</v>
      </c>
      <c r="E3545" s="2">
        <v>2.66</v>
      </c>
      <c r="F3545" s="2">
        <v>58.6</v>
      </c>
      <c r="G3545" s="2" t="s">
        <v>983</v>
      </c>
      <c r="H3545" s="2" t="s">
        <v>984</v>
      </c>
      <c r="I3545" s="2"/>
      <c r="J3545" s="2" t="s">
        <v>38</v>
      </c>
    </row>
    <row r="3546" spans="1:10" ht="21" customHeight="1">
      <c r="A3546" s="2" t="s">
        <v>4542</v>
      </c>
      <c r="B3546" s="2" t="s">
        <v>38</v>
      </c>
      <c r="C3546" s="4">
        <v>45917.25</v>
      </c>
      <c r="D3546" s="4">
        <v>45917.250099976853</v>
      </c>
      <c r="E3546" s="2">
        <v>2.84</v>
      </c>
      <c r="F3546" s="2">
        <v>61.1</v>
      </c>
      <c r="G3546" s="2" t="s">
        <v>983</v>
      </c>
      <c r="H3546" s="2" t="s">
        <v>984</v>
      </c>
      <c r="I3546" s="2"/>
      <c r="J3546" s="2" t="s">
        <v>38</v>
      </c>
    </row>
    <row r="3547" spans="1:10" ht="21" customHeight="1">
      <c r="A3547" s="2" t="s">
        <v>4543</v>
      </c>
      <c r="B3547" s="2" t="s">
        <v>38</v>
      </c>
      <c r="C3547" s="4">
        <v>45918.25</v>
      </c>
      <c r="D3547" s="4">
        <v>45918.250249039353</v>
      </c>
      <c r="E3547" s="2">
        <v>2.4</v>
      </c>
      <c r="F3547" s="2">
        <v>62.3</v>
      </c>
      <c r="G3547" s="2" t="s">
        <v>983</v>
      </c>
      <c r="H3547" s="2" t="s">
        <v>984</v>
      </c>
      <c r="I3547" s="2"/>
      <c r="J3547" s="2" t="s">
        <v>38</v>
      </c>
    </row>
    <row r="3548" spans="1:10" ht="21" customHeight="1">
      <c r="A3548" s="2" t="s">
        <v>4544</v>
      </c>
      <c r="B3548" s="2" t="s">
        <v>38</v>
      </c>
      <c r="C3548" s="4">
        <v>45919.25</v>
      </c>
      <c r="D3548" s="4">
        <v>45919.250501585644</v>
      </c>
      <c r="E3548" s="2">
        <v>6.8</v>
      </c>
      <c r="F3548" s="2">
        <v>69.2</v>
      </c>
      <c r="G3548" s="2" t="s">
        <v>983</v>
      </c>
      <c r="H3548" s="2" t="s">
        <v>984</v>
      </c>
      <c r="I3548" s="2"/>
      <c r="J3548" s="2" t="s">
        <v>38</v>
      </c>
    </row>
    <row r="3549" spans="1:10" ht="21" customHeight="1">
      <c r="A3549" s="2" t="s">
        <v>4545</v>
      </c>
      <c r="B3549" s="2" t="s">
        <v>38</v>
      </c>
      <c r="C3549" s="4">
        <v>45920.25</v>
      </c>
      <c r="D3549" s="4">
        <v>45920.250057268524</v>
      </c>
      <c r="E3549" s="2">
        <v>6.83</v>
      </c>
      <c r="F3549" s="2">
        <v>69.099999999999994</v>
      </c>
      <c r="G3549" s="2" t="s">
        <v>983</v>
      </c>
      <c r="H3549" s="2" t="s">
        <v>984</v>
      </c>
      <c r="I3549" s="2" t="s">
        <v>1053</v>
      </c>
      <c r="J3549" s="2" t="s">
        <v>38</v>
      </c>
    </row>
    <row r="3550" spans="1:10" ht="21" customHeight="1">
      <c r="A3550" s="2" t="s">
        <v>4546</v>
      </c>
      <c r="B3550" s="2" t="s">
        <v>38</v>
      </c>
      <c r="C3550" s="4">
        <v>45921.25</v>
      </c>
      <c r="D3550" s="4">
        <v>45921.250522824077</v>
      </c>
      <c r="E3550" s="2">
        <v>5.71</v>
      </c>
      <c r="F3550" s="2">
        <v>68.400000000000006</v>
      </c>
      <c r="G3550" s="2" t="s">
        <v>983</v>
      </c>
      <c r="H3550" s="2" t="s">
        <v>984</v>
      </c>
      <c r="I3550" s="2"/>
      <c r="J3550" s="2" t="s">
        <v>38</v>
      </c>
    </row>
    <row r="3551" spans="1:10" ht="21" customHeight="1">
      <c r="A3551" s="2" t="s">
        <v>4547</v>
      </c>
      <c r="B3551" s="2" t="s">
        <v>38</v>
      </c>
      <c r="C3551" s="4">
        <v>45922.25</v>
      </c>
      <c r="D3551" s="4">
        <v>45923.5</v>
      </c>
      <c r="E3551" s="2">
        <v>0</v>
      </c>
      <c r="F3551" s="2">
        <v>59.6</v>
      </c>
      <c r="G3551" s="2" t="s">
        <v>1175</v>
      </c>
      <c r="H3551" s="2" t="s">
        <v>984</v>
      </c>
      <c r="I3551" s="2"/>
      <c r="J3551" s="2" t="s">
        <v>38</v>
      </c>
    </row>
    <row r="3552" spans="1:10" ht="21" customHeight="1">
      <c r="A3552" s="2" t="s">
        <v>4548</v>
      </c>
      <c r="B3552" s="2" t="s">
        <v>38</v>
      </c>
      <c r="C3552" s="4">
        <v>45923.25</v>
      </c>
      <c r="D3552" s="4">
        <v>45923.250047013891</v>
      </c>
      <c r="E3552" s="2"/>
      <c r="F3552" s="2"/>
      <c r="G3552" s="2" t="s">
        <v>1175</v>
      </c>
      <c r="H3552" s="2" t="s">
        <v>1066</v>
      </c>
      <c r="I3552" s="2"/>
      <c r="J3552" s="2" t="s">
        <v>38</v>
      </c>
    </row>
    <row r="3553" spans="1:10" ht="21" customHeight="1">
      <c r="A3553" s="2" t="s">
        <v>4549</v>
      </c>
      <c r="B3553" s="2" t="s">
        <v>38</v>
      </c>
      <c r="C3553" s="4">
        <v>45924.25</v>
      </c>
      <c r="D3553" s="4">
        <v>45924.250247245371</v>
      </c>
      <c r="E3553" s="2">
        <v>2.21</v>
      </c>
      <c r="F3553" s="2">
        <v>64.5</v>
      </c>
      <c r="G3553" s="2" t="s">
        <v>983</v>
      </c>
      <c r="H3553" s="2" t="s">
        <v>984</v>
      </c>
      <c r="I3553" s="2"/>
      <c r="J3553" s="2" t="s">
        <v>38</v>
      </c>
    </row>
    <row r="3554" spans="1:10" ht="21" customHeight="1">
      <c r="A3554" s="2" t="s">
        <v>4550</v>
      </c>
      <c r="B3554" s="2" t="s">
        <v>38</v>
      </c>
      <c r="C3554" s="4">
        <v>45925.25</v>
      </c>
      <c r="D3554" s="4">
        <v>45925.25062324074</v>
      </c>
      <c r="E3554" s="2">
        <v>2.94</v>
      </c>
      <c r="F3554" s="2">
        <v>63.5</v>
      </c>
      <c r="G3554" s="2" t="s">
        <v>983</v>
      </c>
      <c r="H3554" s="2" t="s">
        <v>984</v>
      </c>
      <c r="I3554" s="2"/>
      <c r="J3554" s="2" t="s">
        <v>38</v>
      </c>
    </row>
    <row r="3555" spans="1:10" ht="21" customHeight="1">
      <c r="A3555" s="2" t="s">
        <v>4551</v>
      </c>
      <c r="B3555" s="2" t="s">
        <v>38</v>
      </c>
      <c r="C3555" s="4">
        <v>45926.25</v>
      </c>
      <c r="D3555" s="4">
        <v>45926.250638217592</v>
      </c>
      <c r="E3555" s="2">
        <v>2.42</v>
      </c>
      <c r="F3555" s="2">
        <v>58.2</v>
      </c>
      <c r="G3555" s="2" t="s">
        <v>983</v>
      </c>
      <c r="H3555" s="2" t="s">
        <v>984</v>
      </c>
      <c r="I3555" s="2"/>
      <c r="J3555" s="2" t="s">
        <v>38</v>
      </c>
    </row>
    <row r="3556" spans="1:10" ht="21" customHeight="1">
      <c r="A3556" s="2" t="s">
        <v>4552</v>
      </c>
      <c r="B3556" s="2" t="s">
        <v>38</v>
      </c>
      <c r="C3556" s="4">
        <v>45927.25</v>
      </c>
      <c r="D3556" s="4">
        <v>45927.250585138885</v>
      </c>
      <c r="E3556" s="2">
        <v>2.61</v>
      </c>
      <c r="F3556" s="2">
        <v>65.400000000000006</v>
      </c>
      <c r="G3556" s="2" t="s">
        <v>983</v>
      </c>
      <c r="H3556" s="2" t="s">
        <v>984</v>
      </c>
      <c r="I3556" s="2"/>
      <c r="J3556" s="2" t="s">
        <v>38</v>
      </c>
    </row>
    <row r="3557" spans="1:10" ht="21" customHeight="1">
      <c r="A3557" s="2" t="s">
        <v>4553</v>
      </c>
      <c r="B3557" s="2" t="s">
        <v>38</v>
      </c>
      <c r="C3557" s="4">
        <v>45928.25</v>
      </c>
      <c r="D3557" s="4">
        <v>45928.25059387731</v>
      </c>
      <c r="E3557" s="2">
        <v>2.79</v>
      </c>
      <c r="F3557" s="2">
        <v>64.5</v>
      </c>
      <c r="G3557" s="2" t="s">
        <v>983</v>
      </c>
      <c r="H3557" s="2" t="s">
        <v>984</v>
      </c>
      <c r="I3557" s="2"/>
      <c r="J3557" s="2" t="s">
        <v>38</v>
      </c>
    </row>
    <row r="3558" spans="1:10" ht="21" customHeight="1">
      <c r="A3558" s="2" t="s">
        <v>4554</v>
      </c>
      <c r="B3558" s="2" t="s">
        <v>38</v>
      </c>
      <c r="C3558" s="4">
        <v>45929.25</v>
      </c>
      <c r="D3558" s="4">
        <v>45929.250395706018</v>
      </c>
      <c r="E3558" s="2"/>
      <c r="F3558" s="2"/>
      <c r="G3558" s="2" t="s">
        <v>983</v>
      </c>
      <c r="H3558" s="2" t="s">
        <v>1066</v>
      </c>
      <c r="I3558" s="2"/>
      <c r="J3558" s="2" t="s">
        <v>38</v>
      </c>
    </row>
    <row r="3559" spans="1:10" ht="21" customHeight="1">
      <c r="A3559" s="2" t="s">
        <v>4555</v>
      </c>
      <c r="B3559" s="2" t="s">
        <v>38</v>
      </c>
      <c r="C3559" s="4">
        <v>45930.25</v>
      </c>
      <c r="D3559" s="4">
        <v>45930.250150219908</v>
      </c>
      <c r="E3559" s="2">
        <v>3.03</v>
      </c>
      <c r="F3559" s="2">
        <v>61.3</v>
      </c>
      <c r="G3559" s="2" t="s">
        <v>983</v>
      </c>
      <c r="H3559" s="2" t="s">
        <v>984</v>
      </c>
      <c r="I3559" s="2" t="s">
        <v>985</v>
      </c>
      <c r="J3559" s="2" t="s">
        <v>38</v>
      </c>
    </row>
    <row r="3560" spans="1:10" ht="21" customHeight="1">
      <c r="A3560" s="2" t="s">
        <v>4556</v>
      </c>
      <c r="B3560" s="2" t="s">
        <v>38</v>
      </c>
      <c r="C3560" s="4">
        <v>45931.25</v>
      </c>
      <c r="D3560" s="4">
        <v>45931.250540474532</v>
      </c>
      <c r="E3560" s="2">
        <v>2.33</v>
      </c>
      <c r="F3560" s="2">
        <v>60.6</v>
      </c>
      <c r="G3560" s="2" t="s">
        <v>983</v>
      </c>
      <c r="H3560" s="2" t="s">
        <v>984</v>
      </c>
      <c r="I3560" s="2"/>
      <c r="J3560" s="2" t="s">
        <v>38</v>
      </c>
    </row>
    <row r="3561" spans="1:10" ht="21" customHeight="1">
      <c r="A3561" s="2" t="s">
        <v>4557</v>
      </c>
      <c r="B3561" s="2" t="s">
        <v>38</v>
      </c>
      <c r="C3561" s="4">
        <v>45932.25</v>
      </c>
      <c r="D3561" s="4">
        <v>45932.250462847223</v>
      </c>
      <c r="E3561" s="2">
        <v>2.37</v>
      </c>
      <c r="F3561" s="2">
        <v>65.3</v>
      </c>
      <c r="G3561" s="2" t="s">
        <v>983</v>
      </c>
      <c r="H3561" s="2" t="s">
        <v>984</v>
      </c>
      <c r="I3561" s="2"/>
      <c r="J3561" s="2" t="s">
        <v>38</v>
      </c>
    </row>
    <row r="3562" spans="1:10" ht="21" customHeight="1">
      <c r="A3562" s="2" t="s">
        <v>4558</v>
      </c>
      <c r="B3562" s="2" t="s">
        <v>38</v>
      </c>
      <c r="C3562" s="4">
        <v>45933.25</v>
      </c>
      <c r="D3562" s="4">
        <v>45934.5</v>
      </c>
      <c r="E3562" s="2">
        <v>2.89</v>
      </c>
      <c r="F3562" s="2">
        <v>65.2</v>
      </c>
      <c r="G3562" s="2" t="s">
        <v>983</v>
      </c>
      <c r="H3562" s="2" t="s">
        <v>984</v>
      </c>
      <c r="I3562" s="2"/>
      <c r="J3562" s="2" t="s">
        <v>38</v>
      </c>
    </row>
    <row r="3563" spans="1:10" ht="21" customHeight="1">
      <c r="A3563" s="2" t="s">
        <v>4559</v>
      </c>
      <c r="B3563" s="2" t="s">
        <v>38</v>
      </c>
      <c r="C3563" s="4">
        <v>45934.25</v>
      </c>
      <c r="D3563" s="4">
        <v>45934.250339537037</v>
      </c>
      <c r="E3563" s="2">
        <v>3.04</v>
      </c>
      <c r="F3563" s="2">
        <v>62.3</v>
      </c>
      <c r="G3563" s="2" t="s">
        <v>983</v>
      </c>
      <c r="H3563" s="2" t="s">
        <v>984</v>
      </c>
      <c r="I3563" s="2"/>
      <c r="J3563" s="2" t="s">
        <v>38</v>
      </c>
    </row>
    <row r="3564" spans="1:10" ht="21" customHeight="1">
      <c r="A3564" s="2" t="s">
        <v>4560</v>
      </c>
      <c r="B3564" s="2" t="s">
        <v>38</v>
      </c>
      <c r="C3564" s="4">
        <v>45935.25</v>
      </c>
      <c r="D3564" s="4">
        <v>45935.250385092593</v>
      </c>
      <c r="E3564" s="2">
        <v>2.93</v>
      </c>
      <c r="F3564" s="2">
        <v>65.7</v>
      </c>
      <c r="G3564" s="2" t="s">
        <v>983</v>
      </c>
      <c r="H3564" s="2" t="s">
        <v>984</v>
      </c>
      <c r="I3564" s="2"/>
      <c r="J3564" s="2" t="s">
        <v>38</v>
      </c>
    </row>
    <row r="3565" spans="1:10" ht="21" customHeight="1">
      <c r="A3565" s="2" t="s">
        <v>4561</v>
      </c>
      <c r="B3565" s="2" t="s">
        <v>38</v>
      </c>
      <c r="C3565" s="4">
        <v>45936.25</v>
      </c>
      <c r="D3565" s="4">
        <v>45936.250615428246</v>
      </c>
      <c r="E3565" s="2">
        <v>0</v>
      </c>
      <c r="F3565" s="2">
        <v>62.4</v>
      </c>
      <c r="G3565" s="2" t="s">
        <v>1175</v>
      </c>
      <c r="H3565" s="2" t="s">
        <v>984</v>
      </c>
      <c r="I3565" s="2"/>
      <c r="J3565" s="2" t="s">
        <v>38</v>
      </c>
    </row>
    <row r="3566" spans="1:10" ht="21" customHeight="1">
      <c r="A3566" s="2" t="s">
        <v>4562</v>
      </c>
      <c r="B3566" s="2" t="s">
        <v>38</v>
      </c>
      <c r="C3566" s="4">
        <v>45937.25</v>
      </c>
      <c r="D3566" s="4">
        <v>45937.25014340278</v>
      </c>
      <c r="E3566" s="2">
        <v>2.35</v>
      </c>
      <c r="F3566" s="2">
        <v>63.8</v>
      </c>
      <c r="G3566" s="2" t="s">
        <v>983</v>
      </c>
      <c r="H3566" s="2" t="s">
        <v>984</v>
      </c>
      <c r="I3566" s="2"/>
      <c r="J3566" s="2" t="s">
        <v>38</v>
      </c>
    </row>
    <row r="3567" spans="1:10" ht="21" customHeight="1">
      <c r="A3567" s="2" t="s">
        <v>4563</v>
      </c>
      <c r="B3567" s="2" t="s">
        <v>38</v>
      </c>
      <c r="C3567" s="4">
        <v>45938.25</v>
      </c>
      <c r="D3567" s="4">
        <v>45938.250647916662</v>
      </c>
      <c r="E3567" s="2">
        <v>2.67</v>
      </c>
      <c r="F3567" s="2">
        <v>60.2</v>
      </c>
      <c r="G3567" s="2" t="s">
        <v>983</v>
      </c>
      <c r="H3567" s="2" t="s">
        <v>984</v>
      </c>
      <c r="I3567" s="2"/>
      <c r="J3567" s="2" t="s">
        <v>38</v>
      </c>
    </row>
    <row r="3568" spans="1:10" ht="21" customHeight="1">
      <c r="A3568" s="2" t="s">
        <v>4564</v>
      </c>
      <c r="B3568" s="2" t="s">
        <v>38</v>
      </c>
      <c r="C3568" s="4">
        <v>45939.25</v>
      </c>
      <c r="D3568" s="4">
        <v>45939.250646157408</v>
      </c>
      <c r="E3568" s="2">
        <v>2.8</v>
      </c>
      <c r="F3568" s="2">
        <v>62.7</v>
      </c>
      <c r="G3568" s="2" t="s">
        <v>983</v>
      </c>
      <c r="H3568" s="2" t="s">
        <v>984</v>
      </c>
      <c r="I3568" s="2"/>
      <c r="J3568" s="2" t="s">
        <v>38</v>
      </c>
    </row>
    <row r="3569" spans="1:10" ht="21" customHeight="1">
      <c r="A3569" s="2" t="s">
        <v>4565</v>
      </c>
      <c r="B3569" s="2" t="s">
        <v>4319</v>
      </c>
      <c r="C3569" s="4">
        <v>45940.25</v>
      </c>
      <c r="D3569" s="4">
        <v>45940.250322094907</v>
      </c>
      <c r="E3569" s="2"/>
      <c r="F3569" s="2"/>
      <c r="G3569" s="2" t="s">
        <v>983</v>
      </c>
      <c r="H3569" s="2" t="s">
        <v>1066</v>
      </c>
      <c r="I3569" s="2"/>
      <c r="J3569" s="2" t="s">
        <v>38</v>
      </c>
    </row>
    <row r="3570" spans="1:10" ht="21" customHeight="1">
      <c r="A3570" s="2" t="s">
        <v>4566</v>
      </c>
      <c r="B3570" s="2" t="s">
        <v>38</v>
      </c>
      <c r="C3570" s="4">
        <v>45941.25</v>
      </c>
      <c r="D3570" s="4">
        <v>45941.25005130787</v>
      </c>
      <c r="E3570" s="2">
        <v>3.16</v>
      </c>
      <c r="F3570" s="2">
        <v>62.5</v>
      </c>
      <c r="G3570" s="2" t="s">
        <v>983</v>
      </c>
      <c r="H3570" s="2" t="s">
        <v>984</v>
      </c>
      <c r="I3570" s="2"/>
      <c r="J3570" s="2" t="s">
        <v>38</v>
      </c>
    </row>
    <row r="3571" spans="1:10" ht="21" customHeight="1">
      <c r="A3571" s="2" t="s">
        <v>4567</v>
      </c>
      <c r="B3571" s="2" t="s">
        <v>38</v>
      </c>
      <c r="C3571" s="4">
        <v>45942.25</v>
      </c>
      <c r="D3571" s="4">
        <v>45942.250514201391</v>
      </c>
      <c r="E3571" s="2">
        <v>2.87</v>
      </c>
      <c r="F3571" s="2">
        <v>62.3</v>
      </c>
      <c r="G3571" s="2" t="s">
        <v>983</v>
      </c>
      <c r="H3571" s="2" t="s">
        <v>984</v>
      </c>
      <c r="I3571" s="2"/>
      <c r="J3571" s="2" t="s">
        <v>38</v>
      </c>
    </row>
    <row r="3572" spans="1:10" ht="21" customHeight="1">
      <c r="A3572" s="2" t="s">
        <v>4568</v>
      </c>
      <c r="B3572" s="2" t="s">
        <v>38</v>
      </c>
      <c r="C3572" s="4">
        <v>45943.25</v>
      </c>
      <c r="D3572" s="4">
        <v>45943.250335567129</v>
      </c>
      <c r="E3572" s="2">
        <v>2.68</v>
      </c>
      <c r="F3572" s="2">
        <v>61.6</v>
      </c>
      <c r="G3572" s="2" t="s">
        <v>983</v>
      </c>
      <c r="H3572" s="2" t="s">
        <v>984</v>
      </c>
      <c r="I3572" s="2"/>
      <c r="J3572" s="2" t="s">
        <v>38</v>
      </c>
    </row>
    <row r="3573" spans="1:10" ht="21" customHeight="1">
      <c r="A3573" s="2" t="s">
        <v>4569</v>
      </c>
      <c r="B3573" s="2" t="s">
        <v>38</v>
      </c>
      <c r="C3573" s="4">
        <v>45944.25</v>
      </c>
      <c r="D3573" s="4">
        <v>45945.5</v>
      </c>
      <c r="E3573" s="2">
        <v>2.38</v>
      </c>
      <c r="F3573" s="2">
        <v>60.6</v>
      </c>
      <c r="G3573" s="2" t="s">
        <v>983</v>
      </c>
      <c r="H3573" s="2" t="s">
        <v>984</v>
      </c>
      <c r="I3573" s="2"/>
      <c r="J3573" s="2" t="s">
        <v>38</v>
      </c>
    </row>
    <row r="3574" spans="1:10" ht="21" customHeight="1">
      <c r="A3574" s="2" t="s">
        <v>4570</v>
      </c>
      <c r="B3574" s="2" t="s">
        <v>38</v>
      </c>
      <c r="C3574" s="4">
        <v>45945.25</v>
      </c>
      <c r="D3574" s="4">
        <v>45945.250598067127</v>
      </c>
      <c r="E3574" s="2">
        <v>3.07</v>
      </c>
      <c r="F3574" s="2">
        <v>65.400000000000006</v>
      </c>
      <c r="G3574" s="2" t="s">
        <v>983</v>
      </c>
      <c r="H3574" s="2" t="s">
        <v>984</v>
      </c>
      <c r="I3574" s="2"/>
      <c r="J3574" s="2" t="s">
        <v>38</v>
      </c>
    </row>
    <row r="3575" spans="1:10" ht="21" customHeight="1">
      <c r="A3575" s="2" t="s">
        <v>4571</v>
      </c>
      <c r="B3575" s="2" t="s">
        <v>38</v>
      </c>
      <c r="C3575" s="4">
        <v>45946.25</v>
      </c>
      <c r="D3575" s="4">
        <v>45946.250449513886</v>
      </c>
      <c r="E3575" s="2">
        <v>2.94</v>
      </c>
      <c r="F3575" s="2">
        <v>64.099999999999994</v>
      </c>
      <c r="G3575" s="2" t="s">
        <v>983</v>
      </c>
      <c r="H3575" s="2" t="s">
        <v>984</v>
      </c>
      <c r="I3575" s="2"/>
      <c r="J3575" s="2" t="s">
        <v>38</v>
      </c>
    </row>
    <row r="3576" spans="1:10" ht="21" customHeight="1">
      <c r="A3576" s="2" t="s">
        <v>4572</v>
      </c>
      <c r="B3576" s="2" t="s">
        <v>38</v>
      </c>
      <c r="C3576" s="4">
        <v>45947.25</v>
      </c>
      <c r="D3576" s="4">
        <v>45947.250200254624</v>
      </c>
      <c r="E3576" s="2">
        <v>2.2799999999999998</v>
      </c>
      <c r="F3576" s="2">
        <v>64.3</v>
      </c>
      <c r="G3576" s="2" t="s">
        <v>983</v>
      </c>
      <c r="H3576" s="2" t="s">
        <v>984</v>
      </c>
      <c r="I3576" s="2" t="s">
        <v>985</v>
      </c>
      <c r="J3576" s="2" t="s">
        <v>38</v>
      </c>
    </row>
    <row r="3577" spans="1:10" ht="21" customHeight="1">
      <c r="A3577" s="2" t="s">
        <v>4573</v>
      </c>
      <c r="B3577" s="2" t="s">
        <v>38</v>
      </c>
      <c r="C3577" s="4">
        <v>45948.25</v>
      </c>
      <c r="D3577" s="4">
        <v>45948.250328194445</v>
      </c>
      <c r="E3577" s="2">
        <v>25.69</v>
      </c>
      <c r="F3577" s="2">
        <v>65.400000000000006</v>
      </c>
      <c r="G3577" s="2" t="s">
        <v>983</v>
      </c>
      <c r="H3577" s="2" t="s">
        <v>1022</v>
      </c>
      <c r="I3577" s="2"/>
      <c r="J3577" s="2" t="s">
        <v>38</v>
      </c>
    </row>
    <row r="3578" spans="1:10" ht="21" customHeight="1">
      <c r="A3578" s="2" t="s">
        <v>4574</v>
      </c>
      <c r="B3578" s="2" t="s">
        <v>38</v>
      </c>
      <c r="C3578" s="4">
        <v>45949.25</v>
      </c>
      <c r="D3578" s="4">
        <v>45949.250128541666</v>
      </c>
      <c r="E3578" s="2">
        <v>3.04</v>
      </c>
      <c r="F3578" s="2">
        <v>65.099999999999994</v>
      </c>
      <c r="G3578" s="2" t="s">
        <v>983</v>
      </c>
      <c r="H3578" s="2" t="s">
        <v>984</v>
      </c>
      <c r="I3578" s="2"/>
      <c r="J3578" s="2" t="s">
        <v>38</v>
      </c>
    </row>
    <row r="3579" spans="1:10" ht="21" customHeight="1">
      <c r="A3579" s="2" t="s">
        <v>4575</v>
      </c>
      <c r="B3579" s="2" t="s">
        <v>38</v>
      </c>
      <c r="C3579" s="4">
        <v>45950.25</v>
      </c>
      <c r="D3579" s="4">
        <v>45950.250603865745</v>
      </c>
      <c r="E3579" s="2">
        <v>2.1</v>
      </c>
      <c r="F3579" s="2">
        <v>59.1</v>
      </c>
      <c r="G3579" s="2" t="s">
        <v>983</v>
      </c>
      <c r="H3579" s="2" t="s">
        <v>984</v>
      </c>
      <c r="I3579" s="2"/>
      <c r="J3579" s="2" t="s">
        <v>38</v>
      </c>
    </row>
    <row r="3580" spans="1:10" ht="21" customHeight="1">
      <c r="A3580" s="2" t="s">
        <v>4576</v>
      </c>
      <c r="B3580" s="2" t="s">
        <v>38</v>
      </c>
      <c r="C3580" s="4">
        <v>45951.25</v>
      </c>
      <c r="D3580" s="4">
        <v>45951.250659803241</v>
      </c>
      <c r="E3580" s="2">
        <v>0</v>
      </c>
      <c r="F3580" s="2">
        <v>64.5</v>
      </c>
      <c r="G3580" s="2" t="s">
        <v>1175</v>
      </c>
      <c r="H3580" s="2" t="s">
        <v>984</v>
      </c>
      <c r="I3580" s="2"/>
      <c r="J3580" s="2" t="s">
        <v>38</v>
      </c>
    </row>
    <row r="3581" spans="1:10" ht="21" customHeight="1">
      <c r="A3581" s="2" t="s">
        <v>4577</v>
      </c>
      <c r="B3581" s="2" t="s">
        <v>38</v>
      </c>
      <c r="C3581" s="4">
        <v>45952.25</v>
      </c>
      <c r="D3581" s="4">
        <v>45952.250023125001</v>
      </c>
      <c r="E3581" s="2"/>
      <c r="F3581" s="2"/>
      <c r="G3581" s="2" t="s">
        <v>983</v>
      </c>
      <c r="H3581" s="2" t="s">
        <v>1066</v>
      </c>
      <c r="I3581" s="2"/>
      <c r="J3581" s="2" t="s">
        <v>38</v>
      </c>
    </row>
    <row r="3582" spans="1:10" ht="21" customHeight="1">
      <c r="A3582" s="2" t="s">
        <v>4578</v>
      </c>
      <c r="B3582" s="2" t="s">
        <v>38</v>
      </c>
      <c r="C3582" s="4">
        <v>45953.25</v>
      </c>
      <c r="D3582" s="4">
        <v>45953.250241585643</v>
      </c>
      <c r="E3582" s="2">
        <v>2.69</v>
      </c>
      <c r="F3582" s="2">
        <v>65.8</v>
      </c>
      <c r="G3582" s="2" t="s">
        <v>983</v>
      </c>
      <c r="H3582" s="2" t="s">
        <v>984</v>
      </c>
      <c r="I3582" s="2"/>
      <c r="J3582" s="2" t="s">
        <v>38</v>
      </c>
    </row>
    <row r="3583" spans="1:10" ht="21" customHeight="1">
      <c r="A3583" s="2" t="s">
        <v>4579</v>
      </c>
      <c r="B3583" s="2" t="s">
        <v>38</v>
      </c>
      <c r="C3583" s="4">
        <v>45954.25</v>
      </c>
      <c r="D3583" s="4">
        <v>45954.250082048609</v>
      </c>
      <c r="E3583" s="2">
        <v>2.15</v>
      </c>
      <c r="F3583" s="2">
        <v>62.3</v>
      </c>
      <c r="G3583" s="2" t="s">
        <v>983</v>
      </c>
      <c r="H3583" s="2" t="s">
        <v>984</v>
      </c>
      <c r="I3583" s="2"/>
      <c r="J3583" s="2" t="s">
        <v>38</v>
      </c>
    </row>
    <row r="3584" spans="1:10" ht="21" customHeight="1">
      <c r="A3584" s="2" t="s">
        <v>4580</v>
      </c>
      <c r="B3584" s="2" t="s">
        <v>38</v>
      </c>
      <c r="C3584" s="4">
        <v>45955.25</v>
      </c>
      <c r="D3584" s="4">
        <v>45956.5</v>
      </c>
      <c r="E3584" s="2">
        <v>2.64</v>
      </c>
      <c r="F3584" s="2">
        <v>60.2</v>
      </c>
      <c r="G3584" s="2" t="s">
        <v>983</v>
      </c>
      <c r="H3584" s="2" t="s">
        <v>984</v>
      </c>
      <c r="I3584" s="2"/>
      <c r="J3584" s="2" t="s">
        <v>38</v>
      </c>
    </row>
    <row r="3585" spans="1:10" ht="21" customHeight="1">
      <c r="A3585" s="2" t="s">
        <v>4581</v>
      </c>
      <c r="B3585" s="2" t="s">
        <v>38</v>
      </c>
      <c r="C3585" s="4">
        <v>45956.25</v>
      </c>
      <c r="D3585" s="4">
        <v>45956.250137372685</v>
      </c>
      <c r="E3585" s="2">
        <v>2.76</v>
      </c>
      <c r="F3585" s="2">
        <v>60.6</v>
      </c>
      <c r="G3585" s="2" t="s">
        <v>983</v>
      </c>
      <c r="H3585" s="2" t="s">
        <v>984</v>
      </c>
      <c r="I3585" s="2"/>
      <c r="J3585" s="2" t="s">
        <v>38</v>
      </c>
    </row>
    <row r="3586" spans="1:10" ht="21" customHeight="1">
      <c r="A3586" s="2" t="s">
        <v>4582</v>
      </c>
      <c r="B3586" s="2" t="s">
        <v>38</v>
      </c>
      <c r="C3586" s="4">
        <v>45957.25</v>
      </c>
      <c r="D3586" s="4">
        <v>45957.250129282409</v>
      </c>
      <c r="E3586" s="2">
        <v>3.08</v>
      </c>
      <c r="F3586" s="2">
        <v>61.9</v>
      </c>
      <c r="G3586" s="2" t="s">
        <v>983</v>
      </c>
      <c r="H3586" s="2" t="s">
        <v>984</v>
      </c>
      <c r="I3586" s="2"/>
      <c r="J3586" s="2" t="s">
        <v>38</v>
      </c>
    </row>
    <row r="3587" spans="1:10" ht="21" customHeight="1">
      <c r="A3587" s="2" t="s">
        <v>4583</v>
      </c>
      <c r="B3587" s="2" t="s">
        <v>38</v>
      </c>
      <c r="C3587" s="4">
        <v>45958.25</v>
      </c>
      <c r="D3587" s="4">
        <v>45958.250467592588</v>
      </c>
      <c r="E3587" s="2">
        <v>2.95</v>
      </c>
      <c r="F3587" s="2">
        <v>59.7</v>
      </c>
      <c r="G3587" s="2" t="s">
        <v>983</v>
      </c>
      <c r="H3587" s="2" t="s">
        <v>984</v>
      </c>
      <c r="I3587" s="2"/>
      <c r="J3587" s="2" t="s">
        <v>38</v>
      </c>
    </row>
    <row r="3588" spans="1:10" ht="21" customHeight="1">
      <c r="A3588" s="2" t="s">
        <v>4584</v>
      </c>
      <c r="B3588" s="2" t="s">
        <v>38</v>
      </c>
      <c r="C3588" s="4">
        <v>45959.25</v>
      </c>
      <c r="D3588" s="4">
        <v>45959.250448090279</v>
      </c>
      <c r="E3588" s="2">
        <v>2.11</v>
      </c>
      <c r="F3588" s="2">
        <v>64.5</v>
      </c>
      <c r="G3588" s="2" t="s">
        <v>983</v>
      </c>
      <c r="H3588" s="2" t="s">
        <v>984</v>
      </c>
      <c r="I3588" s="2"/>
      <c r="J3588" s="2" t="s">
        <v>38</v>
      </c>
    </row>
    <row r="3589" spans="1:10" ht="21" customHeight="1">
      <c r="A3589" s="2" t="s">
        <v>4585</v>
      </c>
      <c r="B3589" s="2" t="s">
        <v>38</v>
      </c>
      <c r="C3589" s="4">
        <v>45960.25</v>
      </c>
      <c r="D3589" s="4">
        <v>45960.250105497689</v>
      </c>
      <c r="E3589" s="2">
        <v>2.93</v>
      </c>
      <c r="F3589" s="2">
        <v>61.7</v>
      </c>
      <c r="G3589" s="2" t="s">
        <v>983</v>
      </c>
      <c r="H3589" s="2" t="s">
        <v>984</v>
      </c>
      <c r="I3589" s="2"/>
      <c r="J3589" s="2" t="s">
        <v>38</v>
      </c>
    </row>
    <row r="3590" spans="1:10" ht="21" customHeight="1">
      <c r="A3590" s="2" t="s">
        <v>4586</v>
      </c>
      <c r="B3590" s="2" t="s">
        <v>38</v>
      </c>
      <c r="C3590" s="4">
        <v>45961.25</v>
      </c>
      <c r="D3590" s="4">
        <v>45961.250092858798</v>
      </c>
      <c r="E3590" s="2">
        <v>2.2799999999999998</v>
      </c>
      <c r="F3590" s="2">
        <v>65.3</v>
      </c>
      <c r="G3590" s="2" t="s">
        <v>983</v>
      </c>
      <c r="H3590" s="2" t="s">
        <v>984</v>
      </c>
      <c r="I3590" s="2"/>
      <c r="J3590" s="2" t="s">
        <v>38</v>
      </c>
    </row>
    <row r="3591" spans="1:10" ht="21" customHeight="1">
      <c r="A3591" s="2" t="s">
        <v>4587</v>
      </c>
      <c r="B3591" s="2" t="s">
        <v>38</v>
      </c>
      <c r="C3591" s="4">
        <v>45962.25</v>
      </c>
      <c r="D3591" s="4">
        <v>45962.250015729165</v>
      </c>
      <c r="E3591" s="2">
        <v>2.74</v>
      </c>
      <c r="F3591" s="2">
        <v>62.3</v>
      </c>
      <c r="G3591" s="2" t="s">
        <v>983</v>
      </c>
      <c r="H3591" s="2" t="s">
        <v>984</v>
      </c>
      <c r="I3591" s="2"/>
      <c r="J3591" s="2" t="s">
        <v>38</v>
      </c>
    </row>
    <row r="3592" spans="1:10" ht="21" customHeight="1">
      <c r="A3592" s="2" t="s">
        <v>4588</v>
      </c>
      <c r="B3592" s="2" t="s">
        <v>38</v>
      </c>
      <c r="C3592" s="4">
        <v>45963.25</v>
      </c>
      <c r="D3592" s="4">
        <v>45963.250669814814</v>
      </c>
      <c r="E3592" s="2">
        <v>2.54</v>
      </c>
      <c r="F3592" s="2">
        <v>63.7</v>
      </c>
      <c r="G3592" s="2" t="s">
        <v>983</v>
      </c>
      <c r="H3592" s="2" t="s">
        <v>984</v>
      </c>
      <c r="I3592" s="2"/>
      <c r="J3592" s="2" t="s">
        <v>38</v>
      </c>
    </row>
    <row r="3593" spans="1:10" ht="21" customHeight="1">
      <c r="A3593" s="2" t="s">
        <v>4589</v>
      </c>
      <c r="B3593" s="2" t="s">
        <v>38</v>
      </c>
      <c r="C3593" s="4">
        <v>45964.25</v>
      </c>
      <c r="D3593" s="4">
        <v>45964.250544085648</v>
      </c>
      <c r="E3593" s="2">
        <v>3.25</v>
      </c>
      <c r="F3593" s="2">
        <v>65.400000000000006</v>
      </c>
      <c r="G3593" s="2" t="s">
        <v>983</v>
      </c>
      <c r="H3593" s="2" t="s">
        <v>984</v>
      </c>
      <c r="I3593" s="2" t="s">
        <v>985</v>
      </c>
      <c r="J3593" s="2" t="s">
        <v>38</v>
      </c>
    </row>
    <row r="3594" spans="1:10" ht="21" customHeight="1">
      <c r="A3594" s="2" t="s">
        <v>4590</v>
      </c>
      <c r="B3594" s="2" t="s">
        <v>38</v>
      </c>
      <c r="C3594" s="4">
        <v>45965.25</v>
      </c>
      <c r="D3594" s="4">
        <v>45965.250331736112</v>
      </c>
      <c r="E3594" s="2">
        <v>3.26</v>
      </c>
      <c r="F3594" s="2">
        <v>60.3</v>
      </c>
      <c r="G3594" s="2" t="s">
        <v>983</v>
      </c>
      <c r="H3594" s="2" t="s">
        <v>984</v>
      </c>
      <c r="I3594" s="2"/>
      <c r="J3594" s="2" t="s">
        <v>38</v>
      </c>
    </row>
    <row r="3595" spans="1:10" ht="21" customHeight="1">
      <c r="A3595" s="2" t="s">
        <v>4591</v>
      </c>
      <c r="B3595" s="2" t="s">
        <v>38</v>
      </c>
      <c r="C3595" s="4">
        <v>45966.25</v>
      </c>
      <c r="D3595" s="4">
        <v>45967.5</v>
      </c>
      <c r="E3595" s="2">
        <v>2.89</v>
      </c>
      <c r="F3595" s="2">
        <v>63.7</v>
      </c>
      <c r="G3595" s="2" t="s">
        <v>983</v>
      </c>
      <c r="H3595" s="2" t="s">
        <v>984</v>
      </c>
      <c r="I3595" s="2"/>
      <c r="J3595" s="2" t="s">
        <v>38</v>
      </c>
    </row>
    <row r="3596" spans="1:10" ht="21" customHeight="1">
      <c r="A3596" s="2" t="s">
        <v>4592</v>
      </c>
      <c r="B3596" s="2" t="s">
        <v>38</v>
      </c>
      <c r="C3596" s="4">
        <v>45967.25</v>
      </c>
      <c r="D3596" s="4">
        <v>45967.250248298616</v>
      </c>
      <c r="E3596" s="2">
        <v>2.11</v>
      </c>
      <c r="F3596" s="2">
        <v>58.4</v>
      </c>
      <c r="G3596" s="2" t="s">
        <v>983</v>
      </c>
      <c r="H3596" s="2" t="s">
        <v>984</v>
      </c>
      <c r="I3596" s="2"/>
      <c r="J3596" s="2" t="s">
        <v>38</v>
      </c>
    </row>
    <row r="3597" spans="1:10" ht="21" customHeight="1">
      <c r="A3597" s="2" t="s">
        <v>4593</v>
      </c>
      <c r="B3597" s="2" t="s">
        <v>38</v>
      </c>
      <c r="C3597" s="4">
        <v>45968.25</v>
      </c>
      <c r="D3597" s="4">
        <v>45968.250040046296</v>
      </c>
      <c r="E3597" s="2">
        <v>2.12</v>
      </c>
      <c r="F3597" s="2">
        <v>64</v>
      </c>
      <c r="G3597" s="2" t="s">
        <v>983</v>
      </c>
      <c r="H3597" s="2" t="s">
        <v>984</v>
      </c>
      <c r="I3597" s="2"/>
      <c r="J3597" s="2" t="s">
        <v>38</v>
      </c>
    </row>
    <row r="3598" spans="1:10" ht="21" customHeight="1">
      <c r="A3598" s="2" t="s">
        <v>4594</v>
      </c>
      <c r="B3598" s="2" t="s">
        <v>38</v>
      </c>
      <c r="C3598" s="4">
        <v>45969.25</v>
      </c>
      <c r="D3598" s="4">
        <v>45969.250008379633</v>
      </c>
      <c r="E3598" s="2">
        <v>4.38</v>
      </c>
      <c r="F3598" s="2">
        <v>63.6</v>
      </c>
      <c r="G3598" s="2" t="s">
        <v>983</v>
      </c>
      <c r="H3598" s="2" t="s">
        <v>984</v>
      </c>
      <c r="I3598" s="2"/>
      <c r="J3598" s="2" t="s">
        <v>38</v>
      </c>
    </row>
    <row r="3599" spans="1:10" ht="21" customHeight="1">
      <c r="A3599" s="2" t="s">
        <v>4595</v>
      </c>
      <c r="B3599" s="2" t="s">
        <v>38</v>
      </c>
      <c r="C3599" s="4">
        <v>45970.25</v>
      </c>
      <c r="D3599" s="4">
        <v>45970.250245277777</v>
      </c>
      <c r="E3599" s="2">
        <v>4.12</v>
      </c>
      <c r="F3599" s="2">
        <v>73.400000000000006</v>
      </c>
      <c r="G3599" s="2" t="s">
        <v>983</v>
      </c>
      <c r="H3599" s="2" t="s">
        <v>984</v>
      </c>
      <c r="I3599" s="2" t="s">
        <v>1053</v>
      </c>
      <c r="J3599" s="2" t="s">
        <v>38</v>
      </c>
    </row>
    <row r="3600" spans="1:10" ht="21" customHeight="1">
      <c r="A3600" s="2" t="s">
        <v>4596</v>
      </c>
      <c r="B3600" s="2" t="s">
        <v>38</v>
      </c>
      <c r="C3600" s="4">
        <v>45971.25</v>
      </c>
      <c r="D3600" s="4">
        <v>45971.250350844908</v>
      </c>
      <c r="E3600" s="2">
        <v>5.96</v>
      </c>
      <c r="F3600" s="2">
        <v>67.8</v>
      </c>
      <c r="G3600" s="2" t="s">
        <v>983</v>
      </c>
      <c r="H3600" s="2" t="s">
        <v>984</v>
      </c>
      <c r="I3600" s="2"/>
      <c r="J3600" s="2" t="s">
        <v>38</v>
      </c>
    </row>
    <row r="3601" spans="1:10" ht="21" customHeight="1">
      <c r="A3601" s="2" t="s">
        <v>4597</v>
      </c>
      <c r="B3601" s="2" t="s">
        <v>38</v>
      </c>
      <c r="C3601" s="4">
        <v>45972.25</v>
      </c>
      <c r="D3601" s="4">
        <v>45972.250404548613</v>
      </c>
      <c r="E3601" s="2">
        <v>0</v>
      </c>
      <c r="F3601" s="2">
        <v>65.099999999999994</v>
      </c>
      <c r="G3601" s="2" t="s">
        <v>1175</v>
      </c>
      <c r="H3601" s="2" t="s">
        <v>984</v>
      </c>
      <c r="I3601" s="2"/>
      <c r="J3601" s="2" t="s">
        <v>38</v>
      </c>
    </row>
    <row r="3602" spans="1:10" ht="21" customHeight="1">
      <c r="A3602" s="2" t="s">
        <v>4598</v>
      </c>
      <c r="B3602" s="2" t="s">
        <v>38</v>
      </c>
      <c r="C3602" s="4">
        <v>45973.25</v>
      </c>
      <c r="D3602" s="4">
        <v>45973.250334641205</v>
      </c>
      <c r="E3602" s="2">
        <v>3.27</v>
      </c>
      <c r="F3602" s="2">
        <v>59.4</v>
      </c>
      <c r="G3602" s="2" t="s">
        <v>983</v>
      </c>
      <c r="H3602" s="2" t="s">
        <v>984</v>
      </c>
      <c r="I3602" s="2"/>
      <c r="J3602" s="2" t="s">
        <v>38</v>
      </c>
    </row>
    <row r="3603" spans="1:10" ht="21" customHeight="1">
      <c r="A3603" s="2" t="s">
        <v>4599</v>
      </c>
      <c r="B3603" s="2" t="s">
        <v>38</v>
      </c>
      <c r="C3603" s="4">
        <v>45974.25</v>
      </c>
      <c r="D3603" s="4">
        <v>45974.250121527773</v>
      </c>
      <c r="E3603" s="2"/>
      <c r="F3603" s="2"/>
      <c r="G3603" s="2" t="s">
        <v>983</v>
      </c>
      <c r="H3603" s="2" t="s">
        <v>1066</v>
      </c>
      <c r="I3603" s="2"/>
      <c r="J3603" s="2" t="s">
        <v>38</v>
      </c>
    </row>
    <row r="3604" spans="1:10" ht="21" customHeight="1">
      <c r="A3604" s="2" t="s">
        <v>4600</v>
      </c>
      <c r="B3604" s="2" t="s">
        <v>38</v>
      </c>
      <c r="C3604" s="4">
        <v>45975.25</v>
      </c>
      <c r="D3604" s="4">
        <v>45975.250547743053</v>
      </c>
      <c r="E3604" s="2">
        <v>2.99</v>
      </c>
      <c r="F3604" s="2">
        <v>61</v>
      </c>
      <c r="G3604" s="2" t="s">
        <v>983</v>
      </c>
      <c r="H3604" s="2" t="s">
        <v>984</v>
      </c>
      <c r="I3604" s="2"/>
      <c r="J3604" s="2" t="s">
        <v>38</v>
      </c>
    </row>
    <row r="3605" spans="1:10" ht="21" customHeight="1">
      <c r="A3605" s="2" t="s">
        <v>4601</v>
      </c>
      <c r="B3605" s="2" t="s">
        <v>38</v>
      </c>
      <c r="C3605" s="4">
        <v>45976.25</v>
      </c>
      <c r="D3605" s="4">
        <v>45976.250166180558</v>
      </c>
      <c r="E3605" s="2">
        <v>2.81</v>
      </c>
      <c r="F3605" s="2">
        <v>65.2</v>
      </c>
      <c r="G3605" s="2" t="s">
        <v>983</v>
      </c>
      <c r="H3605" s="2" t="s">
        <v>984</v>
      </c>
      <c r="I3605" s="2"/>
      <c r="J3605" s="2" t="s">
        <v>38</v>
      </c>
    </row>
    <row r="3606" spans="1:10" ht="21" customHeight="1">
      <c r="A3606" s="2" t="s">
        <v>4602</v>
      </c>
      <c r="B3606" s="2" t="s">
        <v>38</v>
      </c>
      <c r="C3606" s="4">
        <v>45977.25</v>
      </c>
      <c r="D3606" s="4">
        <v>45978.5</v>
      </c>
      <c r="E3606" s="2"/>
      <c r="F3606" s="2"/>
      <c r="G3606" s="2" t="s">
        <v>983</v>
      </c>
      <c r="H3606" s="2" t="s">
        <v>1066</v>
      </c>
      <c r="I3606" s="2"/>
      <c r="J3606" s="2" t="s">
        <v>38</v>
      </c>
    </row>
    <row r="3607" spans="1:10" ht="21" customHeight="1">
      <c r="A3607" s="2" t="s">
        <v>4603</v>
      </c>
      <c r="B3607" s="2" t="s">
        <v>38</v>
      </c>
      <c r="C3607" s="4">
        <v>45978.25</v>
      </c>
      <c r="D3607" s="4">
        <v>45978.250071631948</v>
      </c>
      <c r="E3607" s="2">
        <v>3.12</v>
      </c>
      <c r="F3607" s="2">
        <v>61.9</v>
      </c>
      <c r="G3607" s="2" t="s">
        <v>983</v>
      </c>
      <c r="H3607" s="2" t="s">
        <v>984</v>
      </c>
      <c r="I3607" s="2"/>
      <c r="J3607" s="2" t="s">
        <v>38</v>
      </c>
    </row>
    <row r="3608" spans="1:10" ht="21" customHeight="1">
      <c r="A3608" s="2" t="s">
        <v>4604</v>
      </c>
      <c r="B3608" s="2" t="s">
        <v>38</v>
      </c>
      <c r="C3608" s="4">
        <v>45979.25</v>
      </c>
      <c r="D3608" s="4">
        <v>45979.250068414352</v>
      </c>
      <c r="E3608" s="2">
        <v>2.88</v>
      </c>
      <c r="F3608" s="2">
        <v>60.4</v>
      </c>
      <c r="G3608" s="2" t="s">
        <v>983</v>
      </c>
      <c r="H3608" s="2" t="s">
        <v>984</v>
      </c>
      <c r="I3608" s="2"/>
      <c r="J3608" s="2" t="s">
        <v>38</v>
      </c>
    </row>
    <row r="3609" spans="1:10" ht="21" customHeight="1">
      <c r="A3609" s="2" t="s">
        <v>4605</v>
      </c>
      <c r="B3609" s="2" t="s">
        <v>38</v>
      </c>
      <c r="C3609" s="4">
        <v>45980.25</v>
      </c>
      <c r="D3609" s="4">
        <v>45980.250370034722</v>
      </c>
      <c r="E3609" s="2">
        <v>2.81</v>
      </c>
      <c r="F3609" s="2">
        <v>62.5</v>
      </c>
      <c r="G3609" s="2" t="s">
        <v>983</v>
      </c>
      <c r="H3609" s="2" t="s">
        <v>984</v>
      </c>
      <c r="I3609" s="2"/>
      <c r="J3609" s="2" t="s">
        <v>38</v>
      </c>
    </row>
    <row r="3610" spans="1:10" ht="21" customHeight="1">
      <c r="A3610" s="2" t="s">
        <v>4606</v>
      </c>
      <c r="B3610" s="2" t="s">
        <v>4319</v>
      </c>
      <c r="C3610" s="4">
        <v>45981.25</v>
      </c>
      <c r="D3610" s="4">
        <v>45981.250449386571</v>
      </c>
      <c r="E3610" s="2">
        <v>2.76</v>
      </c>
      <c r="F3610" s="2">
        <v>60.9</v>
      </c>
      <c r="G3610" s="2" t="s">
        <v>983</v>
      </c>
      <c r="H3610" s="2" t="s">
        <v>984</v>
      </c>
      <c r="I3610" s="2" t="s">
        <v>985</v>
      </c>
      <c r="J3610" s="2" t="s">
        <v>38</v>
      </c>
    </row>
    <row r="3611" spans="1:10" ht="21" customHeight="1">
      <c r="A3611" s="2" t="s">
        <v>4607</v>
      </c>
      <c r="B3611" s="2" t="s">
        <v>38</v>
      </c>
      <c r="C3611" s="4">
        <v>45982.25</v>
      </c>
      <c r="D3611" s="4">
        <v>45982.250533090279</v>
      </c>
      <c r="E3611" s="2">
        <v>2.8</v>
      </c>
      <c r="F3611" s="2">
        <v>62.1</v>
      </c>
      <c r="G3611" s="2" t="s">
        <v>983</v>
      </c>
      <c r="H3611" s="2" t="s">
        <v>984</v>
      </c>
      <c r="I3611" s="2"/>
      <c r="J3611" s="2" t="s">
        <v>38</v>
      </c>
    </row>
    <row r="3612" spans="1:10" ht="21" customHeight="1">
      <c r="A3612" s="2" t="s">
        <v>4608</v>
      </c>
      <c r="B3612" s="2" t="s">
        <v>38</v>
      </c>
      <c r="C3612" s="4">
        <v>45983.25</v>
      </c>
      <c r="D3612" s="4">
        <v>45983.250104895837</v>
      </c>
      <c r="E3612" s="2">
        <v>2.57</v>
      </c>
      <c r="F3612" s="2">
        <v>65.400000000000006</v>
      </c>
      <c r="G3612" s="2" t="s">
        <v>983</v>
      </c>
      <c r="H3612" s="2" t="s">
        <v>984</v>
      </c>
      <c r="I3612" s="2"/>
      <c r="J3612" s="2" t="s">
        <v>38</v>
      </c>
    </row>
    <row r="3613" spans="1:10" ht="21" customHeight="1">
      <c r="A3613" s="2" t="s">
        <v>4609</v>
      </c>
      <c r="B3613" s="2" t="s">
        <v>38</v>
      </c>
      <c r="C3613" s="4">
        <v>45984.25</v>
      </c>
      <c r="D3613" s="4">
        <v>45984.250405937499</v>
      </c>
      <c r="E3613" s="2">
        <v>2.5099999999999998</v>
      </c>
      <c r="F3613" s="2">
        <v>65.5</v>
      </c>
      <c r="G3613" s="2" t="s">
        <v>983</v>
      </c>
      <c r="H3613" s="2" t="s">
        <v>984</v>
      </c>
      <c r="I3613" s="2"/>
      <c r="J3613" s="2" t="s">
        <v>38</v>
      </c>
    </row>
    <row r="3614" spans="1:10" ht="21" customHeight="1">
      <c r="A3614" s="2" t="s">
        <v>4610</v>
      </c>
      <c r="B3614" s="2" t="s">
        <v>38</v>
      </c>
      <c r="C3614" s="4">
        <v>45985.25</v>
      </c>
      <c r="D3614" s="4">
        <v>45985.250672083333</v>
      </c>
      <c r="E3614" s="2">
        <v>2.92</v>
      </c>
      <c r="F3614" s="2">
        <v>63</v>
      </c>
      <c r="G3614" s="2" t="s">
        <v>983</v>
      </c>
      <c r="H3614" s="2" t="s">
        <v>984</v>
      </c>
      <c r="I3614" s="2"/>
      <c r="J3614" s="2" t="s">
        <v>38</v>
      </c>
    </row>
    <row r="3615" spans="1:10" ht="21" customHeight="1">
      <c r="A3615" s="2" t="s">
        <v>4611</v>
      </c>
      <c r="B3615" s="2" t="s">
        <v>38</v>
      </c>
      <c r="C3615" s="4">
        <v>45986.25</v>
      </c>
      <c r="D3615" s="4">
        <v>45986.250402569443</v>
      </c>
      <c r="E3615" s="2">
        <v>2.83</v>
      </c>
      <c r="F3615" s="2">
        <v>65.5</v>
      </c>
      <c r="G3615" s="2" t="s">
        <v>983</v>
      </c>
      <c r="H3615" s="2" t="s">
        <v>984</v>
      </c>
      <c r="I3615" s="2"/>
      <c r="J3615" s="2" t="s">
        <v>38</v>
      </c>
    </row>
    <row r="3616" spans="1:10" ht="21" customHeight="1">
      <c r="A3616" s="2" t="s">
        <v>4612</v>
      </c>
      <c r="B3616" s="2" t="s">
        <v>38</v>
      </c>
      <c r="C3616" s="4">
        <v>45987.25</v>
      </c>
      <c r="D3616" s="4">
        <v>45987.250430254629</v>
      </c>
      <c r="E3616" s="2">
        <v>2.81</v>
      </c>
      <c r="F3616" s="2">
        <v>58.4</v>
      </c>
      <c r="G3616" s="2" t="s">
        <v>983</v>
      </c>
      <c r="H3616" s="2" t="s">
        <v>984</v>
      </c>
      <c r="I3616" s="2"/>
      <c r="J3616" s="2" t="s">
        <v>38</v>
      </c>
    </row>
    <row r="3617" spans="1:10" ht="21" customHeight="1">
      <c r="A3617" s="2" t="s">
        <v>4613</v>
      </c>
      <c r="B3617" s="2" t="s">
        <v>38</v>
      </c>
      <c r="C3617" s="4">
        <v>45988.25</v>
      </c>
      <c r="D3617" s="4">
        <v>45989.5</v>
      </c>
      <c r="E3617" s="2">
        <v>2.93</v>
      </c>
      <c r="F3617" s="2">
        <v>60.5</v>
      </c>
      <c r="G3617" s="2" t="s">
        <v>983</v>
      </c>
      <c r="H3617" s="2" t="s">
        <v>984</v>
      </c>
      <c r="I3617" s="2"/>
      <c r="J3617" s="2" t="s">
        <v>38</v>
      </c>
    </row>
    <row r="3618" spans="1:10" ht="21" customHeight="1">
      <c r="A3618" s="2" t="s">
        <v>4614</v>
      </c>
      <c r="B3618" s="2" t="s">
        <v>38</v>
      </c>
      <c r="C3618" s="4">
        <v>45989.25</v>
      </c>
      <c r="D3618" s="4">
        <v>45989.250463425924</v>
      </c>
      <c r="E3618" s="2">
        <v>2.4900000000000002</v>
      </c>
      <c r="F3618" s="2">
        <v>61.1</v>
      </c>
      <c r="G3618" s="2" t="s">
        <v>983</v>
      </c>
      <c r="H3618" s="2" t="s">
        <v>984</v>
      </c>
      <c r="I3618" s="2"/>
      <c r="J3618" s="2" t="s">
        <v>38</v>
      </c>
    </row>
    <row r="3619" spans="1:10" ht="21" customHeight="1">
      <c r="A3619" s="2" t="s">
        <v>4615</v>
      </c>
      <c r="B3619" s="2" t="s">
        <v>38</v>
      </c>
      <c r="C3619" s="4">
        <v>45990.25</v>
      </c>
      <c r="D3619" s="4">
        <v>45990.250184849538</v>
      </c>
      <c r="E3619" s="2">
        <v>2.72</v>
      </c>
      <c r="F3619" s="2">
        <v>59.7</v>
      </c>
      <c r="G3619" s="2" t="s">
        <v>983</v>
      </c>
      <c r="H3619" s="2" t="s">
        <v>984</v>
      </c>
      <c r="I3619" s="2"/>
      <c r="J3619" s="2" t="s">
        <v>38</v>
      </c>
    </row>
    <row r="3620" spans="1:10" ht="21" customHeight="1">
      <c r="A3620" s="2" t="s">
        <v>4616</v>
      </c>
      <c r="B3620" s="2" t="s">
        <v>38</v>
      </c>
      <c r="C3620" s="4">
        <v>45991.25</v>
      </c>
      <c r="D3620" s="4">
        <v>45991.250091388887</v>
      </c>
      <c r="E3620" s="2">
        <v>2.94</v>
      </c>
      <c r="F3620" s="2">
        <v>58.8</v>
      </c>
      <c r="G3620" s="2" t="s">
        <v>983</v>
      </c>
      <c r="H3620" s="2" t="s">
        <v>984</v>
      </c>
      <c r="I3620" s="2"/>
      <c r="J3620" s="2" t="s">
        <v>38</v>
      </c>
    </row>
    <row r="3621" spans="1:10" ht="21" customHeight="1">
      <c r="A3621" s="2" t="s">
        <v>4617</v>
      </c>
      <c r="B3621" s="2" t="s">
        <v>38</v>
      </c>
      <c r="C3621" s="4">
        <v>45992.25</v>
      </c>
      <c r="D3621" s="4">
        <v>45992.250392025468</v>
      </c>
      <c r="E3621" s="2">
        <v>2.27</v>
      </c>
      <c r="F3621" s="2">
        <v>63.1</v>
      </c>
      <c r="G3621" s="2" t="s">
        <v>983</v>
      </c>
      <c r="H3621" s="2" t="s">
        <v>984</v>
      </c>
      <c r="I3621" s="2"/>
      <c r="J3621" s="2" t="s">
        <v>38</v>
      </c>
    </row>
    <row r="3622" spans="1:10" ht="21" customHeight="1">
      <c r="A3622" s="2" t="s">
        <v>4618</v>
      </c>
      <c r="B3622" s="2" t="s">
        <v>38</v>
      </c>
      <c r="C3622" s="4">
        <v>45993.25</v>
      </c>
      <c r="D3622" s="4">
        <v>45993.250093032402</v>
      </c>
      <c r="E3622" s="2"/>
      <c r="F3622" s="2"/>
      <c r="G3622" s="2" t="s">
        <v>983</v>
      </c>
      <c r="H3622" s="2" t="s">
        <v>1066</v>
      </c>
      <c r="I3622" s="2"/>
      <c r="J3622" s="2" t="s">
        <v>38</v>
      </c>
    </row>
    <row r="3623" spans="1:10" ht="21" customHeight="1">
      <c r="A3623" s="2" t="s">
        <v>4619</v>
      </c>
      <c r="B3623" s="2" t="s">
        <v>38</v>
      </c>
      <c r="C3623" s="4">
        <v>45994.25</v>
      </c>
      <c r="D3623" s="4">
        <v>45994.250608715272</v>
      </c>
      <c r="E3623" s="2">
        <v>2.14</v>
      </c>
      <c r="F3623" s="2">
        <v>65.400000000000006</v>
      </c>
      <c r="G3623" s="2" t="s">
        <v>983</v>
      </c>
      <c r="H3623" s="2" t="s">
        <v>984</v>
      </c>
      <c r="I3623" s="2"/>
      <c r="J3623" s="2" t="s">
        <v>38</v>
      </c>
    </row>
    <row r="3624" spans="1:10" ht="21" customHeight="1">
      <c r="A3624" s="2" t="s">
        <v>4620</v>
      </c>
      <c r="B3624" s="2" t="s">
        <v>38</v>
      </c>
      <c r="C3624" s="4">
        <v>45995.25</v>
      </c>
      <c r="D3624" s="4">
        <v>45995.250650706017</v>
      </c>
      <c r="E3624" s="2">
        <v>2.5</v>
      </c>
      <c r="F3624" s="2">
        <v>64.3</v>
      </c>
      <c r="G3624" s="2" t="s">
        <v>983</v>
      </c>
      <c r="H3624" s="2" t="s">
        <v>984</v>
      </c>
      <c r="I3624" s="2"/>
      <c r="J3624" s="2" t="s">
        <v>38</v>
      </c>
    </row>
    <row r="3625" spans="1:10" ht="21" customHeight="1">
      <c r="A3625" s="2" t="s">
        <v>4621</v>
      </c>
      <c r="B3625" s="2" t="s">
        <v>38</v>
      </c>
      <c r="C3625" s="4">
        <v>45996.25</v>
      </c>
      <c r="D3625" s="4">
        <v>45996.250358124998</v>
      </c>
      <c r="E3625" s="2">
        <v>0</v>
      </c>
      <c r="F3625" s="2">
        <v>60.2</v>
      </c>
      <c r="G3625" s="2" t="s">
        <v>1175</v>
      </c>
      <c r="H3625" s="2" t="s">
        <v>984</v>
      </c>
      <c r="I3625" s="2"/>
      <c r="J3625" s="2" t="s">
        <v>38</v>
      </c>
    </row>
    <row r="3626" spans="1:10" ht="21" customHeight="1">
      <c r="A3626" s="2" t="s">
        <v>4622</v>
      </c>
      <c r="B3626" s="2" t="s">
        <v>38</v>
      </c>
      <c r="C3626" s="4">
        <v>45997.25</v>
      </c>
      <c r="D3626" s="4">
        <v>45997.250509664351</v>
      </c>
      <c r="E3626" s="2">
        <v>2.21</v>
      </c>
      <c r="F3626" s="2">
        <v>65.2</v>
      </c>
      <c r="G3626" s="2" t="s">
        <v>983</v>
      </c>
      <c r="H3626" s="2" t="s">
        <v>984</v>
      </c>
      <c r="I3626" s="2"/>
      <c r="J3626" s="2" t="s">
        <v>38</v>
      </c>
    </row>
    <row r="3627" spans="1:10" ht="21" customHeight="1">
      <c r="A3627" s="2" t="s">
        <v>4623</v>
      </c>
      <c r="B3627" s="2" t="s">
        <v>38</v>
      </c>
      <c r="C3627" s="4">
        <v>45998.25</v>
      </c>
      <c r="D3627" s="4">
        <v>45998.250477256945</v>
      </c>
      <c r="E3627" s="2">
        <v>2.9</v>
      </c>
      <c r="F3627" s="2">
        <v>60.8</v>
      </c>
      <c r="G3627" s="2" t="s">
        <v>983</v>
      </c>
      <c r="H3627" s="2" t="s">
        <v>984</v>
      </c>
      <c r="I3627" s="2" t="s">
        <v>985</v>
      </c>
      <c r="J3627" s="2" t="s">
        <v>38</v>
      </c>
    </row>
    <row r="3628" spans="1:10" ht="21" customHeight="1">
      <c r="A3628" s="2" t="s">
        <v>4624</v>
      </c>
      <c r="B3628" s="2" t="s">
        <v>38</v>
      </c>
      <c r="C3628" s="4">
        <v>45999.25</v>
      </c>
      <c r="D3628" s="4">
        <v>46000.5</v>
      </c>
      <c r="E3628" s="2">
        <v>2.68</v>
      </c>
      <c r="F3628" s="2">
        <v>60.1</v>
      </c>
      <c r="G3628" s="2" t="s">
        <v>983</v>
      </c>
      <c r="H3628" s="2" t="s">
        <v>984</v>
      </c>
      <c r="I3628" s="2"/>
      <c r="J3628" s="2" t="s">
        <v>38</v>
      </c>
    </row>
    <row r="3629" spans="1:10" ht="21" customHeight="1">
      <c r="A3629" s="2" t="s">
        <v>4625</v>
      </c>
      <c r="B3629" s="2" t="s">
        <v>38</v>
      </c>
      <c r="C3629" s="4">
        <v>46000.25</v>
      </c>
      <c r="D3629" s="4">
        <v>46000.250190578707</v>
      </c>
      <c r="E3629" s="2"/>
      <c r="F3629" s="2"/>
      <c r="G3629" s="2" t="s">
        <v>983</v>
      </c>
      <c r="H3629" s="2" t="s">
        <v>1066</v>
      </c>
      <c r="I3629" s="2"/>
      <c r="J3629" s="2" t="s">
        <v>38</v>
      </c>
    </row>
    <row r="3630" spans="1:10" ht="21" customHeight="1">
      <c r="A3630" s="2" t="s">
        <v>4626</v>
      </c>
      <c r="B3630" s="2" t="s">
        <v>38</v>
      </c>
      <c r="C3630" s="4">
        <v>46001.25</v>
      </c>
      <c r="D3630" s="4">
        <v>46001.250026435184</v>
      </c>
      <c r="E3630" s="2">
        <v>2.17</v>
      </c>
      <c r="F3630" s="2">
        <v>60.2</v>
      </c>
      <c r="G3630" s="2" t="s">
        <v>983</v>
      </c>
      <c r="H3630" s="2" t="s">
        <v>984</v>
      </c>
      <c r="I3630" s="2"/>
      <c r="J3630" s="2" t="s">
        <v>38</v>
      </c>
    </row>
    <row r="3631" spans="1:10" ht="21" customHeight="1">
      <c r="A3631" s="2" t="s">
        <v>4627</v>
      </c>
      <c r="B3631" s="2" t="s">
        <v>38</v>
      </c>
      <c r="C3631" s="4">
        <v>46002.25</v>
      </c>
      <c r="D3631" s="4">
        <v>46002.250684282408</v>
      </c>
      <c r="E3631" s="2">
        <v>2.64</v>
      </c>
      <c r="F3631" s="2">
        <v>59.4</v>
      </c>
      <c r="G3631" s="2" t="s">
        <v>983</v>
      </c>
      <c r="H3631" s="2" t="s">
        <v>984</v>
      </c>
      <c r="I3631" s="2"/>
      <c r="J3631" s="2" t="s">
        <v>38</v>
      </c>
    </row>
    <row r="3632" spans="1:10" ht="21" customHeight="1">
      <c r="A3632" s="2" t="s">
        <v>4628</v>
      </c>
      <c r="B3632" s="2" t="s">
        <v>38</v>
      </c>
      <c r="C3632" s="4">
        <v>46003.25</v>
      </c>
      <c r="D3632" s="4">
        <v>46003.250343761574</v>
      </c>
      <c r="E3632" s="2">
        <v>2.97</v>
      </c>
      <c r="F3632" s="2">
        <v>61.6</v>
      </c>
      <c r="G3632" s="2" t="s">
        <v>983</v>
      </c>
      <c r="H3632" s="2" t="s">
        <v>984</v>
      </c>
      <c r="I3632" s="2"/>
      <c r="J3632" s="2" t="s">
        <v>38</v>
      </c>
    </row>
    <row r="3633" spans="1:10" ht="21" customHeight="1">
      <c r="A3633" s="2" t="s">
        <v>4629</v>
      </c>
      <c r="B3633" s="2" t="s">
        <v>38</v>
      </c>
      <c r="C3633" s="4">
        <v>46004.25</v>
      </c>
      <c r="D3633" s="4">
        <v>46004.250369965273</v>
      </c>
      <c r="E3633" s="2">
        <v>2.21</v>
      </c>
      <c r="F3633" s="2">
        <v>62.6</v>
      </c>
      <c r="G3633" s="2" t="s">
        <v>983</v>
      </c>
      <c r="H3633" s="2" t="s">
        <v>984</v>
      </c>
      <c r="I3633" s="2"/>
      <c r="J3633" s="2" t="s">
        <v>38</v>
      </c>
    </row>
    <row r="3634" spans="1:10" ht="21" customHeight="1">
      <c r="A3634" s="2" t="s">
        <v>4630</v>
      </c>
      <c r="B3634" s="2" t="s">
        <v>38</v>
      </c>
      <c r="C3634" s="4">
        <v>46005.25</v>
      </c>
      <c r="D3634" s="4">
        <v>46005.250224282412</v>
      </c>
      <c r="E3634" s="2">
        <v>2.19</v>
      </c>
      <c r="F3634" s="2">
        <v>64.599999999999994</v>
      </c>
      <c r="G3634" s="2" t="s">
        <v>983</v>
      </c>
      <c r="H3634" s="2" t="s">
        <v>984</v>
      </c>
      <c r="I3634" s="2"/>
      <c r="J3634" s="2" t="s">
        <v>38</v>
      </c>
    </row>
    <row r="3635" spans="1:10" ht="21" customHeight="1">
      <c r="A3635" s="2" t="s">
        <v>4631</v>
      </c>
      <c r="B3635" s="2" t="s">
        <v>38</v>
      </c>
      <c r="C3635" s="4">
        <v>46006.25</v>
      </c>
      <c r="D3635" s="4">
        <v>46006.25054601852</v>
      </c>
      <c r="E3635" s="2">
        <v>3.19</v>
      </c>
      <c r="F3635" s="2">
        <v>58.8</v>
      </c>
      <c r="G3635" s="2" t="s">
        <v>983</v>
      </c>
      <c r="H3635" s="2" t="s">
        <v>984</v>
      </c>
      <c r="I3635" s="2"/>
      <c r="J3635" s="2" t="s">
        <v>38</v>
      </c>
    </row>
    <row r="3636" spans="1:10" ht="21" customHeight="1">
      <c r="A3636" s="2" t="s">
        <v>4632</v>
      </c>
      <c r="B3636" s="2" t="s">
        <v>38</v>
      </c>
      <c r="C3636" s="4">
        <v>46007.25</v>
      </c>
      <c r="D3636" s="4">
        <v>46007.250042511572</v>
      </c>
      <c r="E3636" s="2">
        <v>2.83</v>
      </c>
      <c r="F3636" s="2">
        <v>61</v>
      </c>
      <c r="G3636" s="2" t="s">
        <v>983</v>
      </c>
      <c r="H3636" s="2" t="s">
        <v>984</v>
      </c>
      <c r="I3636" s="2"/>
      <c r="J3636" s="2" t="s">
        <v>38</v>
      </c>
    </row>
    <row r="3637" spans="1:10" ht="21" customHeight="1">
      <c r="A3637" s="2" t="s">
        <v>4633</v>
      </c>
      <c r="B3637" s="2" t="s">
        <v>38</v>
      </c>
      <c r="C3637" s="4">
        <v>46008.25</v>
      </c>
      <c r="D3637" s="4">
        <v>46008.250073483796</v>
      </c>
      <c r="E3637" s="2">
        <v>3.11</v>
      </c>
      <c r="F3637" s="2">
        <v>58</v>
      </c>
      <c r="G3637" s="2" t="s">
        <v>983</v>
      </c>
      <c r="H3637" s="2" t="s">
        <v>984</v>
      </c>
      <c r="I3637" s="2"/>
      <c r="J3637" s="2" t="s">
        <v>38</v>
      </c>
    </row>
    <row r="3638" spans="1:10" ht="21" customHeight="1">
      <c r="A3638" s="2" t="s">
        <v>4634</v>
      </c>
      <c r="B3638" s="2" t="s">
        <v>38</v>
      </c>
      <c r="C3638" s="4">
        <v>46009.25</v>
      </c>
      <c r="D3638" s="4">
        <v>46009.25006071759</v>
      </c>
      <c r="E3638" s="2">
        <v>2.74</v>
      </c>
      <c r="F3638" s="2">
        <v>61.1</v>
      </c>
      <c r="G3638" s="2" t="s">
        <v>983</v>
      </c>
      <c r="H3638" s="2" t="s">
        <v>984</v>
      </c>
      <c r="I3638" s="2"/>
      <c r="J3638" s="2" t="s">
        <v>38</v>
      </c>
    </row>
    <row r="3639" spans="1:10" ht="21" customHeight="1">
      <c r="A3639" s="2" t="s">
        <v>4635</v>
      </c>
      <c r="B3639" s="2" t="s">
        <v>38</v>
      </c>
      <c r="C3639" s="4">
        <v>46010.25</v>
      </c>
      <c r="D3639" s="4">
        <v>46011.5</v>
      </c>
      <c r="E3639" s="2"/>
      <c r="F3639" s="2"/>
      <c r="G3639" s="2" t="s">
        <v>983</v>
      </c>
      <c r="H3639" s="2" t="s">
        <v>1066</v>
      </c>
      <c r="I3639" s="2"/>
      <c r="J3639" s="2" t="s">
        <v>38</v>
      </c>
    </row>
    <row r="3640" spans="1:10" ht="21" customHeight="1">
      <c r="A3640" s="2" t="s">
        <v>4636</v>
      </c>
      <c r="B3640" s="2" t="s">
        <v>38</v>
      </c>
      <c r="C3640" s="4">
        <v>46011.25</v>
      </c>
      <c r="D3640" s="4">
        <v>46011.250002766203</v>
      </c>
      <c r="E3640" s="2"/>
      <c r="F3640" s="2"/>
      <c r="G3640" s="2" t="s">
        <v>1175</v>
      </c>
      <c r="H3640" s="2" t="s">
        <v>1066</v>
      </c>
      <c r="I3640" s="2"/>
      <c r="J3640" s="2" t="s">
        <v>38</v>
      </c>
    </row>
    <row r="3641" spans="1:10" ht="21" customHeight="1">
      <c r="A3641" s="2" t="s">
        <v>4637</v>
      </c>
      <c r="B3641" s="2" t="s">
        <v>38</v>
      </c>
      <c r="C3641" s="4">
        <v>46012.25</v>
      </c>
      <c r="D3641" s="4">
        <v>46012.250098368051</v>
      </c>
      <c r="E3641" s="2"/>
      <c r="F3641" s="2"/>
      <c r="G3641" s="2" t="s">
        <v>983</v>
      </c>
      <c r="H3641" s="2" t="s">
        <v>1066</v>
      </c>
      <c r="I3641" s="2"/>
      <c r="J3641" s="2" t="s">
        <v>38</v>
      </c>
    </row>
    <row r="3642" spans="1:10" ht="21" customHeight="1">
      <c r="A3642" s="2" t="s">
        <v>4638</v>
      </c>
      <c r="B3642" s="2" t="s">
        <v>38</v>
      </c>
      <c r="C3642" s="4">
        <v>46013.25</v>
      </c>
      <c r="D3642" s="4">
        <v>46013.250219675931</v>
      </c>
      <c r="E3642" s="2">
        <v>2.66</v>
      </c>
      <c r="F3642" s="2">
        <v>60.3</v>
      </c>
      <c r="G3642" s="2" t="s">
        <v>983</v>
      </c>
      <c r="H3642" s="2" t="s">
        <v>984</v>
      </c>
      <c r="I3642" s="2"/>
      <c r="J3642" s="2" t="s">
        <v>38</v>
      </c>
    </row>
    <row r="3643" spans="1:10" ht="21" customHeight="1">
      <c r="A3643" s="2" t="s">
        <v>4639</v>
      </c>
      <c r="B3643" s="2" t="s">
        <v>38</v>
      </c>
      <c r="C3643" s="4">
        <v>46014.25</v>
      </c>
      <c r="D3643" s="4">
        <v>46014.250117951393</v>
      </c>
      <c r="E3643" s="2">
        <v>2.1800000000000002</v>
      </c>
      <c r="F3643" s="2">
        <v>61.7</v>
      </c>
      <c r="G3643" s="2" t="s">
        <v>983</v>
      </c>
      <c r="H3643" s="2" t="s">
        <v>984</v>
      </c>
      <c r="I3643" s="2"/>
      <c r="J3643" s="2" t="s">
        <v>38</v>
      </c>
    </row>
    <row r="3644" spans="1:10" ht="21" customHeight="1">
      <c r="A3644" s="2" t="s">
        <v>4640</v>
      </c>
      <c r="B3644" s="2" t="s">
        <v>38</v>
      </c>
      <c r="C3644" s="4">
        <v>46015.25</v>
      </c>
      <c r="D3644" s="4">
        <v>46015.250103622689</v>
      </c>
      <c r="E3644" s="2"/>
      <c r="F3644" s="2"/>
      <c r="G3644" s="2" t="s">
        <v>983</v>
      </c>
      <c r="H3644" s="2" t="s">
        <v>1066</v>
      </c>
      <c r="I3644" s="2" t="s">
        <v>985</v>
      </c>
      <c r="J3644" s="2" t="s">
        <v>38</v>
      </c>
    </row>
    <row r="3645" spans="1:10" ht="21" customHeight="1">
      <c r="A3645" s="2" t="s">
        <v>4641</v>
      </c>
      <c r="B3645" s="2" t="s">
        <v>38</v>
      </c>
      <c r="C3645" s="4">
        <v>46016.25</v>
      </c>
      <c r="D3645" s="4">
        <v>46016.250662094906</v>
      </c>
      <c r="E3645" s="2">
        <v>2.2400000000000002</v>
      </c>
      <c r="F3645" s="2">
        <v>59.7</v>
      </c>
      <c r="G3645" s="2" t="s">
        <v>983</v>
      </c>
      <c r="H3645" s="2" t="s">
        <v>984</v>
      </c>
      <c r="I3645" s="2"/>
      <c r="J3645" s="2" t="s">
        <v>38</v>
      </c>
    </row>
    <row r="3646" spans="1:10" ht="21" customHeight="1">
      <c r="A3646" s="2" t="s">
        <v>4642</v>
      </c>
      <c r="B3646" s="2" t="s">
        <v>38</v>
      </c>
      <c r="C3646" s="4">
        <v>46017.25</v>
      </c>
      <c r="D3646" s="4">
        <v>46017.250224432872</v>
      </c>
      <c r="E3646" s="2">
        <v>2.2999999999999998</v>
      </c>
      <c r="F3646" s="2">
        <v>59.8</v>
      </c>
      <c r="G3646" s="2" t="s">
        <v>983</v>
      </c>
      <c r="H3646" s="2" t="s">
        <v>984</v>
      </c>
      <c r="I3646" s="2"/>
      <c r="J3646" s="2" t="s">
        <v>38</v>
      </c>
    </row>
    <row r="3647" spans="1:10" ht="21" customHeight="1">
      <c r="A3647" s="2" t="s">
        <v>4643</v>
      </c>
      <c r="B3647" s="2" t="s">
        <v>38</v>
      </c>
      <c r="C3647" s="4">
        <v>46018.25</v>
      </c>
      <c r="D3647" s="4">
        <v>46018.250637395831</v>
      </c>
      <c r="E3647" s="2">
        <v>2.42</v>
      </c>
      <c r="F3647" s="2">
        <v>64.7</v>
      </c>
      <c r="G3647" s="2" t="s">
        <v>983</v>
      </c>
      <c r="H3647" s="2" t="s">
        <v>984</v>
      </c>
      <c r="I3647" s="2"/>
      <c r="J3647" s="2" t="s">
        <v>38</v>
      </c>
    </row>
    <row r="3648" spans="1:10" ht="21" customHeight="1">
      <c r="A3648" s="2" t="s">
        <v>4644</v>
      </c>
      <c r="B3648" s="2" t="s">
        <v>38</v>
      </c>
      <c r="C3648" s="4">
        <v>46019.25</v>
      </c>
      <c r="D3648" s="4">
        <v>46019.250053240743</v>
      </c>
      <c r="E3648" s="2">
        <v>3.28</v>
      </c>
      <c r="F3648" s="2">
        <v>63.9</v>
      </c>
      <c r="G3648" s="2" t="s">
        <v>983</v>
      </c>
      <c r="H3648" s="2" t="s">
        <v>984</v>
      </c>
      <c r="I3648" s="2"/>
      <c r="J3648" s="2" t="s">
        <v>38</v>
      </c>
    </row>
    <row r="3649" spans="1:10" ht="21" customHeight="1">
      <c r="A3649" s="2" t="s">
        <v>4645</v>
      </c>
      <c r="B3649" s="2" t="s">
        <v>38</v>
      </c>
      <c r="C3649" s="4">
        <v>46020.25</v>
      </c>
      <c r="D3649" s="4">
        <v>46020.250544513889</v>
      </c>
      <c r="E3649" s="2">
        <v>2.64</v>
      </c>
      <c r="F3649" s="2">
        <v>63.5</v>
      </c>
      <c r="G3649" s="2" t="s">
        <v>983</v>
      </c>
      <c r="H3649" s="2" t="s">
        <v>984</v>
      </c>
      <c r="I3649" s="2"/>
      <c r="J3649" s="2" t="s">
        <v>38</v>
      </c>
    </row>
    <row r="3650" spans="1:10" ht="21" customHeight="1">
      <c r="A3650" s="2" t="s">
        <v>4646</v>
      </c>
      <c r="B3650" s="2" t="s">
        <v>38</v>
      </c>
      <c r="C3650" s="4">
        <v>46021.25</v>
      </c>
      <c r="D3650" s="4">
        <v>46022.5</v>
      </c>
      <c r="E3650" s="2">
        <v>2.86</v>
      </c>
      <c r="F3650" s="2">
        <v>62.2</v>
      </c>
      <c r="G3650" s="2" t="s">
        <v>983</v>
      </c>
      <c r="H3650" s="2" t="s">
        <v>984</v>
      </c>
      <c r="I3650" s="2"/>
      <c r="J3650" s="2" t="s">
        <v>38</v>
      </c>
    </row>
    <row r="3651" spans="1:10" ht="21" customHeight="1">
      <c r="A3651" s="2" t="s">
        <v>4647</v>
      </c>
      <c r="B3651" s="2" t="s">
        <v>4319</v>
      </c>
      <c r="C3651" s="4">
        <v>46022.25</v>
      </c>
      <c r="D3651" s="4">
        <v>46022.250201446761</v>
      </c>
      <c r="E3651" s="2">
        <v>3.19</v>
      </c>
      <c r="F3651" s="2">
        <v>64.599999999999994</v>
      </c>
      <c r="G3651" s="2" t="s">
        <v>983</v>
      </c>
      <c r="H3651" s="2" t="s">
        <v>984</v>
      </c>
      <c r="I3651" s="2"/>
      <c r="J3651" s="2" t="s">
        <v>38</v>
      </c>
    </row>
    <row r="3652" spans="1:10" ht="21" customHeight="1">
      <c r="A3652" s="2" t="s">
        <v>4648</v>
      </c>
      <c r="B3652" s="2" t="s">
        <v>41</v>
      </c>
      <c r="C3652" s="4">
        <v>45658.25</v>
      </c>
      <c r="D3652" s="4">
        <v>45659.5</v>
      </c>
      <c r="E3652" s="2">
        <v>2.4500000000000002</v>
      </c>
      <c r="F3652" s="2">
        <v>62.2</v>
      </c>
      <c r="G3652" s="2" t="s">
        <v>983</v>
      </c>
      <c r="H3652" s="2" t="s">
        <v>984</v>
      </c>
      <c r="I3652" s="2" t="s">
        <v>985</v>
      </c>
      <c r="J3652" s="2" t="s">
        <v>41</v>
      </c>
    </row>
    <row r="3653" spans="1:10" ht="21" customHeight="1">
      <c r="A3653" s="2" t="s">
        <v>4649</v>
      </c>
      <c r="B3653" s="2" t="s">
        <v>41</v>
      </c>
      <c r="C3653" s="4">
        <v>45659.25</v>
      </c>
      <c r="D3653" s="4">
        <v>45659.250272083329</v>
      </c>
      <c r="E3653" s="2">
        <v>2.2799999999999998</v>
      </c>
      <c r="F3653" s="2">
        <v>58.6</v>
      </c>
      <c r="G3653" s="2" t="s">
        <v>983</v>
      </c>
      <c r="H3653" s="2" t="s">
        <v>984</v>
      </c>
      <c r="I3653" s="2"/>
      <c r="J3653" s="2" t="s">
        <v>41</v>
      </c>
    </row>
    <row r="3654" spans="1:10" ht="21" customHeight="1">
      <c r="A3654" s="2" t="s">
        <v>4650</v>
      </c>
      <c r="B3654" s="2" t="s">
        <v>41</v>
      </c>
      <c r="C3654" s="4">
        <v>45660.25</v>
      </c>
      <c r="D3654" s="4">
        <v>45660.250017384256</v>
      </c>
      <c r="E3654" s="2">
        <v>4.9400000000000004</v>
      </c>
      <c r="F3654" s="2">
        <v>73.3</v>
      </c>
      <c r="G3654" s="2" t="s">
        <v>983</v>
      </c>
      <c r="H3654" s="2" t="s">
        <v>984</v>
      </c>
      <c r="I3654" s="2" t="s">
        <v>1053</v>
      </c>
      <c r="J3654" s="2" t="s">
        <v>41</v>
      </c>
    </row>
    <row r="3655" spans="1:10" ht="21" customHeight="1">
      <c r="A3655" s="2" t="s">
        <v>4651</v>
      </c>
      <c r="B3655" s="2" t="s">
        <v>41</v>
      </c>
      <c r="C3655" s="4">
        <v>45661.25</v>
      </c>
      <c r="D3655" s="4">
        <v>45661.250301296299</v>
      </c>
      <c r="E3655" s="2">
        <v>6.02</v>
      </c>
      <c r="F3655" s="2">
        <v>71.2</v>
      </c>
      <c r="G3655" s="2" t="s">
        <v>983</v>
      </c>
      <c r="H3655" s="2" t="s">
        <v>984</v>
      </c>
      <c r="I3655" s="2"/>
      <c r="J3655" s="2" t="s">
        <v>41</v>
      </c>
    </row>
    <row r="3656" spans="1:10" ht="21" customHeight="1">
      <c r="A3656" s="2" t="s">
        <v>4652</v>
      </c>
      <c r="B3656" s="2" t="s">
        <v>41</v>
      </c>
      <c r="C3656" s="4">
        <v>45662.25</v>
      </c>
      <c r="D3656" s="4">
        <v>45662.250290023148</v>
      </c>
      <c r="E3656" s="2">
        <v>5.13</v>
      </c>
      <c r="F3656" s="2">
        <v>71.2</v>
      </c>
      <c r="G3656" s="2" t="s">
        <v>983</v>
      </c>
      <c r="H3656" s="2" t="s">
        <v>984</v>
      </c>
      <c r="I3656" s="2" t="s">
        <v>1053</v>
      </c>
      <c r="J3656" s="2" t="s">
        <v>41</v>
      </c>
    </row>
    <row r="3657" spans="1:10" ht="21" customHeight="1">
      <c r="A3657" s="2" t="s">
        <v>4653</v>
      </c>
      <c r="B3657" s="2" t="s">
        <v>41</v>
      </c>
      <c r="C3657" s="4">
        <v>45663.25</v>
      </c>
      <c r="D3657" s="4">
        <v>45663.250492210645</v>
      </c>
      <c r="E3657" s="2">
        <v>0</v>
      </c>
      <c r="F3657" s="2">
        <v>62.4</v>
      </c>
      <c r="G3657" s="2" t="s">
        <v>1175</v>
      </c>
      <c r="H3657" s="2" t="s">
        <v>984</v>
      </c>
      <c r="I3657" s="2"/>
      <c r="J3657" s="2" t="s">
        <v>41</v>
      </c>
    </row>
    <row r="3658" spans="1:10" ht="21" customHeight="1">
      <c r="A3658" s="2" t="s">
        <v>4654</v>
      </c>
      <c r="B3658" s="2" t="s">
        <v>41</v>
      </c>
      <c r="C3658" s="4">
        <v>45664.25</v>
      </c>
      <c r="D3658" s="4">
        <v>45664.250534375002</v>
      </c>
      <c r="E3658" s="2"/>
      <c r="F3658" s="2"/>
      <c r="G3658" s="2" t="s">
        <v>983</v>
      </c>
      <c r="H3658" s="2" t="s">
        <v>1066</v>
      </c>
      <c r="I3658" s="2"/>
      <c r="J3658" s="2" t="s">
        <v>41</v>
      </c>
    </row>
    <row r="3659" spans="1:10" ht="21" customHeight="1">
      <c r="A3659" s="2" t="s">
        <v>4655</v>
      </c>
      <c r="B3659" s="2" t="s">
        <v>41</v>
      </c>
      <c r="C3659" s="4">
        <v>45665.25</v>
      </c>
      <c r="D3659" s="4">
        <v>45665.250099363431</v>
      </c>
      <c r="E3659" s="2"/>
      <c r="F3659" s="2"/>
      <c r="G3659" s="2" t="s">
        <v>983</v>
      </c>
      <c r="H3659" s="2" t="s">
        <v>1066</v>
      </c>
      <c r="I3659" s="2"/>
      <c r="J3659" s="2" t="s">
        <v>41</v>
      </c>
    </row>
    <row r="3660" spans="1:10" ht="21" customHeight="1">
      <c r="A3660" s="2" t="s">
        <v>4656</v>
      </c>
      <c r="B3660" s="2" t="s">
        <v>41</v>
      </c>
      <c r="C3660" s="4">
        <v>45666.25</v>
      </c>
      <c r="D3660" s="4">
        <v>45666.250584768517</v>
      </c>
      <c r="E3660" s="2">
        <v>3.08</v>
      </c>
      <c r="F3660" s="2">
        <v>60.2</v>
      </c>
      <c r="G3660" s="2" t="s">
        <v>983</v>
      </c>
      <c r="H3660" s="2" t="s">
        <v>984</v>
      </c>
      <c r="I3660" s="2"/>
      <c r="J3660" s="2" t="s">
        <v>41</v>
      </c>
    </row>
    <row r="3661" spans="1:10" ht="21" customHeight="1">
      <c r="A3661" s="2" t="s">
        <v>4657</v>
      </c>
      <c r="B3661" s="2" t="s">
        <v>41</v>
      </c>
      <c r="C3661" s="4">
        <v>45667.25</v>
      </c>
      <c r="D3661" s="4">
        <v>45667.250609884257</v>
      </c>
      <c r="E3661" s="2">
        <v>2.1</v>
      </c>
      <c r="F3661" s="2">
        <v>58.4</v>
      </c>
      <c r="G3661" s="2" t="s">
        <v>983</v>
      </c>
      <c r="H3661" s="2" t="s">
        <v>984</v>
      </c>
      <c r="I3661" s="2"/>
      <c r="J3661" s="2" t="s">
        <v>41</v>
      </c>
    </row>
    <row r="3662" spans="1:10" ht="21" customHeight="1">
      <c r="A3662" s="2" t="s">
        <v>4658</v>
      </c>
      <c r="B3662" s="2" t="s">
        <v>41</v>
      </c>
      <c r="C3662" s="4">
        <v>45668.25</v>
      </c>
      <c r="D3662" s="4">
        <v>45668.250396319447</v>
      </c>
      <c r="E3662" s="2">
        <v>2.69</v>
      </c>
      <c r="F3662" s="2">
        <v>65.8</v>
      </c>
      <c r="G3662" s="2" t="s">
        <v>983</v>
      </c>
      <c r="H3662" s="2" t="s">
        <v>984</v>
      </c>
      <c r="I3662" s="2"/>
      <c r="J3662" s="2" t="s">
        <v>41</v>
      </c>
    </row>
    <row r="3663" spans="1:10" ht="21" customHeight="1">
      <c r="A3663" s="2" t="s">
        <v>4659</v>
      </c>
      <c r="B3663" s="2" t="s">
        <v>41</v>
      </c>
      <c r="C3663" s="4">
        <v>45669.25</v>
      </c>
      <c r="D3663" s="4">
        <v>45670.5</v>
      </c>
      <c r="E3663" s="2">
        <v>2.93</v>
      </c>
      <c r="F3663" s="2">
        <v>59.3</v>
      </c>
      <c r="G3663" s="2" t="s">
        <v>983</v>
      </c>
      <c r="H3663" s="2" t="s">
        <v>984</v>
      </c>
      <c r="I3663" s="2"/>
      <c r="J3663" s="2" t="s">
        <v>41</v>
      </c>
    </row>
    <row r="3664" spans="1:10" ht="21" customHeight="1">
      <c r="A3664" s="2" t="s">
        <v>4660</v>
      </c>
      <c r="B3664" s="2" t="s">
        <v>41</v>
      </c>
      <c r="C3664" s="4">
        <v>45670.25</v>
      </c>
      <c r="D3664" s="4">
        <v>45670.250667731481</v>
      </c>
      <c r="E3664" s="2">
        <v>2.41</v>
      </c>
      <c r="F3664" s="2">
        <v>60.7</v>
      </c>
      <c r="G3664" s="2" t="s">
        <v>983</v>
      </c>
      <c r="H3664" s="2" t="s">
        <v>984</v>
      </c>
      <c r="I3664" s="2"/>
      <c r="J3664" s="2" t="s">
        <v>41</v>
      </c>
    </row>
    <row r="3665" spans="1:10" ht="21" customHeight="1">
      <c r="A3665" s="2" t="s">
        <v>4661</v>
      </c>
      <c r="B3665" s="2" t="s">
        <v>41</v>
      </c>
      <c r="C3665" s="4">
        <v>45671.25</v>
      </c>
      <c r="D3665" s="4">
        <v>45671.25006038195</v>
      </c>
      <c r="E3665" s="2">
        <v>2.64</v>
      </c>
      <c r="F3665" s="2">
        <v>62.1</v>
      </c>
      <c r="G3665" s="2" t="s">
        <v>983</v>
      </c>
      <c r="H3665" s="2" t="s">
        <v>984</v>
      </c>
      <c r="I3665" s="2"/>
      <c r="J3665" s="2" t="s">
        <v>41</v>
      </c>
    </row>
    <row r="3666" spans="1:10" ht="21" customHeight="1">
      <c r="A3666" s="2" t="s">
        <v>4662</v>
      </c>
      <c r="B3666" s="2" t="s">
        <v>41</v>
      </c>
      <c r="C3666" s="4">
        <v>45672.25</v>
      </c>
      <c r="D3666" s="4">
        <v>45672.250287025461</v>
      </c>
      <c r="E3666" s="2">
        <v>2.9</v>
      </c>
      <c r="F3666" s="2">
        <v>65.8</v>
      </c>
      <c r="G3666" s="2" t="s">
        <v>983</v>
      </c>
      <c r="H3666" s="2" t="s">
        <v>984</v>
      </c>
      <c r="I3666" s="2"/>
      <c r="J3666" s="2" t="s">
        <v>41</v>
      </c>
    </row>
    <row r="3667" spans="1:10" ht="21" customHeight="1">
      <c r="A3667" s="2" t="s">
        <v>4663</v>
      </c>
      <c r="B3667" s="2" t="s">
        <v>41</v>
      </c>
      <c r="C3667" s="4">
        <v>45673.25</v>
      </c>
      <c r="D3667" s="4">
        <v>45673.250238159722</v>
      </c>
      <c r="E3667" s="2">
        <v>2.54</v>
      </c>
      <c r="F3667" s="2">
        <v>60.7</v>
      </c>
      <c r="G3667" s="2" t="s">
        <v>983</v>
      </c>
      <c r="H3667" s="2" t="s">
        <v>984</v>
      </c>
      <c r="I3667" s="2"/>
      <c r="J3667" s="2" t="s">
        <v>41</v>
      </c>
    </row>
    <row r="3668" spans="1:10" ht="21" customHeight="1">
      <c r="A3668" s="2" t="s">
        <v>4664</v>
      </c>
      <c r="B3668" s="2" t="s">
        <v>41</v>
      </c>
      <c r="C3668" s="4">
        <v>45674.25</v>
      </c>
      <c r="D3668" s="4">
        <v>45674.25009671296</v>
      </c>
      <c r="E3668" s="2">
        <v>3.02</v>
      </c>
      <c r="F3668" s="2">
        <v>63.3</v>
      </c>
      <c r="G3668" s="2" t="s">
        <v>983</v>
      </c>
      <c r="H3668" s="2" t="s">
        <v>984</v>
      </c>
      <c r="I3668" s="2"/>
      <c r="J3668" s="2" t="s">
        <v>41</v>
      </c>
    </row>
    <row r="3669" spans="1:10" ht="21" customHeight="1">
      <c r="A3669" s="2" t="s">
        <v>4665</v>
      </c>
      <c r="B3669" s="2" t="s">
        <v>41</v>
      </c>
      <c r="C3669" s="4">
        <v>45675.25</v>
      </c>
      <c r="D3669" s="4">
        <v>45675.250454120367</v>
      </c>
      <c r="E3669" s="2">
        <v>5.45</v>
      </c>
      <c r="F3669" s="2">
        <v>66.099999999999994</v>
      </c>
      <c r="G3669" s="2" t="s">
        <v>983</v>
      </c>
      <c r="H3669" s="2" t="s">
        <v>984</v>
      </c>
      <c r="I3669" s="2" t="s">
        <v>985</v>
      </c>
      <c r="J3669" s="2" t="s">
        <v>41</v>
      </c>
    </row>
    <row r="3670" spans="1:10" ht="21" customHeight="1">
      <c r="A3670" s="2" t="s">
        <v>4666</v>
      </c>
      <c r="B3670" s="2" t="s">
        <v>41</v>
      </c>
      <c r="C3670" s="4">
        <v>45676.25</v>
      </c>
      <c r="D3670" s="4">
        <v>45676.250607685186</v>
      </c>
      <c r="E3670" s="2">
        <v>4.3</v>
      </c>
      <c r="F3670" s="2">
        <v>65.7</v>
      </c>
      <c r="G3670" s="2" t="s">
        <v>983</v>
      </c>
      <c r="H3670" s="2" t="s">
        <v>984</v>
      </c>
      <c r="I3670" s="2" t="s">
        <v>1053</v>
      </c>
      <c r="J3670" s="2" t="s">
        <v>41</v>
      </c>
    </row>
    <row r="3671" spans="1:10" ht="21" customHeight="1">
      <c r="A3671" s="2" t="s">
        <v>4667</v>
      </c>
      <c r="B3671" s="2" t="s">
        <v>41</v>
      </c>
      <c r="C3671" s="4">
        <v>45677.25</v>
      </c>
      <c r="D3671" s="4">
        <v>45677.250402106481</v>
      </c>
      <c r="E3671" s="2">
        <v>6.48</v>
      </c>
      <c r="F3671" s="2">
        <v>71.5</v>
      </c>
      <c r="G3671" s="2" t="s">
        <v>983</v>
      </c>
      <c r="H3671" s="2" t="s">
        <v>984</v>
      </c>
      <c r="I3671" s="2"/>
      <c r="J3671" s="2" t="s">
        <v>41</v>
      </c>
    </row>
    <row r="3672" spans="1:10" ht="21" customHeight="1">
      <c r="A3672" s="2" t="s">
        <v>4668</v>
      </c>
      <c r="B3672" s="2" t="s">
        <v>41</v>
      </c>
      <c r="C3672" s="4">
        <v>45678.25</v>
      </c>
      <c r="D3672" s="4">
        <v>45678.250257199077</v>
      </c>
      <c r="E3672" s="2">
        <v>0</v>
      </c>
      <c r="F3672" s="2">
        <v>58.9</v>
      </c>
      <c r="G3672" s="2" t="s">
        <v>1175</v>
      </c>
      <c r="H3672" s="2" t="s">
        <v>984</v>
      </c>
      <c r="I3672" s="2"/>
      <c r="J3672" s="2" t="s">
        <v>41</v>
      </c>
    </row>
    <row r="3673" spans="1:10" ht="21" customHeight="1">
      <c r="A3673" s="2" t="s">
        <v>4669</v>
      </c>
      <c r="B3673" s="2" t="s">
        <v>41</v>
      </c>
      <c r="C3673" s="4">
        <v>45679.25</v>
      </c>
      <c r="D3673" s="4">
        <v>45679.250036620375</v>
      </c>
      <c r="E3673" s="2">
        <v>3.19</v>
      </c>
      <c r="F3673" s="2">
        <v>64.8</v>
      </c>
      <c r="G3673" s="2" t="s">
        <v>983</v>
      </c>
      <c r="H3673" s="2" t="s">
        <v>984</v>
      </c>
      <c r="I3673" s="2"/>
      <c r="J3673" s="2" t="s">
        <v>41</v>
      </c>
    </row>
    <row r="3674" spans="1:10" ht="21" customHeight="1">
      <c r="A3674" s="2" t="s">
        <v>4670</v>
      </c>
      <c r="B3674" s="2" t="s">
        <v>41</v>
      </c>
      <c r="C3674" s="4">
        <v>45680.25</v>
      </c>
      <c r="D3674" s="4">
        <v>45681.5</v>
      </c>
      <c r="E3674" s="2">
        <v>2.35</v>
      </c>
      <c r="F3674" s="2">
        <v>60.8</v>
      </c>
      <c r="G3674" s="2" t="s">
        <v>983</v>
      </c>
      <c r="H3674" s="2" t="s">
        <v>984</v>
      </c>
      <c r="I3674" s="2"/>
      <c r="J3674" s="2" t="s">
        <v>41</v>
      </c>
    </row>
    <row r="3675" spans="1:10" ht="21" customHeight="1">
      <c r="A3675" s="2" t="s">
        <v>4671</v>
      </c>
      <c r="B3675" s="2" t="s">
        <v>41</v>
      </c>
      <c r="C3675" s="4">
        <v>45681.25</v>
      </c>
      <c r="D3675" s="4">
        <v>45681.250445011574</v>
      </c>
      <c r="E3675" s="2">
        <v>3.03</v>
      </c>
      <c r="F3675" s="2">
        <v>58.3</v>
      </c>
      <c r="G3675" s="2" t="s">
        <v>983</v>
      </c>
      <c r="H3675" s="2" t="s">
        <v>984</v>
      </c>
      <c r="I3675" s="2"/>
      <c r="J3675" s="2" t="s">
        <v>41</v>
      </c>
    </row>
    <row r="3676" spans="1:10" ht="21" customHeight="1">
      <c r="A3676" s="2" t="s">
        <v>4672</v>
      </c>
      <c r="B3676" s="2" t="s">
        <v>41</v>
      </c>
      <c r="C3676" s="4">
        <v>45682.25</v>
      </c>
      <c r="D3676" s="4">
        <v>45682.250057361111</v>
      </c>
      <c r="E3676" s="2">
        <v>2.58</v>
      </c>
      <c r="F3676" s="2">
        <v>65</v>
      </c>
      <c r="G3676" s="2" t="s">
        <v>983</v>
      </c>
      <c r="H3676" s="2" t="s">
        <v>984</v>
      </c>
      <c r="I3676" s="2"/>
      <c r="J3676" s="2" t="s">
        <v>41</v>
      </c>
    </row>
    <row r="3677" spans="1:10" ht="21" customHeight="1">
      <c r="A3677" s="2" t="s">
        <v>4673</v>
      </c>
      <c r="B3677" s="2" t="s">
        <v>41</v>
      </c>
      <c r="C3677" s="4">
        <v>45683.25</v>
      </c>
      <c r="D3677" s="4">
        <v>45683.250437175928</v>
      </c>
      <c r="E3677" s="2">
        <v>2.99</v>
      </c>
      <c r="F3677" s="2">
        <v>64</v>
      </c>
      <c r="G3677" s="2" t="s">
        <v>983</v>
      </c>
      <c r="H3677" s="2" t="s">
        <v>984</v>
      </c>
      <c r="I3677" s="2"/>
      <c r="J3677" s="2" t="s">
        <v>41</v>
      </c>
    </row>
    <row r="3678" spans="1:10" ht="21" customHeight="1">
      <c r="A3678" s="2" t="s">
        <v>4674</v>
      </c>
      <c r="B3678" s="2" t="s">
        <v>41</v>
      </c>
      <c r="C3678" s="4">
        <v>45684.25</v>
      </c>
      <c r="D3678" s="4">
        <v>45684.250556944447</v>
      </c>
      <c r="E3678" s="2">
        <v>2.69</v>
      </c>
      <c r="F3678" s="2">
        <v>64.599999999999994</v>
      </c>
      <c r="G3678" s="2" t="s">
        <v>983</v>
      </c>
      <c r="H3678" s="2" t="s">
        <v>984</v>
      </c>
      <c r="I3678" s="2"/>
      <c r="J3678" s="2" t="s">
        <v>41</v>
      </c>
    </row>
    <row r="3679" spans="1:10" ht="21" customHeight="1">
      <c r="A3679" s="2" t="s">
        <v>4675</v>
      </c>
      <c r="B3679" s="2" t="s">
        <v>41</v>
      </c>
      <c r="C3679" s="4">
        <v>45685.25</v>
      </c>
      <c r="D3679" s="4">
        <v>45685.250189710649</v>
      </c>
      <c r="E3679" s="2">
        <v>2.62</v>
      </c>
      <c r="F3679" s="2">
        <v>61.8</v>
      </c>
      <c r="G3679" s="2" t="s">
        <v>983</v>
      </c>
      <c r="H3679" s="2" t="s">
        <v>984</v>
      </c>
      <c r="I3679" s="2"/>
      <c r="J3679" s="2" t="s">
        <v>41</v>
      </c>
    </row>
    <row r="3680" spans="1:10" ht="21" customHeight="1">
      <c r="A3680" s="2" t="s">
        <v>4676</v>
      </c>
      <c r="B3680" s="2" t="s">
        <v>41</v>
      </c>
      <c r="C3680" s="4">
        <v>45686.25</v>
      </c>
      <c r="D3680" s="4">
        <v>45686.250574224541</v>
      </c>
      <c r="E3680" s="2">
        <v>3.14</v>
      </c>
      <c r="F3680" s="2">
        <v>65.7</v>
      </c>
      <c r="G3680" s="2" t="s">
        <v>983</v>
      </c>
      <c r="H3680" s="2" t="s">
        <v>984</v>
      </c>
      <c r="I3680" s="2"/>
      <c r="J3680" s="2" t="s">
        <v>41</v>
      </c>
    </row>
    <row r="3681" spans="1:10" ht="21" customHeight="1">
      <c r="A3681" s="2" t="s">
        <v>4677</v>
      </c>
      <c r="B3681" s="2" t="s">
        <v>41</v>
      </c>
      <c r="C3681" s="4">
        <v>45687.25</v>
      </c>
      <c r="D3681" s="4">
        <v>45687.250050150462</v>
      </c>
      <c r="E3681" s="2">
        <v>3.03</v>
      </c>
      <c r="F3681" s="2">
        <v>59.1</v>
      </c>
      <c r="G3681" s="2" t="s">
        <v>983</v>
      </c>
      <c r="H3681" s="2" t="s">
        <v>984</v>
      </c>
      <c r="I3681" s="2"/>
      <c r="J3681" s="2" t="s">
        <v>41</v>
      </c>
    </row>
    <row r="3682" spans="1:10" ht="21" customHeight="1">
      <c r="A3682" s="2" t="s">
        <v>4678</v>
      </c>
      <c r="B3682" s="2" t="s">
        <v>41</v>
      </c>
      <c r="C3682" s="4">
        <v>45688.25</v>
      </c>
      <c r="D3682" s="4">
        <v>45688.250130208333</v>
      </c>
      <c r="E3682" s="2"/>
      <c r="F3682" s="2"/>
      <c r="G3682" s="2" t="s">
        <v>983</v>
      </c>
      <c r="H3682" s="2" t="s">
        <v>1066</v>
      </c>
      <c r="I3682" s="2"/>
      <c r="J3682" s="2" t="s">
        <v>41</v>
      </c>
    </row>
    <row r="3683" spans="1:10" ht="21" customHeight="1">
      <c r="A3683" s="2" t="s">
        <v>4679</v>
      </c>
      <c r="B3683" s="2" t="s">
        <v>41</v>
      </c>
      <c r="C3683" s="4">
        <v>45689.25</v>
      </c>
      <c r="D3683" s="4">
        <v>45689.250058599537</v>
      </c>
      <c r="E3683" s="2">
        <v>3.02</v>
      </c>
      <c r="F3683" s="2">
        <v>60.3</v>
      </c>
      <c r="G3683" s="2" t="s">
        <v>983</v>
      </c>
      <c r="H3683" s="2" t="s">
        <v>984</v>
      </c>
      <c r="I3683" s="2"/>
      <c r="J3683" s="2" t="s">
        <v>41</v>
      </c>
    </row>
    <row r="3684" spans="1:10" ht="21" customHeight="1">
      <c r="A3684" s="2" t="s">
        <v>4680</v>
      </c>
      <c r="B3684" s="2" t="s">
        <v>41</v>
      </c>
      <c r="C3684" s="4">
        <v>45690.25</v>
      </c>
      <c r="D3684" s="4">
        <v>45690.250127280087</v>
      </c>
      <c r="E3684" s="2">
        <v>2.4900000000000002</v>
      </c>
      <c r="F3684" s="2">
        <v>64</v>
      </c>
      <c r="G3684" s="2" t="s">
        <v>983</v>
      </c>
      <c r="H3684" s="2" t="s">
        <v>984</v>
      </c>
      <c r="I3684" s="2"/>
      <c r="J3684" s="2" t="s">
        <v>41</v>
      </c>
    </row>
    <row r="3685" spans="1:10" ht="21" customHeight="1">
      <c r="A3685" s="2" t="s">
        <v>4681</v>
      </c>
      <c r="B3685" s="2" t="s">
        <v>41</v>
      </c>
      <c r="C3685" s="4">
        <v>45691.25</v>
      </c>
      <c r="D3685" s="4">
        <v>45692.5</v>
      </c>
      <c r="E3685" s="2">
        <v>2.66</v>
      </c>
      <c r="F3685" s="2">
        <v>63.9</v>
      </c>
      <c r="G3685" s="2" t="s">
        <v>983</v>
      </c>
      <c r="H3685" s="2" t="s">
        <v>984</v>
      </c>
      <c r="I3685" s="2"/>
      <c r="J3685" s="2" t="s">
        <v>41</v>
      </c>
    </row>
    <row r="3686" spans="1:10" ht="21" customHeight="1">
      <c r="A3686" s="2" t="s">
        <v>4682</v>
      </c>
      <c r="B3686" s="2" t="s">
        <v>41</v>
      </c>
      <c r="C3686" s="4">
        <v>45692.25</v>
      </c>
      <c r="D3686" s="4">
        <v>45692.250529317127</v>
      </c>
      <c r="E3686" s="2">
        <v>2.39</v>
      </c>
      <c r="F3686" s="2">
        <v>65.8</v>
      </c>
      <c r="G3686" s="2" t="s">
        <v>983</v>
      </c>
      <c r="H3686" s="2" t="s">
        <v>984</v>
      </c>
      <c r="I3686" s="2" t="s">
        <v>985</v>
      </c>
      <c r="J3686" s="2" t="s">
        <v>41</v>
      </c>
    </row>
    <row r="3687" spans="1:10" ht="21" customHeight="1">
      <c r="A3687" s="2" t="s">
        <v>4683</v>
      </c>
      <c r="B3687" s="2" t="s">
        <v>41</v>
      </c>
      <c r="C3687" s="4">
        <v>45693.25</v>
      </c>
      <c r="D3687" s="4">
        <v>45693.250572037039</v>
      </c>
      <c r="E3687" s="2">
        <v>27.04</v>
      </c>
      <c r="F3687" s="2">
        <v>60.9</v>
      </c>
      <c r="G3687" s="2" t="s">
        <v>983</v>
      </c>
      <c r="H3687" s="2" t="s">
        <v>1022</v>
      </c>
      <c r="I3687" s="2"/>
      <c r="J3687" s="2" t="s">
        <v>41</v>
      </c>
    </row>
    <row r="3688" spans="1:10" ht="21" customHeight="1">
      <c r="A3688" s="2" t="s">
        <v>4684</v>
      </c>
      <c r="B3688" s="2" t="s">
        <v>41</v>
      </c>
      <c r="C3688" s="4">
        <v>45694.25</v>
      </c>
      <c r="D3688" s="4">
        <v>45694.25027300926</v>
      </c>
      <c r="E3688" s="2">
        <v>0</v>
      </c>
      <c r="F3688" s="2">
        <v>60.2</v>
      </c>
      <c r="G3688" s="2" t="s">
        <v>1175</v>
      </c>
      <c r="H3688" s="2" t="s">
        <v>984</v>
      </c>
      <c r="I3688" s="2"/>
      <c r="J3688" s="2" t="s">
        <v>41</v>
      </c>
    </row>
    <row r="3689" spans="1:10" ht="21" customHeight="1">
      <c r="A3689" s="2" t="s">
        <v>4685</v>
      </c>
      <c r="B3689" s="2" t="s">
        <v>41</v>
      </c>
      <c r="C3689" s="4">
        <v>45695.25</v>
      </c>
      <c r="D3689" s="4">
        <v>45695.250240219902</v>
      </c>
      <c r="E3689" s="2">
        <v>2.12</v>
      </c>
      <c r="F3689" s="2">
        <v>61.3</v>
      </c>
      <c r="G3689" s="2" t="s">
        <v>983</v>
      </c>
      <c r="H3689" s="2" t="s">
        <v>984</v>
      </c>
      <c r="I3689" s="2"/>
      <c r="J3689" s="2" t="s">
        <v>41</v>
      </c>
    </row>
    <row r="3690" spans="1:10" ht="21" customHeight="1">
      <c r="A3690" s="2" t="s">
        <v>4686</v>
      </c>
      <c r="B3690" s="2" t="s">
        <v>41</v>
      </c>
      <c r="C3690" s="4">
        <v>45696.25</v>
      </c>
      <c r="D3690" s="4">
        <v>45696.25024050926</v>
      </c>
      <c r="E3690" s="2">
        <v>3.06</v>
      </c>
      <c r="F3690" s="2">
        <v>64.900000000000006</v>
      </c>
      <c r="G3690" s="2" t="s">
        <v>983</v>
      </c>
      <c r="H3690" s="2" t="s">
        <v>984</v>
      </c>
      <c r="I3690" s="2"/>
      <c r="J3690" s="2" t="s">
        <v>41</v>
      </c>
    </row>
    <row r="3691" spans="1:10" ht="21" customHeight="1">
      <c r="A3691" s="2" t="s">
        <v>4687</v>
      </c>
      <c r="B3691" s="2" t="s">
        <v>41</v>
      </c>
      <c r="C3691" s="4">
        <v>45697.25</v>
      </c>
      <c r="D3691" s="4">
        <v>45697.25036421296</v>
      </c>
      <c r="E3691" s="2">
        <v>2.88</v>
      </c>
      <c r="F3691" s="2">
        <v>61.3</v>
      </c>
      <c r="G3691" s="2" t="s">
        <v>983</v>
      </c>
      <c r="H3691" s="2" t="s">
        <v>984</v>
      </c>
      <c r="I3691" s="2"/>
      <c r="J3691" s="2" t="s">
        <v>41</v>
      </c>
    </row>
    <row r="3692" spans="1:10" ht="21" customHeight="1">
      <c r="A3692" s="2" t="s">
        <v>4688</v>
      </c>
      <c r="B3692" s="2" t="s">
        <v>4689</v>
      </c>
      <c r="C3692" s="4">
        <v>45698.25</v>
      </c>
      <c r="D3692" s="4">
        <v>45698.250315486112</v>
      </c>
      <c r="E3692" s="2">
        <v>2.82</v>
      </c>
      <c r="F3692" s="2">
        <v>65.7</v>
      </c>
      <c r="G3692" s="2" t="s">
        <v>983</v>
      </c>
      <c r="H3692" s="2" t="s">
        <v>984</v>
      </c>
      <c r="I3692" s="2"/>
      <c r="J3692" s="2" t="s">
        <v>41</v>
      </c>
    </row>
    <row r="3693" spans="1:10" ht="21" customHeight="1">
      <c r="A3693" s="2" t="s">
        <v>4690</v>
      </c>
      <c r="B3693" s="2" t="s">
        <v>41</v>
      </c>
      <c r="C3693" s="4">
        <v>45699.25</v>
      </c>
      <c r="D3693" s="4">
        <v>45699.250263229165</v>
      </c>
      <c r="E3693" s="2">
        <v>2.88</v>
      </c>
      <c r="F3693" s="2">
        <v>63.2</v>
      </c>
      <c r="G3693" s="2" t="s">
        <v>983</v>
      </c>
      <c r="H3693" s="2" t="s">
        <v>984</v>
      </c>
      <c r="I3693" s="2"/>
      <c r="J3693" s="2" t="s">
        <v>41</v>
      </c>
    </row>
    <row r="3694" spans="1:10" ht="21" customHeight="1">
      <c r="A3694" s="2" t="s">
        <v>4691</v>
      </c>
      <c r="B3694" s="2" t="s">
        <v>41</v>
      </c>
      <c r="C3694" s="4">
        <v>45700.25</v>
      </c>
      <c r="D3694" s="4">
        <v>45700.250007418981</v>
      </c>
      <c r="E3694" s="2">
        <v>2.36</v>
      </c>
      <c r="F3694" s="2">
        <v>59.5</v>
      </c>
      <c r="G3694" s="2" t="s">
        <v>983</v>
      </c>
      <c r="H3694" s="2" t="s">
        <v>984</v>
      </c>
      <c r="I3694" s="2"/>
      <c r="J3694" s="2" t="s">
        <v>41</v>
      </c>
    </row>
    <row r="3695" spans="1:10" ht="21" customHeight="1">
      <c r="A3695" s="2" t="s">
        <v>4692</v>
      </c>
      <c r="B3695" s="2" t="s">
        <v>41</v>
      </c>
      <c r="C3695" s="4">
        <v>45701.25</v>
      </c>
      <c r="D3695" s="4">
        <v>45701.250575347221</v>
      </c>
      <c r="E3695" s="2">
        <v>2.14</v>
      </c>
      <c r="F3695" s="2">
        <v>59.4</v>
      </c>
      <c r="G3695" s="2" t="s">
        <v>983</v>
      </c>
      <c r="H3695" s="2" t="s">
        <v>984</v>
      </c>
      <c r="I3695" s="2"/>
      <c r="J3695" s="2" t="s">
        <v>41</v>
      </c>
    </row>
    <row r="3696" spans="1:10" ht="21" customHeight="1">
      <c r="A3696" s="2" t="s">
        <v>4693</v>
      </c>
      <c r="B3696" s="2" t="s">
        <v>41</v>
      </c>
      <c r="C3696" s="4">
        <v>45702.25</v>
      </c>
      <c r="D3696" s="4">
        <v>45703.5</v>
      </c>
      <c r="E3696" s="2">
        <v>3.07</v>
      </c>
      <c r="F3696" s="2">
        <v>61.7</v>
      </c>
      <c r="G3696" s="2" t="s">
        <v>983</v>
      </c>
      <c r="H3696" s="2" t="s">
        <v>984</v>
      </c>
      <c r="I3696" s="2"/>
      <c r="J3696" s="2" t="s">
        <v>41</v>
      </c>
    </row>
    <row r="3697" spans="1:10" ht="21" customHeight="1">
      <c r="A3697" s="2" t="s">
        <v>4694</v>
      </c>
      <c r="B3697" s="2" t="s">
        <v>41</v>
      </c>
      <c r="C3697" s="4">
        <v>45703.25</v>
      </c>
      <c r="D3697" s="4">
        <v>45703.250102245365</v>
      </c>
      <c r="E3697" s="2">
        <v>2.56</v>
      </c>
      <c r="F3697" s="2">
        <v>60.7</v>
      </c>
      <c r="G3697" s="2" t="s">
        <v>983</v>
      </c>
      <c r="H3697" s="2" t="s">
        <v>984</v>
      </c>
      <c r="I3697" s="2"/>
      <c r="J3697" s="2" t="s">
        <v>41</v>
      </c>
    </row>
    <row r="3698" spans="1:10" ht="21" customHeight="1">
      <c r="A3698" s="2" t="s">
        <v>4695</v>
      </c>
      <c r="B3698" s="2" t="s">
        <v>41</v>
      </c>
      <c r="C3698" s="4">
        <v>45704.25</v>
      </c>
      <c r="D3698" s="4">
        <v>45704.250040347222</v>
      </c>
      <c r="E3698" s="2">
        <v>3.27</v>
      </c>
      <c r="F3698" s="2">
        <v>58.6</v>
      </c>
      <c r="G3698" s="2" t="s">
        <v>983</v>
      </c>
      <c r="H3698" s="2" t="s">
        <v>984</v>
      </c>
      <c r="I3698" s="2"/>
      <c r="J3698" s="2" t="s">
        <v>41</v>
      </c>
    </row>
    <row r="3699" spans="1:10" ht="21" customHeight="1">
      <c r="A3699" s="2" t="s">
        <v>4696</v>
      </c>
      <c r="B3699" s="2" t="s">
        <v>41</v>
      </c>
      <c r="C3699" s="4">
        <v>45705.25</v>
      </c>
      <c r="D3699" s="4">
        <v>45705.250519189816</v>
      </c>
      <c r="E3699" s="2"/>
      <c r="F3699" s="2"/>
      <c r="G3699" s="2" t="s">
        <v>983</v>
      </c>
      <c r="H3699" s="2" t="s">
        <v>1066</v>
      </c>
      <c r="I3699" s="2"/>
      <c r="J3699" s="2" t="s">
        <v>41</v>
      </c>
    </row>
    <row r="3700" spans="1:10" ht="21" customHeight="1">
      <c r="A3700" s="2" t="s">
        <v>4697</v>
      </c>
      <c r="B3700" s="2" t="s">
        <v>41</v>
      </c>
      <c r="C3700" s="4">
        <v>45706.25</v>
      </c>
      <c r="D3700" s="4">
        <v>45706.25020667824</v>
      </c>
      <c r="E3700" s="2">
        <v>3.05</v>
      </c>
      <c r="F3700" s="2">
        <v>59.6</v>
      </c>
      <c r="G3700" s="2" t="s">
        <v>983</v>
      </c>
      <c r="H3700" s="2" t="s">
        <v>984</v>
      </c>
      <c r="I3700" s="2"/>
      <c r="J3700" s="2" t="s">
        <v>41</v>
      </c>
    </row>
    <row r="3701" spans="1:10" ht="21" customHeight="1">
      <c r="A3701" s="2" t="s">
        <v>4698</v>
      </c>
      <c r="B3701" s="2" t="s">
        <v>41</v>
      </c>
      <c r="C3701" s="4">
        <v>45707.25</v>
      </c>
      <c r="D3701" s="4">
        <v>45707.250101226848</v>
      </c>
      <c r="E3701" s="2">
        <v>5.67</v>
      </c>
      <c r="F3701" s="2">
        <v>66.400000000000006</v>
      </c>
      <c r="G3701" s="2" t="s">
        <v>983</v>
      </c>
      <c r="H3701" s="2" t="s">
        <v>984</v>
      </c>
      <c r="I3701" s="2"/>
      <c r="J3701" s="2" t="s">
        <v>41</v>
      </c>
    </row>
    <row r="3702" spans="1:10" ht="21" customHeight="1">
      <c r="A3702" s="2" t="s">
        <v>4699</v>
      </c>
      <c r="B3702" s="2" t="s">
        <v>41</v>
      </c>
      <c r="C3702" s="4">
        <v>45708.25</v>
      </c>
      <c r="D3702" s="4">
        <v>45708.250031412041</v>
      </c>
      <c r="E3702" s="2"/>
      <c r="F3702" s="2"/>
      <c r="G3702" s="2" t="s">
        <v>983</v>
      </c>
      <c r="H3702" s="2" t="s">
        <v>1066</v>
      </c>
      <c r="I3702" s="2" t="s">
        <v>1053</v>
      </c>
      <c r="J3702" s="2" t="s">
        <v>41</v>
      </c>
    </row>
    <row r="3703" spans="1:10" ht="21" customHeight="1">
      <c r="A3703" s="2" t="s">
        <v>4700</v>
      </c>
      <c r="B3703" s="2" t="s">
        <v>41</v>
      </c>
      <c r="C3703" s="4">
        <v>45709.25</v>
      </c>
      <c r="D3703" s="4">
        <v>45709.250048090282</v>
      </c>
      <c r="E3703" s="2">
        <v>5.66</v>
      </c>
      <c r="F3703" s="2">
        <v>73.099999999999994</v>
      </c>
      <c r="G3703" s="2" t="s">
        <v>983</v>
      </c>
      <c r="H3703" s="2" t="s">
        <v>984</v>
      </c>
      <c r="I3703" s="2" t="s">
        <v>985</v>
      </c>
      <c r="J3703" s="2" t="s">
        <v>41</v>
      </c>
    </row>
    <row r="3704" spans="1:10" ht="21" customHeight="1">
      <c r="A3704" s="2" t="s">
        <v>4701</v>
      </c>
      <c r="B3704" s="2" t="s">
        <v>41</v>
      </c>
      <c r="C3704" s="4">
        <v>45710.25</v>
      </c>
      <c r="D3704" s="4">
        <v>45710.250162407407</v>
      </c>
      <c r="E3704" s="2">
        <v>0</v>
      </c>
      <c r="F3704" s="2">
        <v>62</v>
      </c>
      <c r="G3704" s="2" t="s">
        <v>1175</v>
      </c>
      <c r="H3704" s="2" t="s">
        <v>984</v>
      </c>
      <c r="I3704" s="2"/>
      <c r="J3704" s="2" t="s">
        <v>41</v>
      </c>
    </row>
    <row r="3705" spans="1:10" ht="21" customHeight="1">
      <c r="A3705" s="2" t="s">
        <v>4702</v>
      </c>
      <c r="B3705" s="2" t="s">
        <v>41</v>
      </c>
      <c r="C3705" s="4">
        <v>45711.25</v>
      </c>
      <c r="D3705" s="4">
        <v>45711.250220937502</v>
      </c>
      <c r="E3705" s="2">
        <v>2.29</v>
      </c>
      <c r="F3705" s="2">
        <v>62.8</v>
      </c>
      <c r="G3705" s="2" t="s">
        <v>983</v>
      </c>
      <c r="H3705" s="2" t="s">
        <v>984</v>
      </c>
      <c r="I3705" s="2"/>
      <c r="J3705" s="2" t="s">
        <v>41</v>
      </c>
    </row>
    <row r="3706" spans="1:10" ht="21" customHeight="1">
      <c r="A3706" s="2" t="s">
        <v>4703</v>
      </c>
      <c r="B3706" s="2" t="s">
        <v>41</v>
      </c>
      <c r="C3706" s="4">
        <v>45712.25</v>
      </c>
      <c r="D3706" s="4">
        <v>45712.250428518513</v>
      </c>
      <c r="E3706" s="2">
        <v>2.66</v>
      </c>
      <c r="F3706" s="2">
        <v>64.7</v>
      </c>
      <c r="G3706" s="2" t="s">
        <v>983</v>
      </c>
      <c r="H3706" s="2" t="s">
        <v>984</v>
      </c>
      <c r="I3706" s="2"/>
      <c r="J3706" s="2" t="s">
        <v>41</v>
      </c>
    </row>
    <row r="3707" spans="1:10" ht="21" customHeight="1">
      <c r="A3707" s="2" t="s">
        <v>4704</v>
      </c>
      <c r="B3707" s="2" t="s">
        <v>41</v>
      </c>
      <c r="C3707" s="4">
        <v>45713.25</v>
      </c>
      <c r="D3707" s="4">
        <v>45714.5</v>
      </c>
      <c r="E3707" s="2"/>
      <c r="F3707" s="2"/>
      <c r="G3707" s="2" t="s">
        <v>983</v>
      </c>
      <c r="H3707" s="2" t="s">
        <v>1066</v>
      </c>
      <c r="I3707" s="2"/>
      <c r="J3707" s="2" t="s">
        <v>41</v>
      </c>
    </row>
    <row r="3708" spans="1:10" ht="21" customHeight="1">
      <c r="A3708" s="2" t="s">
        <v>4705</v>
      </c>
      <c r="B3708" s="2" t="s">
        <v>41</v>
      </c>
      <c r="C3708" s="4">
        <v>45714.25</v>
      </c>
      <c r="D3708" s="4">
        <v>45714.250520046291</v>
      </c>
      <c r="E3708" s="2">
        <v>3.25</v>
      </c>
      <c r="F3708" s="2">
        <v>59.6</v>
      </c>
      <c r="G3708" s="2" t="s">
        <v>983</v>
      </c>
      <c r="H3708" s="2" t="s">
        <v>984</v>
      </c>
      <c r="I3708" s="2"/>
      <c r="J3708" s="2" t="s">
        <v>41</v>
      </c>
    </row>
    <row r="3709" spans="1:10" ht="21" customHeight="1">
      <c r="A3709" s="2" t="s">
        <v>4706</v>
      </c>
      <c r="B3709" s="2" t="s">
        <v>41</v>
      </c>
      <c r="C3709" s="4">
        <v>45715.25</v>
      </c>
      <c r="D3709" s="4">
        <v>45715.250029282412</v>
      </c>
      <c r="E3709" s="2">
        <v>3.27</v>
      </c>
      <c r="F3709" s="2">
        <v>65.8</v>
      </c>
      <c r="G3709" s="2" t="s">
        <v>983</v>
      </c>
      <c r="H3709" s="2" t="s">
        <v>984</v>
      </c>
      <c r="I3709" s="2"/>
      <c r="J3709" s="2" t="s">
        <v>41</v>
      </c>
    </row>
    <row r="3710" spans="1:10" ht="21" customHeight="1">
      <c r="A3710" s="2" t="s">
        <v>4707</v>
      </c>
      <c r="B3710" s="2" t="s">
        <v>41</v>
      </c>
      <c r="C3710" s="4">
        <v>45716.25</v>
      </c>
      <c r="D3710" s="4">
        <v>45716.250578182866</v>
      </c>
      <c r="E3710" s="2"/>
      <c r="F3710" s="2"/>
      <c r="G3710" s="2" t="s">
        <v>983</v>
      </c>
      <c r="H3710" s="2" t="s">
        <v>1066</v>
      </c>
      <c r="I3710" s="2"/>
      <c r="J3710" s="2" t="s">
        <v>41</v>
      </c>
    </row>
    <row r="3711" spans="1:10" ht="21" customHeight="1">
      <c r="A3711" s="2" t="s">
        <v>4708</v>
      </c>
      <c r="B3711" s="2" t="s">
        <v>41</v>
      </c>
      <c r="C3711" s="4">
        <v>45717.25</v>
      </c>
      <c r="D3711" s="4">
        <v>45717.250599594903</v>
      </c>
      <c r="E3711" s="2">
        <v>2.4300000000000002</v>
      </c>
      <c r="F3711" s="2">
        <v>61</v>
      </c>
      <c r="G3711" s="2" t="s">
        <v>983</v>
      </c>
      <c r="H3711" s="2" t="s">
        <v>984</v>
      </c>
      <c r="I3711" s="2"/>
      <c r="J3711" s="2" t="s">
        <v>41</v>
      </c>
    </row>
    <row r="3712" spans="1:10" ht="21" customHeight="1">
      <c r="A3712" s="2" t="s">
        <v>4709</v>
      </c>
      <c r="B3712" s="2" t="s">
        <v>41</v>
      </c>
      <c r="C3712" s="4">
        <v>45718.25</v>
      </c>
      <c r="D3712" s="4">
        <v>45718.250263946757</v>
      </c>
      <c r="E3712" s="2"/>
      <c r="F3712" s="2"/>
      <c r="G3712" s="2" t="s">
        <v>983</v>
      </c>
      <c r="H3712" s="2" t="s">
        <v>1066</v>
      </c>
      <c r="I3712" s="2"/>
      <c r="J3712" s="2" t="s">
        <v>41</v>
      </c>
    </row>
    <row r="3713" spans="1:10" ht="21" customHeight="1">
      <c r="A3713" s="2" t="s">
        <v>4710</v>
      </c>
      <c r="B3713" s="2" t="s">
        <v>41</v>
      </c>
      <c r="C3713" s="4">
        <v>45719.25</v>
      </c>
      <c r="D3713" s="4">
        <v>45719.250147546292</v>
      </c>
      <c r="E3713" s="2">
        <v>3.27</v>
      </c>
      <c r="F3713" s="2">
        <v>63.6</v>
      </c>
      <c r="G3713" s="2" t="s">
        <v>983</v>
      </c>
      <c r="H3713" s="2" t="s">
        <v>984</v>
      </c>
      <c r="I3713" s="2"/>
      <c r="J3713" s="2" t="s">
        <v>41</v>
      </c>
    </row>
    <row r="3714" spans="1:10" ht="21" customHeight="1">
      <c r="A3714" s="2" t="s">
        <v>4711</v>
      </c>
      <c r="B3714" s="2" t="s">
        <v>41</v>
      </c>
      <c r="C3714" s="4">
        <v>45720.25</v>
      </c>
      <c r="D3714" s="4">
        <v>45720.250511215279</v>
      </c>
      <c r="E3714" s="2">
        <v>2.34</v>
      </c>
      <c r="F3714" s="2">
        <v>58.8</v>
      </c>
      <c r="G3714" s="2" t="s">
        <v>983</v>
      </c>
      <c r="H3714" s="2" t="s">
        <v>984</v>
      </c>
      <c r="I3714" s="2"/>
      <c r="J3714" s="2" t="s">
        <v>41</v>
      </c>
    </row>
    <row r="3715" spans="1:10" ht="21" customHeight="1">
      <c r="A3715" s="2" t="s">
        <v>4712</v>
      </c>
      <c r="B3715" s="2" t="s">
        <v>41</v>
      </c>
      <c r="C3715" s="4">
        <v>45721.25</v>
      </c>
      <c r="D3715" s="4">
        <v>45721.250678784723</v>
      </c>
      <c r="E3715" s="2">
        <v>3.05</v>
      </c>
      <c r="F3715" s="2">
        <v>64.900000000000006</v>
      </c>
      <c r="G3715" s="2" t="s">
        <v>983</v>
      </c>
      <c r="H3715" s="2" t="s">
        <v>984</v>
      </c>
      <c r="I3715" s="2"/>
      <c r="J3715" s="2" t="s">
        <v>41</v>
      </c>
    </row>
    <row r="3716" spans="1:10" ht="21" customHeight="1">
      <c r="A3716" s="2" t="s">
        <v>4713</v>
      </c>
      <c r="B3716" s="2" t="s">
        <v>41</v>
      </c>
      <c r="C3716" s="4">
        <v>45722.25</v>
      </c>
      <c r="D3716" s="4">
        <v>45722.250195925924</v>
      </c>
      <c r="E3716" s="2">
        <v>2.77</v>
      </c>
      <c r="F3716" s="2">
        <v>63.2</v>
      </c>
      <c r="G3716" s="2" t="s">
        <v>983</v>
      </c>
      <c r="H3716" s="2" t="s">
        <v>984</v>
      </c>
      <c r="I3716" s="2"/>
      <c r="J3716" s="2" t="s">
        <v>41</v>
      </c>
    </row>
    <row r="3717" spans="1:10" ht="21" customHeight="1">
      <c r="A3717" s="2" t="s">
        <v>4714</v>
      </c>
      <c r="B3717" s="2" t="s">
        <v>41</v>
      </c>
      <c r="C3717" s="4">
        <v>45723.25</v>
      </c>
      <c r="D3717" s="4">
        <v>45723.250050439819</v>
      </c>
      <c r="E3717" s="2"/>
      <c r="F3717" s="2"/>
      <c r="G3717" s="2" t="s">
        <v>983</v>
      </c>
      <c r="H3717" s="2" t="s">
        <v>1066</v>
      </c>
      <c r="I3717" s="2"/>
      <c r="J3717" s="2" t="s">
        <v>41</v>
      </c>
    </row>
    <row r="3718" spans="1:10" ht="21" customHeight="1">
      <c r="A3718" s="2" t="s">
        <v>4715</v>
      </c>
      <c r="B3718" s="2" t="s">
        <v>41</v>
      </c>
      <c r="C3718" s="4">
        <v>45724.25</v>
      </c>
      <c r="D3718" s="4">
        <v>45725.5</v>
      </c>
      <c r="E3718" s="2">
        <v>3.23</v>
      </c>
      <c r="F3718" s="2">
        <v>65.5</v>
      </c>
      <c r="G3718" s="2" t="s">
        <v>983</v>
      </c>
      <c r="H3718" s="2" t="s">
        <v>984</v>
      </c>
      <c r="I3718" s="2"/>
      <c r="J3718" s="2" t="s">
        <v>41</v>
      </c>
    </row>
    <row r="3719" spans="1:10" ht="21" customHeight="1">
      <c r="A3719" s="2" t="s">
        <v>4716</v>
      </c>
      <c r="B3719" s="2" t="s">
        <v>41</v>
      </c>
      <c r="C3719" s="4">
        <v>45725.25</v>
      </c>
      <c r="D3719" s="4">
        <v>45725.250047650465</v>
      </c>
      <c r="E3719" s="2">
        <v>0</v>
      </c>
      <c r="F3719" s="2">
        <v>65.099999999999994</v>
      </c>
      <c r="G3719" s="2" t="s">
        <v>1175</v>
      </c>
      <c r="H3719" s="2" t="s">
        <v>984</v>
      </c>
      <c r="I3719" s="2"/>
      <c r="J3719" s="2" t="s">
        <v>41</v>
      </c>
    </row>
    <row r="3720" spans="1:10" ht="21" customHeight="1">
      <c r="A3720" s="2" t="s">
        <v>4717</v>
      </c>
      <c r="B3720" s="2" t="s">
        <v>41</v>
      </c>
      <c r="C3720" s="4">
        <v>45726.25</v>
      </c>
      <c r="D3720" s="4">
        <v>45726.250153032408</v>
      </c>
      <c r="E3720" s="2">
        <v>2.88</v>
      </c>
      <c r="F3720" s="2">
        <v>64.400000000000006</v>
      </c>
      <c r="G3720" s="2" t="s">
        <v>983</v>
      </c>
      <c r="H3720" s="2" t="s">
        <v>984</v>
      </c>
      <c r="I3720" s="2" t="s">
        <v>985</v>
      </c>
      <c r="J3720" s="2" t="s">
        <v>41</v>
      </c>
    </row>
    <row r="3721" spans="1:10" ht="21" customHeight="1">
      <c r="A3721" s="2" t="s">
        <v>4718</v>
      </c>
      <c r="B3721" s="2" t="s">
        <v>41</v>
      </c>
      <c r="C3721" s="4">
        <v>45727.25</v>
      </c>
      <c r="D3721" s="4">
        <v>45727.250268298609</v>
      </c>
      <c r="E3721" s="2">
        <v>2.71</v>
      </c>
      <c r="F3721" s="2">
        <v>63.4</v>
      </c>
      <c r="G3721" s="2" t="s">
        <v>983</v>
      </c>
      <c r="H3721" s="2" t="s">
        <v>984</v>
      </c>
      <c r="I3721" s="2"/>
      <c r="J3721" s="2" t="s">
        <v>41</v>
      </c>
    </row>
    <row r="3722" spans="1:10" ht="21" customHeight="1">
      <c r="A3722" s="2" t="s">
        <v>4719</v>
      </c>
      <c r="B3722" s="2" t="s">
        <v>41</v>
      </c>
      <c r="C3722" s="4">
        <v>45728.25</v>
      </c>
      <c r="D3722" s="4">
        <v>45728.250057129626</v>
      </c>
      <c r="E3722" s="2">
        <v>2.5</v>
      </c>
      <c r="F3722" s="2">
        <v>58.1</v>
      </c>
      <c r="G3722" s="2" t="s">
        <v>983</v>
      </c>
      <c r="H3722" s="2" t="s">
        <v>984</v>
      </c>
      <c r="I3722" s="2"/>
      <c r="J3722" s="2" t="s">
        <v>41</v>
      </c>
    </row>
    <row r="3723" spans="1:10" ht="21" customHeight="1">
      <c r="A3723" s="2" t="s">
        <v>4720</v>
      </c>
      <c r="B3723" s="2" t="s">
        <v>41</v>
      </c>
      <c r="C3723" s="4">
        <v>45729.25</v>
      </c>
      <c r="D3723" s="4">
        <v>45729.250182870368</v>
      </c>
      <c r="E3723" s="2">
        <v>2.88</v>
      </c>
      <c r="F3723" s="2">
        <v>62.7</v>
      </c>
      <c r="G3723" s="2" t="s">
        <v>983</v>
      </c>
      <c r="H3723" s="2" t="s">
        <v>984</v>
      </c>
      <c r="I3723" s="2"/>
      <c r="J3723" s="2" t="s">
        <v>41</v>
      </c>
    </row>
    <row r="3724" spans="1:10" ht="21" customHeight="1">
      <c r="A3724" s="2" t="s">
        <v>4721</v>
      </c>
      <c r="B3724" s="2" t="s">
        <v>41</v>
      </c>
      <c r="C3724" s="4">
        <v>45730.25</v>
      </c>
      <c r="D3724" s="4">
        <v>45730.250152569446</v>
      </c>
      <c r="E3724" s="2"/>
      <c r="F3724" s="2"/>
      <c r="G3724" s="2" t="s">
        <v>983</v>
      </c>
      <c r="H3724" s="2" t="s">
        <v>1066</v>
      </c>
      <c r="I3724" s="2"/>
      <c r="J3724" s="2" t="s">
        <v>41</v>
      </c>
    </row>
    <row r="3725" spans="1:10" ht="21" customHeight="1">
      <c r="A3725" s="2" t="s">
        <v>4722</v>
      </c>
      <c r="B3725" s="2" t="s">
        <v>41</v>
      </c>
      <c r="C3725" s="4">
        <v>45731.25</v>
      </c>
      <c r="D3725" s="4">
        <v>45731.250324710651</v>
      </c>
      <c r="E3725" s="2">
        <v>2.38</v>
      </c>
      <c r="F3725" s="2">
        <v>64.099999999999994</v>
      </c>
      <c r="G3725" s="2" t="s">
        <v>983</v>
      </c>
      <c r="H3725" s="2" t="s">
        <v>984</v>
      </c>
      <c r="I3725" s="2"/>
      <c r="J3725" s="2" t="s">
        <v>41</v>
      </c>
    </row>
    <row r="3726" spans="1:10" ht="21" customHeight="1">
      <c r="A3726" s="2" t="s">
        <v>4723</v>
      </c>
      <c r="B3726" s="2" t="s">
        <v>41</v>
      </c>
      <c r="C3726" s="4">
        <v>45732.25</v>
      </c>
      <c r="D3726" s="4">
        <v>45732.250429513893</v>
      </c>
      <c r="E3726" s="2">
        <v>3.17</v>
      </c>
      <c r="F3726" s="2">
        <v>60.8</v>
      </c>
      <c r="G3726" s="2" t="s">
        <v>983</v>
      </c>
      <c r="H3726" s="2" t="s">
        <v>984</v>
      </c>
      <c r="I3726" s="2"/>
      <c r="J3726" s="2" t="s">
        <v>41</v>
      </c>
    </row>
    <row r="3727" spans="1:10" ht="21" customHeight="1">
      <c r="A3727" s="2" t="s">
        <v>4724</v>
      </c>
      <c r="B3727" s="2" t="s">
        <v>41</v>
      </c>
      <c r="C3727" s="4">
        <v>45733.25</v>
      </c>
      <c r="D3727" s="4">
        <v>45733.250205787037</v>
      </c>
      <c r="E3727" s="2">
        <v>3.01</v>
      </c>
      <c r="F3727" s="2">
        <v>62.1</v>
      </c>
      <c r="G3727" s="2" t="s">
        <v>983</v>
      </c>
      <c r="H3727" s="2" t="s">
        <v>984</v>
      </c>
      <c r="I3727" s="2"/>
      <c r="J3727" s="2" t="s">
        <v>41</v>
      </c>
    </row>
    <row r="3728" spans="1:10" ht="21" customHeight="1">
      <c r="A3728" s="2" t="s">
        <v>4725</v>
      </c>
      <c r="B3728" s="2" t="s">
        <v>41</v>
      </c>
      <c r="C3728" s="4">
        <v>45734.25</v>
      </c>
      <c r="D3728" s="4">
        <v>45734.250061770828</v>
      </c>
      <c r="E3728" s="2">
        <v>3.07</v>
      </c>
      <c r="F3728" s="2">
        <v>61.6</v>
      </c>
      <c r="G3728" s="2" t="s">
        <v>983</v>
      </c>
      <c r="H3728" s="2" t="s">
        <v>984</v>
      </c>
      <c r="I3728" s="2"/>
      <c r="J3728" s="2" t="s">
        <v>41</v>
      </c>
    </row>
    <row r="3729" spans="1:10" ht="21" customHeight="1">
      <c r="A3729" s="2" t="s">
        <v>4726</v>
      </c>
      <c r="B3729" s="2" t="s">
        <v>41</v>
      </c>
      <c r="C3729" s="4">
        <v>45735.25</v>
      </c>
      <c r="D3729" s="4">
        <v>45736.5</v>
      </c>
      <c r="E3729" s="2">
        <v>2.44</v>
      </c>
      <c r="F3729" s="2">
        <v>63.8</v>
      </c>
      <c r="G3729" s="2" t="s">
        <v>983</v>
      </c>
      <c r="H3729" s="2" t="s">
        <v>984</v>
      </c>
      <c r="I3729" s="2"/>
      <c r="J3729" s="2" t="s">
        <v>41</v>
      </c>
    </row>
    <row r="3730" spans="1:10" ht="21" customHeight="1">
      <c r="A3730" s="2" t="s">
        <v>4727</v>
      </c>
      <c r="B3730" s="2" t="s">
        <v>41</v>
      </c>
      <c r="C3730" s="4">
        <v>45736.25</v>
      </c>
      <c r="D3730" s="4">
        <v>45736.250144409722</v>
      </c>
      <c r="E3730" s="2">
        <v>2.75</v>
      </c>
      <c r="F3730" s="2">
        <v>63.4</v>
      </c>
      <c r="G3730" s="2" t="s">
        <v>983</v>
      </c>
      <c r="H3730" s="2" t="s">
        <v>984</v>
      </c>
      <c r="I3730" s="2"/>
      <c r="J3730" s="2" t="s">
        <v>41</v>
      </c>
    </row>
    <row r="3731" spans="1:10" ht="21" customHeight="1">
      <c r="A3731" s="2" t="s">
        <v>4728</v>
      </c>
      <c r="B3731" s="2" t="s">
        <v>41</v>
      </c>
      <c r="C3731" s="4">
        <v>45737.25</v>
      </c>
      <c r="D3731" s="4">
        <v>45737.250482812495</v>
      </c>
      <c r="E3731" s="2"/>
      <c r="F3731" s="2"/>
      <c r="G3731" s="2" t="s">
        <v>983</v>
      </c>
      <c r="H3731" s="2" t="s">
        <v>1066</v>
      </c>
      <c r="I3731" s="2"/>
      <c r="J3731" s="2" t="s">
        <v>41</v>
      </c>
    </row>
    <row r="3732" spans="1:10" ht="21" customHeight="1">
      <c r="A3732" s="2" t="s">
        <v>4729</v>
      </c>
      <c r="B3732" s="2" t="s">
        <v>41</v>
      </c>
      <c r="C3732" s="4">
        <v>45738.25</v>
      </c>
      <c r="D3732" s="4">
        <v>45738.250376203709</v>
      </c>
      <c r="E3732" s="2">
        <v>2.36</v>
      </c>
      <c r="F3732" s="2">
        <v>62.3</v>
      </c>
      <c r="G3732" s="2" t="s">
        <v>983</v>
      </c>
      <c r="H3732" s="2" t="s">
        <v>984</v>
      </c>
      <c r="I3732" s="2"/>
      <c r="J3732" s="2" t="s">
        <v>41</v>
      </c>
    </row>
    <row r="3733" spans="1:10" ht="21" customHeight="1">
      <c r="A3733" s="2" t="s">
        <v>4730</v>
      </c>
      <c r="B3733" s="2" t="s">
        <v>4689</v>
      </c>
      <c r="C3733" s="4">
        <v>45739.25</v>
      </c>
      <c r="D3733" s="4">
        <v>45739.250067326386</v>
      </c>
      <c r="E3733" s="2">
        <v>3</v>
      </c>
      <c r="F3733" s="2">
        <v>58.3</v>
      </c>
      <c r="G3733" s="2" t="s">
        <v>983</v>
      </c>
      <c r="H3733" s="2" t="s">
        <v>984</v>
      </c>
      <c r="I3733" s="2"/>
      <c r="J3733" s="2" t="s">
        <v>41</v>
      </c>
    </row>
    <row r="3734" spans="1:10" ht="21" customHeight="1">
      <c r="A3734" s="2" t="s">
        <v>4731</v>
      </c>
      <c r="B3734" s="2" t="s">
        <v>41</v>
      </c>
      <c r="C3734" s="4">
        <v>45740.25</v>
      </c>
      <c r="D3734" s="4">
        <v>45740.250247476855</v>
      </c>
      <c r="E3734" s="2">
        <v>2.88</v>
      </c>
      <c r="F3734" s="2">
        <v>58.5</v>
      </c>
      <c r="G3734" s="2" t="s">
        <v>983</v>
      </c>
      <c r="H3734" s="2" t="s">
        <v>984</v>
      </c>
      <c r="I3734" s="2"/>
      <c r="J3734" s="2" t="s">
        <v>41</v>
      </c>
    </row>
    <row r="3735" spans="1:10" ht="21" customHeight="1">
      <c r="A3735" s="2" t="s">
        <v>4732</v>
      </c>
      <c r="B3735" s="2" t="s">
        <v>41</v>
      </c>
      <c r="C3735" s="4">
        <v>45741.25</v>
      </c>
      <c r="D3735" s="4">
        <v>45741.25030586806</v>
      </c>
      <c r="E3735" s="2">
        <v>2.93</v>
      </c>
      <c r="F3735" s="2">
        <v>63.3</v>
      </c>
      <c r="G3735" s="2" t="s">
        <v>983</v>
      </c>
      <c r="H3735" s="2" t="s">
        <v>984</v>
      </c>
      <c r="I3735" s="2"/>
      <c r="J3735" s="2" t="s">
        <v>41</v>
      </c>
    </row>
    <row r="3736" spans="1:10" ht="21" customHeight="1">
      <c r="A3736" s="2" t="s">
        <v>4733</v>
      </c>
      <c r="B3736" s="2" t="s">
        <v>41</v>
      </c>
      <c r="C3736" s="4">
        <v>45742.25</v>
      </c>
      <c r="D3736" s="4">
        <v>45742.250001481487</v>
      </c>
      <c r="E3736" s="2">
        <v>3.03</v>
      </c>
      <c r="F3736" s="2">
        <v>62.5</v>
      </c>
      <c r="G3736" s="2" t="s">
        <v>983</v>
      </c>
      <c r="H3736" s="2" t="s">
        <v>984</v>
      </c>
      <c r="I3736" s="2"/>
      <c r="J3736" s="2" t="s">
        <v>41</v>
      </c>
    </row>
    <row r="3737" spans="1:10" ht="21" customHeight="1">
      <c r="A3737" s="2" t="s">
        <v>4734</v>
      </c>
      <c r="B3737" s="2" t="s">
        <v>41</v>
      </c>
      <c r="C3737" s="4">
        <v>45743.25</v>
      </c>
      <c r="D3737" s="4">
        <v>45743.250138877316</v>
      </c>
      <c r="E3737" s="2">
        <v>2.56</v>
      </c>
      <c r="F3737" s="2">
        <v>63.6</v>
      </c>
      <c r="G3737" s="2" t="s">
        <v>983</v>
      </c>
      <c r="H3737" s="2" t="s">
        <v>984</v>
      </c>
      <c r="I3737" s="2" t="s">
        <v>985</v>
      </c>
      <c r="J3737" s="2" t="s">
        <v>41</v>
      </c>
    </row>
    <row r="3738" spans="1:10" ht="21" customHeight="1">
      <c r="A3738" s="2" t="s">
        <v>4735</v>
      </c>
      <c r="B3738" s="2" t="s">
        <v>41</v>
      </c>
      <c r="C3738" s="4">
        <v>45744.25</v>
      </c>
      <c r="D3738" s="4">
        <v>45744.250264513888</v>
      </c>
      <c r="E3738" s="2">
        <v>2.46</v>
      </c>
      <c r="F3738" s="2">
        <v>63.8</v>
      </c>
      <c r="G3738" s="2" t="s">
        <v>983</v>
      </c>
      <c r="H3738" s="2" t="s">
        <v>984</v>
      </c>
      <c r="I3738" s="2"/>
      <c r="J3738" s="2" t="s">
        <v>41</v>
      </c>
    </row>
    <row r="3739" spans="1:10" ht="21" customHeight="1">
      <c r="A3739" s="2" t="s">
        <v>4736</v>
      </c>
      <c r="B3739" s="2" t="s">
        <v>41</v>
      </c>
      <c r="C3739" s="4">
        <v>45745.25</v>
      </c>
      <c r="D3739" s="4">
        <v>45745.250495902779</v>
      </c>
      <c r="E3739" s="2">
        <v>3.02</v>
      </c>
      <c r="F3739" s="2">
        <v>61.4</v>
      </c>
      <c r="G3739" s="2" t="s">
        <v>983</v>
      </c>
      <c r="H3739" s="2" t="s">
        <v>984</v>
      </c>
      <c r="I3739" s="2"/>
      <c r="J3739" s="2" t="s">
        <v>41</v>
      </c>
    </row>
    <row r="3740" spans="1:10" ht="21" customHeight="1">
      <c r="A3740" s="2" t="s">
        <v>4737</v>
      </c>
      <c r="B3740" s="2" t="s">
        <v>41</v>
      </c>
      <c r="C3740" s="4">
        <v>45746.25</v>
      </c>
      <c r="D3740" s="4">
        <v>45747.5</v>
      </c>
      <c r="E3740" s="2">
        <v>3.25</v>
      </c>
      <c r="F3740" s="2">
        <v>62.7</v>
      </c>
      <c r="G3740" s="2" t="s">
        <v>983</v>
      </c>
      <c r="H3740" s="2" t="s">
        <v>984</v>
      </c>
      <c r="I3740" s="2"/>
      <c r="J3740" s="2" t="s">
        <v>41</v>
      </c>
    </row>
    <row r="3741" spans="1:10" ht="21" customHeight="1">
      <c r="A3741" s="2" t="s">
        <v>4738</v>
      </c>
      <c r="B3741" s="2" t="s">
        <v>41</v>
      </c>
      <c r="C3741" s="4">
        <v>45747.25</v>
      </c>
      <c r="D3741" s="4">
        <v>45747.250155497684</v>
      </c>
      <c r="E3741" s="2"/>
      <c r="F3741" s="2"/>
      <c r="G3741" s="2" t="s">
        <v>983</v>
      </c>
      <c r="H3741" s="2" t="s">
        <v>1066</v>
      </c>
      <c r="I3741" s="2"/>
      <c r="J3741" s="2" t="s">
        <v>41</v>
      </c>
    </row>
    <row r="3742" spans="1:10" ht="21" customHeight="1">
      <c r="A3742" s="2" t="s">
        <v>4739</v>
      </c>
      <c r="B3742" s="2" t="s">
        <v>41</v>
      </c>
      <c r="C3742" s="4">
        <v>45748.25</v>
      </c>
      <c r="D3742" s="4">
        <v>45748.250389016204</v>
      </c>
      <c r="E3742" s="2">
        <v>2.42</v>
      </c>
      <c r="F3742" s="2">
        <v>58.7</v>
      </c>
      <c r="G3742" s="2" t="s">
        <v>983</v>
      </c>
      <c r="H3742" s="2" t="s">
        <v>984</v>
      </c>
      <c r="I3742" s="2"/>
      <c r="J3742" s="2" t="s">
        <v>41</v>
      </c>
    </row>
    <row r="3743" spans="1:10" ht="21" customHeight="1">
      <c r="A3743" s="2" t="s">
        <v>4740</v>
      </c>
      <c r="B3743" s="2" t="s">
        <v>41</v>
      </c>
      <c r="C3743" s="4">
        <v>45749.25</v>
      </c>
      <c r="D3743" s="4">
        <v>45749.250415127317</v>
      </c>
      <c r="E3743" s="2">
        <v>2.14</v>
      </c>
      <c r="F3743" s="2">
        <v>59.6</v>
      </c>
      <c r="G3743" s="2" t="s">
        <v>983</v>
      </c>
      <c r="H3743" s="2" t="s">
        <v>984</v>
      </c>
      <c r="I3743" s="2"/>
      <c r="J3743" s="2" t="s">
        <v>41</v>
      </c>
    </row>
    <row r="3744" spans="1:10" ht="21" customHeight="1">
      <c r="A3744" s="2" t="s">
        <v>4741</v>
      </c>
      <c r="B3744" s="2" t="s">
        <v>41</v>
      </c>
      <c r="C3744" s="4">
        <v>45750.25</v>
      </c>
      <c r="D3744" s="4">
        <v>45750.250409895831</v>
      </c>
      <c r="E3744" s="2"/>
      <c r="F3744" s="2"/>
      <c r="G3744" s="2" t="s">
        <v>983</v>
      </c>
      <c r="H3744" s="2" t="s">
        <v>1066</v>
      </c>
      <c r="I3744" s="2"/>
      <c r="J3744" s="2" t="s">
        <v>41</v>
      </c>
    </row>
    <row r="3745" spans="1:10" ht="21" customHeight="1">
      <c r="A3745" s="2" t="s">
        <v>4742</v>
      </c>
      <c r="B3745" s="2" t="s">
        <v>41</v>
      </c>
      <c r="C3745" s="4">
        <v>45751.25</v>
      </c>
      <c r="D3745" s="4">
        <v>45751.250410636574</v>
      </c>
      <c r="E3745" s="2">
        <v>2.66</v>
      </c>
      <c r="F3745" s="2">
        <v>58.5</v>
      </c>
      <c r="G3745" s="2" t="s">
        <v>983</v>
      </c>
      <c r="H3745" s="2" t="s">
        <v>984</v>
      </c>
      <c r="I3745" s="2"/>
      <c r="J3745" s="2" t="s">
        <v>41</v>
      </c>
    </row>
    <row r="3746" spans="1:10" ht="21" customHeight="1">
      <c r="A3746" s="2" t="s">
        <v>4743</v>
      </c>
      <c r="B3746" s="2" t="s">
        <v>41</v>
      </c>
      <c r="C3746" s="4">
        <v>45752.25</v>
      </c>
      <c r="D3746" s="4">
        <v>45752.250327199072</v>
      </c>
      <c r="E3746" s="2">
        <v>2.67</v>
      </c>
      <c r="F3746" s="2">
        <v>60.6</v>
      </c>
      <c r="G3746" s="2" t="s">
        <v>983</v>
      </c>
      <c r="H3746" s="2" t="s">
        <v>984</v>
      </c>
      <c r="I3746" s="2"/>
      <c r="J3746" s="2" t="s">
        <v>41</v>
      </c>
    </row>
    <row r="3747" spans="1:10" ht="21" customHeight="1">
      <c r="A3747" s="2" t="s">
        <v>4744</v>
      </c>
      <c r="B3747" s="2" t="s">
        <v>41</v>
      </c>
      <c r="C3747" s="4">
        <v>45753.25</v>
      </c>
      <c r="D3747" s="4">
        <v>45753.250020324078</v>
      </c>
      <c r="E3747" s="2">
        <v>0</v>
      </c>
      <c r="F3747" s="2">
        <v>60.1</v>
      </c>
      <c r="G3747" s="2" t="s">
        <v>1175</v>
      </c>
      <c r="H3747" s="2" t="s">
        <v>984</v>
      </c>
      <c r="I3747" s="2"/>
      <c r="J3747" s="2" t="s">
        <v>41</v>
      </c>
    </row>
    <row r="3748" spans="1:10" ht="21" customHeight="1">
      <c r="A3748" s="2" t="s">
        <v>4745</v>
      </c>
      <c r="B3748" s="2" t="s">
        <v>41</v>
      </c>
      <c r="C3748" s="4">
        <v>45754.25</v>
      </c>
      <c r="D3748" s="4">
        <v>45754.250398912038</v>
      </c>
      <c r="E3748" s="2"/>
      <c r="F3748" s="2"/>
      <c r="G3748" s="2" t="s">
        <v>983</v>
      </c>
      <c r="H3748" s="2" t="s">
        <v>1066</v>
      </c>
      <c r="I3748" s="2"/>
      <c r="J3748" s="2" t="s">
        <v>41</v>
      </c>
    </row>
    <row r="3749" spans="1:10" ht="21" customHeight="1">
      <c r="A3749" s="2" t="s">
        <v>4746</v>
      </c>
      <c r="B3749" s="2" t="s">
        <v>41</v>
      </c>
      <c r="C3749" s="4">
        <v>45755.25</v>
      </c>
      <c r="D3749" s="4">
        <v>45755.250229375</v>
      </c>
      <c r="E3749" s="2">
        <v>2.46</v>
      </c>
      <c r="F3749" s="2">
        <v>58.5</v>
      </c>
      <c r="G3749" s="2" t="s">
        <v>983</v>
      </c>
      <c r="H3749" s="2" t="s">
        <v>984</v>
      </c>
      <c r="I3749" s="2"/>
      <c r="J3749" s="2" t="s">
        <v>41</v>
      </c>
    </row>
    <row r="3750" spans="1:10" ht="21" customHeight="1">
      <c r="A3750" s="2" t="s">
        <v>4747</v>
      </c>
      <c r="B3750" s="2" t="s">
        <v>41</v>
      </c>
      <c r="C3750" s="4">
        <v>45756.25</v>
      </c>
      <c r="D3750" s="4">
        <v>45756.25030049769</v>
      </c>
      <c r="E3750" s="2">
        <v>2.59</v>
      </c>
      <c r="F3750" s="2">
        <v>61.7</v>
      </c>
      <c r="G3750" s="2" t="s">
        <v>983</v>
      </c>
      <c r="H3750" s="2" t="s">
        <v>984</v>
      </c>
      <c r="I3750" s="2"/>
      <c r="J3750" s="2" t="s">
        <v>41</v>
      </c>
    </row>
    <row r="3751" spans="1:10" ht="21" customHeight="1">
      <c r="A3751" s="2" t="s">
        <v>4748</v>
      </c>
      <c r="B3751" s="2" t="s">
        <v>41</v>
      </c>
      <c r="C3751" s="4">
        <v>45757.25</v>
      </c>
      <c r="D3751" s="4">
        <v>45758.5</v>
      </c>
      <c r="E3751" s="2">
        <v>2.5299999999999998</v>
      </c>
      <c r="F3751" s="2">
        <v>65.099999999999994</v>
      </c>
      <c r="G3751" s="2" t="s">
        <v>983</v>
      </c>
      <c r="H3751" s="2" t="s">
        <v>984</v>
      </c>
      <c r="I3751" s="2"/>
      <c r="J3751" s="2" t="s">
        <v>41</v>
      </c>
    </row>
    <row r="3752" spans="1:10" ht="21" customHeight="1">
      <c r="A3752" s="2" t="s">
        <v>4749</v>
      </c>
      <c r="B3752" s="2" t="s">
        <v>41</v>
      </c>
      <c r="C3752" s="4">
        <v>45758.25</v>
      </c>
      <c r="D3752" s="4">
        <v>45758.250085624997</v>
      </c>
      <c r="E3752" s="2">
        <v>3.09</v>
      </c>
      <c r="F3752" s="2">
        <v>64</v>
      </c>
      <c r="G3752" s="2" t="s">
        <v>983</v>
      </c>
      <c r="H3752" s="2" t="s">
        <v>984</v>
      </c>
      <c r="I3752" s="2"/>
      <c r="J3752" s="2" t="s">
        <v>41</v>
      </c>
    </row>
    <row r="3753" spans="1:10" ht="21" customHeight="1">
      <c r="A3753" s="2" t="s">
        <v>4750</v>
      </c>
      <c r="B3753" s="2" t="s">
        <v>41</v>
      </c>
      <c r="C3753" s="4">
        <v>45759.25</v>
      </c>
      <c r="D3753" s="4">
        <v>45759.250380983794</v>
      </c>
      <c r="E3753" s="2">
        <v>3.04</v>
      </c>
      <c r="F3753" s="2">
        <v>59.1</v>
      </c>
      <c r="G3753" s="2" t="s">
        <v>983</v>
      </c>
      <c r="H3753" s="2" t="s">
        <v>984</v>
      </c>
      <c r="I3753" s="2"/>
      <c r="J3753" s="2" t="s">
        <v>41</v>
      </c>
    </row>
    <row r="3754" spans="1:10" ht="21" customHeight="1">
      <c r="A3754" s="2" t="s">
        <v>4751</v>
      </c>
      <c r="B3754" s="2" t="s">
        <v>41</v>
      </c>
      <c r="C3754" s="4">
        <v>45760.25</v>
      </c>
      <c r="D3754" s="4">
        <v>45760.250194953704</v>
      </c>
      <c r="E3754" s="2">
        <v>3.02</v>
      </c>
      <c r="F3754" s="2">
        <v>63.7</v>
      </c>
      <c r="G3754" s="2" t="s">
        <v>983</v>
      </c>
      <c r="H3754" s="2" t="s">
        <v>984</v>
      </c>
      <c r="I3754" s="2" t="s">
        <v>985</v>
      </c>
      <c r="J3754" s="2" t="s">
        <v>41</v>
      </c>
    </row>
    <row r="3755" spans="1:10" ht="21" customHeight="1">
      <c r="A3755" s="2" t="s">
        <v>4752</v>
      </c>
      <c r="B3755" s="2" t="s">
        <v>41</v>
      </c>
      <c r="C3755" s="4">
        <v>45761.25</v>
      </c>
      <c r="D3755" s="4">
        <v>45761.250554976854</v>
      </c>
      <c r="E3755" s="2">
        <v>3.29</v>
      </c>
      <c r="F3755" s="2">
        <v>64</v>
      </c>
      <c r="G3755" s="2" t="s">
        <v>983</v>
      </c>
      <c r="H3755" s="2" t="s">
        <v>984</v>
      </c>
      <c r="I3755" s="2"/>
      <c r="J3755" s="2" t="s">
        <v>41</v>
      </c>
    </row>
    <row r="3756" spans="1:10" ht="21" customHeight="1">
      <c r="A3756" s="2" t="s">
        <v>4753</v>
      </c>
      <c r="B3756" s="2" t="s">
        <v>41</v>
      </c>
      <c r="C3756" s="4">
        <v>45762.25</v>
      </c>
      <c r="D3756" s="4">
        <v>45762.250312615739</v>
      </c>
      <c r="E3756" s="2">
        <v>2.7</v>
      </c>
      <c r="F3756" s="2">
        <v>61</v>
      </c>
      <c r="G3756" s="2" t="s">
        <v>983</v>
      </c>
      <c r="H3756" s="2" t="s">
        <v>984</v>
      </c>
      <c r="I3756" s="2"/>
      <c r="J3756" s="2" t="s">
        <v>41</v>
      </c>
    </row>
    <row r="3757" spans="1:10" ht="21" customHeight="1">
      <c r="A3757" s="2" t="s">
        <v>4754</v>
      </c>
      <c r="B3757" s="2" t="s">
        <v>41</v>
      </c>
      <c r="C3757" s="4">
        <v>45763.25</v>
      </c>
      <c r="D3757" s="4">
        <v>45763.250462407406</v>
      </c>
      <c r="E3757" s="2">
        <v>3.05</v>
      </c>
      <c r="F3757" s="2">
        <v>61.5</v>
      </c>
      <c r="G3757" s="2" t="s">
        <v>983</v>
      </c>
      <c r="H3757" s="2" t="s">
        <v>984</v>
      </c>
      <c r="I3757" s="2"/>
      <c r="J3757" s="2" t="s">
        <v>41</v>
      </c>
    </row>
    <row r="3758" spans="1:10" ht="21" customHeight="1">
      <c r="A3758" s="2" t="s">
        <v>4755</v>
      </c>
      <c r="B3758" s="2" t="s">
        <v>41</v>
      </c>
      <c r="C3758" s="4">
        <v>45764.25</v>
      </c>
      <c r="D3758" s="4">
        <v>45764.250482731484</v>
      </c>
      <c r="E3758" s="2">
        <v>3.16</v>
      </c>
      <c r="F3758" s="2">
        <v>58.7</v>
      </c>
      <c r="G3758" s="2" t="s">
        <v>983</v>
      </c>
      <c r="H3758" s="2" t="s">
        <v>984</v>
      </c>
      <c r="I3758" s="2"/>
      <c r="J3758" s="2" t="s">
        <v>41</v>
      </c>
    </row>
    <row r="3759" spans="1:10" ht="21" customHeight="1">
      <c r="A3759" s="2" t="s">
        <v>4756</v>
      </c>
      <c r="B3759" s="2" t="s">
        <v>41</v>
      </c>
      <c r="C3759" s="4">
        <v>45765.25</v>
      </c>
      <c r="D3759" s="4">
        <v>45765.250308449075</v>
      </c>
      <c r="E3759" s="2">
        <v>5.66</v>
      </c>
      <c r="F3759" s="2">
        <v>69.2</v>
      </c>
      <c r="G3759" s="2" t="s">
        <v>983</v>
      </c>
      <c r="H3759" s="2" t="s">
        <v>984</v>
      </c>
      <c r="I3759" s="2"/>
      <c r="J3759" s="2" t="s">
        <v>41</v>
      </c>
    </row>
    <row r="3760" spans="1:10" ht="21" customHeight="1">
      <c r="A3760" s="2" t="s">
        <v>4757</v>
      </c>
      <c r="B3760" s="2" t="s">
        <v>41</v>
      </c>
      <c r="C3760" s="4">
        <v>45766.25</v>
      </c>
      <c r="D3760" s="4">
        <v>45766.250409988425</v>
      </c>
      <c r="E3760" s="2">
        <v>5.15</v>
      </c>
      <c r="F3760" s="2">
        <v>72.599999999999994</v>
      </c>
      <c r="G3760" s="2" t="s">
        <v>983</v>
      </c>
      <c r="H3760" s="2" t="s">
        <v>984</v>
      </c>
      <c r="I3760" s="2" t="s">
        <v>1053</v>
      </c>
      <c r="J3760" s="2" t="s">
        <v>41</v>
      </c>
    </row>
    <row r="3761" spans="1:10" ht="21" customHeight="1">
      <c r="A3761" s="2" t="s">
        <v>4758</v>
      </c>
      <c r="B3761" s="2" t="s">
        <v>41</v>
      </c>
      <c r="C3761" s="4">
        <v>45767.25</v>
      </c>
      <c r="D3761" s="4">
        <v>45767.250441412034</v>
      </c>
      <c r="E3761" s="2">
        <v>6.97</v>
      </c>
      <c r="F3761" s="2">
        <v>66.7</v>
      </c>
      <c r="G3761" s="2" t="s">
        <v>983</v>
      </c>
      <c r="H3761" s="2" t="s">
        <v>984</v>
      </c>
      <c r="I3761" s="2"/>
      <c r="J3761" s="2" t="s">
        <v>41</v>
      </c>
    </row>
    <row r="3762" spans="1:10" ht="21" customHeight="1">
      <c r="A3762" s="2" t="s">
        <v>4759</v>
      </c>
      <c r="B3762" s="2" t="s">
        <v>41</v>
      </c>
      <c r="C3762" s="4">
        <v>45768.25</v>
      </c>
      <c r="D3762" s="4">
        <v>45769.5</v>
      </c>
      <c r="E3762" s="2">
        <v>0</v>
      </c>
      <c r="F3762" s="2">
        <v>62</v>
      </c>
      <c r="G3762" s="2" t="s">
        <v>1175</v>
      </c>
      <c r="H3762" s="2" t="s">
        <v>984</v>
      </c>
      <c r="I3762" s="2"/>
      <c r="J3762" s="2" t="s">
        <v>41</v>
      </c>
    </row>
    <row r="3763" spans="1:10" ht="21" customHeight="1">
      <c r="A3763" s="2" t="s">
        <v>4760</v>
      </c>
      <c r="B3763" s="2" t="s">
        <v>41</v>
      </c>
      <c r="C3763" s="4">
        <v>45769.25</v>
      </c>
      <c r="D3763" s="4">
        <v>45769.250328807873</v>
      </c>
      <c r="E3763" s="2">
        <v>0</v>
      </c>
      <c r="F3763" s="2">
        <v>64.900000000000006</v>
      </c>
      <c r="G3763" s="2" t="s">
        <v>1175</v>
      </c>
      <c r="H3763" s="2" t="s">
        <v>984</v>
      </c>
      <c r="I3763" s="2"/>
      <c r="J3763" s="2" t="s">
        <v>41</v>
      </c>
    </row>
    <row r="3764" spans="1:10" ht="21" customHeight="1">
      <c r="A3764" s="2" t="s">
        <v>4761</v>
      </c>
      <c r="B3764" s="2" t="s">
        <v>41</v>
      </c>
      <c r="C3764" s="4">
        <v>45770.25</v>
      </c>
      <c r="D3764" s="4">
        <v>45770.250610162038</v>
      </c>
      <c r="E3764" s="2">
        <v>2.76</v>
      </c>
      <c r="F3764" s="2">
        <v>63.6</v>
      </c>
      <c r="G3764" s="2" t="s">
        <v>983</v>
      </c>
      <c r="H3764" s="2" t="s">
        <v>984</v>
      </c>
      <c r="I3764" s="2"/>
      <c r="J3764" s="2" t="s">
        <v>41</v>
      </c>
    </row>
    <row r="3765" spans="1:10" ht="21" customHeight="1">
      <c r="A3765" s="2" t="s">
        <v>4762</v>
      </c>
      <c r="B3765" s="2" t="s">
        <v>41</v>
      </c>
      <c r="C3765" s="4">
        <v>45771.25</v>
      </c>
      <c r="D3765" s="4">
        <v>45771.250406689811</v>
      </c>
      <c r="E3765" s="2">
        <v>3.24</v>
      </c>
      <c r="F3765" s="2">
        <v>60.1</v>
      </c>
      <c r="G3765" s="2" t="s">
        <v>983</v>
      </c>
      <c r="H3765" s="2" t="s">
        <v>984</v>
      </c>
      <c r="I3765" s="2"/>
      <c r="J3765" s="2" t="s">
        <v>41</v>
      </c>
    </row>
    <row r="3766" spans="1:10" ht="21" customHeight="1">
      <c r="A3766" s="2" t="s">
        <v>4763</v>
      </c>
      <c r="B3766" s="2" t="s">
        <v>41</v>
      </c>
      <c r="C3766" s="4">
        <v>45772.25</v>
      </c>
      <c r="D3766" s="4">
        <v>45772.250157453702</v>
      </c>
      <c r="E3766" s="2">
        <v>2.2400000000000002</v>
      </c>
      <c r="F3766" s="2">
        <v>62.3</v>
      </c>
      <c r="G3766" s="2" t="s">
        <v>983</v>
      </c>
      <c r="H3766" s="2" t="s">
        <v>984</v>
      </c>
      <c r="I3766" s="2"/>
      <c r="J3766" s="2" t="s">
        <v>41</v>
      </c>
    </row>
    <row r="3767" spans="1:10" ht="21" customHeight="1">
      <c r="A3767" s="2" t="s">
        <v>4764</v>
      </c>
      <c r="B3767" s="2" t="s">
        <v>41</v>
      </c>
      <c r="C3767" s="4">
        <v>45773.25</v>
      </c>
      <c r="D3767" s="4">
        <v>45773.250330567127</v>
      </c>
      <c r="E3767" s="2">
        <v>2.31</v>
      </c>
      <c r="F3767" s="2">
        <v>60.6</v>
      </c>
      <c r="G3767" s="2" t="s">
        <v>983</v>
      </c>
      <c r="H3767" s="2" t="s">
        <v>984</v>
      </c>
      <c r="I3767" s="2"/>
      <c r="J3767" s="2" t="s">
        <v>41</v>
      </c>
    </row>
    <row r="3768" spans="1:10" ht="21" customHeight="1">
      <c r="A3768" s="2" t="s">
        <v>4765</v>
      </c>
      <c r="B3768" s="2" t="s">
        <v>41</v>
      </c>
      <c r="C3768" s="4">
        <v>45774.25</v>
      </c>
      <c r="D3768" s="4">
        <v>45774.250003379631</v>
      </c>
      <c r="E3768" s="2">
        <v>2.14</v>
      </c>
      <c r="F3768" s="2">
        <v>63.4</v>
      </c>
      <c r="G3768" s="2" t="s">
        <v>983</v>
      </c>
      <c r="H3768" s="2" t="s">
        <v>984</v>
      </c>
      <c r="I3768" s="2"/>
      <c r="J3768" s="2" t="s">
        <v>41</v>
      </c>
    </row>
    <row r="3769" spans="1:10" ht="21" customHeight="1">
      <c r="A3769" s="2" t="s">
        <v>4766</v>
      </c>
      <c r="B3769" s="2" t="s">
        <v>41</v>
      </c>
      <c r="C3769" s="4">
        <v>45775.25</v>
      </c>
      <c r="D3769" s="4">
        <v>45775.250223773153</v>
      </c>
      <c r="E3769" s="2">
        <v>2.59</v>
      </c>
      <c r="F3769" s="2">
        <v>65.5</v>
      </c>
      <c r="G3769" s="2" t="s">
        <v>983</v>
      </c>
      <c r="H3769" s="2" t="s">
        <v>984</v>
      </c>
      <c r="I3769" s="2"/>
      <c r="J3769" s="2" t="s">
        <v>41</v>
      </c>
    </row>
    <row r="3770" spans="1:10" ht="21" customHeight="1">
      <c r="A3770" s="2" t="s">
        <v>4767</v>
      </c>
      <c r="B3770" s="2" t="s">
        <v>41</v>
      </c>
      <c r="C3770" s="4">
        <v>45776.25</v>
      </c>
      <c r="D3770" s="4">
        <v>45776.250174907407</v>
      </c>
      <c r="E3770" s="2">
        <v>3</v>
      </c>
      <c r="F3770" s="2">
        <v>64.599999999999994</v>
      </c>
      <c r="G3770" s="2" t="s">
        <v>983</v>
      </c>
      <c r="H3770" s="2" t="s">
        <v>984</v>
      </c>
      <c r="I3770" s="2"/>
      <c r="J3770" s="2" t="s">
        <v>41</v>
      </c>
    </row>
    <row r="3771" spans="1:10" ht="21" customHeight="1">
      <c r="A3771" s="2" t="s">
        <v>4768</v>
      </c>
      <c r="B3771" s="2" t="s">
        <v>41</v>
      </c>
      <c r="C3771" s="4">
        <v>45777.25</v>
      </c>
      <c r="D3771" s="4">
        <v>45777.250584884256</v>
      </c>
      <c r="E3771" s="2">
        <v>2.2999999999999998</v>
      </c>
      <c r="F3771" s="2">
        <v>63.1</v>
      </c>
      <c r="G3771" s="2" t="s">
        <v>983</v>
      </c>
      <c r="H3771" s="2" t="s">
        <v>984</v>
      </c>
      <c r="I3771" s="2" t="s">
        <v>985</v>
      </c>
      <c r="J3771" s="2" t="s">
        <v>41</v>
      </c>
    </row>
    <row r="3772" spans="1:10" ht="21" customHeight="1">
      <c r="A3772" s="2" t="s">
        <v>4769</v>
      </c>
      <c r="B3772" s="2" t="s">
        <v>41</v>
      </c>
      <c r="C3772" s="4">
        <v>45778.25</v>
      </c>
      <c r="D3772" s="4">
        <v>45778.250502430557</v>
      </c>
      <c r="E3772" s="2"/>
      <c r="F3772" s="2"/>
      <c r="G3772" s="2" t="s">
        <v>983</v>
      </c>
      <c r="H3772" s="2" t="s">
        <v>1066</v>
      </c>
      <c r="I3772" s="2"/>
      <c r="J3772" s="2" t="s">
        <v>41</v>
      </c>
    </row>
    <row r="3773" spans="1:10" ht="21" customHeight="1">
      <c r="A3773" s="2" t="s">
        <v>4770</v>
      </c>
      <c r="B3773" s="2" t="s">
        <v>41</v>
      </c>
      <c r="C3773" s="4">
        <v>45779.25</v>
      </c>
      <c r="D3773" s="4">
        <v>45780.5</v>
      </c>
      <c r="E3773" s="2">
        <v>3.27</v>
      </c>
      <c r="F3773" s="2">
        <v>61.8</v>
      </c>
      <c r="G3773" s="2" t="s">
        <v>983</v>
      </c>
      <c r="H3773" s="2" t="s">
        <v>984</v>
      </c>
      <c r="I3773" s="2"/>
      <c r="J3773" s="2" t="s">
        <v>41</v>
      </c>
    </row>
    <row r="3774" spans="1:10" ht="21" customHeight="1">
      <c r="A3774" s="2" t="s">
        <v>4771</v>
      </c>
      <c r="B3774" s="2" t="s">
        <v>4689</v>
      </c>
      <c r="C3774" s="4">
        <v>45780.25</v>
      </c>
      <c r="D3774" s="4">
        <v>45780.250275775463</v>
      </c>
      <c r="E3774" s="2">
        <v>3.24</v>
      </c>
      <c r="F3774" s="2">
        <v>61.7</v>
      </c>
      <c r="G3774" s="2" t="s">
        <v>983</v>
      </c>
      <c r="H3774" s="2" t="s">
        <v>984</v>
      </c>
      <c r="I3774" s="2"/>
      <c r="J3774" s="2" t="s">
        <v>41</v>
      </c>
    </row>
    <row r="3775" spans="1:10" ht="21" customHeight="1">
      <c r="A3775" s="2" t="s">
        <v>4772</v>
      </c>
      <c r="B3775" s="2" t="s">
        <v>41</v>
      </c>
      <c r="C3775" s="4">
        <v>45781.25</v>
      </c>
      <c r="D3775" s="4">
        <v>45781.25026270833</v>
      </c>
      <c r="E3775" s="2">
        <v>2.85</v>
      </c>
      <c r="F3775" s="2">
        <v>63.9</v>
      </c>
      <c r="G3775" s="2" t="s">
        <v>983</v>
      </c>
      <c r="H3775" s="2" t="s">
        <v>984</v>
      </c>
      <c r="I3775" s="2"/>
      <c r="J3775" s="2" t="s">
        <v>41</v>
      </c>
    </row>
    <row r="3776" spans="1:10" ht="21" customHeight="1">
      <c r="A3776" s="2" t="s">
        <v>4773</v>
      </c>
      <c r="B3776" s="2" t="s">
        <v>41</v>
      </c>
      <c r="C3776" s="4">
        <v>45782.25</v>
      </c>
      <c r="D3776" s="4">
        <v>45782.250611979165</v>
      </c>
      <c r="E3776" s="2"/>
      <c r="F3776" s="2"/>
      <c r="G3776" s="2" t="s">
        <v>983</v>
      </c>
      <c r="H3776" s="2" t="s">
        <v>1066</v>
      </c>
      <c r="I3776" s="2"/>
      <c r="J3776" s="2" t="s">
        <v>41</v>
      </c>
    </row>
    <row r="3777" spans="1:10" ht="21" customHeight="1">
      <c r="A3777" s="2" t="s">
        <v>4774</v>
      </c>
      <c r="B3777" s="2" t="s">
        <v>41</v>
      </c>
      <c r="C3777" s="4">
        <v>45783.25</v>
      </c>
      <c r="D3777" s="4">
        <v>45783.250138553238</v>
      </c>
      <c r="E3777" s="2"/>
      <c r="F3777" s="2"/>
      <c r="G3777" s="2" t="s">
        <v>983</v>
      </c>
      <c r="H3777" s="2" t="s">
        <v>1066</v>
      </c>
      <c r="I3777" s="2"/>
      <c r="J3777" s="2" t="s">
        <v>41</v>
      </c>
    </row>
    <row r="3778" spans="1:10" ht="21" customHeight="1">
      <c r="A3778" s="2" t="s">
        <v>4775</v>
      </c>
      <c r="B3778" s="2" t="s">
        <v>41</v>
      </c>
      <c r="C3778" s="4">
        <v>45784.25</v>
      </c>
      <c r="D3778" s="4">
        <v>45784.250562291665</v>
      </c>
      <c r="E3778" s="2">
        <v>2.48</v>
      </c>
      <c r="F3778" s="2">
        <v>61.2</v>
      </c>
      <c r="G3778" s="2" t="s">
        <v>983</v>
      </c>
      <c r="H3778" s="2" t="s">
        <v>984</v>
      </c>
      <c r="I3778" s="2"/>
      <c r="J3778" s="2" t="s">
        <v>41</v>
      </c>
    </row>
    <row r="3779" spans="1:10" ht="21" customHeight="1">
      <c r="A3779" s="2" t="s">
        <v>4776</v>
      </c>
      <c r="B3779" s="2" t="s">
        <v>41</v>
      </c>
      <c r="C3779" s="4">
        <v>45785.25</v>
      </c>
      <c r="D3779" s="4">
        <v>45785.250378310186</v>
      </c>
      <c r="E3779" s="2"/>
      <c r="F3779" s="2"/>
      <c r="G3779" s="2" t="s">
        <v>983</v>
      </c>
      <c r="H3779" s="2" t="s">
        <v>1066</v>
      </c>
      <c r="I3779" s="2"/>
      <c r="J3779" s="2" t="s">
        <v>41</v>
      </c>
    </row>
    <row r="3780" spans="1:10" ht="21" customHeight="1">
      <c r="A3780" s="2" t="s">
        <v>4777</v>
      </c>
      <c r="B3780" s="2" t="s">
        <v>41</v>
      </c>
      <c r="C3780" s="4">
        <v>45786.25</v>
      </c>
      <c r="D3780" s="4">
        <v>45786.25043375</v>
      </c>
      <c r="E3780" s="2">
        <v>6.03</v>
      </c>
      <c r="F3780" s="2">
        <v>70.3</v>
      </c>
      <c r="G3780" s="2" t="s">
        <v>983</v>
      </c>
      <c r="H3780" s="2" t="s">
        <v>984</v>
      </c>
      <c r="I3780" s="2" t="s">
        <v>1053</v>
      </c>
      <c r="J3780" s="2" t="s">
        <v>41</v>
      </c>
    </row>
    <row r="3781" spans="1:10" ht="21" customHeight="1">
      <c r="A3781" s="2" t="s">
        <v>4778</v>
      </c>
      <c r="B3781" s="2" t="s">
        <v>41</v>
      </c>
      <c r="C3781" s="4">
        <v>45787.25</v>
      </c>
      <c r="D3781" s="4">
        <v>45787.250373472227</v>
      </c>
      <c r="E3781" s="2">
        <v>5.59</v>
      </c>
      <c r="F3781" s="2">
        <v>71.099999999999994</v>
      </c>
      <c r="G3781" s="2" t="s">
        <v>983</v>
      </c>
      <c r="H3781" s="2" t="s">
        <v>984</v>
      </c>
      <c r="I3781" s="2"/>
      <c r="J3781" s="2" t="s">
        <v>41</v>
      </c>
    </row>
    <row r="3782" spans="1:10" ht="21" customHeight="1">
      <c r="A3782" s="2" t="s">
        <v>4779</v>
      </c>
      <c r="B3782" s="2" t="s">
        <v>41</v>
      </c>
      <c r="C3782" s="4">
        <v>45788.25</v>
      </c>
      <c r="D3782" s="4">
        <v>45788.250117442134</v>
      </c>
      <c r="E3782" s="2">
        <v>0</v>
      </c>
      <c r="F3782" s="2">
        <v>62.4</v>
      </c>
      <c r="G3782" s="2" t="s">
        <v>1175</v>
      </c>
      <c r="H3782" s="2" t="s">
        <v>984</v>
      </c>
      <c r="I3782" s="2"/>
      <c r="J3782" s="2" t="s">
        <v>41</v>
      </c>
    </row>
    <row r="3783" spans="1:10" ht="21" customHeight="1">
      <c r="A3783" s="2" t="s">
        <v>4780</v>
      </c>
      <c r="B3783" s="2" t="s">
        <v>41</v>
      </c>
      <c r="C3783" s="4">
        <v>45789.25</v>
      </c>
      <c r="D3783" s="4">
        <v>45789.250492233798</v>
      </c>
      <c r="E3783" s="2">
        <v>3.1</v>
      </c>
      <c r="F3783" s="2">
        <v>59.1</v>
      </c>
      <c r="G3783" s="2" t="s">
        <v>983</v>
      </c>
      <c r="H3783" s="2" t="s">
        <v>984</v>
      </c>
      <c r="I3783" s="2"/>
      <c r="J3783" s="2" t="s">
        <v>41</v>
      </c>
    </row>
    <row r="3784" spans="1:10" ht="21" customHeight="1">
      <c r="A3784" s="2" t="s">
        <v>4781</v>
      </c>
      <c r="B3784" s="2" t="s">
        <v>41</v>
      </c>
      <c r="C3784" s="4">
        <v>45790.25</v>
      </c>
      <c r="D3784" s="4">
        <v>45791.5</v>
      </c>
      <c r="E3784" s="2">
        <v>3.11</v>
      </c>
      <c r="F3784" s="2">
        <v>59.8</v>
      </c>
      <c r="G3784" s="2" t="s">
        <v>983</v>
      </c>
      <c r="H3784" s="2" t="s">
        <v>984</v>
      </c>
      <c r="I3784" s="2"/>
      <c r="J3784" s="2" t="s">
        <v>41</v>
      </c>
    </row>
    <row r="3785" spans="1:10" ht="21" customHeight="1">
      <c r="A3785" s="2" t="s">
        <v>4782</v>
      </c>
      <c r="B3785" s="2" t="s">
        <v>41</v>
      </c>
      <c r="C3785" s="4">
        <v>45791.25</v>
      </c>
      <c r="D3785" s="4">
        <v>45791.250208171296</v>
      </c>
      <c r="E3785" s="2">
        <v>2.65</v>
      </c>
      <c r="F3785" s="2">
        <v>63.2</v>
      </c>
      <c r="G3785" s="2" t="s">
        <v>983</v>
      </c>
      <c r="H3785" s="2" t="s">
        <v>984</v>
      </c>
      <c r="I3785" s="2"/>
      <c r="J3785" s="2" t="s">
        <v>41</v>
      </c>
    </row>
    <row r="3786" spans="1:10" ht="21" customHeight="1">
      <c r="A3786" s="2" t="s">
        <v>4783</v>
      </c>
      <c r="B3786" s="2" t="s">
        <v>41</v>
      </c>
      <c r="C3786" s="4">
        <v>45792.25</v>
      </c>
      <c r="D3786" s="4">
        <v>45792.250134999995</v>
      </c>
      <c r="E3786" s="2">
        <v>3.15</v>
      </c>
      <c r="F3786" s="2">
        <v>64.400000000000006</v>
      </c>
      <c r="G3786" s="2" t="s">
        <v>983</v>
      </c>
      <c r="H3786" s="2" t="s">
        <v>984</v>
      </c>
      <c r="I3786" s="2"/>
      <c r="J3786" s="2" t="s">
        <v>41</v>
      </c>
    </row>
    <row r="3787" spans="1:10" ht="21" customHeight="1">
      <c r="A3787" s="2" t="s">
        <v>4784</v>
      </c>
      <c r="B3787" s="2" t="s">
        <v>41</v>
      </c>
      <c r="C3787" s="4">
        <v>45793.25</v>
      </c>
      <c r="D3787" s="4">
        <v>45793.25001481481</v>
      </c>
      <c r="E3787" s="2">
        <v>2.9</v>
      </c>
      <c r="F3787" s="2">
        <v>62</v>
      </c>
      <c r="G3787" s="2" t="s">
        <v>983</v>
      </c>
      <c r="H3787" s="2" t="s">
        <v>984</v>
      </c>
      <c r="I3787" s="2"/>
      <c r="J3787" s="2" t="s">
        <v>41</v>
      </c>
    </row>
    <row r="3788" spans="1:10" ht="21" customHeight="1">
      <c r="A3788" s="2" t="s">
        <v>4785</v>
      </c>
      <c r="B3788" s="2" t="s">
        <v>41</v>
      </c>
      <c r="C3788" s="4">
        <v>45794.25</v>
      </c>
      <c r="D3788" s="4">
        <v>45794.250386550921</v>
      </c>
      <c r="E3788" s="2">
        <v>3.21</v>
      </c>
      <c r="F3788" s="2">
        <v>60.9</v>
      </c>
      <c r="G3788" s="2" t="s">
        <v>983</v>
      </c>
      <c r="H3788" s="2" t="s">
        <v>984</v>
      </c>
      <c r="I3788" s="2" t="s">
        <v>985</v>
      </c>
      <c r="J3788" s="2" t="s">
        <v>41</v>
      </c>
    </row>
    <row r="3789" spans="1:10" ht="21" customHeight="1">
      <c r="A3789" s="2" t="s">
        <v>4786</v>
      </c>
      <c r="B3789" s="2" t="s">
        <v>41</v>
      </c>
      <c r="C3789" s="4">
        <v>45795.25</v>
      </c>
      <c r="D3789" s="4">
        <v>45795.250442245371</v>
      </c>
      <c r="E3789" s="2">
        <v>3.01</v>
      </c>
      <c r="F3789" s="2">
        <v>58.6</v>
      </c>
      <c r="G3789" s="2" t="s">
        <v>983</v>
      </c>
      <c r="H3789" s="2" t="s">
        <v>984</v>
      </c>
      <c r="I3789" s="2"/>
      <c r="J3789" s="2" t="s">
        <v>41</v>
      </c>
    </row>
    <row r="3790" spans="1:10" ht="21" customHeight="1">
      <c r="A3790" s="2" t="s">
        <v>4787</v>
      </c>
      <c r="B3790" s="2" t="s">
        <v>41</v>
      </c>
      <c r="C3790" s="4">
        <v>45796.25</v>
      </c>
      <c r="D3790" s="4">
        <v>45796.250613715281</v>
      </c>
      <c r="E3790" s="2">
        <v>2.73</v>
      </c>
      <c r="F3790" s="2">
        <v>58</v>
      </c>
      <c r="G3790" s="2" t="s">
        <v>983</v>
      </c>
      <c r="H3790" s="2" t="s">
        <v>984</v>
      </c>
      <c r="I3790" s="2"/>
      <c r="J3790" s="2" t="s">
        <v>41</v>
      </c>
    </row>
    <row r="3791" spans="1:10" ht="21" customHeight="1">
      <c r="A3791" s="2" t="s">
        <v>4788</v>
      </c>
      <c r="B3791" s="2" t="s">
        <v>41</v>
      </c>
      <c r="C3791" s="4">
        <v>45797.25</v>
      </c>
      <c r="D3791" s="4">
        <v>45797.250007673611</v>
      </c>
      <c r="E3791" s="2">
        <v>3.1</v>
      </c>
      <c r="F3791" s="2">
        <v>65.7</v>
      </c>
      <c r="G3791" s="2" t="s">
        <v>983</v>
      </c>
      <c r="H3791" s="2" t="s">
        <v>984</v>
      </c>
      <c r="I3791" s="2"/>
      <c r="J3791" s="2" t="s">
        <v>41</v>
      </c>
    </row>
    <row r="3792" spans="1:10" ht="21" customHeight="1">
      <c r="A3792" s="2" t="s">
        <v>4789</v>
      </c>
      <c r="B3792" s="2" t="s">
        <v>41</v>
      </c>
      <c r="C3792" s="4">
        <v>45798.25</v>
      </c>
      <c r="D3792" s="4">
        <v>45798.250407233798</v>
      </c>
      <c r="E3792" s="2">
        <v>2.44</v>
      </c>
      <c r="F3792" s="2">
        <v>59.7</v>
      </c>
      <c r="G3792" s="2" t="s">
        <v>983</v>
      </c>
      <c r="H3792" s="2" t="s">
        <v>984</v>
      </c>
      <c r="I3792" s="2"/>
      <c r="J3792" s="2" t="s">
        <v>41</v>
      </c>
    </row>
    <row r="3793" spans="1:10" ht="21" customHeight="1">
      <c r="A3793" s="2" t="s">
        <v>4790</v>
      </c>
      <c r="B3793" s="2" t="s">
        <v>41</v>
      </c>
      <c r="C3793" s="4">
        <v>45799.25</v>
      </c>
      <c r="D3793" s="4">
        <v>45799.250497465277</v>
      </c>
      <c r="E3793" s="2">
        <v>2.74</v>
      </c>
      <c r="F3793" s="2">
        <v>62.9</v>
      </c>
      <c r="G3793" s="2" t="s">
        <v>983</v>
      </c>
      <c r="H3793" s="2" t="s">
        <v>984</v>
      </c>
      <c r="I3793" s="2"/>
      <c r="J3793" s="2" t="s">
        <v>41</v>
      </c>
    </row>
    <row r="3794" spans="1:10" ht="21" customHeight="1">
      <c r="A3794" s="2" t="s">
        <v>4791</v>
      </c>
      <c r="B3794" s="2" t="s">
        <v>41</v>
      </c>
      <c r="C3794" s="4">
        <v>45800.25</v>
      </c>
      <c r="D3794" s="4">
        <v>45800.250372754628</v>
      </c>
      <c r="E3794" s="2">
        <v>0</v>
      </c>
      <c r="F3794" s="2">
        <v>59.4</v>
      </c>
      <c r="G3794" s="2" t="s">
        <v>1175</v>
      </c>
      <c r="H3794" s="2" t="s">
        <v>984</v>
      </c>
      <c r="I3794" s="2"/>
      <c r="J3794" s="2" t="s">
        <v>41</v>
      </c>
    </row>
    <row r="3795" spans="1:10" ht="21" customHeight="1">
      <c r="A3795" s="2" t="s">
        <v>4792</v>
      </c>
      <c r="B3795" s="2" t="s">
        <v>41</v>
      </c>
      <c r="C3795" s="4">
        <v>45801.25</v>
      </c>
      <c r="D3795" s="4">
        <v>45802.5</v>
      </c>
      <c r="E3795" s="2">
        <v>0</v>
      </c>
      <c r="F3795" s="2">
        <v>63.4</v>
      </c>
      <c r="G3795" s="2" t="s">
        <v>1175</v>
      </c>
      <c r="H3795" s="2" t="s">
        <v>984</v>
      </c>
      <c r="I3795" s="2"/>
      <c r="J3795" s="2" t="s">
        <v>41</v>
      </c>
    </row>
    <row r="3796" spans="1:10" ht="21" customHeight="1">
      <c r="A3796" s="2" t="s">
        <v>4793</v>
      </c>
      <c r="B3796" s="2" t="s">
        <v>41</v>
      </c>
      <c r="C3796" s="4">
        <v>45802.25</v>
      </c>
      <c r="D3796" s="4">
        <v>45802.250560844906</v>
      </c>
      <c r="E3796" s="2">
        <v>2.2400000000000002</v>
      </c>
      <c r="F3796" s="2">
        <v>64.900000000000006</v>
      </c>
      <c r="G3796" s="2" t="s">
        <v>983</v>
      </c>
      <c r="H3796" s="2" t="s">
        <v>984</v>
      </c>
      <c r="I3796" s="2"/>
      <c r="J3796" s="2" t="s">
        <v>41</v>
      </c>
    </row>
    <row r="3797" spans="1:10" ht="21" customHeight="1">
      <c r="A3797" s="2" t="s">
        <v>4794</v>
      </c>
      <c r="B3797" s="2" t="s">
        <v>41</v>
      </c>
      <c r="C3797" s="4">
        <v>45803.25</v>
      </c>
      <c r="D3797" s="4">
        <v>45803.25044314815</v>
      </c>
      <c r="E3797" s="2">
        <v>3.17</v>
      </c>
      <c r="F3797" s="2">
        <v>65.400000000000006</v>
      </c>
      <c r="G3797" s="2" t="s">
        <v>983</v>
      </c>
      <c r="H3797" s="2" t="s">
        <v>984</v>
      </c>
      <c r="I3797" s="2"/>
      <c r="J3797" s="2" t="s">
        <v>41</v>
      </c>
    </row>
    <row r="3798" spans="1:10" ht="21" customHeight="1">
      <c r="A3798" s="2" t="s">
        <v>4795</v>
      </c>
      <c r="B3798" s="2" t="s">
        <v>41</v>
      </c>
      <c r="C3798" s="4">
        <v>45804.25</v>
      </c>
      <c r="D3798" s="4">
        <v>45804.25053513889</v>
      </c>
      <c r="E3798" s="2">
        <v>3.14</v>
      </c>
      <c r="F3798" s="2">
        <v>58.1</v>
      </c>
      <c r="G3798" s="2" t="s">
        <v>983</v>
      </c>
      <c r="H3798" s="2" t="s">
        <v>984</v>
      </c>
      <c r="I3798" s="2"/>
      <c r="J3798" s="2" t="s">
        <v>41</v>
      </c>
    </row>
    <row r="3799" spans="1:10" ht="21" customHeight="1">
      <c r="A3799" s="2" t="s">
        <v>4796</v>
      </c>
      <c r="B3799" s="2" t="s">
        <v>41</v>
      </c>
      <c r="C3799" s="4">
        <v>45805.25</v>
      </c>
      <c r="D3799" s="4">
        <v>45805.250665879634</v>
      </c>
      <c r="E3799" s="2">
        <v>3.11</v>
      </c>
      <c r="F3799" s="2">
        <v>62.9</v>
      </c>
      <c r="G3799" s="2" t="s">
        <v>983</v>
      </c>
      <c r="H3799" s="2" t="s">
        <v>984</v>
      </c>
      <c r="I3799" s="2"/>
      <c r="J3799" s="2" t="s">
        <v>41</v>
      </c>
    </row>
    <row r="3800" spans="1:10" ht="21" customHeight="1">
      <c r="A3800" s="2" t="s">
        <v>4797</v>
      </c>
      <c r="B3800" s="2" t="s">
        <v>41</v>
      </c>
      <c r="C3800" s="4">
        <v>45806.25</v>
      </c>
      <c r="D3800" s="4">
        <v>45806.250330740746</v>
      </c>
      <c r="E3800" s="2">
        <v>25.42</v>
      </c>
      <c r="F3800" s="2">
        <v>65.3</v>
      </c>
      <c r="G3800" s="2" t="s">
        <v>983</v>
      </c>
      <c r="H3800" s="2" t="s">
        <v>1022</v>
      </c>
      <c r="I3800" s="2"/>
      <c r="J3800" s="2" t="s">
        <v>41</v>
      </c>
    </row>
    <row r="3801" spans="1:10" ht="21" customHeight="1">
      <c r="A3801" s="2" t="s">
        <v>4798</v>
      </c>
      <c r="B3801" s="2" t="s">
        <v>41</v>
      </c>
      <c r="C3801" s="4">
        <v>45807.25</v>
      </c>
      <c r="D3801" s="4">
        <v>45807.250238749999</v>
      </c>
      <c r="E3801" s="2">
        <v>2.6</v>
      </c>
      <c r="F3801" s="2">
        <v>60.9</v>
      </c>
      <c r="G3801" s="2" t="s">
        <v>983</v>
      </c>
      <c r="H3801" s="2" t="s">
        <v>984</v>
      </c>
      <c r="I3801" s="2"/>
      <c r="J3801" s="2" t="s">
        <v>41</v>
      </c>
    </row>
    <row r="3802" spans="1:10" ht="21" customHeight="1">
      <c r="A3802" s="2" t="s">
        <v>4799</v>
      </c>
      <c r="B3802" s="2" t="s">
        <v>41</v>
      </c>
      <c r="C3802" s="4">
        <v>45808.25</v>
      </c>
      <c r="D3802" s="4">
        <v>45808.250417615738</v>
      </c>
      <c r="E3802" s="2">
        <v>2.57</v>
      </c>
      <c r="F3802" s="2">
        <v>60.6</v>
      </c>
      <c r="G3802" s="2" t="s">
        <v>983</v>
      </c>
      <c r="H3802" s="2" t="s">
        <v>984</v>
      </c>
      <c r="I3802" s="2"/>
      <c r="J3802" s="2" t="s">
        <v>41</v>
      </c>
    </row>
    <row r="3803" spans="1:10" ht="21" customHeight="1">
      <c r="A3803" s="2" t="s">
        <v>4800</v>
      </c>
      <c r="B3803" s="2" t="s">
        <v>41</v>
      </c>
      <c r="C3803" s="4">
        <v>45809.25</v>
      </c>
      <c r="D3803" s="4">
        <v>45809.250057893514</v>
      </c>
      <c r="E3803" s="2">
        <v>3.02</v>
      </c>
      <c r="F3803" s="2">
        <v>63</v>
      </c>
      <c r="G3803" s="2" t="s">
        <v>983</v>
      </c>
      <c r="H3803" s="2" t="s">
        <v>984</v>
      </c>
      <c r="I3803" s="2"/>
      <c r="J3803" s="2" t="s">
        <v>41</v>
      </c>
    </row>
    <row r="3804" spans="1:10" ht="21" customHeight="1">
      <c r="A3804" s="2" t="s">
        <v>4801</v>
      </c>
      <c r="B3804" s="2" t="s">
        <v>41</v>
      </c>
      <c r="C3804" s="4">
        <v>45810.25</v>
      </c>
      <c r="D3804" s="4">
        <v>45810.250036979167</v>
      </c>
      <c r="E3804" s="2">
        <v>2.61</v>
      </c>
      <c r="F3804" s="2">
        <v>62.9</v>
      </c>
      <c r="G3804" s="2" t="s">
        <v>983</v>
      </c>
      <c r="H3804" s="2" t="s">
        <v>984</v>
      </c>
      <c r="I3804" s="2"/>
      <c r="J3804" s="2" t="s">
        <v>41</v>
      </c>
    </row>
    <row r="3805" spans="1:10" ht="21" customHeight="1">
      <c r="A3805" s="2" t="s">
        <v>4802</v>
      </c>
      <c r="B3805" s="2" t="s">
        <v>41</v>
      </c>
      <c r="C3805" s="4">
        <v>45811.25</v>
      </c>
      <c r="D3805" s="4">
        <v>45811.250564479167</v>
      </c>
      <c r="E3805" s="2">
        <v>2.64</v>
      </c>
      <c r="F3805" s="2">
        <v>61.1</v>
      </c>
      <c r="G3805" s="2" t="s">
        <v>983</v>
      </c>
      <c r="H3805" s="2" t="s">
        <v>984</v>
      </c>
      <c r="I3805" s="2" t="s">
        <v>985</v>
      </c>
      <c r="J3805" s="2" t="s">
        <v>41</v>
      </c>
    </row>
    <row r="3806" spans="1:10" ht="21" customHeight="1">
      <c r="A3806" s="2" t="s">
        <v>4803</v>
      </c>
      <c r="B3806" s="2" t="s">
        <v>41</v>
      </c>
      <c r="C3806" s="4">
        <v>45812.25</v>
      </c>
      <c r="D3806" s="4">
        <v>45813.5</v>
      </c>
      <c r="E3806" s="2"/>
      <c r="F3806" s="2"/>
      <c r="G3806" s="2" t="s">
        <v>983</v>
      </c>
      <c r="H3806" s="2" t="s">
        <v>1066</v>
      </c>
      <c r="I3806" s="2"/>
      <c r="J3806" s="2" t="s">
        <v>41</v>
      </c>
    </row>
    <row r="3807" spans="1:10" ht="21" customHeight="1">
      <c r="A3807" s="2" t="s">
        <v>4804</v>
      </c>
      <c r="B3807" s="2" t="s">
        <v>41</v>
      </c>
      <c r="C3807" s="4">
        <v>45813.25</v>
      </c>
      <c r="D3807" s="4">
        <v>45813.250005277776</v>
      </c>
      <c r="E3807" s="2">
        <v>5.25</v>
      </c>
      <c r="F3807" s="2">
        <v>65.900000000000006</v>
      </c>
      <c r="G3807" s="2" t="s">
        <v>983</v>
      </c>
      <c r="H3807" s="2" t="s">
        <v>984</v>
      </c>
      <c r="I3807" s="2"/>
      <c r="J3807" s="2" t="s">
        <v>41</v>
      </c>
    </row>
    <row r="3808" spans="1:10" ht="21" customHeight="1">
      <c r="A3808" s="2" t="s">
        <v>4805</v>
      </c>
      <c r="B3808" s="2" t="s">
        <v>41</v>
      </c>
      <c r="C3808" s="4">
        <v>45814.25</v>
      </c>
      <c r="D3808" s="4">
        <v>45814.250498530091</v>
      </c>
      <c r="E3808" s="2">
        <v>6.35</v>
      </c>
      <c r="F3808" s="2">
        <v>64.599999999999994</v>
      </c>
      <c r="G3808" s="2" t="s">
        <v>983</v>
      </c>
      <c r="H3808" s="2" t="s">
        <v>984</v>
      </c>
      <c r="I3808" s="2" t="s">
        <v>1053</v>
      </c>
      <c r="J3808" s="2" t="s">
        <v>41</v>
      </c>
    </row>
    <row r="3809" spans="1:10" ht="21" customHeight="1">
      <c r="A3809" s="2" t="s">
        <v>4806</v>
      </c>
      <c r="B3809" s="2" t="s">
        <v>41</v>
      </c>
      <c r="C3809" s="4">
        <v>45815.25</v>
      </c>
      <c r="D3809" s="4">
        <v>45815.250015763886</v>
      </c>
      <c r="E3809" s="2">
        <v>6.03</v>
      </c>
      <c r="F3809" s="2">
        <v>66.099999999999994</v>
      </c>
      <c r="G3809" s="2" t="s">
        <v>983</v>
      </c>
      <c r="H3809" s="2" t="s">
        <v>984</v>
      </c>
      <c r="I3809" s="2"/>
      <c r="J3809" s="2" t="s">
        <v>41</v>
      </c>
    </row>
    <row r="3810" spans="1:10" ht="21" customHeight="1">
      <c r="A3810" s="2" t="s">
        <v>4807</v>
      </c>
      <c r="B3810" s="2" t="s">
        <v>41</v>
      </c>
      <c r="C3810" s="4">
        <v>45816.25</v>
      </c>
      <c r="D3810" s="4">
        <v>45816.250527615739</v>
      </c>
      <c r="E3810" s="2">
        <v>0</v>
      </c>
      <c r="F3810" s="2">
        <v>64.5</v>
      </c>
      <c r="G3810" s="2" t="s">
        <v>1175</v>
      </c>
      <c r="H3810" s="2" t="s">
        <v>984</v>
      </c>
      <c r="I3810" s="2"/>
      <c r="J3810" s="2" t="s">
        <v>41</v>
      </c>
    </row>
    <row r="3811" spans="1:10" ht="21" customHeight="1">
      <c r="A3811" s="2" t="s">
        <v>4808</v>
      </c>
      <c r="B3811" s="2" t="s">
        <v>41</v>
      </c>
      <c r="C3811" s="4">
        <v>45817.25</v>
      </c>
      <c r="D3811" s="4">
        <v>45817.250345312495</v>
      </c>
      <c r="E3811" s="2">
        <v>2.73</v>
      </c>
      <c r="F3811" s="2">
        <v>64.099999999999994</v>
      </c>
      <c r="G3811" s="2" t="s">
        <v>983</v>
      </c>
      <c r="H3811" s="2" t="s">
        <v>984</v>
      </c>
      <c r="I3811" s="2"/>
      <c r="J3811" s="2" t="s">
        <v>41</v>
      </c>
    </row>
    <row r="3812" spans="1:10" ht="21" customHeight="1">
      <c r="A3812" s="2" t="s">
        <v>4809</v>
      </c>
      <c r="B3812" s="2" t="s">
        <v>41</v>
      </c>
      <c r="C3812" s="4">
        <v>45818.25</v>
      </c>
      <c r="D3812" s="4">
        <v>45818.250535300926</v>
      </c>
      <c r="E3812" s="2">
        <v>3.02</v>
      </c>
      <c r="F3812" s="2">
        <v>65.3</v>
      </c>
      <c r="G3812" s="2" t="s">
        <v>983</v>
      </c>
      <c r="H3812" s="2" t="s">
        <v>984</v>
      </c>
      <c r="I3812" s="2"/>
      <c r="J3812" s="2" t="s">
        <v>41</v>
      </c>
    </row>
    <row r="3813" spans="1:10" ht="21" customHeight="1">
      <c r="A3813" s="2" t="s">
        <v>4810</v>
      </c>
      <c r="B3813" s="2" t="s">
        <v>41</v>
      </c>
      <c r="C3813" s="4">
        <v>45819.25</v>
      </c>
      <c r="D3813" s="4">
        <v>45819.250540451394</v>
      </c>
      <c r="E3813" s="2">
        <v>2.31</v>
      </c>
      <c r="F3813" s="2">
        <v>62.1</v>
      </c>
      <c r="G3813" s="2" t="s">
        <v>983</v>
      </c>
      <c r="H3813" s="2" t="s">
        <v>984</v>
      </c>
      <c r="I3813" s="2"/>
      <c r="J3813" s="2" t="s">
        <v>41</v>
      </c>
    </row>
    <row r="3814" spans="1:10" ht="21" customHeight="1">
      <c r="A3814" s="2" t="s">
        <v>4811</v>
      </c>
      <c r="B3814" s="2" t="s">
        <v>41</v>
      </c>
      <c r="C3814" s="4">
        <v>45820.25</v>
      </c>
      <c r="D3814" s="4">
        <v>45820.250372858798</v>
      </c>
      <c r="E3814" s="2">
        <v>3.15</v>
      </c>
      <c r="F3814" s="2">
        <v>64.5</v>
      </c>
      <c r="G3814" s="2" t="s">
        <v>983</v>
      </c>
      <c r="H3814" s="2" t="s">
        <v>984</v>
      </c>
      <c r="I3814" s="2"/>
      <c r="J3814" s="2" t="s">
        <v>41</v>
      </c>
    </row>
    <row r="3815" spans="1:10" ht="21" customHeight="1">
      <c r="A3815" s="2" t="s">
        <v>4812</v>
      </c>
      <c r="B3815" s="2" t="s">
        <v>4689</v>
      </c>
      <c r="C3815" s="4">
        <v>45821.25</v>
      </c>
      <c r="D3815" s="4">
        <v>45821.250474780092</v>
      </c>
      <c r="E3815" s="2">
        <v>2.2599999999999998</v>
      </c>
      <c r="F3815" s="2">
        <v>64.7</v>
      </c>
      <c r="G3815" s="2" t="s">
        <v>983</v>
      </c>
      <c r="H3815" s="2" t="s">
        <v>984</v>
      </c>
      <c r="I3815" s="2"/>
      <c r="J3815" s="2" t="s">
        <v>41</v>
      </c>
    </row>
    <row r="3816" spans="1:10" ht="21" customHeight="1">
      <c r="A3816" s="2" t="s">
        <v>4813</v>
      </c>
      <c r="B3816" s="2" t="s">
        <v>41</v>
      </c>
      <c r="C3816" s="4">
        <v>45822.25</v>
      </c>
      <c r="D3816" s="4">
        <v>45822.250267615746</v>
      </c>
      <c r="E3816" s="2">
        <v>3.19</v>
      </c>
      <c r="F3816" s="2">
        <v>65</v>
      </c>
      <c r="G3816" s="2" t="s">
        <v>983</v>
      </c>
      <c r="H3816" s="2" t="s">
        <v>984</v>
      </c>
      <c r="I3816" s="2"/>
      <c r="J3816" s="2" t="s">
        <v>41</v>
      </c>
    </row>
    <row r="3817" spans="1:10" ht="21" customHeight="1">
      <c r="A3817" s="2" t="s">
        <v>4814</v>
      </c>
      <c r="B3817" s="2" t="s">
        <v>41</v>
      </c>
      <c r="C3817" s="4">
        <v>45823.25</v>
      </c>
      <c r="D3817" s="4">
        <v>45824.5</v>
      </c>
      <c r="E3817" s="2">
        <v>2.4700000000000002</v>
      </c>
      <c r="F3817" s="2">
        <v>64.5</v>
      </c>
      <c r="G3817" s="2" t="s">
        <v>983</v>
      </c>
      <c r="H3817" s="2" t="s">
        <v>984</v>
      </c>
      <c r="I3817" s="2"/>
      <c r="J3817" s="2" t="s">
        <v>41</v>
      </c>
    </row>
    <row r="3818" spans="1:10" ht="21" customHeight="1">
      <c r="A3818" s="2" t="s">
        <v>4815</v>
      </c>
      <c r="B3818" s="2" t="s">
        <v>41</v>
      </c>
      <c r="C3818" s="4">
        <v>45824.25</v>
      </c>
      <c r="D3818" s="4">
        <v>45824.250106087959</v>
      </c>
      <c r="E3818" s="2">
        <v>2.62</v>
      </c>
      <c r="F3818" s="2">
        <v>62.6</v>
      </c>
      <c r="G3818" s="2" t="s">
        <v>983</v>
      </c>
      <c r="H3818" s="2" t="s">
        <v>984</v>
      </c>
      <c r="I3818" s="2"/>
      <c r="J3818" s="2" t="s">
        <v>41</v>
      </c>
    </row>
    <row r="3819" spans="1:10" ht="21" customHeight="1">
      <c r="A3819" s="2" t="s">
        <v>4816</v>
      </c>
      <c r="B3819" s="2" t="s">
        <v>41</v>
      </c>
      <c r="C3819" s="4">
        <v>45825.25</v>
      </c>
      <c r="D3819" s="4">
        <v>45825.250491979168</v>
      </c>
      <c r="E3819" s="2">
        <v>2.48</v>
      </c>
      <c r="F3819" s="2">
        <v>62.4</v>
      </c>
      <c r="G3819" s="2" t="s">
        <v>983</v>
      </c>
      <c r="H3819" s="2" t="s">
        <v>984</v>
      </c>
      <c r="I3819" s="2"/>
      <c r="J3819" s="2" t="s">
        <v>41</v>
      </c>
    </row>
    <row r="3820" spans="1:10" ht="21" customHeight="1">
      <c r="A3820" s="2" t="s">
        <v>4817</v>
      </c>
      <c r="B3820" s="2" t="s">
        <v>41</v>
      </c>
      <c r="C3820" s="4">
        <v>45826.25</v>
      </c>
      <c r="D3820" s="4">
        <v>45826.250111400463</v>
      </c>
      <c r="E3820" s="2">
        <v>2.84</v>
      </c>
      <c r="F3820" s="2">
        <v>63.1</v>
      </c>
      <c r="G3820" s="2" t="s">
        <v>983</v>
      </c>
      <c r="H3820" s="2" t="s">
        <v>984</v>
      </c>
      <c r="I3820" s="2"/>
      <c r="J3820" s="2" t="s">
        <v>41</v>
      </c>
    </row>
    <row r="3821" spans="1:10" ht="21" customHeight="1">
      <c r="A3821" s="2" t="s">
        <v>4818</v>
      </c>
      <c r="B3821" s="2" t="s">
        <v>41</v>
      </c>
      <c r="C3821" s="4">
        <v>45827.25</v>
      </c>
      <c r="D3821" s="4">
        <v>45827.250439212963</v>
      </c>
      <c r="E3821" s="2">
        <v>2.79</v>
      </c>
      <c r="F3821" s="2">
        <v>59.5</v>
      </c>
      <c r="G3821" s="2" t="s">
        <v>983</v>
      </c>
      <c r="H3821" s="2" t="s">
        <v>984</v>
      </c>
      <c r="I3821" s="2"/>
      <c r="J3821" s="2" t="s">
        <v>41</v>
      </c>
    </row>
    <row r="3822" spans="1:10" ht="21" customHeight="1">
      <c r="A3822" s="2" t="s">
        <v>4819</v>
      </c>
      <c r="B3822" s="2" t="s">
        <v>41</v>
      </c>
      <c r="C3822" s="4">
        <v>45828.25</v>
      </c>
      <c r="D3822" s="4">
        <v>45828.250003263893</v>
      </c>
      <c r="E3822" s="2">
        <v>2.1</v>
      </c>
      <c r="F3822" s="2">
        <v>58.3</v>
      </c>
      <c r="G3822" s="2" t="s">
        <v>983</v>
      </c>
      <c r="H3822" s="2" t="s">
        <v>984</v>
      </c>
      <c r="I3822" s="2" t="s">
        <v>985</v>
      </c>
      <c r="J3822" s="2" t="s">
        <v>41</v>
      </c>
    </row>
    <row r="3823" spans="1:10" ht="21" customHeight="1">
      <c r="A3823" s="2" t="s">
        <v>4820</v>
      </c>
      <c r="B3823" s="2" t="s">
        <v>41</v>
      </c>
      <c r="C3823" s="4">
        <v>45829.25</v>
      </c>
      <c r="D3823" s="4">
        <v>45829.250171319443</v>
      </c>
      <c r="E3823" s="2">
        <v>2.85</v>
      </c>
      <c r="F3823" s="2">
        <v>62.2</v>
      </c>
      <c r="G3823" s="2" t="s">
        <v>983</v>
      </c>
      <c r="H3823" s="2" t="s">
        <v>984</v>
      </c>
      <c r="I3823" s="2"/>
      <c r="J3823" s="2" t="s">
        <v>41</v>
      </c>
    </row>
    <row r="3824" spans="1:10" ht="21" customHeight="1">
      <c r="A3824" s="2" t="s">
        <v>4821</v>
      </c>
      <c r="B3824" s="2" t="s">
        <v>41</v>
      </c>
      <c r="C3824" s="4">
        <v>45830.25</v>
      </c>
      <c r="D3824" s="4">
        <v>45830.250214432876</v>
      </c>
      <c r="E3824" s="2">
        <v>2.73</v>
      </c>
      <c r="F3824" s="2">
        <v>65.8</v>
      </c>
      <c r="G3824" s="2" t="s">
        <v>983</v>
      </c>
      <c r="H3824" s="2" t="s">
        <v>984</v>
      </c>
      <c r="I3824" s="2"/>
      <c r="J3824" s="2" t="s">
        <v>41</v>
      </c>
    </row>
    <row r="3825" spans="1:10" ht="21" customHeight="1">
      <c r="A3825" s="2" t="s">
        <v>4822</v>
      </c>
      <c r="B3825" s="2" t="s">
        <v>41</v>
      </c>
      <c r="C3825" s="4">
        <v>45831.25</v>
      </c>
      <c r="D3825" s="4">
        <v>45831.250457754628</v>
      </c>
      <c r="E3825" s="2">
        <v>0</v>
      </c>
      <c r="F3825" s="2">
        <v>59.4</v>
      </c>
      <c r="G3825" s="2" t="s">
        <v>1175</v>
      </c>
      <c r="H3825" s="2" t="s">
        <v>984</v>
      </c>
      <c r="I3825" s="2"/>
      <c r="J3825" s="2" t="s">
        <v>41</v>
      </c>
    </row>
    <row r="3826" spans="1:10" ht="21" customHeight="1">
      <c r="A3826" s="2" t="s">
        <v>4823</v>
      </c>
      <c r="B3826" s="2" t="s">
        <v>41</v>
      </c>
      <c r="C3826" s="4">
        <v>45832.25</v>
      </c>
      <c r="D3826" s="4">
        <v>45832.250039189814</v>
      </c>
      <c r="E3826" s="2">
        <v>2.81</v>
      </c>
      <c r="F3826" s="2">
        <v>65.3</v>
      </c>
      <c r="G3826" s="2" t="s">
        <v>983</v>
      </c>
      <c r="H3826" s="2" t="s">
        <v>984</v>
      </c>
      <c r="I3826" s="2"/>
      <c r="J3826" s="2" t="s">
        <v>41</v>
      </c>
    </row>
    <row r="3827" spans="1:10" ht="21" customHeight="1">
      <c r="A3827" s="2" t="s">
        <v>4824</v>
      </c>
      <c r="B3827" s="2" t="s">
        <v>41</v>
      </c>
      <c r="C3827" s="4">
        <v>45833.25</v>
      </c>
      <c r="D3827" s="4">
        <v>45833.250673854171</v>
      </c>
      <c r="E3827" s="2">
        <v>2.92</v>
      </c>
      <c r="F3827" s="2">
        <v>62.9</v>
      </c>
      <c r="G3827" s="2" t="s">
        <v>983</v>
      </c>
      <c r="H3827" s="2" t="s">
        <v>984</v>
      </c>
      <c r="I3827" s="2"/>
      <c r="J3827" s="2" t="s">
        <v>41</v>
      </c>
    </row>
    <row r="3828" spans="1:10" ht="21" customHeight="1">
      <c r="A3828" s="2" t="s">
        <v>4825</v>
      </c>
      <c r="B3828" s="2" t="s">
        <v>41</v>
      </c>
      <c r="C3828" s="4">
        <v>45834.25</v>
      </c>
      <c r="D3828" s="4">
        <v>45835.5</v>
      </c>
      <c r="E3828" s="2">
        <v>2.2200000000000002</v>
      </c>
      <c r="F3828" s="2">
        <v>62.1</v>
      </c>
      <c r="G3828" s="2" t="s">
        <v>983</v>
      </c>
      <c r="H3828" s="2" t="s">
        <v>984</v>
      </c>
      <c r="I3828" s="2"/>
      <c r="J3828" s="2" t="s">
        <v>41</v>
      </c>
    </row>
    <row r="3829" spans="1:10" ht="21" customHeight="1">
      <c r="A3829" s="2" t="s">
        <v>4826</v>
      </c>
      <c r="B3829" s="2" t="s">
        <v>41</v>
      </c>
      <c r="C3829" s="4">
        <v>45835.25</v>
      </c>
      <c r="D3829" s="4">
        <v>45835.250455891204</v>
      </c>
      <c r="E3829" s="2">
        <v>3.1</v>
      </c>
      <c r="F3829" s="2">
        <v>65.3</v>
      </c>
      <c r="G3829" s="2" t="s">
        <v>983</v>
      </c>
      <c r="H3829" s="2" t="s">
        <v>984</v>
      </c>
      <c r="I3829" s="2"/>
      <c r="J3829" s="2" t="s">
        <v>41</v>
      </c>
    </row>
    <row r="3830" spans="1:10" ht="21" customHeight="1">
      <c r="A3830" s="2" t="s">
        <v>4827</v>
      </c>
      <c r="B3830" s="2" t="s">
        <v>41</v>
      </c>
      <c r="C3830" s="4">
        <v>45836.25</v>
      </c>
      <c r="D3830" s="4">
        <v>45836.250514756946</v>
      </c>
      <c r="E3830" s="2"/>
      <c r="F3830" s="2"/>
      <c r="G3830" s="2" t="s">
        <v>983</v>
      </c>
      <c r="H3830" s="2" t="s">
        <v>1066</v>
      </c>
      <c r="I3830" s="2"/>
      <c r="J3830" s="2" t="s">
        <v>41</v>
      </c>
    </row>
    <row r="3831" spans="1:10" ht="21" customHeight="1">
      <c r="A3831" s="2" t="s">
        <v>4828</v>
      </c>
      <c r="B3831" s="2" t="s">
        <v>41</v>
      </c>
      <c r="C3831" s="4">
        <v>45837.25</v>
      </c>
      <c r="D3831" s="4">
        <v>45837.250098067132</v>
      </c>
      <c r="E3831" s="2">
        <v>2.61</v>
      </c>
      <c r="F3831" s="2">
        <v>59.6</v>
      </c>
      <c r="G3831" s="2" t="s">
        <v>983</v>
      </c>
      <c r="H3831" s="2" t="s">
        <v>984</v>
      </c>
      <c r="I3831" s="2"/>
      <c r="J3831" s="2" t="s">
        <v>41</v>
      </c>
    </row>
    <row r="3832" spans="1:10" ht="21" customHeight="1">
      <c r="A3832" s="2" t="s">
        <v>4829</v>
      </c>
      <c r="B3832" s="2" t="s">
        <v>41</v>
      </c>
      <c r="C3832" s="4">
        <v>45838.25</v>
      </c>
      <c r="D3832" s="4">
        <v>45838.250676030089</v>
      </c>
      <c r="E3832" s="2">
        <v>2.96</v>
      </c>
      <c r="F3832" s="2">
        <v>62.6</v>
      </c>
      <c r="G3832" s="2" t="s">
        <v>983</v>
      </c>
      <c r="H3832" s="2" t="s">
        <v>984</v>
      </c>
      <c r="I3832" s="2"/>
      <c r="J3832" s="2" t="s">
        <v>41</v>
      </c>
    </row>
    <row r="3833" spans="1:10" ht="21" customHeight="1">
      <c r="A3833" s="2" t="s">
        <v>4830</v>
      </c>
      <c r="B3833" s="2" t="s">
        <v>41</v>
      </c>
      <c r="C3833" s="4">
        <v>45839.25</v>
      </c>
      <c r="D3833" s="4">
        <v>45839.25056951389</v>
      </c>
      <c r="E3833" s="2">
        <v>2.4500000000000002</v>
      </c>
      <c r="F3833" s="2">
        <v>64.8</v>
      </c>
      <c r="G3833" s="2" t="s">
        <v>983</v>
      </c>
      <c r="H3833" s="2" t="s">
        <v>984</v>
      </c>
      <c r="I3833" s="2"/>
      <c r="J3833" s="2" t="s">
        <v>41</v>
      </c>
    </row>
    <row r="3834" spans="1:10" ht="21" customHeight="1">
      <c r="A3834" s="2" t="s">
        <v>4831</v>
      </c>
      <c r="B3834" s="2" t="s">
        <v>41</v>
      </c>
      <c r="C3834" s="4">
        <v>45840.25</v>
      </c>
      <c r="D3834" s="4">
        <v>45840.250277372688</v>
      </c>
      <c r="E3834" s="2"/>
      <c r="F3834" s="2"/>
      <c r="G3834" s="2" t="s">
        <v>983</v>
      </c>
      <c r="H3834" s="2" t="s">
        <v>1066</v>
      </c>
      <c r="I3834" s="2"/>
      <c r="J3834" s="2" t="s">
        <v>41</v>
      </c>
    </row>
    <row r="3835" spans="1:10" ht="21" customHeight="1">
      <c r="A3835" s="2" t="s">
        <v>4832</v>
      </c>
      <c r="B3835" s="2" t="s">
        <v>41</v>
      </c>
      <c r="C3835" s="4">
        <v>45841.25</v>
      </c>
      <c r="D3835" s="4">
        <v>45841.250090682872</v>
      </c>
      <c r="E3835" s="2">
        <v>2.39</v>
      </c>
      <c r="F3835" s="2">
        <v>62.8</v>
      </c>
      <c r="G3835" s="2" t="s">
        <v>983</v>
      </c>
      <c r="H3835" s="2" t="s">
        <v>984</v>
      </c>
      <c r="I3835" s="2"/>
      <c r="J3835" s="2" t="s">
        <v>41</v>
      </c>
    </row>
    <row r="3836" spans="1:10" ht="21" customHeight="1">
      <c r="A3836" s="2" t="s">
        <v>4833</v>
      </c>
      <c r="B3836" s="2" t="s">
        <v>41</v>
      </c>
      <c r="C3836" s="4">
        <v>45842.25</v>
      </c>
      <c r="D3836" s="4">
        <v>45842.250440578704</v>
      </c>
      <c r="E3836" s="2">
        <v>5.03</v>
      </c>
      <c r="F3836" s="2">
        <v>64.099999999999994</v>
      </c>
      <c r="G3836" s="2" t="s">
        <v>983</v>
      </c>
      <c r="H3836" s="2" t="s">
        <v>984</v>
      </c>
      <c r="I3836" s="2" t="s">
        <v>1053</v>
      </c>
      <c r="J3836" s="2" t="s">
        <v>41</v>
      </c>
    </row>
    <row r="3837" spans="1:10" ht="21" customHeight="1">
      <c r="A3837" s="2" t="s">
        <v>4834</v>
      </c>
      <c r="B3837" s="2" t="s">
        <v>41</v>
      </c>
      <c r="C3837" s="4">
        <v>45843.25</v>
      </c>
      <c r="D3837" s="4">
        <v>45843.250020439817</v>
      </c>
      <c r="E3837" s="2">
        <v>6.22</v>
      </c>
      <c r="F3837" s="2">
        <v>73.5</v>
      </c>
      <c r="G3837" s="2" t="s">
        <v>983</v>
      </c>
      <c r="H3837" s="2" t="s">
        <v>984</v>
      </c>
      <c r="I3837" s="2"/>
      <c r="J3837" s="2" t="s">
        <v>41</v>
      </c>
    </row>
    <row r="3838" spans="1:10" ht="21" customHeight="1">
      <c r="A3838" s="2" t="s">
        <v>4835</v>
      </c>
      <c r="B3838" s="2" t="s">
        <v>41</v>
      </c>
      <c r="C3838" s="4">
        <v>45844.25</v>
      </c>
      <c r="D3838" s="4">
        <v>45844.250686909727</v>
      </c>
      <c r="E3838" s="2">
        <v>5.69</v>
      </c>
      <c r="F3838" s="2">
        <v>70</v>
      </c>
      <c r="G3838" s="2" t="s">
        <v>983</v>
      </c>
      <c r="H3838" s="2" t="s">
        <v>984</v>
      </c>
      <c r="I3838" s="2" t="s">
        <v>1053</v>
      </c>
      <c r="J3838" s="2" t="s">
        <v>41</v>
      </c>
    </row>
    <row r="3839" spans="1:10" ht="21" customHeight="1">
      <c r="A3839" s="2" t="s">
        <v>4836</v>
      </c>
      <c r="B3839" s="2" t="s">
        <v>41</v>
      </c>
      <c r="C3839" s="4">
        <v>45845.25</v>
      </c>
      <c r="D3839" s="4">
        <v>45846.5</v>
      </c>
      <c r="E3839" s="2">
        <v>3.09</v>
      </c>
      <c r="F3839" s="2">
        <v>65.3</v>
      </c>
      <c r="G3839" s="2" t="s">
        <v>983</v>
      </c>
      <c r="H3839" s="2" t="s">
        <v>984</v>
      </c>
      <c r="I3839" s="2" t="s">
        <v>985</v>
      </c>
      <c r="J3839" s="2" t="s">
        <v>41</v>
      </c>
    </row>
    <row r="3840" spans="1:10" ht="21" customHeight="1">
      <c r="A3840" s="2" t="s">
        <v>4837</v>
      </c>
      <c r="B3840" s="2" t="s">
        <v>41</v>
      </c>
      <c r="C3840" s="4">
        <v>45846.25</v>
      </c>
      <c r="D3840" s="4">
        <v>45846.250237546294</v>
      </c>
      <c r="E3840" s="2">
        <v>2.82</v>
      </c>
      <c r="F3840" s="2">
        <v>59.3</v>
      </c>
      <c r="G3840" s="2" t="s">
        <v>983</v>
      </c>
      <c r="H3840" s="2" t="s">
        <v>984</v>
      </c>
      <c r="I3840" s="2"/>
      <c r="J3840" s="2" t="s">
        <v>41</v>
      </c>
    </row>
    <row r="3841" spans="1:10" ht="21" customHeight="1">
      <c r="A3841" s="2" t="s">
        <v>4838</v>
      </c>
      <c r="B3841" s="2" t="s">
        <v>41</v>
      </c>
      <c r="C3841" s="4">
        <v>45847.25</v>
      </c>
      <c r="D3841" s="4">
        <v>45847.250421099539</v>
      </c>
      <c r="E3841" s="2">
        <v>2.17</v>
      </c>
      <c r="F3841" s="2">
        <v>65.7</v>
      </c>
      <c r="G3841" s="2" t="s">
        <v>983</v>
      </c>
      <c r="H3841" s="2" t="s">
        <v>984</v>
      </c>
      <c r="I3841" s="2"/>
      <c r="J3841" s="2" t="s">
        <v>41</v>
      </c>
    </row>
    <row r="3842" spans="1:10" ht="21" customHeight="1">
      <c r="A3842" s="2" t="s">
        <v>4839</v>
      </c>
      <c r="B3842" s="2" t="s">
        <v>41</v>
      </c>
      <c r="C3842" s="4">
        <v>45848.25</v>
      </c>
      <c r="D3842" s="4">
        <v>45848.250248854165</v>
      </c>
      <c r="E3842" s="2">
        <v>2.97</v>
      </c>
      <c r="F3842" s="2">
        <v>63.4</v>
      </c>
      <c r="G3842" s="2" t="s">
        <v>983</v>
      </c>
      <c r="H3842" s="2" t="s">
        <v>984</v>
      </c>
      <c r="I3842" s="2"/>
      <c r="J3842" s="2" t="s">
        <v>41</v>
      </c>
    </row>
    <row r="3843" spans="1:10" ht="21" customHeight="1">
      <c r="A3843" s="2" t="s">
        <v>4840</v>
      </c>
      <c r="B3843" s="2" t="s">
        <v>41</v>
      </c>
      <c r="C3843" s="4">
        <v>45849.25</v>
      </c>
      <c r="D3843" s="4">
        <v>45849.250558611107</v>
      </c>
      <c r="E3843" s="2">
        <v>2.64</v>
      </c>
      <c r="F3843" s="2">
        <v>65.3</v>
      </c>
      <c r="G3843" s="2" t="s">
        <v>983</v>
      </c>
      <c r="H3843" s="2" t="s">
        <v>984</v>
      </c>
      <c r="I3843" s="2"/>
      <c r="J3843" s="2" t="s">
        <v>41</v>
      </c>
    </row>
    <row r="3844" spans="1:10" ht="21" customHeight="1">
      <c r="A3844" s="2" t="s">
        <v>4841</v>
      </c>
      <c r="B3844" s="2" t="s">
        <v>41</v>
      </c>
      <c r="C3844" s="4">
        <v>45850.25</v>
      </c>
      <c r="D3844" s="4">
        <v>45850.250537870372</v>
      </c>
      <c r="E3844" s="2">
        <v>2.19</v>
      </c>
      <c r="F3844" s="2">
        <v>65.8</v>
      </c>
      <c r="G3844" s="2" t="s">
        <v>983</v>
      </c>
      <c r="H3844" s="2" t="s">
        <v>984</v>
      </c>
      <c r="I3844" s="2"/>
      <c r="J3844" s="2" t="s">
        <v>41</v>
      </c>
    </row>
    <row r="3845" spans="1:10" ht="21" customHeight="1">
      <c r="A3845" s="2" t="s">
        <v>4842</v>
      </c>
      <c r="B3845" s="2" t="s">
        <v>41</v>
      </c>
      <c r="C3845" s="4">
        <v>45851.25</v>
      </c>
      <c r="D3845" s="4">
        <v>45851.250596631944</v>
      </c>
      <c r="E3845" s="2">
        <v>2.68</v>
      </c>
      <c r="F3845" s="2">
        <v>62</v>
      </c>
      <c r="G3845" s="2" t="s">
        <v>983</v>
      </c>
      <c r="H3845" s="2" t="s">
        <v>984</v>
      </c>
      <c r="I3845" s="2"/>
      <c r="J3845" s="2" t="s">
        <v>41</v>
      </c>
    </row>
    <row r="3846" spans="1:10" ht="21" customHeight="1">
      <c r="A3846" s="2" t="s">
        <v>4843</v>
      </c>
      <c r="B3846" s="2" t="s">
        <v>41</v>
      </c>
      <c r="C3846" s="4">
        <v>45852.25</v>
      </c>
      <c r="D3846" s="4">
        <v>45852.250247615739</v>
      </c>
      <c r="E3846" s="2"/>
      <c r="F3846" s="2"/>
      <c r="G3846" s="2" t="s">
        <v>983</v>
      </c>
      <c r="H3846" s="2" t="s">
        <v>1066</v>
      </c>
      <c r="I3846" s="2"/>
      <c r="J3846" s="2" t="s">
        <v>41</v>
      </c>
    </row>
    <row r="3847" spans="1:10" ht="21" customHeight="1">
      <c r="A3847" s="2" t="s">
        <v>4844</v>
      </c>
      <c r="B3847" s="2" t="s">
        <v>41</v>
      </c>
      <c r="C3847" s="4">
        <v>45853.25</v>
      </c>
      <c r="D3847" s="4">
        <v>45853.250588275463</v>
      </c>
      <c r="E3847" s="2">
        <v>2.33</v>
      </c>
      <c r="F3847" s="2">
        <v>58.4</v>
      </c>
      <c r="G3847" s="2" t="s">
        <v>983</v>
      </c>
      <c r="H3847" s="2" t="s">
        <v>984</v>
      </c>
      <c r="I3847" s="2"/>
      <c r="J3847" s="2" t="s">
        <v>41</v>
      </c>
    </row>
    <row r="3848" spans="1:10" ht="21" customHeight="1">
      <c r="A3848" s="2" t="s">
        <v>4845</v>
      </c>
      <c r="B3848" s="2" t="s">
        <v>41</v>
      </c>
      <c r="C3848" s="4">
        <v>45854.25</v>
      </c>
      <c r="D3848" s="4">
        <v>45854.250473333334</v>
      </c>
      <c r="E3848" s="2">
        <v>3.03</v>
      </c>
      <c r="F3848" s="2">
        <v>61.4</v>
      </c>
      <c r="G3848" s="2" t="s">
        <v>983</v>
      </c>
      <c r="H3848" s="2" t="s">
        <v>984</v>
      </c>
      <c r="I3848" s="2"/>
      <c r="J3848" s="2" t="s">
        <v>41</v>
      </c>
    </row>
    <row r="3849" spans="1:10" ht="21" customHeight="1">
      <c r="A3849" s="2" t="s">
        <v>4846</v>
      </c>
      <c r="B3849" s="2" t="s">
        <v>41</v>
      </c>
      <c r="C3849" s="4">
        <v>45855.25</v>
      </c>
      <c r="D3849" s="4">
        <v>45855.250099583332</v>
      </c>
      <c r="E3849" s="2">
        <v>2.37</v>
      </c>
      <c r="F3849" s="2">
        <v>60.3</v>
      </c>
      <c r="G3849" s="2" t="s">
        <v>983</v>
      </c>
      <c r="H3849" s="2" t="s">
        <v>984</v>
      </c>
      <c r="I3849" s="2"/>
      <c r="J3849" s="2" t="s">
        <v>41</v>
      </c>
    </row>
    <row r="3850" spans="1:10" ht="21" customHeight="1">
      <c r="A3850" s="2" t="s">
        <v>4847</v>
      </c>
      <c r="B3850" s="2" t="s">
        <v>41</v>
      </c>
      <c r="C3850" s="4">
        <v>45856.25</v>
      </c>
      <c r="D3850" s="4">
        <v>45857.5</v>
      </c>
      <c r="E3850" s="2"/>
      <c r="F3850" s="2"/>
      <c r="G3850" s="2" t="s">
        <v>983</v>
      </c>
      <c r="H3850" s="2" t="s">
        <v>1066</v>
      </c>
      <c r="I3850" s="2"/>
      <c r="J3850" s="2" t="s">
        <v>41</v>
      </c>
    </row>
    <row r="3851" spans="1:10" ht="21" customHeight="1">
      <c r="A3851" s="2" t="s">
        <v>4848</v>
      </c>
      <c r="B3851" s="2" t="s">
        <v>41</v>
      </c>
      <c r="C3851" s="4">
        <v>45857.25</v>
      </c>
      <c r="D3851" s="4">
        <v>45857.250447939819</v>
      </c>
      <c r="E3851" s="2"/>
      <c r="F3851" s="2"/>
      <c r="G3851" s="2" t="s">
        <v>983</v>
      </c>
      <c r="H3851" s="2" t="s">
        <v>1066</v>
      </c>
      <c r="I3851" s="2"/>
      <c r="J3851" s="2" t="s">
        <v>41</v>
      </c>
    </row>
    <row r="3852" spans="1:10" ht="21" customHeight="1">
      <c r="A3852" s="2" t="s">
        <v>4849</v>
      </c>
      <c r="B3852" s="2" t="s">
        <v>41</v>
      </c>
      <c r="C3852" s="4">
        <v>45858.25</v>
      </c>
      <c r="D3852" s="4">
        <v>45858.250678113429</v>
      </c>
      <c r="E3852" s="2">
        <v>4.62</v>
      </c>
      <c r="F3852" s="2">
        <v>74.8</v>
      </c>
      <c r="G3852" s="2" t="s">
        <v>983</v>
      </c>
      <c r="H3852" s="2" t="s">
        <v>984</v>
      </c>
      <c r="I3852" s="2" t="s">
        <v>1053</v>
      </c>
      <c r="J3852" s="2" t="s">
        <v>41</v>
      </c>
    </row>
    <row r="3853" spans="1:10" ht="21" customHeight="1">
      <c r="A3853" s="2" t="s">
        <v>4850</v>
      </c>
      <c r="B3853" s="2" t="s">
        <v>41</v>
      </c>
      <c r="C3853" s="4">
        <v>45859.25</v>
      </c>
      <c r="D3853" s="4">
        <v>45859.250511990744</v>
      </c>
      <c r="E3853" s="2">
        <v>5.66</v>
      </c>
      <c r="F3853" s="2">
        <v>69.900000000000006</v>
      </c>
      <c r="G3853" s="2" t="s">
        <v>983</v>
      </c>
      <c r="H3853" s="2" t="s">
        <v>984</v>
      </c>
      <c r="I3853" s="2"/>
      <c r="J3853" s="2" t="s">
        <v>41</v>
      </c>
    </row>
    <row r="3854" spans="1:10" ht="21" customHeight="1">
      <c r="A3854" s="2" t="s">
        <v>4851</v>
      </c>
      <c r="B3854" s="2" t="s">
        <v>41</v>
      </c>
      <c r="C3854" s="4">
        <v>45860.25</v>
      </c>
      <c r="D3854" s="4">
        <v>45860.250265104165</v>
      </c>
      <c r="E3854" s="2">
        <v>5.55</v>
      </c>
      <c r="F3854" s="2">
        <v>67.7</v>
      </c>
      <c r="G3854" s="2" t="s">
        <v>983</v>
      </c>
      <c r="H3854" s="2" t="s">
        <v>984</v>
      </c>
      <c r="I3854" s="2" t="s">
        <v>1053</v>
      </c>
      <c r="J3854" s="2" t="s">
        <v>41</v>
      </c>
    </row>
    <row r="3855" spans="1:10" ht="21" customHeight="1">
      <c r="A3855" s="2" t="s">
        <v>4852</v>
      </c>
      <c r="B3855" s="2" t="s">
        <v>41</v>
      </c>
      <c r="C3855" s="4">
        <v>45861.25</v>
      </c>
      <c r="D3855" s="4">
        <v>45861.250444305551</v>
      </c>
      <c r="E3855" s="2">
        <v>0</v>
      </c>
      <c r="F3855" s="2">
        <v>64.5</v>
      </c>
      <c r="G3855" s="2" t="s">
        <v>1175</v>
      </c>
      <c r="H3855" s="2" t="s">
        <v>984</v>
      </c>
      <c r="I3855" s="2"/>
      <c r="J3855" s="2" t="s">
        <v>41</v>
      </c>
    </row>
    <row r="3856" spans="1:10" ht="21" customHeight="1">
      <c r="A3856" s="2" t="s">
        <v>4853</v>
      </c>
      <c r="B3856" s="2" t="s">
        <v>4689</v>
      </c>
      <c r="C3856" s="4">
        <v>45862.25</v>
      </c>
      <c r="D3856" s="4">
        <v>45862.250088252316</v>
      </c>
      <c r="E3856" s="2"/>
      <c r="F3856" s="2"/>
      <c r="G3856" s="2" t="s">
        <v>983</v>
      </c>
      <c r="H3856" s="2" t="s">
        <v>1066</v>
      </c>
      <c r="I3856" s="2" t="s">
        <v>985</v>
      </c>
      <c r="J3856" s="2" t="s">
        <v>41</v>
      </c>
    </row>
    <row r="3857" spans="1:10" ht="21" customHeight="1">
      <c r="A3857" s="2" t="s">
        <v>4854</v>
      </c>
      <c r="B3857" s="2" t="s">
        <v>41</v>
      </c>
      <c r="C3857" s="4">
        <v>45863.25</v>
      </c>
      <c r="D3857" s="4">
        <v>45863.250083587962</v>
      </c>
      <c r="E3857" s="2">
        <v>2.2999999999999998</v>
      </c>
      <c r="F3857" s="2">
        <v>58.3</v>
      </c>
      <c r="G3857" s="2" t="s">
        <v>983</v>
      </c>
      <c r="H3857" s="2" t="s">
        <v>984</v>
      </c>
      <c r="I3857" s="2"/>
      <c r="J3857" s="2" t="s">
        <v>41</v>
      </c>
    </row>
    <row r="3858" spans="1:10" ht="21" customHeight="1">
      <c r="A3858" s="2" t="s">
        <v>4855</v>
      </c>
      <c r="B3858" s="2" t="s">
        <v>41</v>
      </c>
      <c r="C3858" s="4">
        <v>45864.25</v>
      </c>
      <c r="D3858" s="4">
        <v>45864.250109340283</v>
      </c>
      <c r="E3858" s="2">
        <v>2.89</v>
      </c>
      <c r="F3858" s="2">
        <v>60.4</v>
      </c>
      <c r="G3858" s="2" t="s">
        <v>983</v>
      </c>
      <c r="H3858" s="2" t="s">
        <v>984</v>
      </c>
      <c r="I3858" s="2"/>
      <c r="J3858" s="2" t="s">
        <v>41</v>
      </c>
    </row>
    <row r="3859" spans="1:10" ht="21" customHeight="1">
      <c r="A3859" s="2" t="s">
        <v>4856</v>
      </c>
      <c r="B3859" s="2" t="s">
        <v>41</v>
      </c>
      <c r="C3859" s="4">
        <v>45865.25</v>
      </c>
      <c r="D3859" s="4">
        <v>45865.250341782405</v>
      </c>
      <c r="E3859" s="2">
        <v>2.5</v>
      </c>
      <c r="F3859" s="2">
        <v>60.8</v>
      </c>
      <c r="G3859" s="2" t="s">
        <v>983</v>
      </c>
      <c r="H3859" s="2" t="s">
        <v>984</v>
      </c>
      <c r="I3859" s="2"/>
      <c r="J3859" s="2" t="s">
        <v>41</v>
      </c>
    </row>
    <row r="3860" spans="1:10" ht="21" customHeight="1">
      <c r="A3860" s="2" t="s">
        <v>4857</v>
      </c>
      <c r="B3860" s="2" t="s">
        <v>41</v>
      </c>
      <c r="C3860" s="4">
        <v>45866.25</v>
      </c>
      <c r="D3860" s="4">
        <v>45866.250146932871</v>
      </c>
      <c r="E3860" s="2">
        <v>2.83</v>
      </c>
      <c r="F3860" s="2">
        <v>59.5</v>
      </c>
      <c r="G3860" s="2" t="s">
        <v>983</v>
      </c>
      <c r="H3860" s="2" t="s">
        <v>984</v>
      </c>
      <c r="I3860" s="2"/>
      <c r="J3860" s="2" t="s">
        <v>41</v>
      </c>
    </row>
    <row r="3861" spans="1:10" ht="21" customHeight="1">
      <c r="A3861" s="2" t="s">
        <v>4858</v>
      </c>
      <c r="B3861" s="2" t="s">
        <v>41</v>
      </c>
      <c r="C3861" s="4">
        <v>45867.25</v>
      </c>
      <c r="D3861" s="4">
        <v>45868.5</v>
      </c>
      <c r="E3861" s="2">
        <v>2.83</v>
      </c>
      <c r="F3861" s="2">
        <v>58.2</v>
      </c>
      <c r="G3861" s="2" t="s">
        <v>983</v>
      </c>
      <c r="H3861" s="2" t="s">
        <v>984</v>
      </c>
      <c r="I3861" s="2"/>
      <c r="J3861" s="2" t="s">
        <v>41</v>
      </c>
    </row>
    <row r="3862" spans="1:10" ht="21" customHeight="1">
      <c r="A3862" s="2" t="s">
        <v>4859</v>
      </c>
      <c r="B3862" s="2" t="s">
        <v>41</v>
      </c>
      <c r="C3862" s="4">
        <v>45868.25</v>
      </c>
      <c r="D3862" s="4">
        <v>45868.250257708336</v>
      </c>
      <c r="E3862" s="2">
        <v>2.66</v>
      </c>
      <c r="F3862" s="2">
        <v>64.3</v>
      </c>
      <c r="G3862" s="2" t="s">
        <v>983</v>
      </c>
      <c r="H3862" s="2" t="s">
        <v>984</v>
      </c>
      <c r="I3862" s="2"/>
      <c r="J3862" s="2" t="s">
        <v>41</v>
      </c>
    </row>
    <row r="3863" spans="1:10" ht="21" customHeight="1">
      <c r="A3863" s="2" t="s">
        <v>4860</v>
      </c>
      <c r="B3863" s="2" t="s">
        <v>41</v>
      </c>
      <c r="C3863" s="4">
        <v>45869.25</v>
      </c>
      <c r="D3863" s="4">
        <v>45869.250111041663</v>
      </c>
      <c r="E3863" s="2">
        <v>3.14</v>
      </c>
      <c r="F3863" s="2">
        <v>61.6</v>
      </c>
      <c r="G3863" s="2" t="s">
        <v>983</v>
      </c>
      <c r="H3863" s="2" t="s">
        <v>984</v>
      </c>
      <c r="I3863" s="2"/>
      <c r="J3863" s="2" t="s">
        <v>41</v>
      </c>
    </row>
    <row r="3864" spans="1:10" ht="21" customHeight="1">
      <c r="A3864" s="2" t="s">
        <v>4861</v>
      </c>
      <c r="B3864" s="2" t="s">
        <v>41</v>
      </c>
      <c r="C3864" s="4">
        <v>45870.25</v>
      </c>
      <c r="D3864" s="4">
        <v>45870.250263576389</v>
      </c>
      <c r="E3864" s="2">
        <v>3.06</v>
      </c>
      <c r="F3864" s="2">
        <v>63.1</v>
      </c>
      <c r="G3864" s="2" t="s">
        <v>983</v>
      </c>
      <c r="H3864" s="2" t="s">
        <v>984</v>
      </c>
      <c r="I3864" s="2"/>
      <c r="J3864" s="2" t="s">
        <v>41</v>
      </c>
    </row>
    <row r="3865" spans="1:10" ht="21" customHeight="1">
      <c r="A3865" s="2" t="s">
        <v>4862</v>
      </c>
      <c r="B3865" s="2" t="s">
        <v>41</v>
      </c>
      <c r="C3865" s="4">
        <v>45871.25</v>
      </c>
      <c r="D3865" s="4">
        <v>45871.250666354172</v>
      </c>
      <c r="E3865" s="2">
        <v>2.46</v>
      </c>
      <c r="F3865" s="2">
        <v>64.3</v>
      </c>
      <c r="G3865" s="2" t="s">
        <v>983</v>
      </c>
      <c r="H3865" s="2" t="s">
        <v>984</v>
      </c>
      <c r="I3865" s="2"/>
      <c r="J3865" s="2" t="s">
        <v>41</v>
      </c>
    </row>
    <row r="3866" spans="1:10" ht="21" customHeight="1">
      <c r="A3866" s="2" t="s">
        <v>4863</v>
      </c>
      <c r="B3866" s="2" t="s">
        <v>41</v>
      </c>
      <c r="C3866" s="4">
        <v>45872.25</v>
      </c>
      <c r="D3866" s="4">
        <v>45872.250585833332</v>
      </c>
      <c r="E3866" s="2">
        <v>2.9</v>
      </c>
      <c r="F3866" s="2">
        <v>62.4</v>
      </c>
      <c r="G3866" s="2" t="s">
        <v>983</v>
      </c>
      <c r="H3866" s="2" t="s">
        <v>984</v>
      </c>
      <c r="I3866" s="2"/>
      <c r="J3866" s="2" t="s">
        <v>41</v>
      </c>
    </row>
    <row r="3867" spans="1:10" ht="21" customHeight="1">
      <c r="A3867" s="2" t="s">
        <v>4864</v>
      </c>
      <c r="B3867" s="2" t="s">
        <v>41</v>
      </c>
      <c r="C3867" s="4">
        <v>45873.25</v>
      </c>
      <c r="D3867" s="4">
        <v>45873.25000511574</v>
      </c>
      <c r="E3867" s="2">
        <v>2.94</v>
      </c>
      <c r="F3867" s="2">
        <v>64</v>
      </c>
      <c r="G3867" s="2" t="s">
        <v>983</v>
      </c>
      <c r="H3867" s="2" t="s">
        <v>984</v>
      </c>
      <c r="I3867" s="2"/>
      <c r="J3867" s="2" t="s">
        <v>41</v>
      </c>
    </row>
    <row r="3868" spans="1:10" ht="21" customHeight="1">
      <c r="A3868" s="2" t="s">
        <v>4865</v>
      </c>
      <c r="B3868" s="2" t="s">
        <v>41</v>
      </c>
      <c r="C3868" s="4">
        <v>45874.25</v>
      </c>
      <c r="D3868" s="4">
        <v>45874.250071932867</v>
      </c>
      <c r="E3868" s="2">
        <v>2.82</v>
      </c>
      <c r="F3868" s="2">
        <v>63.8</v>
      </c>
      <c r="G3868" s="2" t="s">
        <v>983</v>
      </c>
      <c r="H3868" s="2" t="s">
        <v>984</v>
      </c>
      <c r="I3868" s="2"/>
      <c r="J3868" s="2" t="s">
        <v>41</v>
      </c>
    </row>
    <row r="3869" spans="1:10" ht="21" customHeight="1">
      <c r="A3869" s="2" t="s">
        <v>4866</v>
      </c>
      <c r="B3869" s="2" t="s">
        <v>41</v>
      </c>
      <c r="C3869" s="4">
        <v>45875.25</v>
      </c>
      <c r="D3869" s="4">
        <v>45875.250451261571</v>
      </c>
      <c r="E3869" s="2">
        <v>3.3</v>
      </c>
      <c r="F3869" s="2">
        <v>64.900000000000006</v>
      </c>
      <c r="G3869" s="2" t="s">
        <v>983</v>
      </c>
      <c r="H3869" s="2" t="s">
        <v>984</v>
      </c>
      <c r="I3869" s="2"/>
      <c r="J3869" s="2" t="s">
        <v>41</v>
      </c>
    </row>
    <row r="3870" spans="1:10" ht="21" customHeight="1">
      <c r="A3870" s="2" t="s">
        <v>4867</v>
      </c>
      <c r="B3870" s="2" t="s">
        <v>41</v>
      </c>
      <c r="C3870" s="4">
        <v>45876.25</v>
      </c>
      <c r="D3870" s="4">
        <v>45876.250182881944</v>
      </c>
      <c r="E3870" s="2">
        <v>0</v>
      </c>
      <c r="F3870" s="2">
        <v>62.8</v>
      </c>
      <c r="G3870" s="2" t="s">
        <v>1175</v>
      </c>
      <c r="H3870" s="2" t="s">
        <v>984</v>
      </c>
      <c r="I3870" s="2"/>
      <c r="J3870" s="2" t="s">
        <v>41</v>
      </c>
    </row>
    <row r="3871" spans="1:10" ht="21" customHeight="1">
      <c r="A3871" s="2" t="s">
        <v>4868</v>
      </c>
      <c r="B3871" s="2" t="s">
        <v>41</v>
      </c>
      <c r="C3871" s="4">
        <v>45877.25</v>
      </c>
      <c r="D3871" s="4">
        <v>45877.250367800923</v>
      </c>
      <c r="E3871" s="2">
        <v>0</v>
      </c>
      <c r="F3871" s="2">
        <v>63</v>
      </c>
      <c r="G3871" s="2" t="s">
        <v>1175</v>
      </c>
      <c r="H3871" s="2" t="s">
        <v>984</v>
      </c>
      <c r="I3871" s="2"/>
      <c r="J3871" s="2" t="s">
        <v>41</v>
      </c>
    </row>
    <row r="3872" spans="1:10" ht="21" customHeight="1">
      <c r="A3872" s="2" t="s">
        <v>4869</v>
      </c>
      <c r="B3872" s="2" t="s">
        <v>41</v>
      </c>
      <c r="C3872" s="4">
        <v>45878.25</v>
      </c>
      <c r="D3872" s="4">
        <v>45879.5</v>
      </c>
      <c r="E3872" s="2">
        <v>2.1</v>
      </c>
      <c r="F3872" s="2">
        <v>60.7</v>
      </c>
      <c r="G3872" s="2" t="s">
        <v>983</v>
      </c>
      <c r="H3872" s="2" t="s">
        <v>984</v>
      </c>
      <c r="I3872" s="2"/>
      <c r="J3872" s="2" t="s">
        <v>41</v>
      </c>
    </row>
    <row r="3873" spans="1:10" ht="21" customHeight="1">
      <c r="A3873" s="2" t="s">
        <v>4870</v>
      </c>
      <c r="B3873" s="2" t="s">
        <v>41</v>
      </c>
      <c r="C3873" s="4">
        <v>45879.25</v>
      </c>
      <c r="D3873" s="4">
        <v>45879.250135231487</v>
      </c>
      <c r="E3873" s="2">
        <v>2.69</v>
      </c>
      <c r="F3873" s="2">
        <v>64</v>
      </c>
      <c r="G3873" s="2" t="s">
        <v>983</v>
      </c>
      <c r="H3873" s="2" t="s">
        <v>984</v>
      </c>
      <c r="I3873" s="2" t="s">
        <v>985</v>
      </c>
      <c r="J3873" s="2" t="s">
        <v>41</v>
      </c>
    </row>
    <row r="3874" spans="1:10" ht="21" customHeight="1">
      <c r="A3874" s="2" t="s">
        <v>4871</v>
      </c>
      <c r="B3874" s="2" t="s">
        <v>41</v>
      </c>
      <c r="C3874" s="4">
        <v>45880.25</v>
      </c>
      <c r="D3874" s="4">
        <v>45880.250080914353</v>
      </c>
      <c r="E3874" s="2">
        <v>2.76</v>
      </c>
      <c r="F3874" s="2">
        <v>63.7</v>
      </c>
      <c r="G3874" s="2" t="s">
        <v>983</v>
      </c>
      <c r="H3874" s="2" t="s">
        <v>984</v>
      </c>
      <c r="I3874" s="2"/>
      <c r="J3874" s="2" t="s">
        <v>41</v>
      </c>
    </row>
    <row r="3875" spans="1:10" ht="21" customHeight="1">
      <c r="A3875" s="2" t="s">
        <v>4872</v>
      </c>
      <c r="B3875" s="2" t="s">
        <v>41</v>
      </c>
      <c r="C3875" s="4">
        <v>45881.25</v>
      </c>
      <c r="D3875" s="4">
        <v>45881.250023032408</v>
      </c>
      <c r="E3875" s="2">
        <v>2.31</v>
      </c>
      <c r="F3875" s="2">
        <v>63.6</v>
      </c>
      <c r="G3875" s="2" t="s">
        <v>983</v>
      </c>
      <c r="H3875" s="2" t="s">
        <v>984</v>
      </c>
      <c r="I3875" s="2"/>
      <c r="J3875" s="2" t="s">
        <v>41</v>
      </c>
    </row>
    <row r="3876" spans="1:10" ht="21" customHeight="1">
      <c r="A3876" s="2" t="s">
        <v>4873</v>
      </c>
      <c r="B3876" s="2" t="s">
        <v>41</v>
      </c>
      <c r="C3876" s="4">
        <v>45882.25</v>
      </c>
      <c r="D3876" s="4">
        <v>45882.250176354166</v>
      </c>
      <c r="E3876" s="2">
        <v>2.87</v>
      </c>
      <c r="F3876" s="2">
        <v>62.2</v>
      </c>
      <c r="G3876" s="2" t="s">
        <v>983</v>
      </c>
      <c r="H3876" s="2" t="s">
        <v>984</v>
      </c>
      <c r="I3876" s="2"/>
      <c r="J3876" s="2" t="s">
        <v>41</v>
      </c>
    </row>
    <row r="3877" spans="1:10" ht="21" customHeight="1">
      <c r="A3877" s="2" t="s">
        <v>4874</v>
      </c>
      <c r="B3877" s="2" t="s">
        <v>41</v>
      </c>
      <c r="C3877" s="4">
        <v>45883.25</v>
      </c>
      <c r="D3877" s="4">
        <v>45883.250178402777</v>
      </c>
      <c r="E3877" s="2"/>
      <c r="F3877" s="2"/>
      <c r="G3877" s="2" t="s">
        <v>983</v>
      </c>
      <c r="H3877" s="2" t="s">
        <v>1066</v>
      </c>
      <c r="I3877" s="2"/>
      <c r="J3877" s="2" t="s">
        <v>41</v>
      </c>
    </row>
    <row r="3878" spans="1:10" ht="21" customHeight="1">
      <c r="A3878" s="2" t="s">
        <v>4875</v>
      </c>
      <c r="B3878" s="2" t="s">
        <v>41</v>
      </c>
      <c r="C3878" s="4">
        <v>45884.25</v>
      </c>
      <c r="D3878" s="4">
        <v>45884.250066215274</v>
      </c>
      <c r="E3878" s="2">
        <v>2.59</v>
      </c>
      <c r="F3878" s="2">
        <v>65.2</v>
      </c>
      <c r="G3878" s="2" t="s">
        <v>983</v>
      </c>
      <c r="H3878" s="2" t="s">
        <v>984</v>
      </c>
      <c r="I3878" s="2"/>
      <c r="J3878" s="2" t="s">
        <v>41</v>
      </c>
    </row>
    <row r="3879" spans="1:10" ht="21" customHeight="1">
      <c r="A3879" s="2" t="s">
        <v>4876</v>
      </c>
      <c r="B3879" s="2" t="s">
        <v>41</v>
      </c>
      <c r="C3879" s="4">
        <v>45885.25</v>
      </c>
      <c r="D3879" s="4">
        <v>45885.250655567128</v>
      </c>
      <c r="E3879" s="2">
        <v>2.15</v>
      </c>
      <c r="F3879" s="2">
        <v>63.4</v>
      </c>
      <c r="G3879" s="2" t="s">
        <v>983</v>
      </c>
      <c r="H3879" s="2" t="s">
        <v>984</v>
      </c>
      <c r="I3879" s="2"/>
      <c r="J3879" s="2" t="s">
        <v>41</v>
      </c>
    </row>
    <row r="3880" spans="1:10" ht="21" customHeight="1">
      <c r="A3880" s="2" t="s">
        <v>4877</v>
      </c>
      <c r="B3880" s="2" t="s">
        <v>41</v>
      </c>
      <c r="C3880" s="4">
        <v>45886.25</v>
      </c>
      <c r="D3880" s="4">
        <v>45886.250642789353</v>
      </c>
      <c r="E3880" s="2"/>
      <c r="F3880" s="2"/>
      <c r="G3880" s="2" t="s">
        <v>983</v>
      </c>
      <c r="H3880" s="2" t="s">
        <v>1066</v>
      </c>
      <c r="I3880" s="2"/>
      <c r="J3880" s="2" t="s">
        <v>41</v>
      </c>
    </row>
    <row r="3881" spans="1:10" ht="21" customHeight="1">
      <c r="A3881" s="2" t="s">
        <v>4878</v>
      </c>
      <c r="B3881" s="2" t="s">
        <v>41</v>
      </c>
      <c r="C3881" s="4">
        <v>45887.25</v>
      </c>
      <c r="D3881" s="4">
        <v>45887.250656400458</v>
      </c>
      <c r="E3881" s="2">
        <v>2.74</v>
      </c>
      <c r="F3881" s="2">
        <v>62.8</v>
      </c>
      <c r="G3881" s="2" t="s">
        <v>983</v>
      </c>
      <c r="H3881" s="2" t="s">
        <v>984</v>
      </c>
      <c r="I3881" s="2"/>
      <c r="J3881" s="2" t="s">
        <v>41</v>
      </c>
    </row>
    <row r="3882" spans="1:10" ht="21" customHeight="1">
      <c r="A3882" s="2" t="s">
        <v>4879</v>
      </c>
      <c r="B3882" s="2" t="s">
        <v>41</v>
      </c>
      <c r="C3882" s="4">
        <v>45888.25</v>
      </c>
      <c r="D3882" s="4">
        <v>45888.250397557873</v>
      </c>
      <c r="E3882" s="2">
        <v>2.58</v>
      </c>
      <c r="F3882" s="2">
        <v>62.5</v>
      </c>
      <c r="G3882" s="2" t="s">
        <v>983</v>
      </c>
      <c r="H3882" s="2" t="s">
        <v>984</v>
      </c>
      <c r="I3882" s="2"/>
      <c r="J3882" s="2" t="s">
        <v>41</v>
      </c>
    </row>
    <row r="3883" spans="1:10" ht="21" customHeight="1">
      <c r="A3883" s="2" t="s">
        <v>4880</v>
      </c>
      <c r="B3883" s="2" t="s">
        <v>41</v>
      </c>
      <c r="C3883" s="4">
        <v>45889.25</v>
      </c>
      <c r="D3883" s="4">
        <v>45890.5</v>
      </c>
      <c r="E3883" s="2">
        <v>2.2799999999999998</v>
      </c>
      <c r="F3883" s="2">
        <v>65.099999999999994</v>
      </c>
      <c r="G3883" s="2" t="s">
        <v>983</v>
      </c>
      <c r="H3883" s="2" t="s">
        <v>984</v>
      </c>
      <c r="I3883" s="2"/>
      <c r="J3883" s="2" t="s">
        <v>41</v>
      </c>
    </row>
    <row r="3884" spans="1:10" ht="21" customHeight="1">
      <c r="A3884" s="2" t="s">
        <v>4881</v>
      </c>
      <c r="B3884" s="2" t="s">
        <v>41</v>
      </c>
      <c r="C3884" s="4">
        <v>45890.25</v>
      </c>
      <c r="D3884" s="4">
        <v>45890.250364004634</v>
      </c>
      <c r="E3884" s="2">
        <v>2.65</v>
      </c>
      <c r="F3884" s="2">
        <v>59.1</v>
      </c>
      <c r="G3884" s="2" t="s">
        <v>983</v>
      </c>
      <c r="H3884" s="2" t="s">
        <v>984</v>
      </c>
      <c r="I3884" s="2"/>
      <c r="J3884" s="2" t="s">
        <v>41</v>
      </c>
    </row>
    <row r="3885" spans="1:10" ht="21" customHeight="1">
      <c r="A3885" s="2" t="s">
        <v>4882</v>
      </c>
      <c r="B3885" s="2" t="s">
        <v>41</v>
      </c>
      <c r="C3885" s="4">
        <v>45891.25</v>
      </c>
      <c r="D3885" s="4">
        <v>45891.250504791664</v>
      </c>
      <c r="E3885" s="2">
        <v>2.67</v>
      </c>
      <c r="F3885" s="2">
        <v>60.7</v>
      </c>
      <c r="G3885" s="2" t="s">
        <v>983</v>
      </c>
      <c r="H3885" s="2" t="s">
        <v>984</v>
      </c>
      <c r="I3885" s="2"/>
      <c r="J3885" s="2" t="s">
        <v>41</v>
      </c>
    </row>
    <row r="3886" spans="1:10" ht="21" customHeight="1">
      <c r="A3886" s="2" t="s">
        <v>4883</v>
      </c>
      <c r="B3886" s="2" t="s">
        <v>41</v>
      </c>
      <c r="C3886" s="4">
        <v>45892.25</v>
      </c>
      <c r="D3886" s="4">
        <v>45892.25035509259</v>
      </c>
      <c r="E3886" s="2">
        <v>2.37</v>
      </c>
      <c r="F3886" s="2">
        <v>59.4</v>
      </c>
      <c r="G3886" s="2" t="s">
        <v>983</v>
      </c>
      <c r="H3886" s="2" t="s">
        <v>984</v>
      </c>
      <c r="I3886" s="2"/>
      <c r="J3886" s="2" t="s">
        <v>41</v>
      </c>
    </row>
    <row r="3887" spans="1:10" ht="21" customHeight="1">
      <c r="A3887" s="2" t="s">
        <v>4884</v>
      </c>
      <c r="B3887" s="2" t="s">
        <v>41</v>
      </c>
      <c r="C3887" s="4">
        <v>45893.25</v>
      </c>
      <c r="D3887" s="4">
        <v>45893.250137453702</v>
      </c>
      <c r="E3887" s="2">
        <v>3.02</v>
      </c>
      <c r="F3887" s="2">
        <v>65.5</v>
      </c>
      <c r="G3887" s="2" t="s">
        <v>983</v>
      </c>
      <c r="H3887" s="2" t="s">
        <v>984</v>
      </c>
      <c r="I3887" s="2"/>
      <c r="J3887" s="2" t="s">
        <v>41</v>
      </c>
    </row>
    <row r="3888" spans="1:10" ht="21" customHeight="1">
      <c r="A3888" s="2" t="s">
        <v>4885</v>
      </c>
      <c r="B3888" s="2" t="s">
        <v>41</v>
      </c>
      <c r="C3888" s="4">
        <v>45894.25</v>
      </c>
      <c r="D3888" s="4">
        <v>45894.250646643515</v>
      </c>
      <c r="E3888" s="2">
        <v>2.96</v>
      </c>
      <c r="F3888" s="2">
        <v>62</v>
      </c>
      <c r="G3888" s="2" t="s">
        <v>983</v>
      </c>
      <c r="H3888" s="2" t="s">
        <v>984</v>
      </c>
      <c r="I3888" s="2"/>
      <c r="J3888" s="2" t="s">
        <v>41</v>
      </c>
    </row>
    <row r="3889" spans="1:10" ht="21" customHeight="1">
      <c r="A3889" s="2" t="s">
        <v>4886</v>
      </c>
      <c r="B3889" s="2" t="s">
        <v>41</v>
      </c>
      <c r="C3889" s="4">
        <v>45895.25</v>
      </c>
      <c r="D3889" s="4">
        <v>45895.250597418984</v>
      </c>
      <c r="E3889" s="2">
        <v>2.14</v>
      </c>
      <c r="F3889" s="2">
        <v>66</v>
      </c>
      <c r="G3889" s="2" t="s">
        <v>983</v>
      </c>
      <c r="H3889" s="2" t="s">
        <v>984</v>
      </c>
      <c r="I3889" s="2"/>
      <c r="J3889" s="2" t="s">
        <v>41</v>
      </c>
    </row>
    <row r="3890" spans="1:10" ht="21" customHeight="1">
      <c r="A3890" s="2" t="s">
        <v>4887</v>
      </c>
      <c r="B3890" s="2" t="s">
        <v>41</v>
      </c>
      <c r="C3890" s="4">
        <v>45896.25</v>
      </c>
      <c r="D3890" s="4">
        <v>45896.250566678238</v>
      </c>
      <c r="E3890" s="2">
        <v>3.09</v>
      </c>
      <c r="F3890" s="2">
        <v>58.7</v>
      </c>
      <c r="G3890" s="2" t="s">
        <v>983</v>
      </c>
      <c r="H3890" s="2" t="s">
        <v>984</v>
      </c>
      <c r="I3890" s="2" t="s">
        <v>985</v>
      </c>
      <c r="J3890" s="2" t="s">
        <v>41</v>
      </c>
    </row>
    <row r="3891" spans="1:10" ht="21" customHeight="1">
      <c r="A3891" s="2" t="s">
        <v>4888</v>
      </c>
      <c r="B3891" s="2" t="s">
        <v>41</v>
      </c>
      <c r="C3891" s="4">
        <v>45897.25</v>
      </c>
      <c r="D3891" s="4">
        <v>45897.250186284728</v>
      </c>
      <c r="E3891" s="2">
        <v>2.94</v>
      </c>
      <c r="F3891" s="2">
        <v>59.4</v>
      </c>
      <c r="G3891" s="2" t="s">
        <v>983</v>
      </c>
      <c r="H3891" s="2" t="s">
        <v>984</v>
      </c>
      <c r="I3891" s="2"/>
      <c r="J3891" s="2" t="s">
        <v>41</v>
      </c>
    </row>
    <row r="3892" spans="1:10" ht="21" customHeight="1">
      <c r="A3892" s="2" t="s">
        <v>4889</v>
      </c>
      <c r="B3892" s="2" t="s">
        <v>41</v>
      </c>
      <c r="C3892" s="4">
        <v>45898.25</v>
      </c>
      <c r="D3892" s="4">
        <v>45898.250240347217</v>
      </c>
      <c r="E3892" s="2">
        <v>2.6</v>
      </c>
      <c r="F3892" s="2">
        <v>62.5</v>
      </c>
      <c r="G3892" s="2" t="s">
        <v>983</v>
      </c>
      <c r="H3892" s="2" t="s">
        <v>984</v>
      </c>
      <c r="I3892" s="2"/>
      <c r="J3892" s="2" t="s">
        <v>41</v>
      </c>
    </row>
    <row r="3893" spans="1:10" ht="21" customHeight="1">
      <c r="A3893" s="2" t="s">
        <v>4890</v>
      </c>
      <c r="B3893" s="2" t="s">
        <v>41</v>
      </c>
      <c r="C3893" s="4">
        <v>45899.25</v>
      </c>
      <c r="D3893" s="4">
        <v>45899.250065625005</v>
      </c>
      <c r="E3893" s="2">
        <v>2.56</v>
      </c>
      <c r="F3893" s="2">
        <v>64.3</v>
      </c>
      <c r="G3893" s="2" t="s">
        <v>983</v>
      </c>
      <c r="H3893" s="2" t="s">
        <v>984</v>
      </c>
      <c r="I3893" s="2"/>
      <c r="J3893" s="2" t="s">
        <v>41</v>
      </c>
    </row>
    <row r="3894" spans="1:10" ht="21" customHeight="1">
      <c r="A3894" s="2" t="s">
        <v>4891</v>
      </c>
      <c r="B3894" s="2" t="s">
        <v>41</v>
      </c>
      <c r="C3894" s="4">
        <v>45900.25</v>
      </c>
      <c r="D3894" s="4">
        <v>45901.5</v>
      </c>
      <c r="E3894" s="2">
        <v>2.88</v>
      </c>
      <c r="F3894" s="2">
        <v>63.5</v>
      </c>
      <c r="G3894" s="2" t="s">
        <v>983</v>
      </c>
      <c r="H3894" s="2" t="s">
        <v>984</v>
      </c>
      <c r="I3894" s="2"/>
      <c r="J3894" s="2" t="s">
        <v>41</v>
      </c>
    </row>
    <row r="3895" spans="1:10" ht="21" customHeight="1">
      <c r="A3895" s="2" t="s">
        <v>4892</v>
      </c>
      <c r="B3895" s="2" t="s">
        <v>41</v>
      </c>
      <c r="C3895" s="4">
        <v>45901.25</v>
      </c>
      <c r="D3895" s="4">
        <v>45901.250183090277</v>
      </c>
      <c r="E3895" s="2">
        <v>2.31</v>
      </c>
      <c r="F3895" s="2">
        <v>60.6</v>
      </c>
      <c r="G3895" s="2" t="s">
        <v>983</v>
      </c>
      <c r="H3895" s="2" t="s">
        <v>984</v>
      </c>
      <c r="I3895" s="2"/>
      <c r="J3895" s="2" t="s">
        <v>41</v>
      </c>
    </row>
    <row r="3896" spans="1:10" ht="21" customHeight="1">
      <c r="A3896" s="2" t="s">
        <v>4893</v>
      </c>
      <c r="B3896" s="2" t="s">
        <v>41</v>
      </c>
      <c r="C3896" s="4">
        <v>45902.25</v>
      </c>
      <c r="D3896" s="4">
        <v>45902.250337002319</v>
      </c>
      <c r="E3896" s="2">
        <v>6.24</v>
      </c>
      <c r="F3896" s="2">
        <v>64</v>
      </c>
      <c r="G3896" s="2" t="s">
        <v>983</v>
      </c>
      <c r="H3896" s="2" t="s">
        <v>984</v>
      </c>
      <c r="I3896" s="2" t="s">
        <v>1053</v>
      </c>
      <c r="J3896" s="2" t="s">
        <v>41</v>
      </c>
    </row>
    <row r="3897" spans="1:10" ht="21" customHeight="1">
      <c r="A3897" s="2" t="s">
        <v>4894</v>
      </c>
      <c r="B3897" s="2" t="s">
        <v>4689</v>
      </c>
      <c r="C3897" s="4">
        <v>45903.25</v>
      </c>
      <c r="D3897" s="4">
        <v>45903.250460821757</v>
      </c>
      <c r="E3897" s="2">
        <v>6.36</v>
      </c>
      <c r="F3897" s="2">
        <v>73.099999999999994</v>
      </c>
      <c r="G3897" s="2" t="s">
        <v>983</v>
      </c>
      <c r="H3897" s="2" t="s">
        <v>984</v>
      </c>
      <c r="I3897" s="2"/>
      <c r="J3897" s="2" t="s">
        <v>41</v>
      </c>
    </row>
    <row r="3898" spans="1:10" ht="21" customHeight="1">
      <c r="A3898" s="2" t="s">
        <v>4895</v>
      </c>
      <c r="B3898" s="2" t="s">
        <v>41</v>
      </c>
      <c r="C3898" s="4">
        <v>45904.25</v>
      </c>
      <c r="D3898" s="4">
        <v>45904.250515069449</v>
      </c>
      <c r="E3898" s="2"/>
      <c r="F3898" s="2"/>
      <c r="G3898" s="2" t="s">
        <v>983</v>
      </c>
      <c r="H3898" s="2" t="s">
        <v>1066</v>
      </c>
      <c r="I3898" s="2" t="s">
        <v>1053</v>
      </c>
      <c r="J3898" s="2" t="s">
        <v>41</v>
      </c>
    </row>
    <row r="3899" spans="1:10" ht="21" customHeight="1">
      <c r="A3899" s="2" t="s">
        <v>4896</v>
      </c>
      <c r="B3899" s="2" t="s">
        <v>41</v>
      </c>
      <c r="C3899" s="4">
        <v>45905.25</v>
      </c>
      <c r="D3899" s="4">
        <v>45905.250125335646</v>
      </c>
      <c r="E3899" s="2">
        <v>0</v>
      </c>
      <c r="F3899" s="2">
        <v>63.6</v>
      </c>
      <c r="G3899" s="2" t="s">
        <v>1175</v>
      </c>
      <c r="H3899" s="2" t="s">
        <v>984</v>
      </c>
      <c r="I3899" s="2"/>
      <c r="J3899" s="2" t="s">
        <v>41</v>
      </c>
    </row>
    <row r="3900" spans="1:10" ht="21" customHeight="1">
      <c r="A3900" s="2" t="s">
        <v>4897</v>
      </c>
      <c r="B3900" s="2" t="s">
        <v>41</v>
      </c>
      <c r="C3900" s="4">
        <v>45906.25</v>
      </c>
      <c r="D3900" s="4">
        <v>45906.25056915509</v>
      </c>
      <c r="E3900" s="2">
        <v>2.59</v>
      </c>
      <c r="F3900" s="2">
        <v>65.599999999999994</v>
      </c>
      <c r="G3900" s="2" t="s">
        <v>983</v>
      </c>
      <c r="H3900" s="2" t="s">
        <v>984</v>
      </c>
      <c r="I3900" s="2"/>
      <c r="J3900" s="2" t="s">
        <v>41</v>
      </c>
    </row>
    <row r="3901" spans="1:10" ht="21" customHeight="1">
      <c r="A3901" s="2" t="s">
        <v>4898</v>
      </c>
      <c r="B3901" s="2" t="s">
        <v>41</v>
      </c>
      <c r="C3901" s="4">
        <v>45907.25</v>
      </c>
      <c r="D3901" s="4">
        <v>45907.250155543981</v>
      </c>
      <c r="E3901" s="2">
        <v>2.46</v>
      </c>
      <c r="F3901" s="2">
        <v>65.099999999999994</v>
      </c>
      <c r="G3901" s="2" t="s">
        <v>983</v>
      </c>
      <c r="H3901" s="2" t="s">
        <v>984</v>
      </c>
      <c r="I3901" s="2"/>
      <c r="J3901" s="2" t="s">
        <v>41</v>
      </c>
    </row>
    <row r="3902" spans="1:10" ht="21" customHeight="1">
      <c r="A3902" s="2" t="s">
        <v>4899</v>
      </c>
      <c r="B3902" s="2" t="s">
        <v>41</v>
      </c>
      <c r="C3902" s="4">
        <v>45908.25</v>
      </c>
      <c r="D3902" s="4">
        <v>45908.250575509257</v>
      </c>
      <c r="E3902" s="2">
        <v>2.44</v>
      </c>
      <c r="F3902" s="2">
        <v>65.7</v>
      </c>
      <c r="G3902" s="2" t="s">
        <v>983</v>
      </c>
      <c r="H3902" s="2" t="s">
        <v>984</v>
      </c>
      <c r="I3902" s="2"/>
      <c r="J3902" s="2" t="s">
        <v>41</v>
      </c>
    </row>
    <row r="3903" spans="1:10" ht="21" customHeight="1">
      <c r="A3903" s="2" t="s">
        <v>4900</v>
      </c>
      <c r="B3903" s="2" t="s">
        <v>41</v>
      </c>
      <c r="C3903" s="4">
        <v>45909.25</v>
      </c>
      <c r="D3903" s="4">
        <v>45909.250092766204</v>
      </c>
      <c r="E3903" s="2"/>
      <c r="F3903" s="2"/>
      <c r="G3903" s="2" t="s">
        <v>983</v>
      </c>
      <c r="H3903" s="2" t="s">
        <v>1066</v>
      </c>
      <c r="I3903" s="2"/>
      <c r="J3903" s="2" t="s">
        <v>41</v>
      </c>
    </row>
    <row r="3904" spans="1:10" ht="21" customHeight="1">
      <c r="A3904" s="2" t="s">
        <v>4901</v>
      </c>
      <c r="B3904" s="2" t="s">
        <v>41</v>
      </c>
      <c r="C3904" s="4">
        <v>45910.25</v>
      </c>
      <c r="D3904" s="4">
        <v>45910.250342280095</v>
      </c>
      <c r="E3904" s="2">
        <v>3.14</v>
      </c>
      <c r="F3904" s="2">
        <v>61.4</v>
      </c>
      <c r="G3904" s="2" t="s">
        <v>983</v>
      </c>
      <c r="H3904" s="2" t="s">
        <v>984</v>
      </c>
      <c r="I3904" s="2"/>
      <c r="J3904" s="2" t="s">
        <v>41</v>
      </c>
    </row>
    <row r="3905" spans="1:10" ht="21" customHeight="1">
      <c r="A3905" s="2" t="s">
        <v>4902</v>
      </c>
      <c r="B3905" s="2" t="s">
        <v>41</v>
      </c>
      <c r="C3905" s="4">
        <v>45911.25</v>
      </c>
      <c r="D3905" s="4">
        <v>45912.5</v>
      </c>
      <c r="E3905" s="2">
        <v>2.81</v>
      </c>
      <c r="F3905" s="2">
        <v>62</v>
      </c>
      <c r="G3905" s="2" t="s">
        <v>983</v>
      </c>
      <c r="H3905" s="2" t="s">
        <v>984</v>
      </c>
      <c r="I3905" s="2"/>
      <c r="J3905" s="2" t="s">
        <v>41</v>
      </c>
    </row>
    <row r="3906" spans="1:10" ht="21" customHeight="1">
      <c r="A3906" s="2" t="s">
        <v>4903</v>
      </c>
      <c r="B3906" s="2" t="s">
        <v>41</v>
      </c>
      <c r="C3906" s="4">
        <v>45912.25</v>
      </c>
      <c r="D3906" s="4">
        <v>45912.250271550925</v>
      </c>
      <c r="E3906" s="2"/>
      <c r="F3906" s="2"/>
      <c r="G3906" s="2" t="s">
        <v>983</v>
      </c>
      <c r="H3906" s="2" t="s">
        <v>1066</v>
      </c>
      <c r="I3906" s="2"/>
      <c r="J3906" s="2" t="s">
        <v>41</v>
      </c>
    </row>
    <row r="3907" spans="1:10" ht="21" customHeight="1">
      <c r="A3907" s="2" t="s">
        <v>4904</v>
      </c>
      <c r="B3907" s="2" t="s">
        <v>41</v>
      </c>
      <c r="C3907" s="4">
        <v>45913.25</v>
      </c>
      <c r="D3907" s="4">
        <v>45913.250073599542</v>
      </c>
      <c r="E3907" s="2">
        <v>2.14</v>
      </c>
      <c r="F3907" s="2">
        <v>61.2</v>
      </c>
      <c r="G3907" s="2" t="s">
        <v>983</v>
      </c>
      <c r="H3907" s="2" t="s">
        <v>984</v>
      </c>
      <c r="I3907" s="2" t="s">
        <v>985</v>
      </c>
      <c r="J3907" s="2" t="s">
        <v>41</v>
      </c>
    </row>
    <row r="3908" spans="1:10" ht="21" customHeight="1">
      <c r="A3908" s="2" t="s">
        <v>4905</v>
      </c>
      <c r="B3908" s="2" t="s">
        <v>41</v>
      </c>
      <c r="C3908" s="4">
        <v>45914.25</v>
      </c>
      <c r="D3908" s="4">
        <v>45914.250093784722</v>
      </c>
      <c r="E3908" s="2">
        <v>2.94</v>
      </c>
      <c r="F3908" s="2">
        <v>60.9</v>
      </c>
      <c r="G3908" s="2" t="s">
        <v>983</v>
      </c>
      <c r="H3908" s="2" t="s">
        <v>984</v>
      </c>
      <c r="I3908" s="2"/>
      <c r="J3908" s="2" t="s">
        <v>41</v>
      </c>
    </row>
    <row r="3909" spans="1:10" ht="21" customHeight="1">
      <c r="A3909" s="2" t="s">
        <v>4906</v>
      </c>
      <c r="B3909" s="2" t="s">
        <v>41</v>
      </c>
      <c r="C3909" s="4">
        <v>45915.25</v>
      </c>
      <c r="D3909" s="4">
        <v>45915.250514016203</v>
      </c>
      <c r="E3909" s="2">
        <v>3</v>
      </c>
      <c r="F3909" s="2">
        <v>61</v>
      </c>
      <c r="G3909" s="2" t="s">
        <v>983</v>
      </c>
      <c r="H3909" s="2" t="s">
        <v>984</v>
      </c>
      <c r="I3909" s="2"/>
      <c r="J3909" s="2" t="s">
        <v>41</v>
      </c>
    </row>
    <row r="3910" spans="1:10" ht="21" customHeight="1">
      <c r="A3910" s="2" t="s">
        <v>4907</v>
      </c>
      <c r="B3910" s="2" t="s">
        <v>41</v>
      </c>
      <c r="C3910" s="4">
        <v>45916.25</v>
      </c>
      <c r="D3910" s="4">
        <v>45916.250139351847</v>
      </c>
      <c r="E3910" s="2">
        <v>2.64</v>
      </c>
      <c r="F3910" s="2">
        <v>61.2</v>
      </c>
      <c r="G3910" s="2" t="s">
        <v>983</v>
      </c>
      <c r="H3910" s="2" t="s">
        <v>984</v>
      </c>
      <c r="I3910" s="2"/>
      <c r="J3910" s="2" t="s">
        <v>41</v>
      </c>
    </row>
    <row r="3911" spans="1:10" ht="21" customHeight="1">
      <c r="A3911" s="2" t="s">
        <v>4908</v>
      </c>
      <c r="B3911" s="2" t="s">
        <v>41</v>
      </c>
      <c r="C3911" s="4">
        <v>45917.25</v>
      </c>
      <c r="D3911" s="4">
        <v>45917.250124791666</v>
      </c>
      <c r="E3911" s="2">
        <v>2.7</v>
      </c>
      <c r="F3911" s="2">
        <v>58.8</v>
      </c>
      <c r="G3911" s="2" t="s">
        <v>983</v>
      </c>
      <c r="H3911" s="2" t="s">
        <v>984</v>
      </c>
      <c r="I3911" s="2"/>
      <c r="J3911" s="2" t="s">
        <v>41</v>
      </c>
    </row>
    <row r="3912" spans="1:10" ht="21" customHeight="1">
      <c r="A3912" s="2" t="s">
        <v>4909</v>
      </c>
      <c r="B3912" s="2" t="s">
        <v>41</v>
      </c>
      <c r="C3912" s="4">
        <v>45918.25</v>
      </c>
      <c r="D3912" s="4">
        <v>45918.250630659721</v>
      </c>
      <c r="E3912" s="2">
        <v>4.72</v>
      </c>
      <c r="F3912" s="2">
        <v>70.2</v>
      </c>
      <c r="G3912" s="2" t="s">
        <v>983</v>
      </c>
      <c r="H3912" s="2" t="s">
        <v>984</v>
      </c>
      <c r="I3912" s="2" t="s">
        <v>1053</v>
      </c>
      <c r="J3912" s="2" t="s">
        <v>41</v>
      </c>
    </row>
    <row r="3913" spans="1:10" ht="21" customHeight="1">
      <c r="A3913" s="2" t="s">
        <v>4910</v>
      </c>
      <c r="B3913" s="2" t="s">
        <v>41</v>
      </c>
      <c r="C3913" s="4">
        <v>45919.25</v>
      </c>
      <c r="D3913" s="4">
        <v>45919.250437037037</v>
      </c>
      <c r="E3913" s="2">
        <v>4.53</v>
      </c>
      <c r="F3913" s="2">
        <v>65.8</v>
      </c>
      <c r="G3913" s="2" t="s">
        <v>983</v>
      </c>
      <c r="H3913" s="2" t="s">
        <v>984</v>
      </c>
      <c r="I3913" s="2"/>
      <c r="J3913" s="2" t="s">
        <v>41</v>
      </c>
    </row>
    <row r="3914" spans="1:10" ht="21" customHeight="1">
      <c r="A3914" s="2" t="s">
        <v>4911</v>
      </c>
      <c r="B3914" s="2" t="s">
        <v>41</v>
      </c>
      <c r="C3914" s="4">
        <v>45920.25</v>
      </c>
      <c r="D3914" s="4">
        <v>45920.250558402782</v>
      </c>
      <c r="E3914" s="2">
        <v>6.3</v>
      </c>
      <c r="F3914" s="2">
        <v>70.7</v>
      </c>
      <c r="G3914" s="2" t="s">
        <v>983</v>
      </c>
      <c r="H3914" s="2" t="s">
        <v>984</v>
      </c>
      <c r="I3914" s="2" t="s">
        <v>1053</v>
      </c>
      <c r="J3914" s="2" t="s">
        <v>41</v>
      </c>
    </row>
    <row r="3915" spans="1:10" ht="21" customHeight="1">
      <c r="A3915" s="2" t="s">
        <v>4912</v>
      </c>
      <c r="B3915" s="2" t="s">
        <v>41</v>
      </c>
      <c r="C3915" s="4">
        <v>45921.25</v>
      </c>
      <c r="D3915" s="4">
        <v>45921.250437662035</v>
      </c>
      <c r="E3915" s="2">
        <v>0</v>
      </c>
      <c r="F3915" s="2">
        <v>63.2</v>
      </c>
      <c r="G3915" s="2" t="s">
        <v>1175</v>
      </c>
      <c r="H3915" s="2" t="s">
        <v>984</v>
      </c>
      <c r="I3915" s="2"/>
      <c r="J3915" s="2" t="s">
        <v>41</v>
      </c>
    </row>
    <row r="3916" spans="1:10" ht="21" customHeight="1">
      <c r="A3916" s="2" t="s">
        <v>4913</v>
      </c>
      <c r="B3916" s="2" t="s">
        <v>41</v>
      </c>
      <c r="C3916" s="4">
        <v>45922.25</v>
      </c>
      <c r="D3916" s="4">
        <v>45923.5</v>
      </c>
      <c r="E3916" s="2">
        <v>0</v>
      </c>
      <c r="F3916" s="2">
        <v>59.2</v>
      </c>
      <c r="G3916" s="2" t="s">
        <v>1175</v>
      </c>
      <c r="H3916" s="2" t="s">
        <v>984</v>
      </c>
      <c r="I3916" s="2"/>
      <c r="J3916" s="2" t="s">
        <v>41</v>
      </c>
    </row>
    <row r="3917" spans="1:10" ht="21" customHeight="1">
      <c r="A3917" s="2" t="s">
        <v>4914</v>
      </c>
      <c r="B3917" s="2" t="s">
        <v>41</v>
      </c>
      <c r="C3917" s="4">
        <v>45923.25</v>
      </c>
      <c r="D3917" s="4">
        <v>45923.250055462966</v>
      </c>
      <c r="E3917" s="2">
        <v>2.4300000000000002</v>
      </c>
      <c r="F3917" s="2">
        <v>63.2</v>
      </c>
      <c r="G3917" s="2" t="s">
        <v>983</v>
      </c>
      <c r="H3917" s="2" t="s">
        <v>984</v>
      </c>
      <c r="I3917" s="2"/>
      <c r="J3917" s="2" t="s">
        <v>41</v>
      </c>
    </row>
    <row r="3918" spans="1:10" ht="21" customHeight="1">
      <c r="A3918" s="2" t="s">
        <v>4915</v>
      </c>
      <c r="B3918" s="2" t="s">
        <v>41</v>
      </c>
      <c r="C3918" s="4">
        <v>45924.25</v>
      </c>
      <c r="D3918" s="4">
        <v>45924.250323425927</v>
      </c>
      <c r="E3918" s="2">
        <v>2.92</v>
      </c>
      <c r="F3918" s="2">
        <v>64.3</v>
      </c>
      <c r="G3918" s="2" t="s">
        <v>983</v>
      </c>
      <c r="H3918" s="2" t="s">
        <v>984</v>
      </c>
      <c r="I3918" s="2"/>
      <c r="J3918" s="2" t="s">
        <v>41</v>
      </c>
    </row>
    <row r="3919" spans="1:10" ht="21" customHeight="1">
      <c r="A3919" s="2" t="s">
        <v>4916</v>
      </c>
      <c r="B3919" s="2" t="s">
        <v>41</v>
      </c>
      <c r="C3919" s="4">
        <v>45925.25</v>
      </c>
      <c r="D3919" s="4">
        <v>45925.250002476852</v>
      </c>
      <c r="E3919" s="2"/>
      <c r="F3919" s="2"/>
      <c r="G3919" s="2" t="s">
        <v>983</v>
      </c>
      <c r="H3919" s="2" t="s">
        <v>1066</v>
      </c>
      <c r="I3919" s="2"/>
      <c r="J3919" s="2" t="s">
        <v>41</v>
      </c>
    </row>
    <row r="3920" spans="1:10" ht="21" customHeight="1">
      <c r="A3920" s="2" t="s">
        <v>4917</v>
      </c>
      <c r="B3920" s="2" t="s">
        <v>41</v>
      </c>
      <c r="C3920" s="4">
        <v>45926.25</v>
      </c>
      <c r="D3920" s="4">
        <v>45926.250124351849</v>
      </c>
      <c r="E3920" s="2"/>
      <c r="F3920" s="2"/>
      <c r="G3920" s="2" t="s">
        <v>983</v>
      </c>
      <c r="H3920" s="2" t="s">
        <v>1066</v>
      </c>
      <c r="I3920" s="2"/>
      <c r="J3920" s="2" t="s">
        <v>41</v>
      </c>
    </row>
    <row r="3921" spans="1:10" ht="21" customHeight="1">
      <c r="A3921" s="2" t="s">
        <v>4918</v>
      </c>
      <c r="B3921" s="2" t="s">
        <v>41</v>
      </c>
      <c r="C3921" s="4">
        <v>45927.25</v>
      </c>
      <c r="D3921" s="4">
        <v>45927.250488229169</v>
      </c>
      <c r="E3921" s="2">
        <v>3.04</v>
      </c>
      <c r="F3921" s="2">
        <v>66</v>
      </c>
      <c r="G3921" s="2" t="s">
        <v>983</v>
      </c>
      <c r="H3921" s="2" t="s">
        <v>984</v>
      </c>
      <c r="I3921" s="2"/>
      <c r="J3921" s="2" t="s">
        <v>41</v>
      </c>
    </row>
    <row r="3922" spans="1:10" ht="21" customHeight="1">
      <c r="A3922" s="2" t="s">
        <v>4919</v>
      </c>
      <c r="B3922" s="2" t="s">
        <v>41</v>
      </c>
      <c r="C3922" s="4">
        <v>45928.25</v>
      </c>
      <c r="D3922" s="4">
        <v>45928.250144768521</v>
      </c>
      <c r="E3922" s="2"/>
      <c r="F3922" s="2"/>
      <c r="G3922" s="2" t="s">
        <v>983</v>
      </c>
      <c r="H3922" s="2" t="s">
        <v>1066</v>
      </c>
      <c r="I3922" s="2"/>
      <c r="J3922" s="2" t="s">
        <v>41</v>
      </c>
    </row>
    <row r="3923" spans="1:10" ht="21" customHeight="1">
      <c r="A3923" s="2" t="s">
        <v>4920</v>
      </c>
      <c r="B3923" s="2" t="s">
        <v>41</v>
      </c>
      <c r="C3923" s="4">
        <v>45929.25</v>
      </c>
      <c r="D3923" s="4">
        <v>45929.250459027782</v>
      </c>
      <c r="E3923" s="2">
        <v>3.11</v>
      </c>
      <c r="F3923" s="2">
        <v>63.7</v>
      </c>
      <c r="G3923" s="2" t="s">
        <v>983</v>
      </c>
      <c r="H3923" s="2" t="s">
        <v>984</v>
      </c>
      <c r="I3923" s="2"/>
      <c r="J3923" s="2" t="s">
        <v>41</v>
      </c>
    </row>
    <row r="3924" spans="1:10" ht="21" customHeight="1">
      <c r="A3924" s="2" t="s">
        <v>4921</v>
      </c>
      <c r="B3924" s="2" t="s">
        <v>41</v>
      </c>
      <c r="C3924" s="4">
        <v>45930.25</v>
      </c>
      <c r="D3924" s="4">
        <v>45930.250276296298</v>
      </c>
      <c r="E3924" s="2">
        <v>2.38</v>
      </c>
      <c r="F3924" s="2">
        <v>65.3</v>
      </c>
      <c r="G3924" s="2" t="s">
        <v>983</v>
      </c>
      <c r="H3924" s="2" t="s">
        <v>984</v>
      </c>
      <c r="I3924" s="2" t="s">
        <v>985</v>
      </c>
      <c r="J3924" s="2" t="s">
        <v>41</v>
      </c>
    </row>
    <row r="3925" spans="1:10" ht="21" customHeight="1">
      <c r="A3925" s="2" t="s">
        <v>4922</v>
      </c>
      <c r="B3925" s="2" t="s">
        <v>41</v>
      </c>
      <c r="C3925" s="4">
        <v>45931.25</v>
      </c>
      <c r="D3925" s="4">
        <v>45931.250188819446</v>
      </c>
      <c r="E3925" s="2">
        <v>2.67</v>
      </c>
      <c r="F3925" s="2">
        <v>63</v>
      </c>
      <c r="G3925" s="2" t="s">
        <v>983</v>
      </c>
      <c r="H3925" s="2" t="s">
        <v>984</v>
      </c>
      <c r="I3925" s="2"/>
      <c r="J3925" s="2" t="s">
        <v>41</v>
      </c>
    </row>
    <row r="3926" spans="1:10" ht="21" customHeight="1">
      <c r="A3926" s="2" t="s">
        <v>4923</v>
      </c>
      <c r="B3926" s="2" t="s">
        <v>41</v>
      </c>
      <c r="C3926" s="4">
        <v>45932.25</v>
      </c>
      <c r="D3926" s="4">
        <v>45932.250270231481</v>
      </c>
      <c r="E3926" s="2">
        <v>5.85</v>
      </c>
      <c r="F3926" s="2">
        <v>69.900000000000006</v>
      </c>
      <c r="G3926" s="2" t="s">
        <v>983</v>
      </c>
      <c r="H3926" s="2" t="s">
        <v>984</v>
      </c>
      <c r="I3926" s="2" t="s">
        <v>1053</v>
      </c>
      <c r="J3926" s="2" t="s">
        <v>41</v>
      </c>
    </row>
    <row r="3927" spans="1:10" ht="21" customHeight="1">
      <c r="A3927" s="2" t="s">
        <v>4924</v>
      </c>
      <c r="B3927" s="2" t="s">
        <v>41</v>
      </c>
      <c r="C3927" s="4">
        <v>45933.25</v>
      </c>
      <c r="D3927" s="4">
        <v>45934.5</v>
      </c>
      <c r="E3927" s="2">
        <v>4.6100000000000003</v>
      </c>
      <c r="F3927" s="2">
        <v>64.2</v>
      </c>
      <c r="G3927" s="2" t="s">
        <v>983</v>
      </c>
      <c r="H3927" s="2" t="s">
        <v>984</v>
      </c>
      <c r="I3927" s="2"/>
      <c r="J3927" s="2" t="s">
        <v>41</v>
      </c>
    </row>
    <row r="3928" spans="1:10" ht="21" customHeight="1">
      <c r="A3928" s="2" t="s">
        <v>4925</v>
      </c>
      <c r="B3928" s="2" t="s">
        <v>41</v>
      </c>
      <c r="C3928" s="4">
        <v>45934.25</v>
      </c>
      <c r="D3928" s="4">
        <v>45934.250108587963</v>
      </c>
      <c r="E3928" s="2">
        <v>5.66</v>
      </c>
      <c r="F3928" s="2">
        <v>67.2</v>
      </c>
      <c r="G3928" s="2" t="s">
        <v>983</v>
      </c>
      <c r="H3928" s="2" t="s">
        <v>984</v>
      </c>
      <c r="I3928" s="2" t="s">
        <v>1053</v>
      </c>
      <c r="J3928" s="2" t="s">
        <v>41</v>
      </c>
    </row>
    <row r="3929" spans="1:10" ht="21" customHeight="1">
      <c r="A3929" s="2" t="s">
        <v>4926</v>
      </c>
      <c r="B3929" s="2" t="s">
        <v>41</v>
      </c>
      <c r="C3929" s="4">
        <v>45935.25</v>
      </c>
      <c r="D3929" s="4">
        <v>45935.250592245371</v>
      </c>
      <c r="E3929" s="2">
        <v>0</v>
      </c>
      <c r="F3929" s="2">
        <v>61.5</v>
      </c>
      <c r="G3929" s="2" t="s">
        <v>1175</v>
      </c>
      <c r="H3929" s="2" t="s">
        <v>984</v>
      </c>
      <c r="I3929" s="2"/>
      <c r="J3929" s="2" t="s">
        <v>41</v>
      </c>
    </row>
    <row r="3930" spans="1:10" ht="21" customHeight="1">
      <c r="A3930" s="2" t="s">
        <v>4927</v>
      </c>
      <c r="B3930" s="2" t="s">
        <v>41</v>
      </c>
      <c r="C3930" s="4">
        <v>45936.25</v>
      </c>
      <c r="D3930" s="4">
        <v>45936.250050497685</v>
      </c>
      <c r="E3930" s="2">
        <v>2.76</v>
      </c>
      <c r="F3930" s="2">
        <v>63.9</v>
      </c>
      <c r="G3930" s="2" t="s">
        <v>983</v>
      </c>
      <c r="H3930" s="2" t="s">
        <v>984</v>
      </c>
      <c r="I3930" s="2"/>
      <c r="J3930" s="2" t="s">
        <v>41</v>
      </c>
    </row>
    <row r="3931" spans="1:10" ht="21" customHeight="1">
      <c r="A3931" s="2" t="s">
        <v>4928</v>
      </c>
      <c r="B3931" s="2" t="s">
        <v>41</v>
      </c>
      <c r="C3931" s="4">
        <v>45937.25</v>
      </c>
      <c r="D3931" s="4">
        <v>45937.250235509258</v>
      </c>
      <c r="E3931" s="2">
        <v>2.5099999999999998</v>
      </c>
      <c r="F3931" s="2">
        <v>59.6</v>
      </c>
      <c r="G3931" s="2" t="s">
        <v>983</v>
      </c>
      <c r="H3931" s="2" t="s">
        <v>984</v>
      </c>
      <c r="I3931" s="2"/>
      <c r="J3931" s="2" t="s">
        <v>41</v>
      </c>
    </row>
    <row r="3932" spans="1:10" ht="21" customHeight="1">
      <c r="A3932" s="2" t="s">
        <v>4929</v>
      </c>
      <c r="B3932" s="2" t="s">
        <v>41</v>
      </c>
      <c r="C3932" s="4">
        <v>45938.25</v>
      </c>
      <c r="D3932" s="4">
        <v>45938.250437210649</v>
      </c>
      <c r="E3932" s="2">
        <v>2.1800000000000002</v>
      </c>
      <c r="F3932" s="2">
        <v>58.9</v>
      </c>
      <c r="G3932" s="2" t="s">
        <v>983</v>
      </c>
      <c r="H3932" s="2" t="s">
        <v>984</v>
      </c>
      <c r="I3932" s="2"/>
      <c r="J3932" s="2" t="s">
        <v>41</v>
      </c>
    </row>
    <row r="3933" spans="1:10" ht="21" customHeight="1">
      <c r="A3933" s="2" t="s">
        <v>4930</v>
      </c>
      <c r="B3933" s="2" t="s">
        <v>41</v>
      </c>
      <c r="C3933" s="4">
        <v>45939.25</v>
      </c>
      <c r="D3933" s="4">
        <v>45939.250017106482</v>
      </c>
      <c r="E3933" s="2">
        <v>2.58</v>
      </c>
      <c r="F3933" s="2">
        <v>65.900000000000006</v>
      </c>
      <c r="G3933" s="2" t="s">
        <v>983</v>
      </c>
      <c r="H3933" s="2" t="s">
        <v>984</v>
      </c>
      <c r="I3933" s="2"/>
      <c r="J3933" s="2" t="s">
        <v>41</v>
      </c>
    </row>
    <row r="3934" spans="1:10" ht="21" customHeight="1">
      <c r="A3934" s="2" t="s">
        <v>4931</v>
      </c>
      <c r="B3934" s="2" t="s">
        <v>41</v>
      </c>
      <c r="C3934" s="4">
        <v>45940.25</v>
      </c>
      <c r="D3934" s="4">
        <v>45940.250189282408</v>
      </c>
      <c r="E3934" s="2">
        <v>3.28</v>
      </c>
      <c r="F3934" s="2">
        <v>63.1</v>
      </c>
      <c r="G3934" s="2" t="s">
        <v>983</v>
      </c>
      <c r="H3934" s="2" t="s">
        <v>984</v>
      </c>
      <c r="I3934" s="2"/>
      <c r="J3934" s="2" t="s">
        <v>41</v>
      </c>
    </row>
    <row r="3935" spans="1:10" ht="21" customHeight="1">
      <c r="A3935" s="2" t="s">
        <v>4932</v>
      </c>
      <c r="B3935" s="2" t="s">
        <v>41</v>
      </c>
      <c r="C3935" s="4">
        <v>45941.25</v>
      </c>
      <c r="D3935" s="4">
        <v>45941.250263321759</v>
      </c>
      <c r="E3935" s="2"/>
      <c r="F3935" s="2"/>
      <c r="G3935" s="2" t="s">
        <v>983</v>
      </c>
      <c r="H3935" s="2" t="s">
        <v>1066</v>
      </c>
      <c r="I3935" s="2"/>
      <c r="J3935" s="2" t="s">
        <v>41</v>
      </c>
    </row>
    <row r="3936" spans="1:10" ht="21" customHeight="1">
      <c r="A3936" s="2" t="s">
        <v>4933</v>
      </c>
      <c r="B3936" s="2" t="s">
        <v>41</v>
      </c>
      <c r="C3936" s="4">
        <v>45942.25</v>
      </c>
      <c r="D3936" s="4">
        <v>45942.250543483795</v>
      </c>
      <c r="E3936" s="2">
        <v>2.1800000000000002</v>
      </c>
      <c r="F3936" s="2">
        <v>62.6</v>
      </c>
      <c r="G3936" s="2" t="s">
        <v>983</v>
      </c>
      <c r="H3936" s="2" t="s">
        <v>984</v>
      </c>
      <c r="I3936" s="2"/>
      <c r="J3936" s="2" t="s">
        <v>41</v>
      </c>
    </row>
    <row r="3937" spans="1:10" ht="21" customHeight="1">
      <c r="A3937" s="2" t="s">
        <v>4934</v>
      </c>
      <c r="B3937" s="2" t="s">
        <v>41</v>
      </c>
      <c r="C3937" s="4">
        <v>45943.25</v>
      </c>
      <c r="D3937" s="4">
        <v>45943.250219502312</v>
      </c>
      <c r="E3937" s="2">
        <v>2.4700000000000002</v>
      </c>
      <c r="F3937" s="2">
        <v>62.5</v>
      </c>
      <c r="G3937" s="2" t="s">
        <v>983</v>
      </c>
      <c r="H3937" s="2" t="s">
        <v>984</v>
      </c>
      <c r="I3937" s="2"/>
      <c r="J3937" s="2" t="s">
        <v>41</v>
      </c>
    </row>
    <row r="3938" spans="1:10" ht="21" customHeight="1">
      <c r="A3938" s="2" t="s">
        <v>4935</v>
      </c>
      <c r="B3938" s="2" t="s">
        <v>4689</v>
      </c>
      <c r="C3938" s="4">
        <v>45944.25</v>
      </c>
      <c r="D3938" s="4">
        <v>45945.5</v>
      </c>
      <c r="E3938" s="2">
        <v>2.11</v>
      </c>
      <c r="F3938" s="2">
        <v>63.2</v>
      </c>
      <c r="G3938" s="2" t="s">
        <v>983</v>
      </c>
      <c r="H3938" s="2" t="s">
        <v>984</v>
      </c>
      <c r="I3938" s="2"/>
      <c r="J3938" s="2" t="s">
        <v>41</v>
      </c>
    </row>
    <row r="3939" spans="1:10" ht="21" customHeight="1">
      <c r="A3939" s="2" t="s">
        <v>4936</v>
      </c>
      <c r="B3939" s="2" t="s">
        <v>41</v>
      </c>
      <c r="C3939" s="4">
        <v>45945.25</v>
      </c>
      <c r="D3939" s="4">
        <v>45945.250042662039</v>
      </c>
      <c r="E3939" s="2">
        <v>2.84</v>
      </c>
      <c r="F3939" s="2">
        <v>61.6</v>
      </c>
      <c r="G3939" s="2" t="s">
        <v>983</v>
      </c>
      <c r="H3939" s="2" t="s">
        <v>984</v>
      </c>
      <c r="I3939" s="2"/>
      <c r="J3939" s="2" t="s">
        <v>41</v>
      </c>
    </row>
    <row r="3940" spans="1:10" ht="21" customHeight="1">
      <c r="A3940" s="2" t="s">
        <v>4937</v>
      </c>
      <c r="B3940" s="2" t="s">
        <v>41</v>
      </c>
      <c r="C3940" s="4">
        <v>45946.25</v>
      </c>
      <c r="D3940" s="4">
        <v>45946.250493969907</v>
      </c>
      <c r="E3940" s="2">
        <v>2.35</v>
      </c>
      <c r="F3940" s="2">
        <v>61.7</v>
      </c>
      <c r="G3940" s="2" t="s">
        <v>983</v>
      </c>
      <c r="H3940" s="2" t="s">
        <v>984</v>
      </c>
      <c r="I3940" s="2"/>
      <c r="J3940" s="2" t="s">
        <v>41</v>
      </c>
    </row>
    <row r="3941" spans="1:10" ht="21" customHeight="1">
      <c r="A3941" s="2" t="s">
        <v>4938</v>
      </c>
      <c r="B3941" s="2" t="s">
        <v>41</v>
      </c>
      <c r="C3941" s="4">
        <v>45947.25</v>
      </c>
      <c r="D3941" s="4">
        <v>45947.250522615737</v>
      </c>
      <c r="E3941" s="2">
        <v>2.35</v>
      </c>
      <c r="F3941" s="2">
        <v>65.7</v>
      </c>
      <c r="G3941" s="2" t="s">
        <v>983</v>
      </c>
      <c r="H3941" s="2" t="s">
        <v>984</v>
      </c>
      <c r="I3941" s="2" t="s">
        <v>985</v>
      </c>
      <c r="J3941" s="2" t="s">
        <v>41</v>
      </c>
    </row>
    <row r="3942" spans="1:10" ht="21" customHeight="1">
      <c r="A3942" s="2" t="s">
        <v>4939</v>
      </c>
      <c r="B3942" s="2" t="s">
        <v>41</v>
      </c>
      <c r="C3942" s="4">
        <v>45948.25</v>
      </c>
      <c r="D3942" s="4">
        <v>45948.250500810187</v>
      </c>
      <c r="E3942" s="2">
        <v>2.5499999999999998</v>
      </c>
      <c r="F3942" s="2">
        <v>59.5</v>
      </c>
      <c r="G3942" s="2" t="s">
        <v>983</v>
      </c>
      <c r="H3942" s="2" t="s">
        <v>984</v>
      </c>
      <c r="I3942" s="2"/>
      <c r="J3942" s="2" t="s">
        <v>41</v>
      </c>
    </row>
    <row r="3943" spans="1:10" ht="21" customHeight="1">
      <c r="A3943" s="2" t="s">
        <v>4940</v>
      </c>
      <c r="B3943" s="2" t="s">
        <v>41</v>
      </c>
      <c r="C3943" s="4">
        <v>45949.25</v>
      </c>
      <c r="D3943" s="4">
        <v>45949.250560775465</v>
      </c>
      <c r="E3943" s="2">
        <v>6.07</v>
      </c>
      <c r="F3943" s="2">
        <v>66.2</v>
      </c>
      <c r="G3943" s="2" t="s">
        <v>983</v>
      </c>
      <c r="H3943" s="2" t="s">
        <v>984</v>
      </c>
      <c r="I3943" s="2"/>
      <c r="J3943" s="2" t="s">
        <v>41</v>
      </c>
    </row>
    <row r="3944" spans="1:10" ht="21" customHeight="1">
      <c r="A3944" s="2" t="s">
        <v>4941</v>
      </c>
      <c r="B3944" s="2" t="s">
        <v>41</v>
      </c>
      <c r="C3944" s="4">
        <v>45950.25</v>
      </c>
      <c r="D3944" s="4">
        <v>45950.250076886572</v>
      </c>
      <c r="E3944" s="2">
        <v>5.13</v>
      </c>
      <c r="F3944" s="2">
        <v>70.2</v>
      </c>
      <c r="G3944" s="2" t="s">
        <v>983</v>
      </c>
      <c r="H3944" s="2" t="s">
        <v>984</v>
      </c>
      <c r="I3944" s="2" t="s">
        <v>1053</v>
      </c>
      <c r="J3944" s="2" t="s">
        <v>41</v>
      </c>
    </row>
    <row r="3945" spans="1:10" ht="21" customHeight="1">
      <c r="A3945" s="2" t="s">
        <v>4942</v>
      </c>
      <c r="B3945" s="2" t="s">
        <v>41</v>
      </c>
      <c r="C3945" s="4">
        <v>45951.25</v>
      </c>
      <c r="D3945" s="4">
        <v>45951.25034831019</v>
      </c>
      <c r="E3945" s="2">
        <v>5.56</v>
      </c>
      <c r="F3945" s="2">
        <v>72.2</v>
      </c>
      <c r="G3945" s="2" t="s">
        <v>983</v>
      </c>
      <c r="H3945" s="2" t="s">
        <v>984</v>
      </c>
      <c r="I3945" s="2"/>
      <c r="J3945" s="2" t="s">
        <v>41</v>
      </c>
    </row>
    <row r="3946" spans="1:10" ht="21" customHeight="1">
      <c r="A3946" s="2" t="s">
        <v>4943</v>
      </c>
      <c r="B3946" s="2" t="s">
        <v>41</v>
      </c>
      <c r="C3946" s="4">
        <v>45952.25</v>
      </c>
      <c r="D3946" s="4">
        <v>45952.250647604167</v>
      </c>
      <c r="E3946" s="2"/>
      <c r="F3946" s="2"/>
      <c r="G3946" s="2" t="s">
        <v>1175</v>
      </c>
      <c r="H3946" s="2" t="s">
        <v>1066</v>
      </c>
      <c r="I3946" s="2"/>
      <c r="J3946" s="2" t="s">
        <v>41</v>
      </c>
    </row>
    <row r="3947" spans="1:10" ht="21" customHeight="1">
      <c r="A3947" s="2" t="s">
        <v>4944</v>
      </c>
      <c r="B3947" s="2" t="s">
        <v>41</v>
      </c>
      <c r="C3947" s="4">
        <v>45953.25</v>
      </c>
      <c r="D3947" s="4">
        <v>45953.250015405094</v>
      </c>
      <c r="E3947" s="2">
        <v>2.8</v>
      </c>
      <c r="F3947" s="2">
        <v>58.8</v>
      </c>
      <c r="G3947" s="2" t="s">
        <v>983</v>
      </c>
      <c r="H3947" s="2" t="s">
        <v>984</v>
      </c>
      <c r="I3947" s="2"/>
      <c r="J3947" s="2" t="s">
        <v>41</v>
      </c>
    </row>
    <row r="3948" spans="1:10" ht="21" customHeight="1">
      <c r="A3948" s="2" t="s">
        <v>4945</v>
      </c>
      <c r="B3948" s="2" t="s">
        <v>41</v>
      </c>
      <c r="C3948" s="4">
        <v>45954.25</v>
      </c>
      <c r="D3948" s="4">
        <v>45954.250319444443</v>
      </c>
      <c r="E3948" s="2">
        <v>3.2</v>
      </c>
      <c r="F3948" s="2">
        <v>62.5</v>
      </c>
      <c r="G3948" s="2" t="s">
        <v>983</v>
      </c>
      <c r="H3948" s="2" t="s">
        <v>984</v>
      </c>
      <c r="I3948" s="2"/>
      <c r="J3948" s="2" t="s">
        <v>41</v>
      </c>
    </row>
    <row r="3949" spans="1:10" ht="21" customHeight="1">
      <c r="A3949" s="2" t="s">
        <v>4946</v>
      </c>
      <c r="B3949" s="2" t="s">
        <v>41</v>
      </c>
      <c r="C3949" s="4">
        <v>45955.25</v>
      </c>
      <c r="D3949" s="4">
        <v>45956.5</v>
      </c>
      <c r="E3949" s="2">
        <v>3</v>
      </c>
      <c r="F3949" s="2">
        <v>61.1</v>
      </c>
      <c r="G3949" s="2" t="s">
        <v>983</v>
      </c>
      <c r="H3949" s="2" t="s">
        <v>984</v>
      </c>
      <c r="I3949" s="2"/>
      <c r="J3949" s="2" t="s">
        <v>41</v>
      </c>
    </row>
    <row r="3950" spans="1:10" ht="21" customHeight="1">
      <c r="A3950" s="2" t="s">
        <v>4947</v>
      </c>
      <c r="B3950" s="2" t="s">
        <v>41</v>
      </c>
      <c r="C3950" s="4">
        <v>45956.25</v>
      </c>
      <c r="D3950" s="4">
        <v>45956.250430659726</v>
      </c>
      <c r="E3950" s="2">
        <v>3.07</v>
      </c>
      <c r="F3950" s="2">
        <v>59.8</v>
      </c>
      <c r="G3950" s="2" t="s">
        <v>983</v>
      </c>
      <c r="H3950" s="2" t="s">
        <v>984</v>
      </c>
      <c r="I3950" s="2"/>
      <c r="J3950" s="2" t="s">
        <v>41</v>
      </c>
    </row>
    <row r="3951" spans="1:10" ht="21" customHeight="1">
      <c r="A3951" s="2" t="s">
        <v>4948</v>
      </c>
      <c r="B3951" s="2" t="s">
        <v>41</v>
      </c>
      <c r="C3951" s="4">
        <v>45957.25</v>
      </c>
      <c r="D3951" s="4">
        <v>45957.250391157402</v>
      </c>
      <c r="E3951" s="2">
        <v>2.75</v>
      </c>
      <c r="F3951" s="2">
        <v>65.900000000000006</v>
      </c>
      <c r="G3951" s="2" t="s">
        <v>983</v>
      </c>
      <c r="H3951" s="2" t="s">
        <v>984</v>
      </c>
      <c r="I3951" s="2"/>
      <c r="J3951" s="2" t="s">
        <v>41</v>
      </c>
    </row>
    <row r="3952" spans="1:10" ht="21" customHeight="1">
      <c r="A3952" s="2" t="s">
        <v>4949</v>
      </c>
      <c r="B3952" s="2" t="s">
        <v>41</v>
      </c>
      <c r="C3952" s="4">
        <v>45958.25</v>
      </c>
      <c r="D3952" s="4">
        <v>45958.250341793981</v>
      </c>
      <c r="E3952" s="2">
        <v>2.52</v>
      </c>
      <c r="F3952" s="2">
        <v>61.5</v>
      </c>
      <c r="G3952" s="2" t="s">
        <v>983</v>
      </c>
      <c r="H3952" s="2" t="s">
        <v>984</v>
      </c>
      <c r="I3952" s="2"/>
      <c r="J3952" s="2" t="s">
        <v>41</v>
      </c>
    </row>
    <row r="3953" spans="1:10" ht="21" customHeight="1">
      <c r="A3953" s="2" t="s">
        <v>4950</v>
      </c>
      <c r="B3953" s="2" t="s">
        <v>41</v>
      </c>
      <c r="C3953" s="4">
        <v>45959.25</v>
      </c>
      <c r="D3953" s="4">
        <v>45959.250396898147</v>
      </c>
      <c r="E3953" s="2">
        <v>2.76</v>
      </c>
      <c r="F3953" s="2">
        <v>64.099999999999994</v>
      </c>
      <c r="G3953" s="2" t="s">
        <v>983</v>
      </c>
      <c r="H3953" s="2" t="s">
        <v>984</v>
      </c>
      <c r="I3953" s="2"/>
      <c r="J3953" s="2" t="s">
        <v>41</v>
      </c>
    </row>
    <row r="3954" spans="1:10" ht="21" customHeight="1">
      <c r="A3954" s="2" t="s">
        <v>4951</v>
      </c>
      <c r="B3954" s="2" t="s">
        <v>41</v>
      </c>
      <c r="C3954" s="4">
        <v>45960.25</v>
      </c>
      <c r="D3954" s="4">
        <v>45960.250127083331</v>
      </c>
      <c r="E3954" s="2">
        <v>2.97</v>
      </c>
      <c r="F3954" s="2">
        <v>59.2</v>
      </c>
      <c r="G3954" s="2" t="s">
        <v>983</v>
      </c>
      <c r="H3954" s="2" t="s">
        <v>984</v>
      </c>
      <c r="I3954" s="2"/>
      <c r="J3954" s="2" t="s">
        <v>41</v>
      </c>
    </row>
    <row r="3955" spans="1:10" ht="21" customHeight="1">
      <c r="A3955" s="2" t="s">
        <v>4952</v>
      </c>
      <c r="B3955" s="2" t="s">
        <v>41</v>
      </c>
      <c r="C3955" s="4">
        <v>45961.25</v>
      </c>
      <c r="D3955" s="4">
        <v>45961.250508344907</v>
      </c>
      <c r="E3955" s="2">
        <v>2.98</v>
      </c>
      <c r="F3955" s="2">
        <v>60.4</v>
      </c>
      <c r="G3955" s="2" t="s">
        <v>983</v>
      </c>
      <c r="H3955" s="2" t="s">
        <v>984</v>
      </c>
      <c r="I3955" s="2"/>
      <c r="J3955" s="2" t="s">
        <v>41</v>
      </c>
    </row>
    <row r="3956" spans="1:10" ht="21" customHeight="1">
      <c r="A3956" s="2" t="s">
        <v>4953</v>
      </c>
      <c r="B3956" s="2" t="s">
        <v>41</v>
      </c>
      <c r="C3956" s="4">
        <v>45962.25</v>
      </c>
      <c r="D3956" s="4">
        <v>45962.250177395836</v>
      </c>
      <c r="E3956" s="2">
        <v>2.5099999999999998</v>
      </c>
      <c r="F3956" s="2">
        <v>65.400000000000006</v>
      </c>
      <c r="G3956" s="2" t="s">
        <v>983</v>
      </c>
      <c r="H3956" s="2" t="s">
        <v>984</v>
      </c>
      <c r="I3956" s="2"/>
      <c r="J3956" s="2" t="s">
        <v>41</v>
      </c>
    </row>
    <row r="3957" spans="1:10" ht="21" customHeight="1">
      <c r="A3957" s="2" t="s">
        <v>4954</v>
      </c>
      <c r="B3957" s="2" t="s">
        <v>41</v>
      </c>
      <c r="C3957" s="4">
        <v>45963.25</v>
      </c>
      <c r="D3957" s="4">
        <v>45963.250681666672</v>
      </c>
      <c r="E3957" s="2"/>
      <c r="F3957" s="2"/>
      <c r="G3957" s="2" t="s">
        <v>983</v>
      </c>
      <c r="H3957" s="2" t="s">
        <v>1066</v>
      </c>
      <c r="I3957" s="2"/>
      <c r="J3957" s="2" t="s">
        <v>41</v>
      </c>
    </row>
    <row r="3958" spans="1:10" ht="21" customHeight="1">
      <c r="A3958" s="2" t="s">
        <v>4955</v>
      </c>
      <c r="B3958" s="2" t="s">
        <v>41</v>
      </c>
      <c r="C3958" s="4">
        <v>45964.25</v>
      </c>
      <c r="D3958" s="4">
        <v>45964.250512013889</v>
      </c>
      <c r="E3958" s="2"/>
      <c r="F3958" s="2"/>
      <c r="G3958" s="2" t="s">
        <v>983</v>
      </c>
      <c r="H3958" s="2" t="s">
        <v>1066</v>
      </c>
      <c r="I3958" s="2" t="s">
        <v>985</v>
      </c>
      <c r="J3958" s="2" t="s">
        <v>41</v>
      </c>
    </row>
    <row r="3959" spans="1:10" ht="21" customHeight="1">
      <c r="A3959" s="2" t="s">
        <v>4956</v>
      </c>
      <c r="B3959" s="2" t="s">
        <v>41</v>
      </c>
      <c r="C3959" s="4">
        <v>45965.25</v>
      </c>
      <c r="D3959" s="4">
        <v>45965.250548773147</v>
      </c>
      <c r="E3959" s="2">
        <v>2.46</v>
      </c>
      <c r="F3959" s="2">
        <v>58.1</v>
      </c>
      <c r="G3959" s="2" t="s">
        <v>983</v>
      </c>
      <c r="H3959" s="2" t="s">
        <v>984</v>
      </c>
      <c r="I3959" s="2"/>
      <c r="J3959" s="2" t="s">
        <v>41</v>
      </c>
    </row>
    <row r="3960" spans="1:10" ht="21" customHeight="1">
      <c r="A3960" s="2" t="s">
        <v>4957</v>
      </c>
      <c r="B3960" s="2" t="s">
        <v>41</v>
      </c>
      <c r="C3960" s="4">
        <v>45966.25</v>
      </c>
      <c r="D3960" s="4">
        <v>45967.5</v>
      </c>
      <c r="E3960" s="2">
        <v>2.39</v>
      </c>
      <c r="F3960" s="2">
        <v>61.4</v>
      </c>
      <c r="G3960" s="2" t="s">
        <v>983</v>
      </c>
      <c r="H3960" s="2" t="s">
        <v>984</v>
      </c>
      <c r="I3960" s="2"/>
      <c r="J3960" s="2" t="s">
        <v>41</v>
      </c>
    </row>
    <row r="3961" spans="1:10" ht="21" customHeight="1">
      <c r="A3961" s="2" t="s">
        <v>4958</v>
      </c>
      <c r="B3961" s="2" t="s">
        <v>41</v>
      </c>
      <c r="C3961" s="4">
        <v>45967.25</v>
      </c>
      <c r="D3961" s="4">
        <v>45967.250609421295</v>
      </c>
      <c r="E3961" s="2">
        <v>2.16</v>
      </c>
      <c r="F3961" s="2">
        <v>58.2</v>
      </c>
      <c r="G3961" s="2" t="s">
        <v>983</v>
      </c>
      <c r="H3961" s="2" t="s">
        <v>984</v>
      </c>
      <c r="I3961" s="2"/>
      <c r="J3961" s="2" t="s">
        <v>41</v>
      </c>
    </row>
    <row r="3962" spans="1:10" ht="21" customHeight="1">
      <c r="A3962" s="2" t="s">
        <v>4959</v>
      </c>
      <c r="B3962" s="2" t="s">
        <v>41</v>
      </c>
      <c r="C3962" s="4">
        <v>45968.25</v>
      </c>
      <c r="D3962" s="4">
        <v>45968.250027916671</v>
      </c>
      <c r="E3962" s="2">
        <v>2.42</v>
      </c>
      <c r="F3962" s="2">
        <v>59.5</v>
      </c>
      <c r="G3962" s="2" t="s">
        <v>983</v>
      </c>
      <c r="H3962" s="2" t="s">
        <v>984</v>
      </c>
      <c r="I3962" s="2"/>
      <c r="J3962" s="2" t="s">
        <v>41</v>
      </c>
    </row>
    <row r="3963" spans="1:10" ht="21" customHeight="1">
      <c r="A3963" s="2" t="s">
        <v>4960</v>
      </c>
      <c r="B3963" s="2" t="s">
        <v>41</v>
      </c>
      <c r="C3963" s="4">
        <v>45969.25</v>
      </c>
      <c r="D3963" s="4">
        <v>45969.250031539355</v>
      </c>
      <c r="E3963" s="2">
        <v>2.74</v>
      </c>
      <c r="F3963" s="2">
        <v>64.400000000000006</v>
      </c>
      <c r="G3963" s="2" t="s">
        <v>983</v>
      </c>
      <c r="H3963" s="2" t="s">
        <v>984</v>
      </c>
      <c r="I3963" s="2"/>
      <c r="J3963" s="2" t="s">
        <v>41</v>
      </c>
    </row>
    <row r="3964" spans="1:10" ht="21" customHeight="1">
      <c r="A3964" s="2" t="s">
        <v>4961</v>
      </c>
      <c r="B3964" s="2" t="s">
        <v>41</v>
      </c>
      <c r="C3964" s="4">
        <v>45970.25</v>
      </c>
      <c r="D3964" s="4">
        <v>45970.250061770828</v>
      </c>
      <c r="E3964" s="2">
        <v>3.2</v>
      </c>
      <c r="F3964" s="2">
        <v>64.8</v>
      </c>
      <c r="G3964" s="2" t="s">
        <v>983</v>
      </c>
      <c r="H3964" s="2" t="s">
        <v>984</v>
      </c>
      <c r="I3964" s="2"/>
      <c r="J3964" s="2" t="s">
        <v>41</v>
      </c>
    </row>
    <row r="3965" spans="1:10" ht="21" customHeight="1">
      <c r="A3965" s="2" t="s">
        <v>4962</v>
      </c>
      <c r="B3965" s="2" t="s">
        <v>41</v>
      </c>
      <c r="C3965" s="4">
        <v>45971.25</v>
      </c>
      <c r="D3965" s="4">
        <v>45971.250516273147</v>
      </c>
      <c r="E3965" s="2">
        <v>2.15</v>
      </c>
      <c r="F3965" s="2">
        <v>62.9</v>
      </c>
      <c r="G3965" s="2" t="s">
        <v>983</v>
      </c>
      <c r="H3965" s="2" t="s">
        <v>984</v>
      </c>
      <c r="I3965" s="2"/>
      <c r="J3965" s="2" t="s">
        <v>41</v>
      </c>
    </row>
    <row r="3966" spans="1:10" ht="21" customHeight="1">
      <c r="A3966" s="2" t="s">
        <v>4963</v>
      </c>
      <c r="B3966" s="2" t="s">
        <v>41</v>
      </c>
      <c r="C3966" s="4">
        <v>45972.25</v>
      </c>
      <c r="D3966" s="4">
        <v>45972.250002476852</v>
      </c>
      <c r="E3966" s="2">
        <v>2.65</v>
      </c>
      <c r="F3966" s="2">
        <v>60.2</v>
      </c>
      <c r="G3966" s="2" t="s">
        <v>983</v>
      </c>
      <c r="H3966" s="2" t="s">
        <v>984</v>
      </c>
      <c r="I3966" s="2"/>
      <c r="J3966" s="2" t="s">
        <v>41</v>
      </c>
    </row>
    <row r="3967" spans="1:10" ht="21" customHeight="1">
      <c r="A3967" s="2" t="s">
        <v>4964</v>
      </c>
      <c r="B3967" s="2" t="s">
        <v>41</v>
      </c>
      <c r="C3967" s="4">
        <v>45973.25</v>
      </c>
      <c r="D3967" s="4">
        <v>45973.250418402778</v>
      </c>
      <c r="E3967" s="2"/>
      <c r="F3967" s="2"/>
      <c r="G3967" s="2" t="s">
        <v>983</v>
      </c>
      <c r="H3967" s="2" t="s">
        <v>1066</v>
      </c>
      <c r="I3967" s="2"/>
      <c r="J3967" s="2" t="s">
        <v>41</v>
      </c>
    </row>
    <row r="3968" spans="1:10" ht="21" customHeight="1">
      <c r="A3968" s="2" t="s">
        <v>4965</v>
      </c>
      <c r="B3968" s="2" t="s">
        <v>41</v>
      </c>
      <c r="C3968" s="4">
        <v>45974.25</v>
      </c>
      <c r="D3968" s="4">
        <v>45974.250682199076</v>
      </c>
      <c r="E3968" s="2">
        <v>3.15</v>
      </c>
      <c r="F3968" s="2">
        <v>64.2</v>
      </c>
      <c r="G3968" s="2" t="s">
        <v>983</v>
      </c>
      <c r="H3968" s="2" t="s">
        <v>984</v>
      </c>
      <c r="I3968" s="2"/>
      <c r="J3968" s="2" t="s">
        <v>41</v>
      </c>
    </row>
    <row r="3969" spans="1:10" ht="21" customHeight="1">
      <c r="A3969" s="2" t="s">
        <v>4966</v>
      </c>
      <c r="B3969" s="2" t="s">
        <v>41</v>
      </c>
      <c r="C3969" s="4">
        <v>45975.25</v>
      </c>
      <c r="D3969" s="4">
        <v>45975.250072442126</v>
      </c>
      <c r="E3969" s="2">
        <v>2.98</v>
      </c>
      <c r="F3969" s="2">
        <v>58.9</v>
      </c>
      <c r="G3969" s="2" t="s">
        <v>983</v>
      </c>
      <c r="H3969" s="2" t="s">
        <v>984</v>
      </c>
      <c r="I3969" s="2"/>
      <c r="J3969" s="2" t="s">
        <v>41</v>
      </c>
    </row>
    <row r="3970" spans="1:10" ht="21" customHeight="1">
      <c r="A3970" s="2" t="s">
        <v>4967</v>
      </c>
      <c r="B3970" s="2" t="s">
        <v>41</v>
      </c>
      <c r="C3970" s="4">
        <v>45976.25</v>
      </c>
      <c r="D3970" s="4">
        <v>45976.250645243053</v>
      </c>
      <c r="E3970" s="2">
        <v>2.66</v>
      </c>
      <c r="F3970" s="2">
        <v>61.6</v>
      </c>
      <c r="G3970" s="2" t="s">
        <v>983</v>
      </c>
      <c r="H3970" s="2" t="s">
        <v>984</v>
      </c>
      <c r="I3970" s="2"/>
      <c r="J3970" s="2" t="s">
        <v>41</v>
      </c>
    </row>
    <row r="3971" spans="1:10" ht="21" customHeight="1">
      <c r="A3971" s="2" t="s">
        <v>4968</v>
      </c>
      <c r="B3971" s="2" t="s">
        <v>41</v>
      </c>
      <c r="C3971" s="4">
        <v>45977.25</v>
      </c>
      <c r="D3971" s="4">
        <v>45978.5</v>
      </c>
      <c r="E3971" s="2">
        <v>2.69</v>
      </c>
      <c r="F3971" s="2">
        <v>59.4</v>
      </c>
      <c r="G3971" s="2" t="s">
        <v>983</v>
      </c>
      <c r="H3971" s="2" t="s">
        <v>984</v>
      </c>
      <c r="I3971" s="2"/>
      <c r="J3971" s="2" t="s">
        <v>41</v>
      </c>
    </row>
    <row r="3972" spans="1:10" ht="21" customHeight="1">
      <c r="A3972" s="2" t="s">
        <v>4969</v>
      </c>
      <c r="B3972" s="2" t="s">
        <v>41</v>
      </c>
      <c r="C3972" s="4">
        <v>45978.25</v>
      </c>
      <c r="D3972" s="4">
        <v>45978.250054907403</v>
      </c>
      <c r="E3972" s="2">
        <v>3.06</v>
      </c>
      <c r="F3972" s="2">
        <v>63.9</v>
      </c>
      <c r="G3972" s="2" t="s">
        <v>983</v>
      </c>
      <c r="H3972" s="2" t="s">
        <v>984</v>
      </c>
      <c r="I3972" s="2"/>
      <c r="J3972" s="2" t="s">
        <v>41</v>
      </c>
    </row>
    <row r="3973" spans="1:10" ht="21" customHeight="1">
      <c r="A3973" s="2" t="s">
        <v>4970</v>
      </c>
      <c r="B3973" s="2" t="s">
        <v>41</v>
      </c>
      <c r="C3973" s="4">
        <v>45979.25</v>
      </c>
      <c r="D3973" s="4">
        <v>45979.25047353009</v>
      </c>
      <c r="E3973" s="2">
        <v>5.4</v>
      </c>
      <c r="F3973" s="2">
        <v>70.3</v>
      </c>
      <c r="G3973" s="2" t="s">
        <v>983</v>
      </c>
      <c r="H3973" s="2" t="s">
        <v>984</v>
      </c>
      <c r="I3973" s="2"/>
      <c r="J3973" s="2" t="s">
        <v>41</v>
      </c>
    </row>
    <row r="3974" spans="1:10" ht="21" customHeight="1">
      <c r="A3974" s="2" t="s">
        <v>4971</v>
      </c>
      <c r="B3974" s="2" t="s">
        <v>41</v>
      </c>
      <c r="C3974" s="4">
        <v>45980.25</v>
      </c>
      <c r="D3974" s="4">
        <v>45980.250606875001</v>
      </c>
      <c r="E3974" s="2">
        <v>4.17</v>
      </c>
      <c r="F3974" s="2">
        <v>72</v>
      </c>
      <c r="G3974" s="2" t="s">
        <v>983</v>
      </c>
      <c r="H3974" s="2" t="s">
        <v>984</v>
      </c>
      <c r="I3974" s="2" t="s">
        <v>1053</v>
      </c>
      <c r="J3974" s="2" t="s">
        <v>41</v>
      </c>
    </row>
    <row r="3975" spans="1:10" ht="21" customHeight="1">
      <c r="A3975" s="2" t="s">
        <v>4972</v>
      </c>
      <c r="B3975" s="2" t="s">
        <v>41</v>
      </c>
      <c r="C3975" s="4">
        <v>45981.25</v>
      </c>
      <c r="D3975" s="4">
        <v>45981.250601099542</v>
      </c>
      <c r="E3975" s="2">
        <v>5.04</v>
      </c>
      <c r="F3975" s="2">
        <v>65.3</v>
      </c>
      <c r="G3975" s="2" t="s">
        <v>983</v>
      </c>
      <c r="H3975" s="2" t="s">
        <v>984</v>
      </c>
      <c r="I3975" s="2" t="s">
        <v>985</v>
      </c>
      <c r="J3975" s="2" t="s">
        <v>41</v>
      </c>
    </row>
    <row r="3976" spans="1:10" ht="21" customHeight="1">
      <c r="A3976" s="2" t="s">
        <v>4973</v>
      </c>
      <c r="B3976" s="2" t="s">
        <v>41</v>
      </c>
      <c r="C3976" s="4">
        <v>45982.25</v>
      </c>
      <c r="D3976" s="4">
        <v>45982.250397557873</v>
      </c>
      <c r="E3976" s="2">
        <v>0</v>
      </c>
      <c r="F3976" s="2">
        <v>62.4</v>
      </c>
      <c r="G3976" s="2" t="s">
        <v>1175</v>
      </c>
      <c r="H3976" s="2" t="s">
        <v>984</v>
      </c>
      <c r="I3976" s="2"/>
      <c r="J3976" s="2" t="s">
        <v>41</v>
      </c>
    </row>
    <row r="3977" spans="1:10" ht="21" customHeight="1">
      <c r="A3977" s="2" t="s">
        <v>4974</v>
      </c>
      <c r="B3977" s="2" t="s">
        <v>41</v>
      </c>
      <c r="C3977" s="4">
        <v>45983.25</v>
      </c>
      <c r="D3977" s="4">
        <v>45983.250119155091</v>
      </c>
      <c r="E3977" s="2">
        <v>2.5099999999999998</v>
      </c>
      <c r="F3977" s="2">
        <v>65.2</v>
      </c>
      <c r="G3977" s="2" t="s">
        <v>983</v>
      </c>
      <c r="H3977" s="2" t="s">
        <v>984</v>
      </c>
      <c r="I3977" s="2"/>
      <c r="J3977" s="2" t="s">
        <v>41</v>
      </c>
    </row>
    <row r="3978" spans="1:10" ht="21" customHeight="1">
      <c r="A3978" s="2" t="s">
        <v>4975</v>
      </c>
      <c r="B3978" s="2" t="s">
        <v>41</v>
      </c>
      <c r="C3978" s="4">
        <v>45984.25</v>
      </c>
      <c r="D3978" s="4">
        <v>45984.250152766203</v>
      </c>
      <c r="E3978" s="2">
        <v>2.95</v>
      </c>
      <c r="F3978" s="2">
        <v>65.599999999999994</v>
      </c>
      <c r="G3978" s="2" t="s">
        <v>983</v>
      </c>
      <c r="H3978" s="2" t="s">
        <v>984</v>
      </c>
      <c r="I3978" s="2"/>
      <c r="J3978" s="2" t="s">
        <v>41</v>
      </c>
    </row>
    <row r="3979" spans="1:10" ht="21" customHeight="1">
      <c r="A3979" s="2" t="s">
        <v>4976</v>
      </c>
      <c r="B3979" s="2" t="s">
        <v>4689</v>
      </c>
      <c r="C3979" s="4">
        <v>45985.25</v>
      </c>
      <c r="D3979" s="4">
        <v>45985.250364699074</v>
      </c>
      <c r="E3979" s="2">
        <v>3.03</v>
      </c>
      <c r="F3979" s="2">
        <v>65</v>
      </c>
      <c r="G3979" s="2" t="s">
        <v>983</v>
      </c>
      <c r="H3979" s="2" t="s">
        <v>984</v>
      </c>
      <c r="I3979" s="2"/>
      <c r="J3979" s="2" t="s">
        <v>41</v>
      </c>
    </row>
    <row r="3980" spans="1:10" ht="21" customHeight="1">
      <c r="A3980" s="2" t="s">
        <v>4977</v>
      </c>
      <c r="B3980" s="2" t="s">
        <v>41</v>
      </c>
      <c r="C3980" s="4">
        <v>45986.25</v>
      </c>
      <c r="D3980" s="4">
        <v>45986.25056414352</v>
      </c>
      <c r="E3980" s="2">
        <v>2.41</v>
      </c>
      <c r="F3980" s="2">
        <v>63.2</v>
      </c>
      <c r="G3980" s="2" t="s">
        <v>983</v>
      </c>
      <c r="H3980" s="2" t="s">
        <v>984</v>
      </c>
      <c r="I3980" s="2"/>
      <c r="J3980" s="2" t="s">
        <v>41</v>
      </c>
    </row>
    <row r="3981" spans="1:10" ht="21" customHeight="1">
      <c r="A3981" s="2" t="s">
        <v>4978</v>
      </c>
      <c r="B3981" s="2" t="s">
        <v>41</v>
      </c>
      <c r="C3981" s="4">
        <v>45987.25</v>
      </c>
      <c r="D3981" s="4">
        <v>45987.250264074071</v>
      </c>
      <c r="E3981" s="2"/>
      <c r="F3981" s="2"/>
      <c r="G3981" s="2" t="s">
        <v>983</v>
      </c>
      <c r="H3981" s="2" t="s">
        <v>1066</v>
      </c>
      <c r="I3981" s="2"/>
      <c r="J3981" s="2" t="s">
        <v>41</v>
      </c>
    </row>
    <row r="3982" spans="1:10" ht="21" customHeight="1">
      <c r="A3982" s="2" t="s">
        <v>4979</v>
      </c>
      <c r="B3982" s="2" t="s">
        <v>41</v>
      </c>
      <c r="C3982" s="4">
        <v>45988.25</v>
      </c>
      <c r="D3982" s="4">
        <v>45989.5</v>
      </c>
      <c r="E3982" s="2">
        <v>2.21</v>
      </c>
      <c r="F3982" s="2">
        <v>63.8</v>
      </c>
      <c r="G3982" s="2" t="s">
        <v>983</v>
      </c>
      <c r="H3982" s="2" t="s">
        <v>984</v>
      </c>
      <c r="I3982" s="2"/>
      <c r="J3982" s="2" t="s">
        <v>41</v>
      </c>
    </row>
    <row r="3983" spans="1:10" ht="21" customHeight="1">
      <c r="A3983" s="2" t="s">
        <v>4980</v>
      </c>
      <c r="B3983" s="2" t="s">
        <v>41</v>
      </c>
      <c r="C3983" s="4">
        <v>45989.25</v>
      </c>
      <c r="D3983" s="4">
        <v>45989.250044641201</v>
      </c>
      <c r="E3983" s="2">
        <v>2.5</v>
      </c>
      <c r="F3983" s="2">
        <v>65.900000000000006</v>
      </c>
      <c r="G3983" s="2" t="s">
        <v>983</v>
      </c>
      <c r="H3983" s="2" t="s">
        <v>984</v>
      </c>
      <c r="I3983" s="2"/>
      <c r="J3983" s="2" t="s">
        <v>41</v>
      </c>
    </row>
    <row r="3984" spans="1:10" ht="21" customHeight="1">
      <c r="A3984" s="2" t="s">
        <v>4981</v>
      </c>
      <c r="B3984" s="2" t="s">
        <v>41</v>
      </c>
      <c r="C3984" s="4">
        <v>45990.25</v>
      </c>
      <c r="D3984" s="4">
        <v>45990.250193761574</v>
      </c>
      <c r="E3984" s="2">
        <v>2.78</v>
      </c>
      <c r="F3984" s="2">
        <v>58.2</v>
      </c>
      <c r="G3984" s="2" t="s">
        <v>983</v>
      </c>
      <c r="H3984" s="2" t="s">
        <v>984</v>
      </c>
      <c r="I3984" s="2"/>
      <c r="J3984" s="2" t="s">
        <v>41</v>
      </c>
    </row>
    <row r="3985" spans="1:10" ht="21" customHeight="1">
      <c r="A3985" s="2" t="s">
        <v>4982</v>
      </c>
      <c r="B3985" s="2" t="s">
        <v>41</v>
      </c>
      <c r="C3985" s="4">
        <v>45991.25</v>
      </c>
      <c r="D3985" s="4">
        <v>45991.250161678239</v>
      </c>
      <c r="E3985" s="2">
        <v>2.33</v>
      </c>
      <c r="F3985" s="2">
        <v>58.5</v>
      </c>
      <c r="G3985" s="2" t="s">
        <v>983</v>
      </c>
      <c r="H3985" s="2" t="s">
        <v>984</v>
      </c>
      <c r="I3985" s="2"/>
      <c r="J3985" s="2" t="s">
        <v>41</v>
      </c>
    </row>
    <row r="3986" spans="1:10" ht="21" customHeight="1">
      <c r="A3986" s="2" t="s">
        <v>4983</v>
      </c>
      <c r="B3986" s="2" t="s">
        <v>41</v>
      </c>
      <c r="C3986" s="4">
        <v>45992.25</v>
      </c>
      <c r="D3986" s="4">
        <v>45992.250052592593</v>
      </c>
      <c r="E3986" s="2">
        <v>2.38</v>
      </c>
      <c r="F3986" s="2">
        <v>62.8</v>
      </c>
      <c r="G3986" s="2" t="s">
        <v>983</v>
      </c>
      <c r="H3986" s="2" t="s">
        <v>984</v>
      </c>
      <c r="I3986" s="2"/>
      <c r="J3986" s="2" t="s">
        <v>41</v>
      </c>
    </row>
    <row r="3987" spans="1:10" ht="21" customHeight="1">
      <c r="A3987" s="2" t="s">
        <v>4984</v>
      </c>
      <c r="B3987" s="2" t="s">
        <v>41</v>
      </c>
      <c r="C3987" s="4">
        <v>45993.25</v>
      </c>
      <c r="D3987" s="4">
        <v>45993.250292372686</v>
      </c>
      <c r="E3987" s="2">
        <v>3.27</v>
      </c>
      <c r="F3987" s="2">
        <v>59.5</v>
      </c>
      <c r="G3987" s="2" t="s">
        <v>983</v>
      </c>
      <c r="H3987" s="2" t="s">
        <v>984</v>
      </c>
      <c r="I3987" s="2"/>
      <c r="J3987" s="2" t="s">
        <v>41</v>
      </c>
    </row>
    <row r="3988" spans="1:10" ht="21" customHeight="1">
      <c r="A3988" s="2" t="s">
        <v>4985</v>
      </c>
      <c r="B3988" s="2" t="s">
        <v>41</v>
      </c>
      <c r="C3988" s="4">
        <v>45994.25</v>
      </c>
      <c r="D3988" s="4">
        <v>45994.250314884259</v>
      </c>
      <c r="E3988" s="2">
        <v>2.39</v>
      </c>
      <c r="F3988" s="2">
        <v>61.8</v>
      </c>
      <c r="G3988" s="2" t="s">
        <v>983</v>
      </c>
      <c r="H3988" s="2" t="s">
        <v>984</v>
      </c>
      <c r="I3988" s="2"/>
      <c r="J3988" s="2" t="s">
        <v>41</v>
      </c>
    </row>
    <row r="3989" spans="1:10" ht="21" customHeight="1">
      <c r="A3989" s="2" t="s">
        <v>4986</v>
      </c>
      <c r="B3989" s="2" t="s">
        <v>41</v>
      </c>
      <c r="C3989" s="4">
        <v>45995.25</v>
      </c>
      <c r="D3989" s="4">
        <v>45995.250475717592</v>
      </c>
      <c r="E3989" s="2">
        <v>3.03</v>
      </c>
      <c r="F3989" s="2">
        <v>64.5</v>
      </c>
      <c r="G3989" s="2" t="s">
        <v>983</v>
      </c>
      <c r="H3989" s="2" t="s">
        <v>984</v>
      </c>
      <c r="I3989" s="2"/>
      <c r="J3989" s="2" t="s">
        <v>41</v>
      </c>
    </row>
    <row r="3990" spans="1:10" ht="21" customHeight="1">
      <c r="A3990" s="2" t="s">
        <v>4987</v>
      </c>
      <c r="B3990" s="2" t="s">
        <v>41</v>
      </c>
      <c r="C3990" s="4">
        <v>45996.25</v>
      </c>
      <c r="D3990" s="4">
        <v>45996.250386203705</v>
      </c>
      <c r="E3990" s="2">
        <v>4.21</v>
      </c>
      <c r="F3990" s="2">
        <v>69.099999999999994</v>
      </c>
      <c r="G3990" s="2" t="s">
        <v>983</v>
      </c>
      <c r="H3990" s="2" t="s">
        <v>984</v>
      </c>
      <c r="I3990" s="2" t="s">
        <v>1053</v>
      </c>
      <c r="J3990" s="2" t="s">
        <v>41</v>
      </c>
    </row>
    <row r="3991" spans="1:10" ht="21" customHeight="1">
      <c r="A3991" s="2" t="s">
        <v>4988</v>
      </c>
      <c r="B3991" s="2" t="s">
        <v>41</v>
      </c>
      <c r="C3991" s="4">
        <v>45997.25</v>
      </c>
      <c r="D3991" s="4">
        <v>45997.250282256944</v>
      </c>
      <c r="E3991" s="2">
        <v>5.86</v>
      </c>
      <c r="F3991" s="2">
        <v>76.3</v>
      </c>
      <c r="G3991" s="2" t="s">
        <v>983</v>
      </c>
      <c r="H3991" s="2" t="s">
        <v>984</v>
      </c>
      <c r="I3991" s="2"/>
      <c r="J3991" s="2" t="s">
        <v>41</v>
      </c>
    </row>
    <row r="3992" spans="1:10" ht="21" customHeight="1">
      <c r="A3992" s="2" t="s">
        <v>4989</v>
      </c>
      <c r="B3992" s="2" t="s">
        <v>41</v>
      </c>
      <c r="C3992" s="4">
        <v>45998.25</v>
      </c>
      <c r="D3992" s="4">
        <v>45998.250662152779</v>
      </c>
      <c r="E3992" s="2">
        <v>5.67</v>
      </c>
      <c r="F3992" s="2">
        <v>66.400000000000006</v>
      </c>
      <c r="G3992" s="2" t="s">
        <v>983</v>
      </c>
      <c r="H3992" s="2" t="s">
        <v>984</v>
      </c>
      <c r="I3992" s="2" t="s">
        <v>1053</v>
      </c>
      <c r="J3992" s="2" t="s">
        <v>41</v>
      </c>
    </row>
    <row r="3993" spans="1:10" ht="21" customHeight="1">
      <c r="A3993" s="2" t="s">
        <v>4990</v>
      </c>
      <c r="B3993" s="2" t="s">
        <v>41</v>
      </c>
      <c r="C3993" s="4">
        <v>45999.25</v>
      </c>
      <c r="D3993" s="4">
        <v>46000.5</v>
      </c>
      <c r="E3993" s="2"/>
      <c r="F3993" s="2"/>
      <c r="G3993" s="2" t="s">
        <v>1175</v>
      </c>
      <c r="H3993" s="2" t="s">
        <v>1066</v>
      </c>
      <c r="I3993" s="2"/>
      <c r="J3993" s="2" t="s">
        <v>41</v>
      </c>
    </row>
    <row r="3994" spans="1:10" ht="21" customHeight="1">
      <c r="A3994" s="2" t="s">
        <v>4991</v>
      </c>
      <c r="B3994" s="2" t="s">
        <v>41</v>
      </c>
      <c r="C3994" s="4">
        <v>46000.25</v>
      </c>
      <c r="D3994" s="4">
        <v>46000.250091539347</v>
      </c>
      <c r="E3994" s="2">
        <v>2.5099999999999998</v>
      </c>
      <c r="F3994" s="2">
        <v>59.3</v>
      </c>
      <c r="G3994" s="2" t="s">
        <v>983</v>
      </c>
      <c r="H3994" s="2" t="s">
        <v>984</v>
      </c>
      <c r="I3994" s="2"/>
      <c r="J3994" s="2" t="s">
        <v>41</v>
      </c>
    </row>
    <row r="3995" spans="1:10" ht="21" customHeight="1">
      <c r="A3995" s="2" t="s">
        <v>4992</v>
      </c>
      <c r="B3995" s="2" t="s">
        <v>41</v>
      </c>
      <c r="C3995" s="4">
        <v>46001.25</v>
      </c>
      <c r="D3995" s="4">
        <v>46001.250116030089</v>
      </c>
      <c r="E3995" s="2">
        <v>2.36</v>
      </c>
      <c r="F3995" s="2">
        <v>64.599999999999994</v>
      </c>
      <c r="G3995" s="2" t="s">
        <v>983</v>
      </c>
      <c r="H3995" s="2" t="s">
        <v>984</v>
      </c>
      <c r="I3995" s="2"/>
      <c r="J3995" s="2" t="s">
        <v>41</v>
      </c>
    </row>
    <row r="3996" spans="1:10" ht="21" customHeight="1">
      <c r="A3996" s="2" t="s">
        <v>4993</v>
      </c>
      <c r="B3996" s="2" t="s">
        <v>41</v>
      </c>
      <c r="C3996" s="4">
        <v>46002.25</v>
      </c>
      <c r="D3996" s="4">
        <v>46002.250581643515</v>
      </c>
      <c r="E3996" s="2">
        <v>2.3199999999999998</v>
      </c>
      <c r="F3996" s="2">
        <v>61.2</v>
      </c>
      <c r="G3996" s="2" t="s">
        <v>983</v>
      </c>
      <c r="H3996" s="2" t="s">
        <v>984</v>
      </c>
      <c r="I3996" s="2"/>
      <c r="J3996" s="2" t="s">
        <v>41</v>
      </c>
    </row>
    <row r="3997" spans="1:10" ht="21" customHeight="1">
      <c r="A3997" s="2" t="s">
        <v>4994</v>
      </c>
      <c r="B3997" s="2" t="s">
        <v>41</v>
      </c>
      <c r="C3997" s="4">
        <v>46003.25</v>
      </c>
      <c r="D3997" s="4">
        <v>46003.250433518522</v>
      </c>
      <c r="E3997" s="2"/>
      <c r="F3997" s="2"/>
      <c r="G3997" s="2" t="s">
        <v>983</v>
      </c>
      <c r="H3997" s="2" t="s">
        <v>1066</v>
      </c>
      <c r="I3997" s="2"/>
      <c r="J3997" s="2" t="s">
        <v>41</v>
      </c>
    </row>
    <row r="3998" spans="1:10" ht="21" customHeight="1">
      <c r="A3998" s="2" t="s">
        <v>4995</v>
      </c>
      <c r="B3998" s="2" t="s">
        <v>41</v>
      </c>
      <c r="C3998" s="4">
        <v>46004.25</v>
      </c>
      <c r="D3998" s="4">
        <v>46004.25014265046</v>
      </c>
      <c r="E3998" s="2">
        <v>2.63</v>
      </c>
      <c r="F3998" s="2">
        <v>63.5</v>
      </c>
      <c r="G3998" s="2" t="s">
        <v>983</v>
      </c>
      <c r="H3998" s="2" t="s">
        <v>984</v>
      </c>
      <c r="I3998" s="2"/>
      <c r="J3998" s="2" t="s">
        <v>41</v>
      </c>
    </row>
    <row r="3999" spans="1:10" ht="21" customHeight="1">
      <c r="A3999" s="2" t="s">
        <v>4996</v>
      </c>
      <c r="B3999" s="2" t="s">
        <v>41</v>
      </c>
      <c r="C3999" s="4">
        <v>46005.25</v>
      </c>
      <c r="D3999" s="4">
        <v>46005.250599525461</v>
      </c>
      <c r="E3999" s="2">
        <v>2.84</v>
      </c>
      <c r="F3999" s="2">
        <v>61.1</v>
      </c>
      <c r="G3999" s="2" t="s">
        <v>983</v>
      </c>
      <c r="H3999" s="2" t="s">
        <v>984</v>
      </c>
      <c r="I3999" s="2"/>
      <c r="J3999" s="2" t="s">
        <v>41</v>
      </c>
    </row>
    <row r="4000" spans="1:10" ht="21" customHeight="1">
      <c r="A4000" s="2" t="s">
        <v>4997</v>
      </c>
      <c r="B4000" s="2" t="s">
        <v>41</v>
      </c>
      <c r="C4000" s="4">
        <v>46006.25</v>
      </c>
      <c r="D4000" s="4">
        <v>46006.250272118057</v>
      </c>
      <c r="E4000" s="2">
        <v>2.64</v>
      </c>
      <c r="F4000" s="2">
        <v>61</v>
      </c>
      <c r="G4000" s="2" t="s">
        <v>983</v>
      </c>
      <c r="H4000" s="2" t="s">
        <v>984</v>
      </c>
      <c r="I4000" s="2"/>
      <c r="J4000" s="2" t="s">
        <v>41</v>
      </c>
    </row>
    <row r="4001" spans="1:10" ht="21" customHeight="1">
      <c r="A4001" s="2" t="s">
        <v>4998</v>
      </c>
      <c r="B4001" s="2" t="s">
        <v>41</v>
      </c>
      <c r="C4001" s="4">
        <v>46007.25</v>
      </c>
      <c r="D4001" s="4">
        <v>46007.250604004628</v>
      </c>
      <c r="E4001" s="2">
        <v>2.86</v>
      </c>
      <c r="F4001" s="2">
        <v>65.099999999999994</v>
      </c>
      <c r="G4001" s="2" t="s">
        <v>983</v>
      </c>
      <c r="H4001" s="2" t="s">
        <v>984</v>
      </c>
      <c r="I4001" s="2"/>
      <c r="J4001" s="2" t="s">
        <v>41</v>
      </c>
    </row>
    <row r="4002" spans="1:10" ht="21" customHeight="1">
      <c r="A4002" s="2" t="s">
        <v>4999</v>
      </c>
      <c r="B4002" s="2" t="s">
        <v>41</v>
      </c>
      <c r="C4002" s="4">
        <v>46008.25</v>
      </c>
      <c r="D4002" s="4">
        <v>46008.250351296301</v>
      </c>
      <c r="E4002" s="2">
        <v>2.52</v>
      </c>
      <c r="F4002" s="2">
        <v>63.5</v>
      </c>
      <c r="G4002" s="2" t="s">
        <v>983</v>
      </c>
      <c r="H4002" s="2" t="s">
        <v>984</v>
      </c>
      <c r="I4002" s="2"/>
      <c r="J4002" s="2" t="s">
        <v>41</v>
      </c>
    </row>
    <row r="4003" spans="1:10" ht="21" customHeight="1">
      <c r="A4003" s="2" t="s">
        <v>5000</v>
      </c>
      <c r="B4003" s="2" t="s">
        <v>41</v>
      </c>
      <c r="C4003" s="4">
        <v>46009.25</v>
      </c>
      <c r="D4003" s="4">
        <v>46009.250495844906</v>
      </c>
      <c r="E4003" s="2">
        <v>2.7</v>
      </c>
      <c r="F4003" s="2">
        <v>60.8</v>
      </c>
      <c r="G4003" s="2" t="s">
        <v>983</v>
      </c>
      <c r="H4003" s="2" t="s">
        <v>984</v>
      </c>
      <c r="I4003" s="2"/>
      <c r="J4003" s="2" t="s">
        <v>41</v>
      </c>
    </row>
    <row r="4004" spans="1:10" ht="21" customHeight="1">
      <c r="A4004" s="2" t="s">
        <v>5001</v>
      </c>
      <c r="B4004" s="2" t="s">
        <v>41</v>
      </c>
      <c r="C4004" s="4">
        <v>46010.25</v>
      </c>
      <c r="D4004" s="4">
        <v>46011.5</v>
      </c>
      <c r="E4004" s="2">
        <v>2.8</v>
      </c>
      <c r="F4004" s="2">
        <v>62.2</v>
      </c>
      <c r="G4004" s="2" t="s">
        <v>983</v>
      </c>
      <c r="H4004" s="2" t="s">
        <v>984</v>
      </c>
      <c r="I4004" s="2"/>
      <c r="J4004" s="2" t="s">
        <v>41</v>
      </c>
    </row>
    <row r="4005" spans="1:10" ht="21" customHeight="1">
      <c r="A4005" s="2" t="s">
        <v>5002</v>
      </c>
      <c r="B4005" s="2" t="s">
        <v>41</v>
      </c>
      <c r="C4005" s="4">
        <v>46011.25</v>
      </c>
      <c r="D4005" s="4">
        <v>46011.250094513889</v>
      </c>
      <c r="E4005" s="2">
        <v>2.65</v>
      </c>
      <c r="F4005" s="2">
        <v>60.6</v>
      </c>
      <c r="G4005" s="2" t="s">
        <v>983</v>
      </c>
      <c r="H4005" s="2" t="s">
        <v>984</v>
      </c>
      <c r="I4005" s="2"/>
      <c r="J4005" s="2" t="s">
        <v>41</v>
      </c>
    </row>
    <row r="4006" spans="1:10" ht="21" customHeight="1">
      <c r="A4006" s="2" t="s">
        <v>5003</v>
      </c>
      <c r="B4006" s="2" t="s">
        <v>41</v>
      </c>
      <c r="C4006" s="4">
        <v>46012.25</v>
      </c>
      <c r="D4006" s="4">
        <v>46012.250070104172</v>
      </c>
      <c r="E4006" s="2">
        <v>0</v>
      </c>
      <c r="F4006" s="2">
        <v>60</v>
      </c>
      <c r="G4006" s="2" t="s">
        <v>1175</v>
      </c>
      <c r="H4006" s="2" t="s">
        <v>984</v>
      </c>
      <c r="I4006" s="2"/>
      <c r="J4006" s="2" t="s">
        <v>41</v>
      </c>
    </row>
    <row r="4007" spans="1:10" ht="21" customHeight="1">
      <c r="A4007" s="2" t="s">
        <v>5004</v>
      </c>
      <c r="B4007" s="2" t="s">
        <v>41</v>
      </c>
      <c r="C4007" s="4">
        <v>46013.25</v>
      </c>
      <c r="D4007" s="4">
        <v>46013.250632268522</v>
      </c>
      <c r="E4007" s="2">
        <v>2.96</v>
      </c>
      <c r="F4007" s="2">
        <v>59.7</v>
      </c>
      <c r="G4007" s="2" t="s">
        <v>983</v>
      </c>
      <c r="H4007" s="2" t="s">
        <v>984</v>
      </c>
      <c r="I4007" s="2"/>
      <c r="J4007" s="2" t="s">
        <v>41</v>
      </c>
    </row>
    <row r="4008" spans="1:10" ht="21" customHeight="1">
      <c r="A4008" s="2" t="s">
        <v>5005</v>
      </c>
      <c r="B4008" s="2" t="s">
        <v>41</v>
      </c>
      <c r="C4008" s="4">
        <v>46014.25</v>
      </c>
      <c r="D4008" s="4">
        <v>46014.250054317134</v>
      </c>
      <c r="E4008" s="2"/>
      <c r="F4008" s="2"/>
      <c r="G4008" s="2" t="s">
        <v>983</v>
      </c>
      <c r="H4008" s="2" t="s">
        <v>1066</v>
      </c>
      <c r="I4008" s="2"/>
      <c r="J4008" s="2" t="s">
        <v>41</v>
      </c>
    </row>
    <row r="4009" spans="1:10" ht="21" customHeight="1">
      <c r="A4009" s="2" t="s">
        <v>5006</v>
      </c>
      <c r="B4009" s="2" t="s">
        <v>41</v>
      </c>
      <c r="C4009" s="4">
        <v>46015.25</v>
      </c>
      <c r="D4009" s="4">
        <v>46015.250207546298</v>
      </c>
      <c r="E4009" s="2">
        <v>3.14</v>
      </c>
      <c r="F4009" s="2">
        <v>60</v>
      </c>
      <c r="G4009" s="2" t="s">
        <v>983</v>
      </c>
      <c r="H4009" s="2" t="s">
        <v>984</v>
      </c>
      <c r="I4009" s="2" t="s">
        <v>985</v>
      </c>
      <c r="J4009" s="2" t="s">
        <v>41</v>
      </c>
    </row>
    <row r="4010" spans="1:10" ht="21" customHeight="1">
      <c r="A4010" s="2" t="s">
        <v>5007</v>
      </c>
      <c r="B4010" s="2" t="s">
        <v>41</v>
      </c>
      <c r="C4010" s="4">
        <v>46016.25</v>
      </c>
      <c r="D4010" s="4">
        <v>46016.25016674769</v>
      </c>
      <c r="E4010" s="2">
        <v>2.4300000000000002</v>
      </c>
      <c r="F4010" s="2">
        <v>62</v>
      </c>
      <c r="G4010" s="2" t="s">
        <v>983</v>
      </c>
      <c r="H4010" s="2" t="s">
        <v>984</v>
      </c>
      <c r="I4010" s="2"/>
      <c r="J4010" s="2" t="s">
        <v>41</v>
      </c>
    </row>
    <row r="4011" spans="1:10" ht="21" customHeight="1">
      <c r="A4011" s="2" t="s">
        <v>5008</v>
      </c>
      <c r="B4011" s="2" t="s">
        <v>41</v>
      </c>
      <c r="C4011" s="4">
        <v>46017.25</v>
      </c>
      <c r="D4011" s="4">
        <v>46017.250049421295</v>
      </c>
      <c r="E4011" s="2">
        <v>2.38</v>
      </c>
      <c r="F4011" s="2">
        <v>64.099999999999994</v>
      </c>
      <c r="G4011" s="2" t="s">
        <v>983</v>
      </c>
      <c r="H4011" s="2" t="s">
        <v>984</v>
      </c>
      <c r="I4011" s="2"/>
      <c r="J4011" s="2" t="s">
        <v>41</v>
      </c>
    </row>
    <row r="4012" spans="1:10" ht="21" customHeight="1">
      <c r="A4012" s="2" t="s">
        <v>5009</v>
      </c>
      <c r="B4012" s="2" t="s">
        <v>41</v>
      </c>
      <c r="C4012" s="4">
        <v>46018.25</v>
      </c>
      <c r="D4012" s="4">
        <v>46018.250120532408</v>
      </c>
      <c r="E4012" s="2">
        <v>2.13</v>
      </c>
      <c r="F4012" s="2">
        <v>58</v>
      </c>
      <c r="G4012" s="2" t="s">
        <v>983</v>
      </c>
      <c r="H4012" s="2" t="s">
        <v>984</v>
      </c>
      <c r="I4012" s="2"/>
      <c r="J4012" s="2" t="s">
        <v>41</v>
      </c>
    </row>
    <row r="4013" spans="1:10" ht="21" customHeight="1">
      <c r="A4013" s="2" t="s">
        <v>5010</v>
      </c>
      <c r="B4013" s="2" t="s">
        <v>41</v>
      </c>
      <c r="C4013" s="4">
        <v>46019.25</v>
      </c>
      <c r="D4013" s="4">
        <v>46019.250560219909</v>
      </c>
      <c r="E4013" s="2">
        <v>2.4300000000000002</v>
      </c>
      <c r="F4013" s="2">
        <v>62.5</v>
      </c>
      <c r="G4013" s="2" t="s">
        <v>983</v>
      </c>
      <c r="H4013" s="2" t="s">
        <v>984</v>
      </c>
      <c r="I4013" s="2"/>
      <c r="J4013" s="2" t="s">
        <v>41</v>
      </c>
    </row>
    <row r="4014" spans="1:10" ht="21" customHeight="1">
      <c r="A4014" s="2" t="s">
        <v>5011</v>
      </c>
      <c r="B4014" s="2" t="s">
        <v>41</v>
      </c>
      <c r="C4014" s="4">
        <v>46020.25</v>
      </c>
      <c r="D4014" s="4">
        <v>46020.250663634259</v>
      </c>
      <c r="E4014" s="2">
        <v>2.33</v>
      </c>
      <c r="F4014" s="2">
        <v>65.099999999999994</v>
      </c>
      <c r="G4014" s="2" t="s">
        <v>983</v>
      </c>
      <c r="H4014" s="2" t="s">
        <v>984</v>
      </c>
      <c r="I4014" s="2"/>
      <c r="J4014" s="2" t="s">
        <v>41</v>
      </c>
    </row>
    <row r="4015" spans="1:10" ht="21" customHeight="1">
      <c r="A4015" s="2" t="s">
        <v>5012</v>
      </c>
      <c r="B4015" s="2" t="s">
        <v>41</v>
      </c>
      <c r="C4015" s="4">
        <v>46021.25</v>
      </c>
      <c r="D4015" s="4">
        <v>46022.5</v>
      </c>
      <c r="E4015" s="2">
        <v>2.4900000000000002</v>
      </c>
      <c r="F4015" s="2">
        <v>60.5</v>
      </c>
      <c r="G4015" s="2" t="s">
        <v>983</v>
      </c>
      <c r="H4015" s="2" t="s">
        <v>984</v>
      </c>
      <c r="I4015" s="2"/>
      <c r="J4015" s="2" t="s">
        <v>41</v>
      </c>
    </row>
    <row r="4016" spans="1:10" ht="21" customHeight="1">
      <c r="A4016" s="2" t="s">
        <v>5013</v>
      </c>
      <c r="B4016" s="2" t="s">
        <v>41</v>
      </c>
      <c r="C4016" s="4">
        <v>46022.25</v>
      </c>
      <c r="D4016" s="4">
        <v>46022.250646076391</v>
      </c>
      <c r="E4016" s="2">
        <v>3.04</v>
      </c>
      <c r="F4016" s="2">
        <v>61.6</v>
      </c>
      <c r="G4016" s="2" t="s">
        <v>983</v>
      </c>
      <c r="H4016" s="2" t="s">
        <v>984</v>
      </c>
      <c r="I4016" s="2"/>
      <c r="J4016" s="2" t="s">
        <v>41</v>
      </c>
    </row>
    <row r="4017" spans="1:10" ht="21" customHeight="1">
      <c r="A4017" s="2" t="s">
        <v>5014</v>
      </c>
      <c r="B4017" s="2" t="s">
        <v>42</v>
      </c>
      <c r="C4017" s="4">
        <v>45658.25</v>
      </c>
      <c r="D4017" s="4">
        <v>45659.5</v>
      </c>
      <c r="E4017" s="2"/>
      <c r="F4017" s="2"/>
      <c r="G4017" s="2" t="s">
        <v>983</v>
      </c>
      <c r="H4017" s="2" t="s">
        <v>1066</v>
      </c>
      <c r="I4017" s="2" t="s">
        <v>985</v>
      </c>
      <c r="J4017" s="2" t="s">
        <v>42</v>
      </c>
    </row>
    <row r="4018" spans="1:10" ht="21" customHeight="1">
      <c r="A4018" s="2" t="s">
        <v>5015</v>
      </c>
      <c r="B4018" s="2" t="s">
        <v>42</v>
      </c>
      <c r="C4018" s="4">
        <v>45659.25</v>
      </c>
      <c r="D4018" s="4">
        <v>45659.250404224542</v>
      </c>
      <c r="E4018" s="2">
        <v>3.98</v>
      </c>
      <c r="F4018" s="2">
        <v>75.099999999999994</v>
      </c>
      <c r="G4018" s="2" t="s">
        <v>983</v>
      </c>
      <c r="H4018" s="2" t="s">
        <v>984</v>
      </c>
      <c r="I4018" s="2"/>
      <c r="J4018" s="2" t="s">
        <v>42</v>
      </c>
    </row>
    <row r="4019" spans="1:10" ht="21" customHeight="1">
      <c r="A4019" s="2" t="s">
        <v>5016</v>
      </c>
      <c r="B4019" s="2" t="s">
        <v>42</v>
      </c>
      <c r="C4019" s="4">
        <v>45660.25</v>
      </c>
      <c r="D4019" s="4">
        <v>45660.250198344904</v>
      </c>
      <c r="E4019" s="2">
        <v>3.29</v>
      </c>
      <c r="F4019" s="2">
        <v>74.099999999999994</v>
      </c>
      <c r="G4019" s="2" t="s">
        <v>983</v>
      </c>
      <c r="H4019" s="2" t="s">
        <v>984</v>
      </c>
      <c r="I4019" s="2"/>
      <c r="J4019" s="2" t="s">
        <v>42</v>
      </c>
    </row>
    <row r="4020" spans="1:10" ht="21" customHeight="1">
      <c r="A4020" s="2" t="s">
        <v>5017</v>
      </c>
      <c r="B4020" s="2" t="s">
        <v>5018</v>
      </c>
      <c r="C4020" s="4">
        <v>45661.25</v>
      </c>
      <c r="D4020" s="4">
        <v>45661.250609224538</v>
      </c>
      <c r="E4020" s="2">
        <v>2.92</v>
      </c>
      <c r="F4020" s="2">
        <v>79.8</v>
      </c>
      <c r="G4020" s="2" t="s">
        <v>983</v>
      </c>
      <c r="H4020" s="2" t="s">
        <v>984</v>
      </c>
      <c r="I4020" s="2"/>
      <c r="J4020" s="2" t="s">
        <v>42</v>
      </c>
    </row>
    <row r="4021" spans="1:10" ht="21" customHeight="1">
      <c r="A4021" s="2" t="s">
        <v>5019</v>
      </c>
      <c r="B4021" s="2" t="s">
        <v>42</v>
      </c>
      <c r="C4021" s="4">
        <v>45662.25</v>
      </c>
      <c r="D4021" s="4">
        <v>45662.25052976852</v>
      </c>
      <c r="E4021" s="2">
        <v>3.46</v>
      </c>
      <c r="F4021" s="2">
        <v>78.5</v>
      </c>
      <c r="G4021" s="2" t="s">
        <v>983</v>
      </c>
      <c r="H4021" s="2" t="s">
        <v>984</v>
      </c>
      <c r="I4021" s="2"/>
      <c r="J4021" s="2" t="s">
        <v>42</v>
      </c>
    </row>
    <row r="4022" spans="1:10" ht="21" customHeight="1">
      <c r="A4022" s="2" t="s">
        <v>5020</v>
      </c>
      <c r="B4022" s="2" t="s">
        <v>42</v>
      </c>
      <c r="C4022" s="4">
        <v>45663.25</v>
      </c>
      <c r="D4022" s="4">
        <v>45663.250620844905</v>
      </c>
      <c r="E4022" s="2">
        <v>0</v>
      </c>
      <c r="F4022" s="2">
        <v>73.5</v>
      </c>
      <c r="G4022" s="2" t="s">
        <v>1175</v>
      </c>
      <c r="H4022" s="2" t="s">
        <v>984</v>
      </c>
      <c r="I4022" s="2"/>
      <c r="J4022" s="2" t="s">
        <v>42</v>
      </c>
    </row>
    <row r="4023" spans="1:10" ht="21" customHeight="1">
      <c r="A4023" s="2" t="s">
        <v>5021</v>
      </c>
      <c r="B4023" s="2" t="s">
        <v>42</v>
      </c>
      <c r="C4023" s="4">
        <v>45664.25</v>
      </c>
      <c r="D4023" s="4">
        <v>45664.25018717593</v>
      </c>
      <c r="E4023" s="2">
        <v>3.9</v>
      </c>
      <c r="F4023" s="2">
        <v>78</v>
      </c>
      <c r="G4023" s="2" t="s">
        <v>983</v>
      </c>
      <c r="H4023" s="2" t="s">
        <v>984</v>
      </c>
      <c r="I4023" s="2"/>
      <c r="J4023" s="2" t="s">
        <v>42</v>
      </c>
    </row>
    <row r="4024" spans="1:10" ht="21" customHeight="1">
      <c r="A4024" s="2" t="s">
        <v>5022</v>
      </c>
      <c r="B4024" s="2" t="s">
        <v>42</v>
      </c>
      <c r="C4024" s="4">
        <v>45665.25</v>
      </c>
      <c r="D4024" s="4">
        <v>45665.250494861109</v>
      </c>
      <c r="E4024" s="2">
        <v>2.91</v>
      </c>
      <c r="F4024" s="2">
        <v>77.900000000000006</v>
      </c>
      <c r="G4024" s="2" t="s">
        <v>983</v>
      </c>
      <c r="H4024" s="2" t="s">
        <v>984</v>
      </c>
      <c r="I4024" s="2"/>
      <c r="J4024" s="2" t="s">
        <v>42</v>
      </c>
    </row>
    <row r="4025" spans="1:10" ht="21" customHeight="1">
      <c r="A4025" s="2" t="s">
        <v>5023</v>
      </c>
      <c r="B4025" s="2" t="s">
        <v>42</v>
      </c>
      <c r="C4025" s="4">
        <v>45666.25</v>
      </c>
      <c r="D4025" s="4">
        <v>45666.250321064814</v>
      </c>
      <c r="E4025" s="2">
        <v>3.52</v>
      </c>
      <c r="F4025" s="2">
        <v>76.099999999999994</v>
      </c>
      <c r="G4025" s="2" t="s">
        <v>983</v>
      </c>
      <c r="H4025" s="2" t="s">
        <v>984</v>
      </c>
      <c r="I4025" s="2"/>
      <c r="J4025" s="2" t="s">
        <v>42</v>
      </c>
    </row>
    <row r="4026" spans="1:10" ht="21" customHeight="1">
      <c r="A4026" s="2" t="s">
        <v>5024</v>
      </c>
      <c r="B4026" s="2" t="s">
        <v>42</v>
      </c>
      <c r="C4026" s="4">
        <v>45667.25</v>
      </c>
      <c r="D4026" s="4">
        <v>45667.250187557875</v>
      </c>
      <c r="E4026" s="2">
        <v>3.82</v>
      </c>
      <c r="F4026" s="2">
        <v>73.599999999999994</v>
      </c>
      <c r="G4026" s="2" t="s">
        <v>983</v>
      </c>
      <c r="H4026" s="2" t="s">
        <v>984</v>
      </c>
      <c r="I4026" s="2"/>
      <c r="J4026" s="2" t="s">
        <v>42</v>
      </c>
    </row>
    <row r="4027" spans="1:10" ht="21" customHeight="1">
      <c r="A4027" s="2" t="s">
        <v>5025</v>
      </c>
      <c r="B4027" s="2" t="s">
        <v>42</v>
      </c>
      <c r="C4027" s="4">
        <v>45668.25</v>
      </c>
      <c r="D4027" s="4">
        <v>45668.250656006945</v>
      </c>
      <c r="E4027" s="2">
        <v>3.12</v>
      </c>
      <c r="F4027" s="2">
        <v>79.400000000000006</v>
      </c>
      <c r="G4027" s="2" t="s">
        <v>983</v>
      </c>
      <c r="H4027" s="2" t="s">
        <v>984</v>
      </c>
      <c r="I4027" s="2"/>
      <c r="J4027" s="2" t="s">
        <v>42</v>
      </c>
    </row>
    <row r="4028" spans="1:10" ht="21" customHeight="1">
      <c r="A4028" s="2" t="s">
        <v>5026</v>
      </c>
      <c r="B4028" s="2" t="s">
        <v>42</v>
      </c>
      <c r="C4028" s="4">
        <v>45669.25</v>
      </c>
      <c r="D4028" s="4">
        <v>45670.5</v>
      </c>
      <c r="E4028" s="2">
        <v>3.43</v>
      </c>
      <c r="F4028" s="2">
        <v>72.900000000000006</v>
      </c>
      <c r="G4028" s="2" t="s">
        <v>983</v>
      </c>
      <c r="H4028" s="2" t="s">
        <v>984</v>
      </c>
      <c r="I4028" s="2"/>
      <c r="J4028" s="2" t="s">
        <v>42</v>
      </c>
    </row>
    <row r="4029" spans="1:10" ht="21" customHeight="1">
      <c r="A4029" s="2" t="s">
        <v>5027</v>
      </c>
      <c r="B4029" s="2" t="s">
        <v>42</v>
      </c>
      <c r="C4029" s="4">
        <v>45670.25</v>
      </c>
      <c r="D4029" s="4">
        <v>45670.250469849532</v>
      </c>
      <c r="E4029" s="2">
        <v>2.84</v>
      </c>
      <c r="F4029" s="2">
        <v>75.400000000000006</v>
      </c>
      <c r="G4029" s="2" t="s">
        <v>983</v>
      </c>
      <c r="H4029" s="2" t="s">
        <v>984</v>
      </c>
      <c r="I4029" s="2"/>
      <c r="J4029" s="2" t="s">
        <v>42</v>
      </c>
    </row>
    <row r="4030" spans="1:10" ht="21" customHeight="1">
      <c r="A4030" s="2" t="s">
        <v>5028</v>
      </c>
      <c r="B4030" s="2" t="s">
        <v>42</v>
      </c>
      <c r="C4030" s="4">
        <v>45671.25</v>
      </c>
      <c r="D4030" s="4">
        <v>45671.250640416663</v>
      </c>
      <c r="E4030" s="2">
        <v>3.68</v>
      </c>
      <c r="F4030" s="2">
        <v>74.599999999999994</v>
      </c>
      <c r="G4030" s="2" t="s">
        <v>983</v>
      </c>
      <c r="H4030" s="2" t="s">
        <v>984</v>
      </c>
      <c r="I4030" s="2"/>
      <c r="J4030" s="2" t="s">
        <v>42</v>
      </c>
    </row>
    <row r="4031" spans="1:10" ht="21" customHeight="1">
      <c r="A4031" s="2" t="s">
        <v>5029</v>
      </c>
      <c r="B4031" s="2" t="s">
        <v>42</v>
      </c>
      <c r="C4031" s="4">
        <v>45672.25</v>
      </c>
      <c r="D4031" s="4">
        <v>45672.250401307872</v>
      </c>
      <c r="E4031" s="2">
        <v>3.1</v>
      </c>
      <c r="F4031" s="2">
        <v>78.2</v>
      </c>
      <c r="G4031" s="2" t="s">
        <v>983</v>
      </c>
      <c r="H4031" s="2" t="s">
        <v>984</v>
      </c>
      <c r="I4031" s="2"/>
      <c r="J4031" s="2" t="s">
        <v>42</v>
      </c>
    </row>
    <row r="4032" spans="1:10" ht="21" customHeight="1">
      <c r="A4032" s="2" t="s">
        <v>5030</v>
      </c>
      <c r="B4032" s="2" t="s">
        <v>42</v>
      </c>
      <c r="C4032" s="4">
        <v>45673.25</v>
      </c>
      <c r="D4032" s="4">
        <v>45673.250369629633</v>
      </c>
      <c r="E4032" s="2">
        <v>3.73</v>
      </c>
      <c r="F4032" s="2">
        <v>73.099999999999994</v>
      </c>
      <c r="G4032" s="2" t="s">
        <v>983</v>
      </c>
      <c r="H4032" s="2" t="s">
        <v>984</v>
      </c>
      <c r="I4032" s="2"/>
      <c r="J4032" s="2" t="s">
        <v>42</v>
      </c>
    </row>
    <row r="4033" spans="1:10" ht="21" customHeight="1">
      <c r="A4033" s="2" t="s">
        <v>5031</v>
      </c>
      <c r="B4033" s="2" t="s">
        <v>42</v>
      </c>
      <c r="C4033" s="4">
        <v>45674.25</v>
      </c>
      <c r="D4033" s="4">
        <v>45674.250248553246</v>
      </c>
      <c r="E4033" s="2">
        <v>3.53</v>
      </c>
      <c r="F4033" s="2">
        <v>73.2</v>
      </c>
      <c r="G4033" s="2" t="s">
        <v>983</v>
      </c>
      <c r="H4033" s="2" t="s">
        <v>984</v>
      </c>
      <c r="I4033" s="2"/>
      <c r="J4033" s="2" t="s">
        <v>42</v>
      </c>
    </row>
    <row r="4034" spans="1:10" ht="21" customHeight="1">
      <c r="A4034" s="2" t="s">
        <v>5032</v>
      </c>
      <c r="B4034" s="2" t="s">
        <v>42</v>
      </c>
      <c r="C4034" s="4">
        <v>45675.25</v>
      </c>
      <c r="D4034" s="4">
        <v>45675.250615543977</v>
      </c>
      <c r="E4034" s="2"/>
      <c r="F4034" s="2"/>
      <c r="G4034" s="2" t="s">
        <v>983</v>
      </c>
      <c r="H4034" s="2" t="s">
        <v>1066</v>
      </c>
      <c r="I4034" s="2" t="s">
        <v>985</v>
      </c>
      <c r="J4034" s="2" t="s">
        <v>42</v>
      </c>
    </row>
    <row r="4035" spans="1:10" ht="21" customHeight="1">
      <c r="A4035" s="2" t="s">
        <v>5033</v>
      </c>
      <c r="B4035" s="2" t="s">
        <v>42</v>
      </c>
      <c r="C4035" s="4">
        <v>45676.25</v>
      </c>
      <c r="D4035" s="4">
        <v>45676.250639062499</v>
      </c>
      <c r="E4035" s="2">
        <v>6.23</v>
      </c>
      <c r="F4035" s="2">
        <v>87.4</v>
      </c>
      <c r="G4035" s="2" t="s">
        <v>983</v>
      </c>
      <c r="H4035" s="2" t="s">
        <v>984</v>
      </c>
      <c r="I4035" s="2" t="s">
        <v>1053</v>
      </c>
      <c r="J4035" s="2" t="s">
        <v>42</v>
      </c>
    </row>
    <row r="4036" spans="1:10" ht="21" customHeight="1">
      <c r="A4036" s="2" t="s">
        <v>5034</v>
      </c>
      <c r="B4036" s="2" t="s">
        <v>42</v>
      </c>
      <c r="C4036" s="4">
        <v>45677.25</v>
      </c>
      <c r="D4036" s="4">
        <v>45677.250006712959</v>
      </c>
      <c r="E4036" s="2">
        <v>16.760000000000002</v>
      </c>
      <c r="F4036" s="2">
        <v>88.4</v>
      </c>
      <c r="G4036" s="2" t="s">
        <v>983</v>
      </c>
      <c r="H4036" s="2" t="s">
        <v>1022</v>
      </c>
      <c r="I4036" s="2"/>
      <c r="J4036" s="2" t="s">
        <v>42</v>
      </c>
    </row>
    <row r="4037" spans="1:10" ht="21" customHeight="1">
      <c r="A4037" s="2" t="s">
        <v>5035</v>
      </c>
      <c r="B4037" s="2" t="s">
        <v>42</v>
      </c>
      <c r="C4037" s="4">
        <v>45678.25</v>
      </c>
      <c r="D4037" s="4">
        <v>45678.250688032407</v>
      </c>
      <c r="E4037" s="2"/>
      <c r="F4037" s="2"/>
      <c r="G4037" s="2" t="s">
        <v>983</v>
      </c>
      <c r="H4037" s="2" t="s">
        <v>1066</v>
      </c>
      <c r="I4037" s="2" t="s">
        <v>1053</v>
      </c>
      <c r="J4037" s="2" t="s">
        <v>42</v>
      </c>
    </row>
    <row r="4038" spans="1:10" ht="21" customHeight="1">
      <c r="A4038" s="2" t="s">
        <v>5036</v>
      </c>
      <c r="B4038" s="2" t="s">
        <v>42</v>
      </c>
      <c r="C4038" s="4">
        <v>45679.25</v>
      </c>
      <c r="D4038" s="4">
        <v>45679.250492581021</v>
      </c>
      <c r="E4038" s="2">
        <v>0</v>
      </c>
      <c r="F4038" s="2">
        <v>76.400000000000006</v>
      </c>
      <c r="G4038" s="2" t="s">
        <v>1175</v>
      </c>
      <c r="H4038" s="2" t="s">
        <v>984</v>
      </c>
      <c r="I4038" s="2"/>
      <c r="J4038" s="2" t="s">
        <v>42</v>
      </c>
    </row>
    <row r="4039" spans="1:10" ht="21" customHeight="1">
      <c r="A4039" s="2" t="s">
        <v>5037</v>
      </c>
      <c r="B4039" s="2" t="s">
        <v>42</v>
      </c>
      <c r="C4039" s="4">
        <v>45680.25</v>
      </c>
      <c r="D4039" s="4">
        <v>45681.5</v>
      </c>
      <c r="E4039" s="2">
        <v>3.65</v>
      </c>
      <c r="F4039" s="2">
        <v>76.900000000000006</v>
      </c>
      <c r="G4039" s="2" t="s">
        <v>983</v>
      </c>
      <c r="H4039" s="2" t="s">
        <v>984</v>
      </c>
      <c r="I4039" s="2"/>
      <c r="J4039" s="2" t="s">
        <v>42</v>
      </c>
    </row>
    <row r="4040" spans="1:10" ht="21" customHeight="1">
      <c r="A4040" s="2" t="s">
        <v>5038</v>
      </c>
      <c r="B4040" s="2" t="s">
        <v>42</v>
      </c>
      <c r="C4040" s="4">
        <v>45681.25</v>
      </c>
      <c r="D4040" s="4">
        <v>45681.25006121528</v>
      </c>
      <c r="E4040" s="2">
        <v>2.83</v>
      </c>
      <c r="F4040" s="2">
        <v>77.400000000000006</v>
      </c>
      <c r="G4040" s="2" t="s">
        <v>983</v>
      </c>
      <c r="H4040" s="2" t="s">
        <v>984</v>
      </c>
      <c r="I4040" s="2"/>
      <c r="J4040" s="2" t="s">
        <v>42</v>
      </c>
    </row>
    <row r="4041" spans="1:10" ht="21" customHeight="1">
      <c r="A4041" s="2" t="s">
        <v>5039</v>
      </c>
      <c r="B4041" s="2" t="s">
        <v>42</v>
      </c>
      <c r="C4041" s="4">
        <v>45682.25</v>
      </c>
      <c r="D4041" s="4">
        <v>45682.250440960648</v>
      </c>
      <c r="E4041" s="2"/>
      <c r="F4041" s="2"/>
      <c r="G4041" s="2" t="s">
        <v>983</v>
      </c>
      <c r="H4041" s="2" t="s">
        <v>1066</v>
      </c>
      <c r="I4041" s="2"/>
      <c r="J4041" s="2" t="s">
        <v>42</v>
      </c>
    </row>
    <row r="4042" spans="1:10" ht="21" customHeight="1">
      <c r="A4042" s="2" t="s">
        <v>5040</v>
      </c>
      <c r="B4042" s="2" t="s">
        <v>42</v>
      </c>
      <c r="C4042" s="4">
        <v>45683.25</v>
      </c>
      <c r="D4042" s="4">
        <v>45683.250433020832</v>
      </c>
      <c r="E4042" s="2">
        <v>2.97</v>
      </c>
      <c r="F4042" s="2">
        <v>75.5</v>
      </c>
      <c r="G4042" s="2" t="s">
        <v>983</v>
      </c>
      <c r="H4042" s="2" t="s">
        <v>984</v>
      </c>
      <c r="I4042" s="2"/>
      <c r="J4042" s="2" t="s">
        <v>42</v>
      </c>
    </row>
    <row r="4043" spans="1:10" ht="21" customHeight="1">
      <c r="A4043" s="2" t="s">
        <v>5041</v>
      </c>
      <c r="B4043" s="2" t="s">
        <v>42</v>
      </c>
      <c r="C4043" s="4">
        <v>45684.25</v>
      </c>
      <c r="D4043" s="4">
        <v>45684.250394016199</v>
      </c>
      <c r="E4043" s="2">
        <v>3.48</v>
      </c>
      <c r="F4043" s="2">
        <v>79.7</v>
      </c>
      <c r="G4043" s="2" t="s">
        <v>983</v>
      </c>
      <c r="H4043" s="2" t="s">
        <v>984</v>
      </c>
      <c r="I4043" s="2"/>
      <c r="J4043" s="2" t="s">
        <v>42</v>
      </c>
    </row>
    <row r="4044" spans="1:10" ht="21" customHeight="1">
      <c r="A4044" s="2" t="s">
        <v>5042</v>
      </c>
      <c r="B4044" s="2" t="s">
        <v>42</v>
      </c>
      <c r="C4044" s="4">
        <v>45685.25</v>
      </c>
      <c r="D4044" s="4">
        <v>45685.250383831022</v>
      </c>
      <c r="E4044" s="2">
        <v>2.87</v>
      </c>
      <c r="F4044" s="2">
        <v>77.099999999999994</v>
      </c>
      <c r="G4044" s="2" t="s">
        <v>983</v>
      </c>
      <c r="H4044" s="2" t="s">
        <v>984</v>
      </c>
      <c r="I4044" s="2"/>
      <c r="J4044" s="2" t="s">
        <v>42</v>
      </c>
    </row>
    <row r="4045" spans="1:10" ht="21" customHeight="1">
      <c r="A4045" s="2" t="s">
        <v>5043</v>
      </c>
      <c r="B4045" s="2" t="s">
        <v>42</v>
      </c>
      <c r="C4045" s="4">
        <v>45686.25</v>
      </c>
      <c r="D4045" s="4">
        <v>45686.250422673613</v>
      </c>
      <c r="E4045" s="2">
        <v>3.4</v>
      </c>
      <c r="F4045" s="2">
        <v>72.7</v>
      </c>
      <c r="G4045" s="2" t="s">
        <v>983</v>
      </c>
      <c r="H4045" s="2" t="s">
        <v>984</v>
      </c>
      <c r="I4045" s="2"/>
      <c r="J4045" s="2" t="s">
        <v>42</v>
      </c>
    </row>
    <row r="4046" spans="1:10" ht="21" customHeight="1">
      <c r="A4046" s="2" t="s">
        <v>5044</v>
      </c>
      <c r="B4046" s="2" t="s">
        <v>42</v>
      </c>
      <c r="C4046" s="4">
        <v>45687.25</v>
      </c>
      <c r="D4046" s="4">
        <v>45687.25033318287</v>
      </c>
      <c r="E4046" s="2">
        <v>3.46</v>
      </c>
      <c r="F4046" s="2">
        <v>78.900000000000006</v>
      </c>
      <c r="G4046" s="2" t="s">
        <v>983</v>
      </c>
      <c r="H4046" s="2" t="s">
        <v>984</v>
      </c>
      <c r="I4046" s="2"/>
      <c r="J4046" s="2" t="s">
        <v>42</v>
      </c>
    </row>
    <row r="4047" spans="1:10" ht="21" customHeight="1">
      <c r="A4047" s="2" t="s">
        <v>5045</v>
      </c>
      <c r="B4047" s="2" t="s">
        <v>42</v>
      </c>
      <c r="C4047" s="4">
        <v>45688.25</v>
      </c>
      <c r="D4047" s="4">
        <v>45688.250128240739</v>
      </c>
      <c r="E4047" s="2">
        <v>3.25</v>
      </c>
      <c r="F4047" s="2">
        <v>73.900000000000006</v>
      </c>
      <c r="G4047" s="2" t="s">
        <v>983</v>
      </c>
      <c r="H4047" s="2" t="s">
        <v>984</v>
      </c>
      <c r="I4047" s="2"/>
      <c r="J4047" s="2" t="s">
        <v>42</v>
      </c>
    </row>
    <row r="4048" spans="1:10" ht="21" customHeight="1">
      <c r="A4048" s="2" t="s">
        <v>5046</v>
      </c>
      <c r="B4048" s="2" t="s">
        <v>42</v>
      </c>
      <c r="C4048" s="4">
        <v>45689.25</v>
      </c>
      <c r="D4048" s="4">
        <v>45689.250338807869</v>
      </c>
      <c r="E4048" s="2">
        <v>3.78</v>
      </c>
      <c r="F4048" s="2">
        <v>75.400000000000006</v>
      </c>
      <c r="G4048" s="2" t="s">
        <v>983</v>
      </c>
      <c r="H4048" s="2" t="s">
        <v>984</v>
      </c>
      <c r="I4048" s="2"/>
      <c r="J4048" s="2" t="s">
        <v>42</v>
      </c>
    </row>
    <row r="4049" spans="1:10" ht="21" customHeight="1">
      <c r="A4049" s="2" t="s">
        <v>5047</v>
      </c>
      <c r="B4049" s="2" t="s">
        <v>42</v>
      </c>
      <c r="C4049" s="4">
        <v>45690.25</v>
      </c>
      <c r="D4049" s="4">
        <v>45690.250409791668</v>
      </c>
      <c r="E4049" s="2">
        <v>3.38</v>
      </c>
      <c r="F4049" s="2">
        <v>72.5</v>
      </c>
      <c r="G4049" s="2" t="s">
        <v>983</v>
      </c>
      <c r="H4049" s="2" t="s">
        <v>984</v>
      </c>
      <c r="I4049" s="2"/>
      <c r="J4049" s="2" t="s">
        <v>42</v>
      </c>
    </row>
    <row r="4050" spans="1:10" ht="21" customHeight="1">
      <c r="A4050" s="2" t="s">
        <v>5048</v>
      </c>
      <c r="B4050" s="2" t="s">
        <v>42</v>
      </c>
      <c r="C4050" s="4">
        <v>45691.25</v>
      </c>
      <c r="D4050" s="4">
        <v>45692.5</v>
      </c>
      <c r="E4050" s="2">
        <v>3.27</v>
      </c>
      <c r="F4050" s="2">
        <v>73.3</v>
      </c>
      <c r="G4050" s="2" t="s">
        <v>983</v>
      </c>
      <c r="H4050" s="2" t="s">
        <v>984</v>
      </c>
      <c r="I4050" s="2"/>
      <c r="J4050" s="2" t="s">
        <v>42</v>
      </c>
    </row>
    <row r="4051" spans="1:10" ht="21" customHeight="1">
      <c r="A4051" s="2" t="s">
        <v>5049</v>
      </c>
      <c r="B4051" s="2" t="s">
        <v>42</v>
      </c>
      <c r="C4051" s="4">
        <v>45692.25</v>
      </c>
      <c r="D4051" s="4">
        <v>45692.250558356478</v>
      </c>
      <c r="E4051" s="2">
        <v>3.6</v>
      </c>
      <c r="F4051" s="2">
        <v>72.900000000000006</v>
      </c>
      <c r="G4051" s="2" t="s">
        <v>983</v>
      </c>
      <c r="H4051" s="2" t="s">
        <v>984</v>
      </c>
      <c r="I4051" s="2" t="s">
        <v>985</v>
      </c>
      <c r="J4051" s="2" t="s">
        <v>42</v>
      </c>
    </row>
    <row r="4052" spans="1:10" ht="21" customHeight="1">
      <c r="A4052" s="2" t="s">
        <v>5050</v>
      </c>
      <c r="B4052" s="2" t="s">
        <v>42</v>
      </c>
      <c r="C4052" s="4">
        <v>45693.25</v>
      </c>
      <c r="D4052" s="4">
        <v>45693.250008344912</v>
      </c>
      <c r="E4052" s="2">
        <v>3.85</v>
      </c>
      <c r="F4052" s="2">
        <v>75.8</v>
      </c>
      <c r="G4052" s="2" t="s">
        <v>983</v>
      </c>
      <c r="H4052" s="2" t="s">
        <v>984</v>
      </c>
      <c r="I4052" s="2"/>
      <c r="J4052" s="2" t="s">
        <v>42</v>
      </c>
    </row>
    <row r="4053" spans="1:10" ht="21" customHeight="1">
      <c r="A4053" s="2" t="s">
        <v>5051</v>
      </c>
      <c r="B4053" s="2" t="s">
        <v>42</v>
      </c>
      <c r="C4053" s="4">
        <v>45694.25</v>
      </c>
      <c r="D4053" s="4">
        <v>45694.2501362037</v>
      </c>
      <c r="E4053" s="2">
        <v>0</v>
      </c>
      <c r="F4053" s="2">
        <v>76.099999999999994</v>
      </c>
      <c r="G4053" s="2" t="s">
        <v>1175</v>
      </c>
      <c r="H4053" s="2" t="s">
        <v>984</v>
      </c>
      <c r="I4053" s="2"/>
      <c r="J4053" s="2" t="s">
        <v>42</v>
      </c>
    </row>
    <row r="4054" spans="1:10" ht="21" customHeight="1">
      <c r="A4054" s="2" t="s">
        <v>5052</v>
      </c>
      <c r="B4054" s="2" t="s">
        <v>42</v>
      </c>
      <c r="C4054" s="4">
        <v>45695.25</v>
      </c>
      <c r="D4054" s="4">
        <v>45695.250688020838</v>
      </c>
      <c r="E4054" s="2">
        <v>3.38</v>
      </c>
      <c r="F4054" s="2">
        <v>78</v>
      </c>
      <c r="G4054" s="2" t="s">
        <v>983</v>
      </c>
      <c r="H4054" s="2" t="s">
        <v>984</v>
      </c>
      <c r="I4054" s="2"/>
      <c r="J4054" s="2" t="s">
        <v>42</v>
      </c>
    </row>
    <row r="4055" spans="1:10" ht="21" customHeight="1">
      <c r="A4055" s="2" t="s">
        <v>5053</v>
      </c>
      <c r="B4055" s="2" t="s">
        <v>42</v>
      </c>
      <c r="C4055" s="4">
        <v>45696.25</v>
      </c>
      <c r="D4055" s="4">
        <v>45696.250313680561</v>
      </c>
      <c r="E4055" s="2">
        <v>3.47</v>
      </c>
      <c r="F4055" s="2">
        <v>72.5</v>
      </c>
      <c r="G4055" s="2" t="s">
        <v>983</v>
      </c>
      <c r="H4055" s="2" t="s">
        <v>984</v>
      </c>
      <c r="I4055" s="2"/>
      <c r="J4055" s="2" t="s">
        <v>42</v>
      </c>
    </row>
    <row r="4056" spans="1:10" ht="21" customHeight="1">
      <c r="A4056" s="2" t="s">
        <v>5054</v>
      </c>
      <c r="B4056" s="2" t="s">
        <v>42</v>
      </c>
      <c r="C4056" s="4">
        <v>45697.25</v>
      </c>
      <c r="D4056" s="4">
        <v>45697.250586296301</v>
      </c>
      <c r="E4056" s="2"/>
      <c r="F4056" s="2"/>
      <c r="G4056" s="2" t="s">
        <v>983</v>
      </c>
      <c r="H4056" s="2" t="s">
        <v>1066</v>
      </c>
      <c r="I4056" s="2"/>
      <c r="J4056" s="2" t="s">
        <v>42</v>
      </c>
    </row>
    <row r="4057" spans="1:10" ht="21" customHeight="1">
      <c r="A4057" s="2" t="s">
        <v>5055</v>
      </c>
      <c r="B4057" s="2" t="s">
        <v>42</v>
      </c>
      <c r="C4057" s="4">
        <v>45698.25</v>
      </c>
      <c r="D4057" s="4">
        <v>45698.250334166667</v>
      </c>
      <c r="E4057" s="2">
        <v>3.87</v>
      </c>
      <c r="F4057" s="2">
        <v>79.8</v>
      </c>
      <c r="G4057" s="2" t="s">
        <v>983</v>
      </c>
      <c r="H4057" s="2" t="s">
        <v>984</v>
      </c>
      <c r="I4057" s="2"/>
      <c r="J4057" s="2" t="s">
        <v>42</v>
      </c>
    </row>
    <row r="4058" spans="1:10" ht="21" customHeight="1">
      <c r="A4058" s="2" t="s">
        <v>5056</v>
      </c>
      <c r="B4058" s="2" t="s">
        <v>42</v>
      </c>
      <c r="C4058" s="4">
        <v>45699.25</v>
      </c>
      <c r="D4058" s="4">
        <v>45699.250233275467</v>
      </c>
      <c r="E4058" s="2">
        <v>3.64</v>
      </c>
      <c r="F4058" s="2">
        <v>72.400000000000006</v>
      </c>
      <c r="G4058" s="2" t="s">
        <v>983</v>
      </c>
      <c r="H4058" s="2" t="s">
        <v>984</v>
      </c>
      <c r="I4058" s="2"/>
      <c r="J4058" s="2" t="s">
        <v>42</v>
      </c>
    </row>
    <row r="4059" spans="1:10" ht="21" customHeight="1">
      <c r="A4059" s="2" t="s">
        <v>5057</v>
      </c>
      <c r="B4059" s="2" t="s">
        <v>42</v>
      </c>
      <c r="C4059" s="4">
        <v>45700.25</v>
      </c>
      <c r="D4059" s="4">
        <v>45700.25062280093</v>
      </c>
      <c r="E4059" s="2">
        <v>2.98</v>
      </c>
      <c r="F4059" s="2">
        <v>76.2</v>
      </c>
      <c r="G4059" s="2" t="s">
        <v>983</v>
      </c>
      <c r="H4059" s="2" t="s">
        <v>984</v>
      </c>
      <c r="I4059" s="2"/>
      <c r="J4059" s="2" t="s">
        <v>42</v>
      </c>
    </row>
    <row r="4060" spans="1:10" ht="21" customHeight="1">
      <c r="A4060" s="2" t="s">
        <v>5058</v>
      </c>
      <c r="B4060" s="2" t="s">
        <v>42</v>
      </c>
      <c r="C4060" s="4">
        <v>45701.25</v>
      </c>
      <c r="D4060" s="4">
        <v>45701.250629988426</v>
      </c>
      <c r="E4060" s="2">
        <v>3.08</v>
      </c>
      <c r="F4060" s="2">
        <v>78.3</v>
      </c>
      <c r="G4060" s="2" t="s">
        <v>983</v>
      </c>
      <c r="H4060" s="2" t="s">
        <v>984</v>
      </c>
      <c r="I4060" s="2"/>
      <c r="J4060" s="2" t="s">
        <v>42</v>
      </c>
    </row>
    <row r="4061" spans="1:10" ht="21" customHeight="1">
      <c r="A4061" s="2" t="s">
        <v>5059</v>
      </c>
      <c r="B4061" s="2" t="s">
        <v>5018</v>
      </c>
      <c r="C4061" s="4">
        <v>45702.25</v>
      </c>
      <c r="D4061" s="4">
        <v>45703.5</v>
      </c>
      <c r="E4061" s="2">
        <v>3.55</v>
      </c>
      <c r="F4061" s="2">
        <v>78.099999999999994</v>
      </c>
      <c r="G4061" s="2" t="s">
        <v>983</v>
      </c>
      <c r="H4061" s="2" t="s">
        <v>984</v>
      </c>
      <c r="I4061" s="2"/>
      <c r="J4061" s="2" t="s">
        <v>42</v>
      </c>
    </row>
    <row r="4062" spans="1:10" ht="21" customHeight="1">
      <c r="A4062" s="2" t="s">
        <v>5060</v>
      </c>
      <c r="B4062" s="2" t="s">
        <v>42</v>
      </c>
      <c r="C4062" s="4">
        <v>45703.25</v>
      </c>
      <c r="D4062" s="4">
        <v>45703.25013763889</v>
      </c>
      <c r="E4062" s="2">
        <v>3.07</v>
      </c>
      <c r="F4062" s="2">
        <v>76.900000000000006</v>
      </c>
      <c r="G4062" s="2" t="s">
        <v>983</v>
      </c>
      <c r="H4062" s="2" t="s">
        <v>984</v>
      </c>
      <c r="I4062" s="2"/>
      <c r="J4062" s="2" t="s">
        <v>42</v>
      </c>
    </row>
    <row r="4063" spans="1:10" ht="21" customHeight="1">
      <c r="A4063" s="2" t="s">
        <v>5061</v>
      </c>
      <c r="B4063" s="2" t="s">
        <v>42</v>
      </c>
      <c r="C4063" s="4">
        <v>45704.25</v>
      </c>
      <c r="D4063" s="4">
        <v>45704.250606527778</v>
      </c>
      <c r="E4063" s="2">
        <v>3.18</v>
      </c>
      <c r="F4063" s="2">
        <v>78.599999999999994</v>
      </c>
      <c r="G4063" s="2" t="s">
        <v>983</v>
      </c>
      <c r="H4063" s="2" t="s">
        <v>984</v>
      </c>
      <c r="I4063" s="2"/>
      <c r="J4063" s="2" t="s">
        <v>42</v>
      </c>
    </row>
    <row r="4064" spans="1:10" ht="21" customHeight="1">
      <c r="A4064" s="2" t="s">
        <v>5062</v>
      </c>
      <c r="B4064" s="2" t="s">
        <v>42</v>
      </c>
      <c r="C4064" s="4">
        <v>45705.25</v>
      </c>
      <c r="D4064" s="4">
        <v>45705.250365312502</v>
      </c>
      <c r="E4064" s="2">
        <v>3.97</v>
      </c>
      <c r="F4064" s="2">
        <v>77.5</v>
      </c>
      <c r="G4064" s="2" t="s">
        <v>983</v>
      </c>
      <c r="H4064" s="2" t="s">
        <v>984</v>
      </c>
      <c r="I4064" s="2"/>
      <c r="J4064" s="2" t="s">
        <v>42</v>
      </c>
    </row>
    <row r="4065" spans="1:10" ht="21" customHeight="1">
      <c r="A4065" s="2" t="s">
        <v>5063</v>
      </c>
      <c r="B4065" s="2" t="s">
        <v>42</v>
      </c>
      <c r="C4065" s="4">
        <v>45706.25</v>
      </c>
      <c r="D4065" s="4">
        <v>45706.250469814811</v>
      </c>
      <c r="E4065" s="2">
        <v>5.92</v>
      </c>
      <c r="F4065" s="2">
        <v>78.5</v>
      </c>
      <c r="G4065" s="2" t="s">
        <v>983</v>
      </c>
      <c r="H4065" s="2" t="s">
        <v>984</v>
      </c>
      <c r="I4065" s="2" t="s">
        <v>1053</v>
      </c>
      <c r="J4065" s="2" t="s">
        <v>42</v>
      </c>
    </row>
    <row r="4066" spans="1:10" ht="21" customHeight="1">
      <c r="A4066" s="2" t="s">
        <v>5064</v>
      </c>
      <c r="B4066" s="2" t="s">
        <v>42</v>
      </c>
      <c r="C4066" s="4">
        <v>45707.25</v>
      </c>
      <c r="D4066" s="4">
        <v>45707.250450428241</v>
      </c>
      <c r="E4066" s="2">
        <v>5.28</v>
      </c>
      <c r="F4066" s="2">
        <v>79.900000000000006</v>
      </c>
      <c r="G4066" s="2" t="s">
        <v>983</v>
      </c>
      <c r="H4066" s="2" t="s">
        <v>984</v>
      </c>
      <c r="I4066" s="2"/>
      <c r="J4066" s="2" t="s">
        <v>42</v>
      </c>
    </row>
    <row r="4067" spans="1:10" ht="21" customHeight="1">
      <c r="A4067" s="2" t="s">
        <v>5065</v>
      </c>
      <c r="B4067" s="2" t="s">
        <v>42</v>
      </c>
      <c r="C4067" s="4">
        <v>45708.25</v>
      </c>
      <c r="D4067" s="4">
        <v>45708.250099143523</v>
      </c>
      <c r="E4067" s="2">
        <v>4.87</v>
      </c>
      <c r="F4067" s="2">
        <v>82.5</v>
      </c>
      <c r="G4067" s="2" t="s">
        <v>983</v>
      </c>
      <c r="H4067" s="2" t="s">
        <v>984</v>
      </c>
      <c r="I4067" s="2" t="s">
        <v>1053</v>
      </c>
      <c r="J4067" s="2" t="s">
        <v>42</v>
      </c>
    </row>
    <row r="4068" spans="1:10" ht="21" customHeight="1">
      <c r="A4068" s="2" t="s">
        <v>5066</v>
      </c>
      <c r="B4068" s="2" t="s">
        <v>42</v>
      </c>
      <c r="C4068" s="4">
        <v>45709.25</v>
      </c>
      <c r="D4068" s="4">
        <v>45709.250692037036</v>
      </c>
      <c r="E4068" s="2">
        <v>0</v>
      </c>
      <c r="F4068" s="2">
        <v>79</v>
      </c>
      <c r="G4068" s="2" t="s">
        <v>1175</v>
      </c>
      <c r="H4068" s="2" t="s">
        <v>984</v>
      </c>
      <c r="I4068" s="2" t="s">
        <v>985</v>
      </c>
      <c r="J4068" s="2" t="s">
        <v>42</v>
      </c>
    </row>
    <row r="4069" spans="1:10" ht="21" customHeight="1">
      <c r="A4069" s="2" t="s">
        <v>5067</v>
      </c>
      <c r="B4069" s="2" t="s">
        <v>42</v>
      </c>
      <c r="C4069" s="4">
        <v>45710.25</v>
      </c>
      <c r="D4069" s="4">
        <v>45710.250054999997</v>
      </c>
      <c r="E4069" s="2">
        <v>3.01</v>
      </c>
      <c r="F4069" s="2">
        <v>75.599999999999994</v>
      </c>
      <c r="G4069" s="2" t="s">
        <v>983</v>
      </c>
      <c r="H4069" s="2" t="s">
        <v>984</v>
      </c>
      <c r="I4069" s="2"/>
      <c r="J4069" s="2" t="s">
        <v>42</v>
      </c>
    </row>
    <row r="4070" spans="1:10" ht="21" customHeight="1">
      <c r="A4070" s="2" t="s">
        <v>5068</v>
      </c>
      <c r="B4070" s="2" t="s">
        <v>42</v>
      </c>
      <c r="C4070" s="4">
        <v>45711.25</v>
      </c>
      <c r="D4070" s="4">
        <v>45711.250481863426</v>
      </c>
      <c r="E4070" s="2">
        <v>3.33</v>
      </c>
      <c r="F4070" s="2">
        <v>78.2</v>
      </c>
      <c r="G4070" s="2" t="s">
        <v>983</v>
      </c>
      <c r="H4070" s="2" t="s">
        <v>984</v>
      </c>
      <c r="I4070" s="2"/>
      <c r="J4070" s="2" t="s">
        <v>42</v>
      </c>
    </row>
    <row r="4071" spans="1:10" ht="21" customHeight="1">
      <c r="A4071" s="2" t="s">
        <v>5069</v>
      </c>
      <c r="B4071" s="2" t="s">
        <v>42</v>
      </c>
      <c r="C4071" s="4">
        <v>45712.25</v>
      </c>
      <c r="D4071" s="4">
        <v>45712.250048576389</v>
      </c>
      <c r="E4071" s="2">
        <v>3.91</v>
      </c>
      <c r="F4071" s="2">
        <v>75.8</v>
      </c>
      <c r="G4071" s="2" t="s">
        <v>983</v>
      </c>
      <c r="H4071" s="2" t="s">
        <v>984</v>
      </c>
      <c r="I4071" s="2"/>
      <c r="J4071" s="2" t="s">
        <v>42</v>
      </c>
    </row>
    <row r="4072" spans="1:10" ht="21" customHeight="1">
      <c r="A4072" s="2" t="s">
        <v>5070</v>
      </c>
      <c r="B4072" s="2" t="s">
        <v>42</v>
      </c>
      <c r="C4072" s="4">
        <v>45713.25</v>
      </c>
      <c r="D4072" s="4">
        <v>45714.5</v>
      </c>
      <c r="E4072" s="2">
        <v>4</v>
      </c>
      <c r="F4072" s="2">
        <v>78.099999999999994</v>
      </c>
      <c r="G4072" s="2" t="s">
        <v>983</v>
      </c>
      <c r="H4072" s="2" t="s">
        <v>984</v>
      </c>
      <c r="I4072" s="2"/>
      <c r="J4072" s="2" t="s">
        <v>42</v>
      </c>
    </row>
    <row r="4073" spans="1:10" ht="21" customHeight="1">
      <c r="A4073" s="2" t="s">
        <v>5071</v>
      </c>
      <c r="B4073" s="2" t="s">
        <v>42</v>
      </c>
      <c r="C4073" s="4">
        <v>45714.25</v>
      </c>
      <c r="D4073" s="4">
        <v>45714.250665648149</v>
      </c>
      <c r="E4073" s="2">
        <v>3.44</v>
      </c>
      <c r="F4073" s="2">
        <v>79.900000000000006</v>
      </c>
      <c r="G4073" s="2" t="s">
        <v>983</v>
      </c>
      <c r="H4073" s="2" t="s">
        <v>984</v>
      </c>
      <c r="I4073" s="2"/>
      <c r="J4073" s="2" t="s">
        <v>42</v>
      </c>
    </row>
    <row r="4074" spans="1:10" ht="21" customHeight="1">
      <c r="A4074" s="2" t="s">
        <v>5072</v>
      </c>
      <c r="B4074" s="2" t="s">
        <v>42</v>
      </c>
      <c r="C4074" s="4">
        <v>45715.25</v>
      </c>
      <c r="D4074" s="4">
        <v>45715.25031909722</v>
      </c>
      <c r="E4074" s="2">
        <v>3.03</v>
      </c>
      <c r="F4074" s="2">
        <v>73.2</v>
      </c>
      <c r="G4074" s="2" t="s">
        <v>983</v>
      </c>
      <c r="H4074" s="2" t="s">
        <v>984</v>
      </c>
      <c r="I4074" s="2"/>
      <c r="J4074" s="2" t="s">
        <v>42</v>
      </c>
    </row>
    <row r="4075" spans="1:10" ht="21" customHeight="1">
      <c r="A4075" s="2" t="s">
        <v>5073</v>
      </c>
      <c r="B4075" s="2" t="s">
        <v>42</v>
      </c>
      <c r="C4075" s="4">
        <v>45716.25</v>
      </c>
      <c r="D4075" s="4">
        <v>45716.250529247685</v>
      </c>
      <c r="E4075" s="2">
        <v>3.3</v>
      </c>
      <c r="F4075" s="2">
        <v>75.099999999999994</v>
      </c>
      <c r="G4075" s="2" t="s">
        <v>983</v>
      </c>
      <c r="H4075" s="2" t="s">
        <v>984</v>
      </c>
      <c r="I4075" s="2"/>
      <c r="J4075" s="2" t="s">
        <v>42</v>
      </c>
    </row>
    <row r="4076" spans="1:10" ht="21" customHeight="1">
      <c r="A4076" s="2" t="s">
        <v>5074</v>
      </c>
      <c r="B4076" s="2" t="s">
        <v>42</v>
      </c>
      <c r="C4076" s="4">
        <v>45717.25</v>
      </c>
      <c r="D4076" s="4">
        <v>45717.250435567126</v>
      </c>
      <c r="E4076" s="2">
        <v>3.73</v>
      </c>
      <c r="F4076" s="2">
        <v>79.3</v>
      </c>
      <c r="G4076" s="2" t="s">
        <v>983</v>
      </c>
      <c r="H4076" s="2" t="s">
        <v>984</v>
      </c>
      <c r="I4076" s="2"/>
      <c r="J4076" s="2" t="s">
        <v>42</v>
      </c>
    </row>
    <row r="4077" spans="1:10" ht="21" customHeight="1">
      <c r="A4077" s="2" t="s">
        <v>5075</v>
      </c>
      <c r="B4077" s="2" t="s">
        <v>42</v>
      </c>
      <c r="C4077" s="4">
        <v>45718.25</v>
      </c>
      <c r="D4077" s="4">
        <v>45718.250228287041</v>
      </c>
      <c r="E4077" s="2">
        <v>3.97</v>
      </c>
      <c r="F4077" s="2">
        <v>74.5</v>
      </c>
      <c r="G4077" s="2" t="s">
        <v>983</v>
      </c>
      <c r="H4077" s="2" t="s">
        <v>984</v>
      </c>
      <c r="I4077" s="2"/>
      <c r="J4077" s="2" t="s">
        <v>42</v>
      </c>
    </row>
    <row r="4078" spans="1:10" ht="21" customHeight="1">
      <c r="A4078" s="2" t="s">
        <v>5076</v>
      </c>
      <c r="B4078" s="2" t="s">
        <v>42</v>
      </c>
      <c r="C4078" s="4">
        <v>45719.25</v>
      </c>
      <c r="D4078" s="4">
        <v>45719.25013346065</v>
      </c>
      <c r="E4078" s="2">
        <v>6.64</v>
      </c>
      <c r="F4078" s="2">
        <v>82.7</v>
      </c>
      <c r="G4078" s="2" t="s">
        <v>983</v>
      </c>
      <c r="H4078" s="2" t="s">
        <v>984</v>
      </c>
      <c r="I4078" s="2"/>
      <c r="J4078" s="2" t="s">
        <v>42</v>
      </c>
    </row>
    <row r="4079" spans="1:10" ht="21" customHeight="1">
      <c r="A4079" s="2" t="s">
        <v>5077</v>
      </c>
      <c r="B4079" s="2" t="s">
        <v>42</v>
      </c>
      <c r="C4079" s="4">
        <v>45720.25</v>
      </c>
      <c r="D4079" s="4">
        <v>45720.250068773152</v>
      </c>
      <c r="E4079" s="2"/>
      <c r="F4079" s="2"/>
      <c r="G4079" s="2" t="s">
        <v>983</v>
      </c>
      <c r="H4079" s="2" t="s">
        <v>1066</v>
      </c>
      <c r="I4079" s="2" t="s">
        <v>1053</v>
      </c>
      <c r="J4079" s="2" t="s">
        <v>42</v>
      </c>
    </row>
    <row r="4080" spans="1:10" ht="21" customHeight="1">
      <c r="A4080" s="2" t="s">
        <v>5078</v>
      </c>
      <c r="B4080" s="2" t="s">
        <v>42</v>
      </c>
      <c r="C4080" s="4">
        <v>45721.25</v>
      </c>
      <c r="D4080" s="4">
        <v>45721.250307337963</v>
      </c>
      <c r="E4080" s="2"/>
      <c r="F4080" s="2"/>
      <c r="G4080" s="2" t="s">
        <v>983</v>
      </c>
      <c r="H4080" s="2" t="s">
        <v>1066</v>
      </c>
      <c r="I4080" s="2"/>
      <c r="J4080" s="2" t="s">
        <v>42</v>
      </c>
    </row>
    <row r="4081" spans="1:10" ht="21" customHeight="1">
      <c r="A4081" s="2" t="s">
        <v>5079</v>
      </c>
      <c r="B4081" s="2" t="s">
        <v>42</v>
      </c>
      <c r="C4081" s="4">
        <v>45722.25</v>
      </c>
      <c r="D4081" s="4">
        <v>45722.250682314814</v>
      </c>
      <c r="E4081" s="2"/>
      <c r="F4081" s="2"/>
      <c r="G4081" s="2" t="s">
        <v>1175</v>
      </c>
      <c r="H4081" s="2" t="s">
        <v>1066</v>
      </c>
      <c r="I4081" s="2"/>
      <c r="J4081" s="2" t="s">
        <v>42</v>
      </c>
    </row>
    <row r="4082" spans="1:10" ht="21" customHeight="1">
      <c r="A4082" s="2" t="s">
        <v>5080</v>
      </c>
      <c r="B4082" s="2" t="s">
        <v>42</v>
      </c>
      <c r="C4082" s="4">
        <v>45723.25</v>
      </c>
      <c r="D4082" s="4">
        <v>45723.250614375</v>
      </c>
      <c r="E4082" s="2">
        <v>3.92</v>
      </c>
      <c r="F4082" s="2">
        <v>76.400000000000006</v>
      </c>
      <c r="G4082" s="2" t="s">
        <v>983</v>
      </c>
      <c r="H4082" s="2" t="s">
        <v>984</v>
      </c>
      <c r="I4082" s="2"/>
      <c r="J4082" s="2" t="s">
        <v>42</v>
      </c>
    </row>
    <row r="4083" spans="1:10" ht="21" customHeight="1">
      <c r="A4083" s="2" t="s">
        <v>5081</v>
      </c>
      <c r="B4083" s="2" t="s">
        <v>42</v>
      </c>
      <c r="C4083" s="4">
        <v>45724.25</v>
      </c>
      <c r="D4083" s="4">
        <v>45725.5</v>
      </c>
      <c r="E4083" s="2">
        <v>3.24</v>
      </c>
      <c r="F4083" s="2">
        <v>75.599999999999994</v>
      </c>
      <c r="G4083" s="2" t="s">
        <v>983</v>
      </c>
      <c r="H4083" s="2" t="s">
        <v>984</v>
      </c>
      <c r="I4083" s="2"/>
      <c r="J4083" s="2" t="s">
        <v>42</v>
      </c>
    </row>
    <row r="4084" spans="1:10" ht="21" customHeight="1">
      <c r="A4084" s="2" t="s">
        <v>5082</v>
      </c>
      <c r="B4084" s="2" t="s">
        <v>42</v>
      </c>
      <c r="C4084" s="4">
        <v>45725.25</v>
      </c>
      <c r="D4084" s="4">
        <v>45725.250393807873</v>
      </c>
      <c r="E4084" s="2">
        <v>3.72</v>
      </c>
      <c r="F4084" s="2">
        <v>74.900000000000006</v>
      </c>
      <c r="G4084" s="2" t="s">
        <v>983</v>
      </c>
      <c r="H4084" s="2" t="s">
        <v>984</v>
      </c>
      <c r="I4084" s="2"/>
      <c r="J4084" s="2" t="s">
        <v>42</v>
      </c>
    </row>
    <row r="4085" spans="1:10" ht="21" customHeight="1">
      <c r="A4085" s="2" t="s">
        <v>5083</v>
      </c>
      <c r="B4085" s="2" t="s">
        <v>42</v>
      </c>
      <c r="C4085" s="4">
        <v>45726.25</v>
      </c>
      <c r="D4085" s="4">
        <v>45726.250111238427</v>
      </c>
      <c r="E4085" s="2">
        <v>3.89</v>
      </c>
      <c r="F4085" s="2">
        <v>76</v>
      </c>
      <c r="G4085" s="2" t="s">
        <v>983</v>
      </c>
      <c r="H4085" s="2" t="s">
        <v>984</v>
      </c>
      <c r="I4085" s="2" t="s">
        <v>985</v>
      </c>
      <c r="J4085" s="2" t="s">
        <v>42</v>
      </c>
    </row>
    <row r="4086" spans="1:10" ht="21" customHeight="1">
      <c r="A4086" s="2" t="s">
        <v>5084</v>
      </c>
      <c r="B4086" s="2" t="s">
        <v>42</v>
      </c>
      <c r="C4086" s="4">
        <v>45727.25</v>
      </c>
      <c r="D4086" s="4">
        <v>45727.250374768519</v>
      </c>
      <c r="E4086" s="2">
        <v>2.95</v>
      </c>
      <c r="F4086" s="2">
        <v>76.5</v>
      </c>
      <c r="G4086" s="2" t="s">
        <v>983</v>
      </c>
      <c r="H4086" s="2" t="s">
        <v>984</v>
      </c>
      <c r="I4086" s="2"/>
      <c r="J4086" s="2" t="s">
        <v>42</v>
      </c>
    </row>
    <row r="4087" spans="1:10" ht="21" customHeight="1">
      <c r="A4087" s="2" t="s">
        <v>5085</v>
      </c>
      <c r="B4087" s="2" t="s">
        <v>42</v>
      </c>
      <c r="C4087" s="4">
        <v>45728.25</v>
      </c>
      <c r="D4087" s="4">
        <v>45728.250052604169</v>
      </c>
      <c r="E4087" s="2">
        <v>3.67</v>
      </c>
      <c r="F4087" s="2">
        <v>73.7</v>
      </c>
      <c r="G4087" s="2" t="s">
        <v>983</v>
      </c>
      <c r="H4087" s="2" t="s">
        <v>984</v>
      </c>
      <c r="I4087" s="2"/>
      <c r="J4087" s="2" t="s">
        <v>42</v>
      </c>
    </row>
    <row r="4088" spans="1:10" ht="21" customHeight="1">
      <c r="A4088" s="2" t="s">
        <v>5086</v>
      </c>
      <c r="B4088" s="2" t="s">
        <v>42</v>
      </c>
      <c r="C4088" s="4">
        <v>45729.25</v>
      </c>
      <c r="D4088" s="4">
        <v>45729.250503159725</v>
      </c>
      <c r="E4088" s="2">
        <v>3.05</v>
      </c>
      <c r="F4088" s="2">
        <v>72.2</v>
      </c>
      <c r="G4088" s="2" t="s">
        <v>983</v>
      </c>
      <c r="H4088" s="2" t="s">
        <v>984</v>
      </c>
      <c r="I4088" s="2"/>
      <c r="J4088" s="2" t="s">
        <v>42</v>
      </c>
    </row>
    <row r="4089" spans="1:10" ht="21" customHeight="1">
      <c r="A4089" s="2" t="s">
        <v>5087</v>
      </c>
      <c r="B4089" s="2" t="s">
        <v>42</v>
      </c>
      <c r="C4089" s="4">
        <v>45730.25</v>
      </c>
      <c r="D4089" s="4">
        <v>45730.25047219907</v>
      </c>
      <c r="E4089" s="2">
        <v>2.86</v>
      </c>
      <c r="F4089" s="2">
        <v>79.5</v>
      </c>
      <c r="G4089" s="2" t="s">
        <v>983</v>
      </c>
      <c r="H4089" s="2" t="s">
        <v>984</v>
      </c>
      <c r="I4089" s="2"/>
      <c r="J4089" s="2" t="s">
        <v>42</v>
      </c>
    </row>
    <row r="4090" spans="1:10" ht="21" customHeight="1">
      <c r="A4090" s="2" t="s">
        <v>5088</v>
      </c>
      <c r="B4090" s="2" t="s">
        <v>42</v>
      </c>
      <c r="C4090" s="4">
        <v>45731.25</v>
      </c>
      <c r="D4090" s="4">
        <v>45731.250348796297</v>
      </c>
      <c r="E4090" s="2">
        <v>3</v>
      </c>
      <c r="F4090" s="2">
        <v>77.8</v>
      </c>
      <c r="G4090" s="2" t="s">
        <v>983</v>
      </c>
      <c r="H4090" s="2" t="s">
        <v>984</v>
      </c>
      <c r="I4090" s="2"/>
      <c r="J4090" s="2" t="s">
        <v>42</v>
      </c>
    </row>
    <row r="4091" spans="1:10" ht="21" customHeight="1">
      <c r="A4091" s="2" t="s">
        <v>5089</v>
      </c>
      <c r="B4091" s="2" t="s">
        <v>42</v>
      </c>
      <c r="C4091" s="4">
        <v>45732.25</v>
      </c>
      <c r="D4091" s="4">
        <v>45732.250084571759</v>
      </c>
      <c r="E4091" s="2">
        <v>3.73</v>
      </c>
      <c r="F4091" s="2">
        <v>76.900000000000006</v>
      </c>
      <c r="G4091" s="2" t="s">
        <v>983</v>
      </c>
      <c r="H4091" s="2" t="s">
        <v>984</v>
      </c>
      <c r="I4091" s="2"/>
      <c r="J4091" s="2" t="s">
        <v>42</v>
      </c>
    </row>
    <row r="4092" spans="1:10" ht="21" customHeight="1">
      <c r="A4092" s="2" t="s">
        <v>5090</v>
      </c>
      <c r="B4092" s="2" t="s">
        <v>42</v>
      </c>
      <c r="C4092" s="4">
        <v>45733.25</v>
      </c>
      <c r="D4092" s="4">
        <v>45733.250169236111</v>
      </c>
      <c r="E4092" s="2">
        <v>3.36</v>
      </c>
      <c r="F4092" s="2">
        <v>78.900000000000006</v>
      </c>
      <c r="G4092" s="2" t="s">
        <v>983</v>
      </c>
      <c r="H4092" s="2" t="s">
        <v>984</v>
      </c>
      <c r="I4092" s="2"/>
      <c r="J4092" s="2" t="s">
        <v>42</v>
      </c>
    </row>
    <row r="4093" spans="1:10" ht="21" customHeight="1">
      <c r="A4093" s="2" t="s">
        <v>5091</v>
      </c>
      <c r="B4093" s="2" t="s">
        <v>42</v>
      </c>
      <c r="C4093" s="4">
        <v>45734.25</v>
      </c>
      <c r="D4093" s="4">
        <v>45734.250376747688</v>
      </c>
      <c r="E4093" s="2">
        <v>3.27</v>
      </c>
      <c r="F4093" s="2">
        <v>79.400000000000006</v>
      </c>
      <c r="G4093" s="2" t="s">
        <v>983</v>
      </c>
      <c r="H4093" s="2" t="s">
        <v>984</v>
      </c>
      <c r="I4093" s="2"/>
      <c r="J4093" s="2" t="s">
        <v>42</v>
      </c>
    </row>
    <row r="4094" spans="1:10" ht="21" customHeight="1">
      <c r="A4094" s="2" t="s">
        <v>5092</v>
      </c>
      <c r="B4094" s="2" t="s">
        <v>42</v>
      </c>
      <c r="C4094" s="4">
        <v>45735.25</v>
      </c>
      <c r="D4094" s="4">
        <v>45736.5</v>
      </c>
      <c r="E4094" s="2">
        <v>2.99</v>
      </c>
      <c r="F4094" s="2">
        <v>74.5</v>
      </c>
      <c r="G4094" s="2" t="s">
        <v>983</v>
      </c>
      <c r="H4094" s="2" t="s">
        <v>984</v>
      </c>
      <c r="I4094" s="2"/>
      <c r="J4094" s="2" t="s">
        <v>42</v>
      </c>
    </row>
    <row r="4095" spans="1:10" ht="21" customHeight="1">
      <c r="A4095" s="2" t="s">
        <v>5093</v>
      </c>
      <c r="B4095" s="2" t="s">
        <v>42</v>
      </c>
      <c r="C4095" s="4">
        <v>45736.25</v>
      </c>
      <c r="D4095" s="4">
        <v>45736.250342013889</v>
      </c>
      <c r="E4095" s="2">
        <v>0</v>
      </c>
      <c r="F4095" s="2">
        <v>78.8</v>
      </c>
      <c r="G4095" s="2" t="s">
        <v>1175</v>
      </c>
      <c r="H4095" s="2" t="s">
        <v>984</v>
      </c>
      <c r="I4095" s="2"/>
      <c r="J4095" s="2" t="s">
        <v>42</v>
      </c>
    </row>
    <row r="4096" spans="1:10" ht="21" customHeight="1">
      <c r="A4096" s="2" t="s">
        <v>5094</v>
      </c>
      <c r="B4096" s="2" t="s">
        <v>42</v>
      </c>
      <c r="C4096" s="4">
        <v>45737.25</v>
      </c>
      <c r="D4096" s="4">
        <v>45737.250626979163</v>
      </c>
      <c r="E4096" s="2">
        <v>3.42</v>
      </c>
      <c r="F4096" s="2">
        <v>77.599999999999994</v>
      </c>
      <c r="G4096" s="2" t="s">
        <v>983</v>
      </c>
      <c r="H4096" s="2" t="s">
        <v>984</v>
      </c>
      <c r="I4096" s="2"/>
      <c r="J4096" s="2" t="s">
        <v>42</v>
      </c>
    </row>
    <row r="4097" spans="1:10" ht="21" customHeight="1">
      <c r="A4097" s="2" t="s">
        <v>5095</v>
      </c>
      <c r="B4097" s="2" t="s">
        <v>42</v>
      </c>
      <c r="C4097" s="4">
        <v>45738.25</v>
      </c>
      <c r="D4097" s="4">
        <v>45738.250468506943</v>
      </c>
      <c r="E4097" s="2">
        <v>3.05</v>
      </c>
      <c r="F4097" s="2">
        <v>76.099999999999994</v>
      </c>
      <c r="G4097" s="2" t="s">
        <v>983</v>
      </c>
      <c r="H4097" s="2" t="s">
        <v>984</v>
      </c>
      <c r="I4097" s="2"/>
      <c r="J4097" s="2" t="s">
        <v>42</v>
      </c>
    </row>
    <row r="4098" spans="1:10" ht="21" customHeight="1">
      <c r="A4098" s="2" t="s">
        <v>5096</v>
      </c>
      <c r="B4098" s="2" t="s">
        <v>42</v>
      </c>
      <c r="C4098" s="4">
        <v>45739.25</v>
      </c>
      <c r="D4098" s="4">
        <v>45739.250361516199</v>
      </c>
      <c r="E4098" s="2">
        <v>3.54</v>
      </c>
      <c r="F4098" s="2">
        <v>75.2</v>
      </c>
      <c r="G4098" s="2" t="s">
        <v>983</v>
      </c>
      <c r="H4098" s="2" t="s">
        <v>984</v>
      </c>
      <c r="I4098" s="2"/>
      <c r="J4098" s="2" t="s">
        <v>42</v>
      </c>
    </row>
    <row r="4099" spans="1:10" ht="21" customHeight="1">
      <c r="A4099" s="2" t="s">
        <v>5097</v>
      </c>
      <c r="B4099" s="2" t="s">
        <v>42</v>
      </c>
      <c r="C4099" s="4">
        <v>45740.25</v>
      </c>
      <c r="D4099" s="4">
        <v>45740.250583414352</v>
      </c>
      <c r="E4099" s="2">
        <v>3.76</v>
      </c>
      <c r="F4099" s="2">
        <v>79.5</v>
      </c>
      <c r="G4099" s="2" t="s">
        <v>983</v>
      </c>
      <c r="H4099" s="2" t="s">
        <v>984</v>
      </c>
      <c r="I4099" s="2"/>
      <c r="J4099" s="2" t="s">
        <v>42</v>
      </c>
    </row>
    <row r="4100" spans="1:10" ht="21" customHeight="1">
      <c r="A4100" s="2" t="s">
        <v>5098</v>
      </c>
      <c r="B4100" s="2" t="s">
        <v>42</v>
      </c>
      <c r="C4100" s="4">
        <v>45741.25</v>
      </c>
      <c r="D4100" s="4">
        <v>45741.25009483796</v>
      </c>
      <c r="E4100" s="2"/>
      <c r="F4100" s="2"/>
      <c r="G4100" s="2" t="s">
        <v>983</v>
      </c>
      <c r="H4100" s="2" t="s">
        <v>1066</v>
      </c>
      <c r="I4100" s="2"/>
      <c r="J4100" s="2" t="s">
        <v>42</v>
      </c>
    </row>
    <row r="4101" spans="1:10" ht="21" customHeight="1">
      <c r="A4101" s="2" t="s">
        <v>5099</v>
      </c>
      <c r="B4101" s="2" t="s">
        <v>42</v>
      </c>
      <c r="C4101" s="4">
        <v>45742.25</v>
      </c>
      <c r="D4101" s="4">
        <v>45742.25036471065</v>
      </c>
      <c r="E4101" s="2">
        <v>3.84</v>
      </c>
      <c r="F4101" s="2">
        <v>78.7</v>
      </c>
      <c r="G4101" s="2" t="s">
        <v>983</v>
      </c>
      <c r="H4101" s="2" t="s">
        <v>984</v>
      </c>
      <c r="I4101" s="2"/>
      <c r="J4101" s="2" t="s">
        <v>42</v>
      </c>
    </row>
    <row r="4102" spans="1:10" ht="21" customHeight="1">
      <c r="A4102" s="2" t="s">
        <v>5100</v>
      </c>
      <c r="B4102" s="2" t="s">
        <v>5018</v>
      </c>
      <c r="C4102" s="4">
        <v>45743.25</v>
      </c>
      <c r="D4102" s="4">
        <v>45743.250330312498</v>
      </c>
      <c r="E4102" s="2">
        <v>3.57</v>
      </c>
      <c r="F4102" s="2">
        <v>76.7</v>
      </c>
      <c r="G4102" s="2" t="s">
        <v>983</v>
      </c>
      <c r="H4102" s="2" t="s">
        <v>984</v>
      </c>
      <c r="I4102" s="2" t="s">
        <v>985</v>
      </c>
      <c r="J4102" s="2" t="s">
        <v>42</v>
      </c>
    </row>
    <row r="4103" spans="1:10" ht="21" customHeight="1">
      <c r="A4103" s="2" t="s">
        <v>5101</v>
      </c>
      <c r="B4103" s="2" t="s">
        <v>42</v>
      </c>
      <c r="C4103" s="4">
        <v>45744.25</v>
      </c>
      <c r="D4103" s="4">
        <v>45744.250230196762</v>
      </c>
      <c r="E4103" s="2"/>
      <c r="F4103" s="2"/>
      <c r="G4103" s="2" t="s">
        <v>983</v>
      </c>
      <c r="H4103" s="2" t="s">
        <v>1066</v>
      </c>
      <c r="I4103" s="2"/>
      <c r="J4103" s="2" t="s">
        <v>42</v>
      </c>
    </row>
    <row r="4104" spans="1:10" ht="21" customHeight="1">
      <c r="A4104" s="2" t="s">
        <v>5102</v>
      </c>
      <c r="B4104" s="2" t="s">
        <v>42</v>
      </c>
      <c r="C4104" s="4">
        <v>45745.25</v>
      </c>
      <c r="D4104" s="4">
        <v>45745.250529594909</v>
      </c>
      <c r="E4104" s="2">
        <v>3.53</v>
      </c>
      <c r="F4104" s="2">
        <v>79</v>
      </c>
      <c r="G4104" s="2" t="s">
        <v>983</v>
      </c>
      <c r="H4104" s="2" t="s">
        <v>984</v>
      </c>
      <c r="I4104" s="2"/>
      <c r="J4104" s="2" t="s">
        <v>42</v>
      </c>
    </row>
    <row r="4105" spans="1:10" ht="21" customHeight="1">
      <c r="A4105" s="2" t="s">
        <v>5103</v>
      </c>
      <c r="B4105" s="2" t="s">
        <v>42</v>
      </c>
      <c r="C4105" s="4">
        <v>45746.25</v>
      </c>
      <c r="D4105" s="4">
        <v>45747.5</v>
      </c>
      <c r="E4105" s="2">
        <v>3.46</v>
      </c>
      <c r="F4105" s="2">
        <v>79.599999999999994</v>
      </c>
      <c r="G4105" s="2" t="s">
        <v>983</v>
      </c>
      <c r="H4105" s="2" t="s">
        <v>984</v>
      </c>
      <c r="I4105" s="2"/>
      <c r="J4105" s="2" t="s">
        <v>42</v>
      </c>
    </row>
    <row r="4106" spans="1:10" ht="21" customHeight="1">
      <c r="A4106" s="2" t="s">
        <v>5104</v>
      </c>
      <c r="B4106" s="2" t="s">
        <v>42</v>
      </c>
      <c r="C4106" s="4">
        <v>45747.25</v>
      </c>
      <c r="D4106" s="4">
        <v>45747.250569490745</v>
      </c>
      <c r="E4106" s="2">
        <v>3.74</v>
      </c>
      <c r="F4106" s="2">
        <v>77</v>
      </c>
      <c r="G4106" s="2" t="s">
        <v>983</v>
      </c>
      <c r="H4106" s="2" t="s">
        <v>984</v>
      </c>
      <c r="I4106" s="2"/>
      <c r="J4106" s="2" t="s">
        <v>42</v>
      </c>
    </row>
    <row r="4107" spans="1:10" ht="21" customHeight="1">
      <c r="A4107" s="2" t="s">
        <v>5105</v>
      </c>
      <c r="B4107" s="2" t="s">
        <v>42</v>
      </c>
      <c r="C4107" s="4">
        <v>45748.25</v>
      </c>
      <c r="D4107" s="4">
        <v>45748.250660648147</v>
      </c>
      <c r="E4107" s="2">
        <v>3.91</v>
      </c>
      <c r="F4107" s="2">
        <v>72.900000000000006</v>
      </c>
      <c r="G4107" s="2" t="s">
        <v>983</v>
      </c>
      <c r="H4107" s="2" t="s">
        <v>984</v>
      </c>
      <c r="I4107" s="2"/>
      <c r="J4107" s="2" t="s">
        <v>42</v>
      </c>
    </row>
    <row r="4108" spans="1:10" ht="21" customHeight="1">
      <c r="A4108" s="2" t="s">
        <v>5106</v>
      </c>
      <c r="B4108" s="2" t="s">
        <v>42</v>
      </c>
      <c r="C4108" s="4">
        <v>45749.25</v>
      </c>
      <c r="D4108" s="4">
        <v>45749.250564571761</v>
      </c>
      <c r="E4108" s="2">
        <v>2.96</v>
      </c>
      <c r="F4108" s="2">
        <v>76.7</v>
      </c>
      <c r="G4108" s="2" t="s">
        <v>983</v>
      </c>
      <c r="H4108" s="2" t="s">
        <v>984</v>
      </c>
      <c r="I4108" s="2"/>
      <c r="J4108" s="2" t="s">
        <v>42</v>
      </c>
    </row>
    <row r="4109" spans="1:10" ht="21" customHeight="1">
      <c r="A4109" s="2" t="s">
        <v>5107</v>
      </c>
      <c r="B4109" s="2" t="s">
        <v>42</v>
      </c>
      <c r="C4109" s="4">
        <v>45750.25</v>
      </c>
      <c r="D4109" s="4">
        <v>45750.25008726852</v>
      </c>
      <c r="E4109" s="2">
        <v>2.91</v>
      </c>
      <c r="F4109" s="2">
        <v>77.2</v>
      </c>
      <c r="G4109" s="2" t="s">
        <v>983</v>
      </c>
      <c r="H4109" s="2" t="s">
        <v>984</v>
      </c>
      <c r="I4109" s="2"/>
      <c r="J4109" s="2" t="s">
        <v>42</v>
      </c>
    </row>
    <row r="4110" spans="1:10" ht="21" customHeight="1">
      <c r="A4110" s="2" t="s">
        <v>5108</v>
      </c>
      <c r="B4110" s="2" t="s">
        <v>42</v>
      </c>
      <c r="C4110" s="4">
        <v>45751.25</v>
      </c>
      <c r="D4110" s="4">
        <v>45751.250199016205</v>
      </c>
      <c r="E4110" s="2">
        <v>3.65</v>
      </c>
      <c r="F4110" s="2">
        <v>77.3</v>
      </c>
      <c r="G4110" s="2" t="s">
        <v>983</v>
      </c>
      <c r="H4110" s="2" t="s">
        <v>984</v>
      </c>
      <c r="I4110" s="2"/>
      <c r="J4110" s="2" t="s">
        <v>42</v>
      </c>
    </row>
    <row r="4111" spans="1:10" ht="21" customHeight="1">
      <c r="A4111" s="2" t="s">
        <v>5109</v>
      </c>
      <c r="B4111" s="2" t="s">
        <v>42</v>
      </c>
      <c r="C4111" s="4">
        <v>45752.25</v>
      </c>
      <c r="D4111" s="4">
        <v>45752.250074664349</v>
      </c>
      <c r="E4111" s="2">
        <v>3.31</v>
      </c>
      <c r="F4111" s="2">
        <v>79</v>
      </c>
      <c r="G4111" s="2" t="s">
        <v>983</v>
      </c>
      <c r="H4111" s="2" t="s">
        <v>984</v>
      </c>
      <c r="I4111" s="2"/>
      <c r="J4111" s="2" t="s">
        <v>42</v>
      </c>
    </row>
    <row r="4112" spans="1:10" ht="21" customHeight="1">
      <c r="A4112" s="2" t="s">
        <v>5110</v>
      </c>
      <c r="B4112" s="2" t="s">
        <v>42</v>
      </c>
      <c r="C4112" s="4">
        <v>45753.25</v>
      </c>
      <c r="D4112" s="4">
        <v>45753.250691689813</v>
      </c>
      <c r="E4112" s="2">
        <v>3.71</v>
      </c>
      <c r="F4112" s="2">
        <v>73.7</v>
      </c>
      <c r="G4112" s="2" t="s">
        <v>983</v>
      </c>
      <c r="H4112" s="2" t="s">
        <v>984</v>
      </c>
      <c r="I4112" s="2"/>
      <c r="J4112" s="2" t="s">
        <v>42</v>
      </c>
    </row>
    <row r="4113" spans="1:10" ht="21" customHeight="1">
      <c r="A4113" s="2" t="s">
        <v>5111</v>
      </c>
      <c r="B4113" s="2" t="s">
        <v>42</v>
      </c>
      <c r="C4113" s="4">
        <v>45754.25</v>
      </c>
      <c r="D4113" s="4">
        <v>45754.250096620366</v>
      </c>
      <c r="E4113" s="2">
        <v>3.5</v>
      </c>
      <c r="F4113" s="2">
        <v>79.5</v>
      </c>
      <c r="G4113" s="2" t="s">
        <v>983</v>
      </c>
      <c r="H4113" s="2" t="s">
        <v>984</v>
      </c>
      <c r="I4113" s="2"/>
      <c r="J4113" s="2" t="s">
        <v>42</v>
      </c>
    </row>
    <row r="4114" spans="1:10" ht="21" customHeight="1">
      <c r="A4114" s="2" t="s">
        <v>5112</v>
      </c>
      <c r="B4114" s="2" t="s">
        <v>42</v>
      </c>
      <c r="C4114" s="4">
        <v>45755.25</v>
      </c>
      <c r="D4114" s="4">
        <v>45755.250354976852</v>
      </c>
      <c r="E4114" s="2"/>
      <c r="F4114" s="2"/>
      <c r="G4114" s="2" t="s">
        <v>983</v>
      </c>
      <c r="H4114" s="2" t="s">
        <v>1066</v>
      </c>
      <c r="I4114" s="2"/>
      <c r="J4114" s="2" t="s">
        <v>42</v>
      </c>
    </row>
    <row r="4115" spans="1:10" ht="21" customHeight="1">
      <c r="A4115" s="2" t="s">
        <v>5113</v>
      </c>
      <c r="B4115" s="2" t="s">
        <v>42</v>
      </c>
      <c r="C4115" s="4">
        <v>45756.25</v>
      </c>
      <c r="D4115" s="4">
        <v>45756.250314583333</v>
      </c>
      <c r="E4115" s="2">
        <v>3.53</v>
      </c>
      <c r="F4115" s="2">
        <v>76.599999999999994</v>
      </c>
      <c r="G4115" s="2" t="s">
        <v>983</v>
      </c>
      <c r="H4115" s="2" t="s">
        <v>984</v>
      </c>
      <c r="I4115" s="2"/>
      <c r="J4115" s="2" t="s">
        <v>42</v>
      </c>
    </row>
    <row r="4116" spans="1:10" ht="21" customHeight="1">
      <c r="A4116" s="2" t="s">
        <v>5114</v>
      </c>
      <c r="B4116" s="2" t="s">
        <v>42</v>
      </c>
      <c r="C4116" s="4">
        <v>45757.25</v>
      </c>
      <c r="D4116" s="4">
        <v>45758.5</v>
      </c>
      <c r="E4116" s="2">
        <v>2.98</v>
      </c>
      <c r="F4116" s="2">
        <v>72</v>
      </c>
      <c r="G4116" s="2" t="s">
        <v>983</v>
      </c>
      <c r="H4116" s="2" t="s">
        <v>984</v>
      </c>
      <c r="I4116" s="2"/>
      <c r="J4116" s="2" t="s">
        <v>42</v>
      </c>
    </row>
    <row r="4117" spans="1:10" ht="21" customHeight="1">
      <c r="A4117" s="2" t="s">
        <v>5115</v>
      </c>
      <c r="B4117" s="2" t="s">
        <v>42</v>
      </c>
      <c r="C4117" s="4">
        <v>45758.25</v>
      </c>
      <c r="D4117" s="4">
        <v>45758.250247569449</v>
      </c>
      <c r="E4117" s="2">
        <v>0</v>
      </c>
      <c r="F4117" s="2">
        <v>78.7</v>
      </c>
      <c r="G4117" s="2" t="s">
        <v>1175</v>
      </c>
      <c r="H4117" s="2" t="s">
        <v>984</v>
      </c>
      <c r="I4117" s="2"/>
      <c r="J4117" s="2" t="s">
        <v>42</v>
      </c>
    </row>
    <row r="4118" spans="1:10" ht="21" customHeight="1">
      <c r="A4118" s="2" t="s">
        <v>5116</v>
      </c>
      <c r="B4118" s="2" t="s">
        <v>42</v>
      </c>
      <c r="C4118" s="4">
        <v>45759.25</v>
      </c>
      <c r="D4118" s="4">
        <v>45759.250579317129</v>
      </c>
      <c r="E4118" s="2">
        <v>3.64</v>
      </c>
      <c r="F4118" s="2">
        <v>72.7</v>
      </c>
      <c r="G4118" s="2" t="s">
        <v>983</v>
      </c>
      <c r="H4118" s="2" t="s">
        <v>984</v>
      </c>
      <c r="I4118" s="2"/>
      <c r="J4118" s="2" t="s">
        <v>42</v>
      </c>
    </row>
    <row r="4119" spans="1:10" ht="21" customHeight="1">
      <c r="A4119" s="2" t="s">
        <v>5117</v>
      </c>
      <c r="B4119" s="2" t="s">
        <v>42</v>
      </c>
      <c r="C4119" s="4">
        <v>45760.25</v>
      </c>
      <c r="D4119" s="4">
        <v>45760.250621539351</v>
      </c>
      <c r="E4119" s="2">
        <v>3.3</v>
      </c>
      <c r="F4119" s="2">
        <v>77.900000000000006</v>
      </c>
      <c r="G4119" s="2" t="s">
        <v>983</v>
      </c>
      <c r="H4119" s="2" t="s">
        <v>984</v>
      </c>
      <c r="I4119" s="2" t="s">
        <v>985</v>
      </c>
      <c r="J4119" s="2" t="s">
        <v>42</v>
      </c>
    </row>
    <row r="4120" spans="1:10" ht="21" customHeight="1">
      <c r="A4120" s="2" t="s">
        <v>5118</v>
      </c>
      <c r="B4120" s="2" t="s">
        <v>42</v>
      </c>
      <c r="C4120" s="4">
        <v>45761.25</v>
      </c>
      <c r="D4120" s="4">
        <v>45761.250051296302</v>
      </c>
      <c r="E4120" s="2">
        <v>3.79</v>
      </c>
      <c r="F4120" s="2">
        <v>73.8</v>
      </c>
      <c r="G4120" s="2" t="s">
        <v>983</v>
      </c>
      <c r="H4120" s="2" t="s">
        <v>984</v>
      </c>
      <c r="I4120" s="2"/>
      <c r="J4120" s="2" t="s">
        <v>42</v>
      </c>
    </row>
    <row r="4121" spans="1:10" ht="21" customHeight="1">
      <c r="A4121" s="2" t="s">
        <v>5119</v>
      </c>
      <c r="B4121" s="2" t="s">
        <v>42</v>
      </c>
      <c r="C4121" s="4">
        <v>45762.25</v>
      </c>
      <c r="D4121" s="4">
        <v>45762.250606875001</v>
      </c>
      <c r="E4121" s="2">
        <v>3.31</v>
      </c>
      <c r="F4121" s="2">
        <v>75.5</v>
      </c>
      <c r="G4121" s="2" t="s">
        <v>983</v>
      </c>
      <c r="H4121" s="2" t="s">
        <v>984</v>
      </c>
      <c r="I4121" s="2"/>
      <c r="J4121" s="2" t="s">
        <v>42</v>
      </c>
    </row>
    <row r="4122" spans="1:10" ht="21" customHeight="1">
      <c r="A4122" s="2" t="s">
        <v>5120</v>
      </c>
      <c r="B4122" s="2" t="s">
        <v>42</v>
      </c>
      <c r="C4122" s="4">
        <v>45763.25</v>
      </c>
      <c r="D4122" s="4">
        <v>45763.250670462963</v>
      </c>
      <c r="E4122" s="2">
        <v>3.05</v>
      </c>
      <c r="F4122" s="2">
        <v>77.3</v>
      </c>
      <c r="G4122" s="2" t="s">
        <v>983</v>
      </c>
      <c r="H4122" s="2" t="s">
        <v>984</v>
      </c>
      <c r="I4122" s="2"/>
      <c r="J4122" s="2" t="s">
        <v>42</v>
      </c>
    </row>
    <row r="4123" spans="1:10" ht="21" customHeight="1">
      <c r="A4123" s="2" t="s">
        <v>5121</v>
      </c>
      <c r="B4123" s="2" t="s">
        <v>42</v>
      </c>
      <c r="C4123" s="4">
        <v>45764.25</v>
      </c>
      <c r="D4123" s="4">
        <v>45764.250524594907</v>
      </c>
      <c r="E4123" s="2">
        <v>3.89</v>
      </c>
      <c r="F4123" s="2">
        <v>75.900000000000006</v>
      </c>
      <c r="G4123" s="2" t="s">
        <v>983</v>
      </c>
      <c r="H4123" s="2" t="s">
        <v>984</v>
      </c>
      <c r="I4123" s="2"/>
      <c r="J4123" s="2" t="s">
        <v>42</v>
      </c>
    </row>
    <row r="4124" spans="1:10" ht="21" customHeight="1">
      <c r="A4124" s="2" t="s">
        <v>5122</v>
      </c>
      <c r="B4124" s="2" t="s">
        <v>42</v>
      </c>
      <c r="C4124" s="4">
        <v>45765.25</v>
      </c>
      <c r="D4124" s="4">
        <v>45765.250491030092</v>
      </c>
      <c r="E4124" s="2">
        <v>3.91</v>
      </c>
      <c r="F4124" s="2">
        <v>79.8</v>
      </c>
      <c r="G4124" s="2" t="s">
        <v>983</v>
      </c>
      <c r="H4124" s="2" t="s">
        <v>984</v>
      </c>
      <c r="I4124" s="2"/>
      <c r="J4124" s="2" t="s">
        <v>42</v>
      </c>
    </row>
    <row r="4125" spans="1:10" ht="21" customHeight="1">
      <c r="A4125" s="2" t="s">
        <v>5123</v>
      </c>
      <c r="B4125" s="2" t="s">
        <v>42</v>
      </c>
      <c r="C4125" s="4">
        <v>45766.25</v>
      </c>
      <c r="D4125" s="4">
        <v>45766.25008179398</v>
      </c>
      <c r="E4125" s="2"/>
      <c r="F4125" s="2"/>
      <c r="G4125" s="2" t="s">
        <v>983</v>
      </c>
      <c r="H4125" s="2" t="s">
        <v>1066</v>
      </c>
      <c r="I4125" s="2"/>
      <c r="J4125" s="2" t="s">
        <v>42</v>
      </c>
    </row>
    <row r="4126" spans="1:10" ht="21" customHeight="1">
      <c r="A4126" s="2" t="s">
        <v>5124</v>
      </c>
      <c r="B4126" s="2" t="s">
        <v>42</v>
      </c>
      <c r="C4126" s="4">
        <v>45767.25</v>
      </c>
      <c r="D4126" s="4">
        <v>45767.250240393521</v>
      </c>
      <c r="E4126" s="2">
        <v>3</v>
      </c>
      <c r="F4126" s="2">
        <v>74.7</v>
      </c>
      <c r="G4126" s="2" t="s">
        <v>983</v>
      </c>
      <c r="H4126" s="2" t="s">
        <v>984</v>
      </c>
      <c r="I4126" s="2"/>
      <c r="J4126" s="2" t="s">
        <v>42</v>
      </c>
    </row>
    <row r="4127" spans="1:10" ht="21" customHeight="1">
      <c r="A4127" s="2" t="s">
        <v>5125</v>
      </c>
      <c r="B4127" s="2" t="s">
        <v>42</v>
      </c>
      <c r="C4127" s="4">
        <v>45768.25</v>
      </c>
      <c r="D4127" s="4">
        <v>45769.5</v>
      </c>
      <c r="E4127" s="2">
        <v>2.94</v>
      </c>
      <c r="F4127" s="2">
        <v>76.400000000000006</v>
      </c>
      <c r="G4127" s="2" t="s">
        <v>983</v>
      </c>
      <c r="H4127" s="2" t="s">
        <v>984</v>
      </c>
      <c r="I4127" s="2"/>
      <c r="J4127" s="2" t="s">
        <v>42</v>
      </c>
    </row>
    <row r="4128" spans="1:10" ht="21" customHeight="1">
      <c r="A4128" s="2" t="s">
        <v>5126</v>
      </c>
      <c r="B4128" s="2" t="s">
        <v>42</v>
      </c>
      <c r="C4128" s="4">
        <v>45769.25</v>
      </c>
      <c r="D4128" s="4">
        <v>45769.250220659727</v>
      </c>
      <c r="E4128" s="2"/>
      <c r="F4128" s="2"/>
      <c r="G4128" s="2" t="s">
        <v>983</v>
      </c>
      <c r="H4128" s="2" t="s">
        <v>1066</v>
      </c>
      <c r="I4128" s="2"/>
      <c r="J4128" s="2" t="s">
        <v>42</v>
      </c>
    </row>
    <row r="4129" spans="1:10" ht="21" customHeight="1">
      <c r="A4129" s="2" t="s">
        <v>5127</v>
      </c>
      <c r="B4129" s="2" t="s">
        <v>42</v>
      </c>
      <c r="C4129" s="4">
        <v>45770.25</v>
      </c>
      <c r="D4129" s="4">
        <v>45770.250186157413</v>
      </c>
      <c r="E4129" s="2">
        <v>3.55</v>
      </c>
      <c r="F4129" s="2">
        <v>72.8</v>
      </c>
      <c r="G4129" s="2" t="s">
        <v>983</v>
      </c>
      <c r="H4129" s="2" t="s">
        <v>984</v>
      </c>
      <c r="I4129" s="2"/>
      <c r="J4129" s="2" t="s">
        <v>42</v>
      </c>
    </row>
    <row r="4130" spans="1:10" ht="21" customHeight="1">
      <c r="A4130" s="2" t="s">
        <v>5128</v>
      </c>
      <c r="B4130" s="2" t="s">
        <v>42</v>
      </c>
      <c r="C4130" s="4">
        <v>45771.25</v>
      </c>
      <c r="D4130" s="4">
        <v>45771.25025769676</v>
      </c>
      <c r="E4130" s="2">
        <v>3.45</v>
      </c>
      <c r="F4130" s="2">
        <v>79.5</v>
      </c>
      <c r="G4130" s="2" t="s">
        <v>983</v>
      </c>
      <c r="H4130" s="2" t="s">
        <v>984</v>
      </c>
      <c r="I4130" s="2"/>
      <c r="J4130" s="2" t="s">
        <v>42</v>
      </c>
    </row>
    <row r="4131" spans="1:10" ht="21" customHeight="1">
      <c r="A4131" s="2" t="s">
        <v>5129</v>
      </c>
      <c r="B4131" s="2" t="s">
        <v>42</v>
      </c>
      <c r="C4131" s="4">
        <v>45772.25</v>
      </c>
      <c r="D4131" s="4">
        <v>45772.250075509262</v>
      </c>
      <c r="E4131" s="2">
        <v>3.25</v>
      </c>
      <c r="F4131" s="2">
        <v>76</v>
      </c>
      <c r="G4131" s="2" t="s">
        <v>983</v>
      </c>
      <c r="H4131" s="2" t="s">
        <v>984</v>
      </c>
      <c r="I4131" s="2"/>
      <c r="J4131" s="2" t="s">
        <v>42</v>
      </c>
    </row>
    <row r="4132" spans="1:10" ht="21" customHeight="1">
      <c r="A4132" s="2" t="s">
        <v>5130</v>
      </c>
      <c r="B4132" s="2" t="s">
        <v>42</v>
      </c>
      <c r="C4132" s="4">
        <v>45773.25</v>
      </c>
      <c r="D4132" s="4">
        <v>45773.250661493061</v>
      </c>
      <c r="E4132" s="2">
        <v>3.7</v>
      </c>
      <c r="F4132" s="2">
        <v>79.599999999999994</v>
      </c>
      <c r="G4132" s="2" t="s">
        <v>983</v>
      </c>
      <c r="H4132" s="2" t="s">
        <v>984</v>
      </c>
      <c r="I4132" s="2"/>
      <c r="J4132" s="2" t="s">
        <v>42</v>
      </c>
    </row>
    <row r="4133" spans="1:10" ht="21" customHeight="1">
      <c r="A4133" s="2" t="s">
        <v>5131</v>
      </c>
      <c r="B4133" s="2" t="s">
        <v>42</v>
      </c>
      <c r="C4133" s="4">
        <v>45774.25</v>
      </c>
      <c r="D4133" s="4">
        <v>45774.250188530088</v>
      </c>
      <c r="E4133" s="2">
        <v>3.35</v>
      </c>
      <c r="F4133" s="2">
        <v>75.2</v>
      </c>
      <c r="G4133" s="2" t="s">
        <v>983</v>
      </c>
      <c r="H4133" s="2" t="s">
        <v>984</v>
      </c>
      <c r="I4133" s="2"/>
      <c r="J4133" s="2" t="s">
        <v>42</v>
      </c>
    </row>
    <row r="4134" spans="1:10" ht="21" customHeight="1">
      <c r="A4134" s="2" t="s">
        <v>5132</v>
      </c>
      <c r="B4134" s="2" t="s">
        <v>42</v>
      </c>
      <c r="C4134" s="4">
        <v>45775.25</v>
      </c>
      <c r="D4134" s="4">
        <v>45775.250404479171</v>
      </c>
      <c r="E4134" s="2">
        <v>3.97</v>
      </c>
      <c r="F4134" s="2">
        <v>79.7</v>
      </c>
      <c r="G4134" s="2" t="s">
        <v>983</v>
      </c>
      <c r="H4134" s="2" t="s">
        <v>984</v>
      </c>
      <c r="I4134" s="2"/>
      <c r="J4134" s="2" t="s">
        <v>42</v>
      </c>
    </row>
    <row r="4135" spans="1:10" ht="21" customHeight="1">
      <c r="A4135" s="2" t="s">
        <v>5133</v>
      </c>
      <c r="B4135" s="2" t="s">
        <v>42</v>
      </c>
      <c r="C4135" s="4">
        <v>45776.25</v>
      </c>
      <c r="D4135" s="4">
        <v>45776.250551608799</v>
      </c>
      <c r="E4135" s="2">
        <v>3.01</v>
      </c>
      <c r="F4135" s="2">
        <v>75.2</v>
      </c>
      <c r="G4135" s="2" t="s">
        <v>983</v>
      </c>
      <c r="H4135" s="2" t="s">
        <v>984</v>
      </c>
      <c r="I4135" s="2"/>
      <c r="J4135" s="2" t="s">
        <v>42</v>
      </c>
    </row>
    <row r="4136" spans="1:10" ht="21" customHeight="1">
      <c r="A4136" s="2" t="s">
        <v>5134</v>
      </c>
      <c r="B4136" s="2" t="s">
        <v>42</v>
      </c>
      <c r="C4136" s="4">
        <v>45777.25</v>
      </c>
      <c r="D4136" s="4">
        <v>45777.250474791668</v>
      </c>
      <c r="E4136" s="2"/>
      <c r="F4136" s="2"/>
      <c r="G4136" s="2" t="s">
        <v>983</v>
      </c>
      <c r="H4136" s="2" t="s">
        <v>1066</v>
      </c>
      <c r="I4136" s="2" t="s">
        <v>985</v>
      </c>
      <c r="J4136" s="2" t="s">
        <v>42</v>
      </c>
    </row>
    <row r="4137" spans="1:10" ht="21" customHeight="1">
      <c r="A4137" s="2" t="s">
        <v>5135</v>
      </c>
      <c r="B4137" s="2" t="s">
        <v>42</v>
      </c>
      <c r="C4137" s="4">
        <v>45778.25</v>
      </c>
      <c r="D4137" s="4">
        <v>45778.250246840282</v>
      </c>
      <c r="E4137" s="2">
        <v>3.93</v>
      </c>
      <c r="F4137" s="2">
        <v>79.599999999999994</v>
      </c>
      <c r="G4137" s="2" t="s">
        <v>983</v>
      </c>
      <c r="H4137" s="2" t="s">
        <v>984</v>
      </c>
      <c r="I4137" s="2"/>
      <c r="J4137" s="2" t="s">
        <v>42</v>
      </c>
    </row>
    <row r="4138" spans="1:10" ht="21" customHeight="1">
      <c r="A4138" s="2" t="s">
        <v>5136</v>
      </c>
      <c r="B4138" s="2" t="s">
        <v>42</v>
      </c>
      <c r="C4138" s="4">
        <v>45779.25</v>
      </c>
      <c r="D4138" s="4">
        <v>45780.5</v>
      </c>
      <c r="E4138" s="2">
        <v>3.09</v>
      </c>
      <c r="F4138" s="2">
        <v>73.8</v>
      </c>
      <c r="G4138" s="2" t="s">
        <v>983</v>
      </c>
      <c r="H4138" s="2" t="s">
        <v>984</v>
      </c>
      <c r="I4138" s="2"/>
      <c r="J4138" s="2" t="s">
        <v>42</v>
      </c>
    </row>
    <row r="4139" spans="1:10" ht="21" customHeight="1">
      <c r="A4139" s="2" t="s">
        <v>5137</v>
      </c>
      <c r="B4139" s="2" t="s">
        <v>42</v>
      </c>
      <c r="C4139" s="4">
        <v>45780.25</v>
      </c>
      <c r="D4139" s="4">
        <v>45780.250164675926</v>
      </c>
      <c r="E4139" s="2">
        <v>2.96</v>
      </c>
      <c r="F4139" s="2">
        <v>79.7</v>
      </c>
      <c r="G4139" s="2" t="s">
        <v>983</v>
      </c>
      <c r="H4139" s="2" t="s">
        <v>984</v>
      </c>
      <c r="I4139" s="2"/>
      <c r="J4139" s="2" t="s">
        <v>42</v>
      </c>
    </row>
    <row r="4140" spans="1:10" ht="21" customHeight="1">
      <c r="A4140" s="2" t="s">
        <v>5138</v>
      </c>
      <c r="B4140" s="2" t="s">
        <v>42</v>
      </c>
      <c r="C4140" s="4">
        <v>45781.25</v>
      </c>
      <c r="D4140" s="4">
        <v>45781.250184236109</v>
      </c>
      <c r="E4140" s="2">
        <v>3.29</v>
      </c>
      <c r="F4140" s="2">
        <v>78</v>
      </c>
      <c r="G4140" s="2" t="s">
        <v>983</v>
      </c>
      <c r="H4140" s="2" t="s">
        <v>984</v>
      </c>
      <c r="I4140" s="2"/>
      <c r="J4140" s="2" t="s">
        <v>42</v>
      </c>
    </row>
    <row r="4141" spans="1:10" ht="21" customHeight="1">
      <c r="A4141" s="2" t="s">
        <v>5139</v>
      </c>
      <c r="B4141" s="2" t="s">
        <v>42</v>
      </c>
      <c r="C4141" s="4">
        <v>45782.25</v>
      </c>
      <c r="D4141" s="4">
        <v>45782.250631840274</v>
      </c>
      <c r="E4141" s="2"/>
      <c r="F4141" s="2"/>
      <c r="G4141" s="2" t="s">
        <v>983</v>
      </c>
      <c r="H4141" s="2" t="s">
        <v>1066</v>
      </c>
      <c r="I4141" s="2"/>
      <c r="J4141" s="2" t="s">
        <v>42</v>
      </c>
    </row>
    <row r="4142" spans="1:10" ht="21" customHeight="1">
      <c r="A4142" s="2" t="s">
        <v>5140</v>
      </c>
      <c r="B4142" s="2" t="s">
        <v>42</v>
      </c>
      <c r="C4142" s="4">
        <v>45783.25</v>
      </c>
      <c r="D4142" s="4">
        <v>45783.250372951385</v>
      </c>
      <c r="E4142" s="2">
        <v>3.13</v>
      </c>
      <c r="F4142" s="2">
        <v>79.7</v>
      </c>
      <c r="G4142" s="2" t="s">
        <v>983</v>
      </c>
      <c r="H4142" s="2" t="s">
        <v>984</v>
      </c>
      <c r="I4142" s="2"/>
      <c r="J4142" s="2" t="s">
        <v>42</v>
      </c>
    </row>
    <row r="4143" spans="1:10" ht="21" customHeight="1">
      <c r="A4143" s="2" t="s">
        <v>5141</v>
      </c>
      <c r="B4143" s="2" t="s">
        <v>5018</v>
      </c>
      <c r="C4143" s="4">
        <v>45784.25</v>
      </c>
      <c r="D4143" s="4">
        <v>45784.250632928241</v>
      </c>
      <c r="E4143" s="2">
        <v>2.89</v>
      </c>
      <c r="F4143" s="2">
        <v>77.2</v>
      </c>
      <c r="G4143" s="2" t="s">
        <v>983</v>
      </c>
      <c r="H4143" s="2" t="s">
        <v>984</v>
      </c>
      <c r="I4143" s="2"/>
      <c r="J4143" s="2" t="s">
        <v>42</v>
      </c>
    </row>
    <row r="4144" spans="1:10" ht="21" customHeight="1">
      <c r="A4144" s="2" t="s">
        <v>5142</v>
      </c>
      <c r="B4144" s="2" t="s">
        <v>42</v>
      </c>
      <c r="C4144" s="4">
        <v>45785.25</v>
      </c>
      <c r="D4144" s="4">
        <v>45785.250267349533</v>
      </c>
      <c r="E4144" s="2">
        <v>6.26</v>
      </c>
      <c r="F4144" s="2">
        <v>82.2</v>
      </c>
      <c r="G4144" s="2" t="s">
        <v>983</v>
      </c>
      <c r="H4144" s="2" t="s">
        <v>984</v>
      </c>
      <c r="I4144" s="2"/>
      <c r="J4144" s="2" t="s">
        <v>42</v>
      </c>
    </row>
    <row r="4145" spans="1:10" ht="21" customHeight="1">
      <c r="A4145" s="2" t="s">
        <v>5143</v>
      </c>
      <c r="B4145" s="2" t="s">
        <v>42</v>
      </c>
      <c r="C4145" s="4">
        <v>45786.25</v>
      </c>
      <c r="D4145" s="4">
        <v>45786.250248425931</v>
      </c>
      <c r="E4145" s="2">
        <v>5.54</v>
      </c>
      <c r="F4145" s="2">
        <v>87.4</v>
      </c>
      <c r="G4145" s="2" t="s">
        <v>983</v>
      </c>
      <c r="H4145" s="2" t="s">
        <v>984</v>
      </c>
      <c r="I4145" s="2" t="s">
        <v>1053</v>
      </c>
      <c r="J4145" s="2" t="s">
        <v>42</v>
      </c>
    </row>
    <row r="4146" spans="1:10" ht="21" customHeight="1">
      <c r="A4146" s="2" t="s">
        <v>5144</v>
      </c>
      <c r="B4146" s="2" t="s">
        <v>42</v>
      </c>
      <c r="C4146" s="4">
        <v>45787.25</v>
      </c>
      <c r="D4146" s="4">
        <v>45787.250392314818</v>
      </c>
      <c r="E4146" s="2">
        <v>5.92</v>
      </c>
      <c r="F4146" s="2">
        <v>87</v>
      </c>
      <c r="G4146" s="2" t="s">
        <v>983</v>
      </c>
      <c r="H4146" s="2" t="s">
        <v>984</v>
      </c>
      <c r="I4146" s="2"/>
      <c r="J4146" s="2" t="s">
        <v>42</v>
      </c>
    </row>
    <row r="4147" spans="1:10" ht="21" customHeight="1">
      <c r="A4147" s="2" t="s">
        <v>5145</v>
      </c>
      <c r="B4147" s="2" t="s">
        <v>42</v>
      </c>
      <c r="C4147" s="4">
        <v>45788.25</v>
      </c>
      <c r="D4147" s="4">
        <v>45788.250142037039</v>
      </c>
      <c r="E4147" s="2">
        <v>0</v>
      </c>
      <c r="F4147" s="2">
        <v>74</v>
      </c>
      <c r="G4147" s="2" t="s">
        <v>1175</v>
      </c>
      <c r="H4147" s="2" t="s">
        <v>984</v>
      </c>
      <c r="I4147" s="2"/>
      <c r="J4147" s="2" t="s">
        <v>42</v>
      </c>
    </row>
    <row r="4148" spans="1:10" ht="21" customHeight="1">
      <c r="A4148" s="2" t="s">
        <v>5146</v>
      </c>
      <c r="B4148" s="2" t="s">
        <v>42</v>
      </c>
      <c r="C4148" s="4">
        <v>45789.25</v>
      </c>
      <c r="D4148" s="4">
        <v>45789.250330243056</v>
      </c>
      <c r="E4148" s="2">
        <v>0</v>
      </c>
      <c r="F4148" s="2">
        <v>72.900000000000006</v>
      </c>
      <c r="G4148" s="2" t="s">
        <v>1175</v>
      </c>
      <c r="H4148" s="2" t="s">
        <v>984</v>
      </c>
      <c r="I4148" s="2"/>
      <c r="J4148" s="2" t="s">
        <v>42</v>
      </c>
    </row>
    <row r="4149" spans="1:10" ht="21" customHeight="1">
      <c r="A4149" s="2" t="s">
        <v>5147</v>
      </c>
      <c r="B4149" s="2" t="s">
        <v>42</v>
      </c>
      <c r="C4149" s="4">
        <v>45790.25</v>
      </c>
      <c r="D4149" s="4">
        <v>45791.5</v>
      </c>
      <c r="E4149" s="2">
        <v>3.22</v>
      </c>
      <c r="F4149" s="2">
        <v>74.3</v>
      </c>
      <c r="G4149" s="2" t="s">
        <v>983</v>
      </c>
      <c r="H4149" s="2" t="s">
        <v>984</v>
      </c>
      <c r="I4149" s="2"/>
      <c r="J4149" s="2" t="s">
        <v>42</v>
      </c>
    </row>
    <row r="4150" spans="1:10" ht="21" customHeight="1">
      <c r="A4150" s="2" t="s">
        <v>5148</v>
      </c>
      <c r="B4150" s="2" t="s">
        <v>42</v>
      </c>
      <c r="C4150" s="4">
        <v>45791.25</v>
      </c>
      <c r="D4150" s="4">
        <v>45791.250659826386</v>
      </c>
      <c r="E4150" s="2">
        <v>3.07</v>
      </c>
      <c r="F4150" s="2">
        <v>79.8</v>
      </c>
      <c r="G4150" s="2" t="s">
        <v>983</v>
      </c>
      <c r="H4150" s="2" t="s">
        <v>984</v>
      </c>
      <c r="I4150" s="2"/>
      <c r="J4150" s="2" t="s">
        <v>42</v>
      </c>
    </row>
    <row r="4151" spans="1:10" ht="21" customHeight="1">
      <c r="A4151" s="2" t="s">
        <v>5149</v>
      </c>
      <c r="B4151" s="2" t="s">
        <v>42</v>
      </c>
      <c r="C4151" s="4">
        <v>45792.25</v>
      </c>
      <c r="D4151" s="4">
        <v>45792.250468310187</v>
      </c>
      <c r="E4151" s="2">
        <v>2.93</v>
      </c>
      <c r="F4151" s="2">
        <v>73.099999999999994</v>
      </c>
      <c r="G4151" s="2" t="s">
        <v>983</v>
      </c>
      <c r="H4151" s="2" t="s">
        <v>984</v>
      </c>
      <c r="I4151" s="2"/>
      <c r="J4151" s="2" t="s">
        <v>42</v>
      </c>
    </row>
    <row r="4152" spans="1:10" ht="21" customHeight="1">
      <c r="A4152" s="2" t="s">
        <v>5150</v>
      </c>
      <c r="B4152" s="2" t="s">
        <v>42</v>
      </c>
      <c r="C4152" s="4">
        <v>45793.25</v>
      </c>
      <c r="D4152" s="4">
        <v>45793.250095659721</v>
      </c>
      <c r="E4152" s="2">
        <v>3.8</v>
      </c>
      <c r="F4152" s="2">
        <v>76.599999999999994</v>
      </c>
      <c r="G4152" s="2" t="s">
        <v>983</v>
      </c>
      <c r="H4152" s="2" t="s">
        <v>984</v>
      </c>
      <c r="I4152" s="2"/>
      <c r="J4152" s="2" t="s">
        <v>42</v>
      </c>
    </row>
    <row r="4153" spans="1:10" ht="21" customHeight="1">
      <c r="A4153" s="2" t="s">
        <v>5151</v>
      </c>
      <c r="B4153" s="2" t="s">
        <v>42</v>
      </c>
      <c r="C4153" s="4">
        <v>45794.25</v>
      </c>
      <c r="D4153" s="4">
        <v>45794.250168460647</v>
      </c>
      <c r="E4153" s="2">
        <v>3.84</v>
      </c>
      <c r="F4153" s="2">
        <v>75.400000000000006</v>
      </c>
      <c r="G4153" s="2" t="s">
        <v>983</v>
      </c>
      <c r="H4153" s="2" t="s">
        <v>984</v>
      </c>
      <c r="I4153" s="2" t="s">
        <v>985</v>
      </c>
      <c r="J4153" s="2" t="s">
        <v>42</v>
      </c>
    </row>
    <row r="4154" spans="1:10" ht="21" customHeight="1">
      <c r="A4154" s="2" t="s">
        <v>5152</v>
      </c>
      <c r="B4154" s="2" t="s">
        <v>42</v>
      </c>
      <c r="C4154" s="4">
        <v>45795.25</v>
      </c>
      <c r="D4154" s="4">
        <v>45795.250659027777</v>
      </c>
      <c r="E4154" s="2">
        <v>5.7</v>
      </c>
      <c r="F4154" s="2">
        <v>81.099999999999994</v>
      </c>
      <c r="G4154" s="2" t="s">
        <v>983</v>
      </c>
      <c r="H4154" s="2" t="s">
        <v>984</v>
      </c>
      <c r="I4154" s="2"/>
      <c r="J4154" s="2" t="s">
        <v>42</v>
      </c>
    </row>
    <row r="4155" spans="1:10" ht="21" customHeight="1">
      <c r="A4155" s="2" t="s">
        <v>5153</v>
      </c>
      <c r="B4155" s="2" t="s">
        <v>42</v>
      </c>
      <c r="C4155" s="4">
        <v>45796.25</v>
      </c>
      <c r="D4155" s="4">
        <v>45796.250503379633</v>
      </c>
      <c r="E4155" s="2">
        <v>4.75</v>
      </c>
      <c r="F4155" s="2">
        <v>89.5</v>
      </c>
      <c r="G4155" s="2" t="s">
        <v>983</v>
      </c>
      <c r="H4155" s="2" t="s">
        <v>984</v>
      </c>
      <c r="I4155" s="2" t="s">
        <v>1053</v>
      </c>
      <c r="J4155" s="2" t="s">
        <v>42</v>
      </c>
    </row>
    <row r="4156" spans="1:10" ht="21" customHeight="1">
      <c r="A4156" s="2" t="s">
        <v>5154</v>
      </c>
      <c r="B4156" s="2" t="s">
        <v>42</v>
      </c>
      <c r="C4156" s="4">
        <v>45797.25</v>
      </c>
      <c r="D4156" s="4">
        <v>45797.250483854164</v>
      </c>
      <c r="E4156" s="2">
        <v>6.8</v>
      </c>
      <c r="F4156" s="2">
        <v>79.599999999999994</v>
      </c>
      <c r="G4156" s="2" t="s">
        <v>983</v>
      </c>
      <c r="H4156" s="2" t="s">
        <v>984</v>
      </c>
      <c r="I4156" s="2"/>
      <c r="J4156" s="2" t="s">
        <v>42</v>
      </c>
    </row>
    <row r="4157" spans="1:10" ht="21" customHeight="1">
      <c r="A4157" s="2" t="s">
        <v>5155</v>
      </c>
      <c r="B4157" s="2" t="s">
        <v>42</v>
      </c>
      <c r="C4157" s="4">
        <v>45798.25</v>
      </c>
      <c r="D4157" s="4">
        <v>45798.250693622686</v>
      </c>
      <c r="E4157" s="2">
        <v>0</v>
      </c>
      <c r="F4157" s="2">
        <v>73.8</v>
      </c>
      <c r="G4157" s="2" t="s">
        <v>1175</v>
      </c>
      <c r="H4157" s="2" t="s">
        <v>984</v>
      </c>
      <c r="I4157" s="2"/>
      <c r="J4157" s="2" t="s">
        <v>42</v>
      </c>
    </row>
    <row r="4158" spans="1:10" ht="21" customHeight="1">
      <c r="A4158" s="2" t="s">
        <v>5156</v>
      </c>
      <c r="B4158" s="2" t="s">
        <v>42</v>
      </c>
      <c r="C4158" s="4">
        <v>45799.25</v>
      </c>
      <c r="D4158" s="4">
        <v>45799.250141435186</v>
      </c>
      <c r="E4158" s="2">
        <v>3.88</v>
      </c>
      <c r="F4158" s="2">
        <v>78.599999999999994</v>
      </c>
      <c r="G4158" s="2" t="s">
        <v>983</v>
      </c>
      <c r="H4158" s="2" t="s">
        <v>984</v>
      </c>
      <c r="I4158" s="2"/>
      <c r="J4158" s="2" t="s">
        <v>42</v>
      </c>
    </row>
    <row r="4159" spans="1:10" ht="21" customHeight="1">
      <c r="A4159" s="2" t="s">
        <v>5157</v>
      </c>
      <c r="B4159" s="2" t="s">
        <v>42</v>
      </c>
      <c r="C4159" s="4">
        <v>45800.25</v>
      </c>
      <c r="D4159" s="4">
        <v>45800.25046826389</v>
      </c>
      <c r="E4159" s="2"/>
      <c r="F4159" s="2"/>
      <c r="G4159" s="2" t="s">
        <v>983</v>
      </c>
      <c r="H4159" s="2" t="s">
        <v>1066</v>
      </c>
      <c r="I4159" s="2"/>
      <c r="J4159" s="2" t="s">
        <v>42</v>
      </c>
    </row>
    <row r="4160" spans="1:10" ht="21" customHeight="1">
      <c r="A4160" s="2" t="s">
        <v>5158</v>
      </c>
      <c r="B4160" s="2" t="s">
        <v>42</v>
      </c>
      <c r="C4160" s="4">
        <v>45801.25</v>
      </c>
      <c r="D4160" s="4">
        <v>45802.5</v>
      </c>
      <c r="E4160" s="2">
        <v>3.64</v>
      </c>
      <c r="F4160" s="2">
        <v>76.599999999999994</v>
      </c>
      <c r="G4160" s="2" t="s">
        <v>983</v>
      </c>
      <c r="H4160" s="2" t="s">
        <v>984</v>
      </c>
      <c r="I4160" s="2"/>
      <c r="J4160" s="2" t="s">
        <v>42</v>
      </c>
    </row>
    <row r="4161" spans="1:10" ht="21" customHeight="1">
      <c r="A4161" s="2" t="s">
        <v>5159</v>
      </c>
      <c r="B4161" s="2" t="s">
        <v>42</v>
      </c>
      <c r="C4161" s="4">
        <v>45802.25</v>
      </c>
      <c r="D4161" s="4">
        <v>45802.250355393524</v>
      </c>
      <c r="E4161" s="2"/>
      <c r="F4161" s="2"/>
      <c r="G4161" s="2" t="s">
        <v>983</v>
      </c>
      <c r="H4161" s="2" t="s">
        <v>1066</v>
      </c>
      <c r="I4161" s="2"/>
      <c r="J4161" s="2" t="s">
        <v>42</v>
      </c>
    </row>
    <row r="4162" spans="1:10" ht="21" customHeight="1">
      <c r="A4162" s="2" t="s">
        <v>5160</v>
      </c>
      <c r="B4162" s="2" t="s">
        <v>42</v>
      </c>
      <c r="C4162" s="4">
        <v>45803.25</v>
      </c>
      <c r="D4162" s="4">
        <v>45803.250203773146</v>
      </c>
      <c r="E4162" s="2">
        <v>3.6</v>
      </c>
      <c r="F4162" s="2">
        <v>74.7</v>
      </c>
      <c r="G4162" s="2" t="s">
        <v>983</v>
      </c>
      <c r="H4162" s="2" t="s">
        <v>984</v>
      </c>
      <c r="I4162" s="2"/>
      <c r="J4162" s="2" t="s">
        <v>42</v>
      </c>
    </row>
    <row r="4163" spans="1:10" ht="21" customHeight="1">
      <c r="A4163" s="2" t="s">
        <v>5161</v>
      </c>
      <c r="B4163" s="2" t="s">
        <v>42</v>
      </c>
      <c r="C4163" s="4">
        <v>45804.25</v>
      </c>
      <c r="D4163" s="4">
        <v>45804.250049016206</v>
      </c>
      <c r="E4163" s="2"/>
      <c r="F4163" s="2"/>
      <c r="G4163" s="2" t="s">
        <v>983</v>
      </c>
      <c r="H4163" s="2" t="s">
        <v>1066</v>
      </c>
      <c r="I4163" s="2"/>
      <c r="J4163" s="2" t="s">
        <v>42</v>
      </c>
    </row>
    <row r="4164" spans="1:10" ht="21" customHeight="1">
      <c r="A4164" s="2" t="s">
        <v>5162</v>
      </c>
      <c r="B4164" s="2" t="s">
        <v>42</v>
      </c>
      <c r="C4164" s="4">
        <v>45805.25</v>
      </c>
      <c r="D4164" s="4">
        <v>45805.250425891209</v>
      </c>
      <c r="E4164" s="2">
        <v>3.65</v>
      </c>
      <c r="F4164" s="2">
        <v>74.3</v>
      </c>
      <c r="G4164" s="2" t="s">
        <v>983</v>
      </c>
      <c r="H4164" s="2" t="s">
        <v>984</v>
      </c>
      <c r="I4164" s="2"/>
      <c r="J4164" s="2" t="s">
        <v>42</v>
      </c>
    </row>
    <row r="4165" spans="1:10" ht="21" customHeight="1">
      <c r="A4165" s="2" t="s">
        <v>5163</v>
      </c>
      <c r="B4165" s="2" t="s">
        <v>42</v>
      </c>
      <c r="C4165" s="4">
        <v>45806.25</v>
      </c>
      <c r="D4165" s="4">
        <v>45806.25043414352</v>
      </c>
      <c r="E4165" s="2">
        <v>3.88</v>
      </c>
      <c r="F4165" s="2">
        <v>77.7</v>
      </c>
      <c r="G4165" s="2" t="s">
        <v>983</v>
      </c>
      <c r="H4165" s="2" t="s">
        <v>984</v>
      </c>
      <c r="I4165" s="2"/>
      <c r="J4165" s="2" t="s">
        <v>42</v>
      </c>
    </row>
    <row r="4166" spans="1:10" ht="21" customHeight="1">
      <c r="A4166" s="2" t="s">
        <v>5164</v>
      </c>
      <c r="B4166" s="2" t="s">
        <v>42</v>
      </c>
      <c r="C4166" s="4">
        <v>45807.25</v>
      </c>
      <c r="D4166" s="4">
        <v>45807.250090439818</v>
      </c>
      <c r="E4166" s="2">
        <v>3.91</v>
      </c>
      <c r="F4166" s="2">
        <v>74.2</v>
      </c>
      <c r="G4166" s="2" t="s">
        <v>983</v>
      </c>
      <c r="H4166" s="2" t="s">
        <v>984</v>
      </c>
      <c r="I4166" s="2"/>
      <c r="J4166" s="2" t="s">
        <v>42</v>
      </c>
    </row>
    <row r="4167" spans="1:10" ht="21" customHeight="1">
      <c r="A4167" s="2" t="s">
        <v>5165</v>
      </c>
      <c r="B4167" s="2" t="s">
        <v>42</v>
      </c>
      <c r="C4167" s="4">
        <v>45808.25</v>
      </c>
      <c r="D4167" s="4">
        <v>45808.250037210644</v>
      </c>
      <c r="E4167" s="2"/>
      <c r="F4167" s="2"/>
      <c r="G4167" s="2" t="s">
        <v>983</v>
      </c>
      <c r="H4167" s="2" t="s">
        <v>1066</v>
      </c>
      <c r="I4167" s="2"/>
      <c r="J4167" s="2" t="s">
        <v>42</v>
      </c>
    </row>
    <row r="4168" spans="1:10" ht="21" customHeight="1">
      <c r="A4168" s="2" t="s">
        <v>5166</v>
      </c>
      <c r="B4168" s="2" t="s">
        <v>42</v>
      </c>
      <c r="C4168" s="4">
        <v>45809.25</v>
      </c>
      <c r="D4168" s="4">
        <v>45809.250195509259</v>
      </c>
      <c r="E4168" s="2">
        <v>3.96</v>
      </c>
      <c r="F4168" s="2">
        <v>74.2</v>
      </c>
      <c r="G4168" s="2" t="s">
        <v>983</v>
      </c>
      <c r="H4168" s="2" t="s">
        <v>984</v>
      </c>
      <c r="I4168" s="2"/>
      <c r="J4168" s="2" t="s">
        <v>42</v>
      </c>
    </row>
    <row r="4169" spans="1:10" ht="21" customHeight="1">
      <c r="A4169" s="2" t="s">
        <v>5167</v>
      </c>
      <c r="B4169" s="2" t="s">
        <v>42</v>
      </c>
      <c r="C4169" s="4">
        <v>45810.25</v>
      </c>
      <c r="D4169" s="4">
        <v>45810.25063383102</v>
      </c>
      <c r="E4169" s="2">
        <v>6.46</v>
      </c>
      <c r="F4169" s="2">
        <v>83.6</v>
      </c>
      <c r="G4169" s="2" t="s">
        <v>983</v>
      </c>
      <c r="H4169" s="2" t="s">
        <v>984</v>
      </c>
      <c r="I4169" s="2" t="s">
        <v>1053</v>
      </c>
      <c r="J4169" s="2" t="s">
        <v>42</v>
      </c>
    </row>
    <row r="4170" spans="1:10" ht="21" customHeight="1">
      <c r="A4170" s="2" t="s">
        <v>5168</v>
      </c>
      <c r="B4170" s="2" t="s">
        <v>42</v>
      </c>
      <c r="C4170" s="4">
        <v>45811.25</v>
      </c>
      <c r="D4170" s="4">
        <v>45811.250657372686</v>
      </c>
      <c r="E4170" s="2">
        <v>6.72</v>
      </c>
      <c r="F4170" s="2">
        <v>88.6</v>
      </c>
      <c r="G4170" s="2" t="s">
        <v>983</v>
      </c>
      <c r="H4170" s="2" t="s">
        <v>984</v>
      </c>
      <c r="I4170" s="2" t="s">
        <v>985</v>
      </c>
      <c r="J4170" s="2" t="s">
        <v>42</v>
      </c>
    </row>
    <row r="4171" spans="1:10" ht="21" customHeight="1">
      <c r="A4171" s="2" t="s">
        <v>5169</v>
      </c>
      <c r="B4171" s="2" t="s">
        <v>42</v>
      </c>
      <c r="C4171" s="4">
        <v>45812.25</v>
      </c>
      <c r="D4171" s="4">
        <v>45813.5</v>
      </c>
      <c r="E4171" s="2">
        <v>5.53</v>
      </c>
      <c r="F4171" s="2">
        <v>83.7</v>
      </c>
      <c r="G4171" s="2" t="s">
        <v>983</v>
      </c>
      <c r="H4171" s="2" t="s">
        <v>984</v>
      </c>
      <c r="I4171" s="2" t="s">
        <v>1053</v>
      </c>
      <c r="J4171" s="2" t="s">
        <v>42</v>
      </c>
    </row>
    <row r="4172" spans="1:10" ht="21" customHeight="1">
      <c r="A4172" s="2" t="s">
        <v>5170</v>
      </c>
      <c r="B4172" s="2" t="s">
        <v>42</v>
      </c>
      <c r="C4172" s="4">
        <v>45813.25</v>
      </c>
      <c r="D4172" s="4">
        <v>45813.25009869213</v>
      </c>
      <c r="E4172" s="2">
        <v>0</v>
      </c>
      <c r="F4172" s="2">
        <v>72</v>
      </c>
      <c r="G4172" s="2" t="s">
        <v>1175</v>
      </c>
      <c r="H4172" s="2" t="s">
        <v>984</v>
      </c>
      <c r="I4172" s="2"/>
      <c r="J4172" s="2" t="s">
        <v>42</v>
      </c>
    </row>
    <row r="4173" spans="1:10" ht="21" customHeight="1">
      <c r="A4173" s="2" t="s">
        <v>5171</v>
      </c>
      <c r="B4173" s="2" t="s">
        <v>42</v>
      </c>
      <c r="C4173" s="4">
        <v>45814.25</v>
      </c>
      <c r="D4173" s="4">
        <v>45814.250487453704</v>
      </c>
      <c r="E4173" s="2">
        <v>0</v>
      </c>
      <c r="F4173" s="2">
        <v>77.599999999999994</v>
      </c>
      <c r="G4173" s="2" t="s">
        <v>1175</v>
      </c>
      <c r="H4173" s="2" t="s">
        <v>984</v>
      </c>
      <c r="I4173" s="2"/>
      <c r="J4173" s="2" t="s">
        <v>42</v>
      </c>
    </row>
    <row r="4174" spans="1:10" ht="21" customHeight="1">
      <c r="A4174" s="2" t="s">
        <v>5172</v>
      </c>
      <c r="B4174" s="2" t="s">
        <v>42</v>
      </c>
      <c r="C4174" s="4">
        <v>45815.25</v>
      </c>
      <c r="D4174" s="4">
        <v>45815.250249618053</v>
      </c>
      <c r="E4174" s="2">
        <v>4</v>
      </c>
      <c r="F4174" s="2">
        <v>73.8</v>
      </c>
      <c r="G4174" s="2" t="s">
        <v>983</v>
      </c>
      <c r="H4174" s="2" t="s">
        <v>984</v>
      </c>
      <c r="I4174" s="2"/>
      <c r="J4174" s="2" t="s">
        <v>42</v>
      </c>
    </row>
    <row r="4175" spans="1:10" ht="21" customHeight="1">
      <c r="A4175" s="2" t="s">
        <v>5173</v>
      </c>
      <c r="B4175" s="2" t="s">
        <v>42</v>
      </c>
      <c r="C4175" s="4">
        <v>45816.25</v>
      </c>
      <c r="D4175" s="4">
        <v>45816.2501227662</v>
      </c>
      <c r="E4175" s="2">
        <v>3.37</v>
      </c>
      <c r="F4175" s="2">
        <v>73.8</v>
      </c>
      <c r="G4175" s="2" t="s">
        <v>983</v>
      </c>
      <c r="H4175" s="2" t="s">
        <v>984</v>
      </c>
      <c r="I4175" s="2"/>
      <c r="J4175" s="2" t="s">
        <v>42</v>
      </c>
    </row>
    <row r="4176" spans="1:10" ht="21" customHeight="1">
      <c r="A4176" s="2" t="s">
        <v>5174</v>
      </c>
      <c r="B4176" s="2" t="s">
        <v>42</v>
      </c>
      <c r="C4176" s="4">
        <v>45817.25</v>
      </c>
      <c r="D4176" s="4">
        <v>45817.250195972221</v>
      </c>
      <c r="E4176" s="2"/>
      <c r="F4176" s="2"/>
      <c r="G4176" s="2" t="s">
        <v>983</v>
      </c>
      <c r="H4176" s="2" t="s">
        <v>1066</v>
      </c>
      <c r="I4176" s="2"/>
      <c r="J4176" s="2" t="s">
        <v>42</v>
      </c>
    </row>
    <row r="4177" spans="1:10" ht="21" customHeight="1">
      <c r="A4177" s="2" t="s">
        <v>5175</v>
      </c>
      <c r="B4177" s="2" t="s">
        <v>42</v>
      </c>
      <c r="C4177" s="4">
        <v>45818.25</v>
      </c>
      <c r="D4177" s="4">
        <v>45818.250419456017</v>
      </c>
      <c r="E4177" s="2">
        <v>2.87</v>
      </c>
      <c r="F4177" s="2">
        <v>77</v>
      </c>
      <c r="G4177" s="2" t="s">
        <v>983</v>
      </c>
      <c r="H4177" s="2" t="s">
        <v>984</v>
      </c>
      <c r="I4177" s="2"/>
      <c r="J4177" s="2" t="s">
        <v>42</v>
      </c>
    </row>
    <row r="4178" spans="1:10" ht="21" customHeight="1">
      <c r="A4178" s="2" t="s">
        <v>5176</v>
      </c>
      <c r="B4178" s="2" t="s">
        <v>42</v>
      </c>
      <c r="C4178" s="4">
        <v>45819.25</v>
      </c>
      <c r="D4178" s="4">
        <v>45819.250307870374</v>
      </c>
      <c r="E4178" s="2">
        <v>2.82</v>
      </c>
      <c r="F4178" s="2">
        <v>76</v>
      </c>
      <c r="G4178" s="2" t="s">
        <v>983</v>
      </c>
      <c r="H4178" s="2" t="s">
        <v>984</v>
      </c>
      <c r="I4178" s="2"/>
      <c r="J4178" s="2" t="s">
        <v>42</v>
      </c>
    </row>
    <row r="4179" spans="1:10" ht="21" customHeight="1">
      <c r="A4179" s="2" t="s">
        <v>5177</v>
      </c>
      <c r="B4179" s="2" t="s">
        <v>42</v>
      </c>
      <c r="C4179" s="4">
        <v>45820.25</v>
      </c>
      <c r="D4179" s="4">
        <v>45820.250616666672</v>
      </c>
      <c r="E4179" s="2"/>
      <c r="F4179" s="2"/>
      <c r="G4179" s="2" t="s">
        <v>983</v>
      </c>
      <c r="H4179" s="2" t="s">
        <v>1066</v>
      </c>
      <c r="I4179" s="2"/>
      <c r="J4179" s="2" t="s">
        <v>42</v>
      </c>
    </row>
    <row r="4180" spans="1:10" ht="21" customHeight="1">
      <c r="A4180" s="2" t="s">
        <v>5178</v>
      </c>
      <c r="B4180" s="2" t="s">
        <v>42</v>
      </c>
      <c r="C4180" s="4">
        <v>45821.25</v>
      </c>
      <c r="D4180" s="4">
        <v>45821.250317615741</v>
      </c>
      <c r="E4180" s="2">
        <v>3.47</v>
      </c>
      <c r="F4180" s="2">
        <v>74.3</v>
      </c>
      <c r="G4180" s="2" t="s">
        <v>983</v>
      </c>
      <c r="H4180" s="2" t="s">
        <v>984</v>
      </c>
      <c r="I4180" s="2"/>
      <c r="J4180" s="2" t="s">
        <v>42</v>
      </c>
    </row>
    <row r="4181" spans="1:10" ht="21" customHeight="1">
      <c r="A4181" s="2" t="s">
        <v>5179</v>
      </c>
      <c r="B4181" s="2" t="s">
        <v>42</v>
      </c>
      <c r="C4181" s="4">
        <v>45822.25</v>
      </c>
      <c r="D4181" s="4">
        <v>45822.25010164352</v>
      </c>
      <c r="E4181" s="2"/>
      <c r="F4181" s="2"/>
      <c r="G4181" s="2" t="s">
        <v>983</v>
      </c>
      <c r="H4181" s="2" t="s">
        <v>1066</v>
      </c>
      <c r="I4181" s="2"/>
      <c r="J4181" s="2" t="s">
        <v>42</v>
      </c>
    </row>
    <row r="4182" spans="1:10" ht="21" customHeight="1">
      <c r="A4182" s="2" t="s">
        <v>5180</v>
      </c>
      <c r="B4182" s="2" t="s">
        <v>42</v>
      </c>
      <c r="C4182" s="4">
        <v>45823.25</v>
      </c>
      <c r="D4182" s="4">
        <v>45824.5</v>
      </c>
      <c r="E4182" s="2">
        <v>3.97</v>
      </c>
      <c r="F4182" s="2">
        <v>75.2</v>
      </c>
      <c r="G4182" s="2" t="s">
        <v>983</v>
      </c>
      <c r="H4182" s="2" t="s">
        <v>984</v>
      </c>
      <c r="I4182" s="2"/>
      <c r="J4182" s="2" t="s">
        <v>42</v>
      </c>
    </row>
    <row r="4183" spans="1:10" ht="21" customHeight="1">
      <c r="A4183" s="2" t="s">
        <v>5181</v>
      </c>
      <c r="B4183" s="2" t="s">
        <v>42</v>
      </c>
      <c r="C4183" s="4">
        <v>45824.25</v>
      </c>
      <c r="D4183" s="4">
        <v>45824.250527962962</v>
      </c>
      <c r="E4183" s="2">
        <v>3.85</v>
      </c>
      <c r="F4183" s="2">
        <v>78.3</v>
      </c>
      <c r="G4183" s="2" t="s">
        <v>983</v>
      </c>
      <c r="H4183" s="2" t="s">
        <v>984</v>
      </c>
      <c r="I4183" s="2"/>
      <c r="J4183" s="2" t="s">
        <v>42</v>
      </c>
    </row>
    <row r="4184" spans="1:10" ht="21" customHeight="1">
      <c r="A4184" s="2" t="s">
        <v>5182</v>
      </c>
      <c r="B4184" s="2" t="s">
        <v>5018</v>
      </c>
      <c r="C4184" s="4">
        <v>45825.25</v>
      </c>
      <c r="D4184" s="4">
        <v>45825.250532789352</v>
      </c>
      <c r="E4184" s="2">
        <v>3.7</v>
      </c>
      <c r="F4184" s="2">
        <v>73.5</v>
      </c>
      <c r="G4184" s="2" t="s">
        <v>983</v>
      </c>
      <c r="H4184" s="2" t="s">
        <v>984</v>
      </c>
      <c r="I4184" s="2"/>
      <c r="J4184" s="2" t="s">
        <v>42</v>
      </c>
    </row>
    <row r="4185" spans="1:10" ht="21" customHeight="1">
      <c r="A4185" s="2" t="s">
        <v>5183</v>
      </c>
      <c r="B4185" s="2" t="s">
        <v>42</v>
      </c>
      <c r="C4185" s="4">
        <v>45826.25</v>
      </c>
      <c r="D4185" s="4">
        <v>45826.250361481478</v>
      </c>
      <c r="E4185" s="2">
        <v>2.95</v>
      </c>
      <c r="F4185" s="2">
        <v>78.3</v>
      </c>
      <c r="G4185" s="2" t="s">
        <v>983</v>
      </c>
      <c r="H4185" s="2" t="s">
        <v>984</v>
      </c>
      <c r="I4185" s="2"/>
      <c r="J4185" s="2" t="s">
        <v>42</v>
      </c>
    </row>
    <row r="4186" spans="1:10" ht="21" customHeight="1">
      <c r="A4186" s="2" t="s">
        <v>5184</v>
      </c>
      <c r="B4186" s="2" t="s">
        <v>42</v>
      </c>
      <c r="C4186" s="4">
        <v>45827.25</v>
      </c>
      <c r="D4186" s="4">
        <v>45827.250112465277</v>
      </c>
      <c r="E4186" s="2"/>
      <c r="F4186" s="2"/>
      <c r="G4186" s="2" t="s">
        <v>983</v>
      </c>
      <c r="H4186" s="2" t="s">
        <v>1066</v>
      </c>
      <c r="I4186" s="2"/>
      <c r="J4186" s="2" t="s">
        <v>42</v>
      </c>
    </row>
    <row r="4187" spans="1:10" ht="21" customHeight="1">
      <c r="A4187" s="2" t="s">
        <v>5185</v>
      </c>
      <c r="B4187" s="2" t="s">
        <v>42</v>
      </c>
      <c r="C4187" s="4">
        <v>45828.25</v>
      </c>
      <c r="D4187" s="4">
        <v>45828.250000057873</v>
      </c>
      <c r="E4187" s="2">
        <v>3.36</v>
      </c>
      <c r="F4187" s="2">
        <v>76.599999999999994</v>
      </c>
      <c r="G4187" s="2" t="s">
        <v>983</v>
      </c>
      <c r="H4187" s="2" t="s">
        <v>984</v>
      </c>
      <c r="I4187" s="2" t="s">
        <v>985</v>
      </c>
      <c r="J4187" s="2" t="s">
        <v>42</v>
      </c>
    </row>
    <row r="4188" spans="1:10" ht="21" customHeight="1">
      <c r="A4188" s="2" t="s">
        <v>5186</v>
      </c>
      <c r="B4188" s="2" t="s">
        <v>42</v>
      </c>
      <c r="C4188" s="4">
        <v>45829.25</v>
      </c>
      <c r="D4188" s="4">
        <v>45829.250334537035</v>
      </c>
      <c r="E4188" s="2">
        <v>3.83</v>
      </c>
      <c r="F4188" s="2">
        <v>73.099999999999994</v>
      </c>
      <c r="G4188" s="2" t="s">
        <v>983</v>
      </c>
      <c r="H4188" s="2" t="s">
        <v>984</v>
      </c>
      <c r="I4188" s="2"/>
      <c r="J4188" s="2" t="s">
        <v>42</v>
      </c>
    </row>
    <row r="4189" spans="1:10" ht="21" customHeight="1">
      <c r="A4189" s="2" t="s">
        <v>5187</v>
      </c>
      <c r="B4189" s="2" t="s">
        <v>42</v>
      </c>
      <c r="C4189" s="4">
        <v>45830.25</v>
      </c>
      <c r="D4189" s="4">
        <v>45830.250493206018</v>
      </c>
      <c r="E4189" s="2">
        <v>3.41</v>
      </c>
      <c r="F4189" s="2">
        <v>79.5</v>
      </c>
      <c r="G4189" s="2" t="s">
        <v>983</v>
      </c>
      <c r="H4189" s="2" t="s">
        <v>984</v>
      </c>
      <c r="I4189" s="2"/>
      <c r="J4189" s="2" t="s">
        <v>42</v>
      </c>
    </row>
    <row r="4190" spans="1:10" ht="21" customHeight="1">
      <c r="A4190" s="2" t="s">
        <v>5188</v>
      </c>
      <c r="B4190" s="2" t="s">
        <v>42</v>
      </c>
      <c r="C4190" s="4">
        <v>45831.25</v>
      </c>
      <c r="D4190" s="4">
        <v>45831.250002546294</v>
      </c>
      <c r="E4190" s="2">
        <v>3.46</v>
      </c>
      <c r="F4190" s="2">
        <v>76.2</v>
      </c>
      <c r="G4190" s="2" t="s">
        <v>983</v>
      </c>
      <c r="H4190" s="2" t="s">
        <v>984</v>
      </c>
      <c r="I4190" s="2"/>
      <c r="J4190" s="2" t="s">
        <v>42</v>
      </c>
    </row>
    <row r="4191" spans="1:10" ht="21" customHeight="1">
      <c r="A4191" s="2" t="s">
        <v>5189</v>
      </c>
      <c r="B4191" s="2" t="s">
        <v>42</v>
      </c>
      <c r="C4191" s="4">
        <v>45832.25</v>
      </c>
      <c r="D4191" s="4">
        <v>45832.250589351854</v>
      </c>
      <c r="E4191" s="2">
        <v>3.09</v>
      </c>
      <c r="F4191" s="2">
        <v>78.599999999999994</v>
      </c>
      <c r="G4191" s="2" t="s">
        <v>983</v>
      </c>
      <c r="H4191" s="2" t="s">
        <v>984</v>
      </c>
      <c r="I4191" s="2"/>
      <c r="J4191" s="2" t="s">
        <v>42</v>
      </c>
    </row>
    <row r="4192" spans="1:10" ht="21" customHeight="1">
      <c r="A4192" s="2" t="s">
        <v>5190</v>
      </c>
      <c r="B4192" s="2" t="s">
        <v>42</v>
      </c>
      <c r="C4192" s="4">
        <v>45833.25</v>
      </c>
      <c r="D4192" s="4">
        <v>45833.250412280089</v>
      </c>
      <c r="E4192" s="2">
        <v>2.99</v>
      </c>
      <c r="F4192" s="2">
        <v>77.3</v>
      </c>
      <c r="G4192" s="2" t="s">
        <v>983</v>
      </c>
      <c r="H4192" s="2" t="s">
        <v>984</v>
      </c>
      <c r="I4192" s="2"/>
      <c r="J4192" s="2" t="s">
        <v>42</v>
      </c>
    </row>
    <row r="4193" spans="1:10" ht="21" customHeight="1">
      <c r="A4193" s="2" t="s">
        <v>5191</v>
      </c>
      <c r="B4193" s="2" t="s">
        <v>42</v>
      </c>
      <c r="C4193" s="4">
        <v>45834.25</v>
      </c>
      <c r="D4193" s="4">
        <v>45835.5</v>
      </c>
      <c r="E4193" s="2">
        <v>3.15</v>
      </c>
      <c r="F4193" s="2">
        <v>74.900000000000006</v>
      </c>
      <c r="G4193" s="2" t="s">
        <v>983</v>
      </c>
      <c r="H4193" s="2" t="s">
        <v>984</v>
      </c>
      <c r="I4193" s="2"/>
      <c r="J4193" s="2" t="s">
        <v>42</v>
      </c>
    </row>
    <row r="4194" spans="1:10" ht="21" customHeight="1">
      <c r="A4194" s="2" t="s">
        <v>5192</v>
      </c>
      <c r="B4194" s="2" t="s">
        <v>42</v>
      </c>
      <c r="C4194" s="4">
        <v>45835.25</v>
      </c>
      <c r="D4194" s="4">
        <v>45835.250608032409</v>
      </c>
      <c r="E4194" s="2">
        <v>2.94</v>
      </c>
      <c r="F4194" s="2">
        <v>76.7</v>
      </c>
      <c r="G4194" s="2" t="s">
        <v>983</v>
      </c>
      <c r="H4194" s="2" t="s">
        <v>984</v>
      </c>
      <c r="I4194" s="2"/>
      <c r="J4194" s="2" t="s">
        <v>42</v>
      </c>
    </row>
    <row r="4195" spans="1:10" ht="21" customHeight="1">
      <c r="A4195" s="2" t="s">
        <v>5193</v>
      </c>
      <c r="B4195" s="2" t="s">
        <v>42</v>
      </c>
      <c r="C4195" s="4">
        <v>45836.25</v>
      </c>
      <c r="D4195" s="4">
        <v>45836.250372048613</v>
      </c>
      <c r="E4195" s="2">
        <v>3.1</v>
      </c>
      <c r="F4195" s="2">
        <v>76.8</v>
      </c>
      <c r="G4195" s="2" t="s">
        <v>983</v>
      </c>
      <c r="H4195" s="2" t="s">
        <v>984</v>
      </c>
      <c r="I4195" s="2"/>
      <c r="J4195" s="2" t="s">
        <v>42</v>
      </c>
    </row>
    <row r="4196" spans="1:10" ht="21" customHeight="1">
      <c r="A4196" s="2" t="s">
        <v>5194</v>
      </c>
      <c r="B4196" s="2" t="s">
        <v>42</v>
      </c>
      <c r="C4196" s="4">
        <v>45837.25</v>
      </c>
      <c r="D4196" s="4">
        <v>45837.250395717594</v>
      </c>
      <c r="E4196" s="2">
        <v>2.95</v>
      </c>
      <c r="F4196" s="2">
        <v>72.7</v>
      </c>
      <c r="G4196" s="2" t="s">
        <v>983</v>
      </c>
      <c r="H4196" s="2" t="s">
        <v>984</v>
      </c>
      <c r="I4196" s="2"/>
      <c r="J4196" s="2" t="s">
        <v>42</v>
      </c>
    </row>
    <row r="4197" spans="1:10" ht="21" customHeight="1">
      <c r="A4197" s="2" t="s">
        <v>5195</v>
      </c>
      <c r="B4197" s="2" t="s">
        <v>42</v>
      </c>
      <c r="C4197" s="4">
        <v>45838.25</v>
      </c>
      <c r="D4197" s="4">
        <v>45838.250227314813</v>
      </c>
      <c r="E4197" s="2">
        <v>2.81</v>
      </c>
      <c r="F4197" s="2">
        <v>74.400000000000006</v>
      </c>
      <c r="G4197" s="2" t="s">
        <v>983</v>
      </c>
      <c r="H4197" s="2" t="s">
        <v>984</v>
      </c>
      <c r="I4197" s="2"/>
      <c r="J4197" s="2" t="s">
        <v>42</v>
      </c>
    </row>
    <row r="4198" spans="1:10" ht="21" customHeight="1">
      <c r="A4198" s="2" t="s">
        <v>5196</v>
      </c>
      <c r="B4198" s="2" t="s">
        <v>42</v>
      </c>
      <c r="C4198" s="4">
        <v>45839.25</v>
      </c>
      <c r="D4198" s="4">
        <v>45839.25021662037</v>
      </c>
      <c r="E4198" s="2">
        <v>3.52</v>
      </c>
      <c r="F4198" s="2">
        <v>78.400000000000006</v>
      </c>
      <c r="G4198" s="2" t="s">
        <v>983</v>
      </c>
      <c r="H4198" s="2" t="s">
        <v>984</v>
      </c>
      <c r="I4198" s="2"/>
      <c r="J4198" s="2" t="s">
        <v>42</v>
      </c>
    </row>
    <row r="4199" spans="1:10" ht="21" customHeight="1">
      <c r="A4199" s="2" t="s">
        <v>5197</v>
      </c>
      <c r="B4199" s="2" t="s">
        <v>42</v>
      </c>
      <c r="C4199" s="4">
        <v>45840.25</v>
      </c>
      <c r="D4199" s="4">
        <v>45840.250111643516</v>
      </c>
      <c r="E4199" s="2">
        <v>3.45</v>
      </c>
      <c r="F4199" s="2">
        <v>72.7</v>
      </c>
      <c r="G4199" s="2" t="s">
        <v>983</v>
      </c>
      <c r="H4199" s="2" t="s">
        <v>984</v>
      </c>
      <c r="I4199" s="2"/>
      <c r="J4199" s="2" t="s">
        <v>42</v>
      </c>
    </row>
    <row r="4200" spans="1:10" ht="21" customHeight="1">
      <c r="A4200" s="2" t="s">
        <v>5198</v>
      </c>
      <c r="B4200" s="2" t="s">
        <v>42</v>
      </c>
      <c r="C4200" s="4">
        <v>45841.25</v>
      </c>
      <c r="D4200" s="4">
        <v>45841.250070358801</v>
      </c>
      <c r="E4200" s="2">
        <v>3.96</v>
      </c>
      <c r="F4200" s="2">
        <v>78.5</v>
      </c>
      <c r="G4200" s="2" t="s">
        <v>983</v>
      </c>
      <c r="H4200" s="2" t="s">
        <v>984</v>
      </c>
      <c r="I4200" s="2"/>
      <c r="J4200" s="2" t="s">
        <v>42</v>
      </c>
    </row>
    <row r="4201" spans="1:10" ht="21" customHeight="1">
      <c r="A4201" s="2" t="s">
        <v>5199</v>
      </c>
      <c r="B4201" s="2" t="s">
        <v>42</v>
      </c>
      <c r="C4201" s="4">
        <v>45842.25</v>
      </c>
      <c r="D4201" s="4">
        <v>45842.25022105324</v>
      </c>
      <c r="E4201" s="2">
        <v>3.12</v>
      </c>
      <c r="F4201" s="2">
        <v>72.7</v>
      </c>
      <c r="G4201" s="2" t="s">
        <v>983</v>
      </c>
      <c r="H4201" s="2" t="s">
        <v>984</v>
      </c>
      <c r="I4201" s="2"/>
      <c r="J4201" s="2" t="s">
        <v>42</v>
      </c>
    </row>
    <row r="4202" spans="1:10" ht="21" customHeight="1">
      <c r="A4202" s="2" t="s">
        <v>5200</v>
      </c>
      <c r="B4202" s="2" t="s">
        <v>42</v>
      </c>
      <c r="C4202" s="4">
        <v>45843.25</v>
      </c>
      <c r="D4202" s="4">
        <v>45843.250169710649</v>
      </c>
      <c r="E4202" s="2"/>
      <c r="F4202" s="2"/>
      <c r="G4202" s="2" t="s">
        <v>983</v>
      </c>
      <c r="H4202" s="2" t="s">
        <v>1066</v>
      </c>
      <c r="I4202" s="2"/>
      <c r="J4202" s="2" t="s">
        <v>42</v>
      </c>
    </row>
    <row r="4203" spans="1:10" ht="21" customHeight="1">
      <c r="A4203" s="2" t="s">
        <v>5201</v>
      </c>
      <c r="B4203" s="2" t="s">
        <v>42</v>
      </c>
      <c r="C4203" s="4">
        <v>45844.25</v>
      </c>
      <c r="D4203" s="4">
        <v>45844.250022569446</v>
      </c>
      <c r="E4203" s="2">
        <v>3.85</v>
      </c>
      <c r="F4203" s="2">
        <v>73.8</v>
      </c>
      <c r="G4203" s="2" t="s">
        <v>983</v>
      </c>
      <c r="H4203" s="2" t="s">
        <v>984</v>
      </c>
      <c r="I4203" s="2"/>
      <c r="J4203" s="2" t="s">
        <v>42</v>
      </c>
    </row>
    <row r="4204" spans="1:10" ht="21" customHeight="1">
      <c r="A4204" s="2" t="s">
        <v>5202</v>
      </c>
      <c r="B4204" s="2" t="s">
        <v>42</v>
      </c>
      <c r="C4204" s="4">
        <v>45845.25</v>
      </c>
      <c r="D4204" s="4">
        <v>45846.5</v>
      </c>
      <c r="E4204" s="2">
        <v>0</v>
      </c>
      <c r="F4204" s="2">
        <v>79.2</v>
      </c>
      <c r="G4204" s="2" t="s">
        <v>1175</v>
      </c>
      <c r="H4204" s="2" t="s">
        <v>984</v>
      </c>
      <c r="I4204" s="2" t="s">
        <v>985</v>
      </c>
      <c r="J4204" s="2" t="s">
        <v>42</v>
      </c>
    </row>
    <row r="4205" spans="1:10" ht="21" customHeight="1">
      <c r="A4205" s="2" t="s">
        <v>5203</v>
      </c>
      <c r="B4205" s="2" t="s">
        <v>42</v>
      </c>
      <c r="C4205" s="4">
        <v>45846.25</v>
      </c>
      <c r="D4205" s="4">
        <v>45846.250284479167</v>
      </c>
      <c r="E4205" s="2">
        <v>3.63</v>
      </c>
      <c r="F4205" s="2">
        <v>75.099999999999994</v>
      </c>
      <c r="G4205" s="2" t="s">
        <v>983</v>
      </c>
      <c r="H4205" s="2" t="s">
        <v>984</v>
      </c>
      <c r="I4205" s="2"/>
      <c r="J4205" s="2" t="s">
        <v>42</v>
      </c>
    </row>
    <row r="4206" spans="1:10" ht="21" customHeight="1">
      <c r="A4206" s="2" t="s">
        <v>5204</v>
      </c>
      <c r="B4206" s="2" t="s">
        <v>42</v>
      </c>
      <c r="C4206" s="4">
        <v>45847.25</v>
      </c>
      <c r="D4206" s="4">
        <v>45847.250105729167</v>
      </c>
      <c r="E4206" s="2">
        <v>3.44</v>
      </c>
      <c r="F4206" s="2">
        <v>75.599999999999994</v>
      </c>
      <c r="G4206" s="2" t="s">
        <v>983</v>
      </c>
      <c r="H4206" s="2" t="s">
        <v>984</v>
      </c>
      <c r="I4206" s="2"/>
      <c r="J4206" s="2" t="s">
        <v>42</v>
      </c>
    </row>
    <row r="4207" spans="1:10" ht="21" customHeight="1">
      <c r="A4207" s="2" t="s">
        <v>5205</v>
      </c>
      <c r="B4207" s="2" t="s">
        <v>42</v>
      </c>
      <c r="C4207" s="4">
        <v>45848.25</v>
      </c>
      <c r="D4207" s="4">
        <v>45848.250236747685</v>
      </c>
      <c r="E4207" s="2">
        <v>3.82</v>
      </c>
      <c r="F4207" s="2">
        <v>78.400000000000006</v>
      </c>
      <c r="G4207" s="2" t="s">
        <v>983</v>
      </c>
      <c r="H4207" s="2" t="s">
        <v>984</v>
      </c>
      <c r="I4207" s="2"/>
      <c r="J4207" s="2" t="s">
        <v>42</v>
      </c>
    </row>
    <row r="4208" spans="1:10" ht="21" customHeight="1">
      <c r="A4208" s="2" t="s">
        <v>5206</v>
      </c>
      <c r="B4208" s="2" t="s">
        <v>42</v>
      </c>
      <c r="C4208" s="4">
        <v>45849.25</v>
      </c>
      <c r="D4208" s="4">
        <v>45849.250321608793</v>
      </c>
      <c r="E4208" s="2">
        <v>2.91</v>
      </c>
      <c r="F4208" s="2">
        <v>77.5</v>
      </c>
      <c r="G4208" s="2" t="s">
        <v>983</v>
      </c>
      <c r="H4208" s="2" t="s">
        <v>984</v>
      </c>
      <c r="I4208" s="2"/>
      <c r="J4208" s="2" t="s">
        <v>42</v>
      </c>
    </row>
    <row r="4209" spans="1:10" ht="21" customHeight="1">
      <c r="A4209" s="2" t="s">
        <v>5207</v>
      </c>
      <c r="B4209" s="2" t="s">
        <v>42</v>
      </c>
      <c r="C4209" s="4">
        <v>45850.25</v>
      </c>
      <c r="D4209" s="4">
        <v>45850.250286087961</v>
      </c>
      <c r="E4209" s="2">
        <v>3.72</v>
      </c>
      <c r="F4209" s="2">
        <v>77.900000000000006</v>
      </c>
      <c r="G4209" s="2" t="s">
        <v>983</v>
      </c>
      <c r="H4209" s="2" t="s">
        <v>984</v>
      </c>
      <c r="I4209" s="2"/>
      <c r="J4209" s="2" t="s">
        <v>42</v>
      </c>
    </row>
    <row r="4210" spans="1:10" ht="21" customHeight="1">
      <c r="A4210" s="2" t="s">
        <v>5208</v>
      </c>
      <c r="B4210" s="2" t="s">
        <v>42</v>
      </c>
      <c r="C4210" s="4">
        <v>45851.25</v>
      </c>
      <c r="D4210" s="4">
        <v>45851.250685011575</v>
      </c>
      <c r="E4210" s="2">
        <v>3.71</v>
      </c>
      <c r="F4210" s="2">
        <v>79</v>
      </c>
      <c r="G4210" s="2" t="s">
        <v>983</v>
      </c>
      <c r="H4210" s="2" t="s">
        <v>984</v>
      </c>
      <c r="I4210" s="2"/>
      <c r="J4210" s="2" t="s">
        <v>42</v>
      </c>
    </row>
    <row r="4211" spans="1:10" ht="21" customHeight="1">
      <c r="A4211" s="2" t="s">
        <v>5209</v>
      </c>
      <c r="B4211" s="2" t="s">
        <v>42</v>
      </c>
      <c r="C4211" s="4">
        <v>45852.25</v>
      </c>
      <c r="D4211" s="4">
        <v>45852.250587071758</v>
      </c>
      <c r="E4211" s="2">
        <v>3.32</v>
      </c>
      <c r="F4211" s="2">
        <v>73.2</v>
      </c>
      <c r="G4211" s="2" t="s">
        <v>983</v>
      </c>
      <c r="H4211" s="2" t="s">
        <v>984</v>
      </c>
      <c r="I4211" s="2"/>
      <c r="J4211" s="2" t="s">
        <v>42</v>
      </c>
    </row>
    <row r="4212" spans="1:10" ht="21" customHeight="1">
      <c r="A4212" s="2" t="s">
        <v>5210</v>
      </c>
      <c r="B4212" s="2" t="s">
        <v>42</v>
      </c>
      <c r="C4212" s="4">
        <v>45853.25</v>
      </c>
      <c r="D4212" s="4">
        <v>45853.250211701394</v>
      </c>
      <c r="E4212" s="2">
        <v>3.62</v>
      </c>
      <c r="F4212" s="2">
        <v>78.3</v>
      </c>
      <c r="G4212" s="2" t="s">
        <v>983</v>
      </c>
      <c r="H4212" s="2" t="s">
        <v>984</v>
      </c>
      <c r="I4212" s="2"/>
      <c r="J4212" s="2" t="s">
        <v>42</v>
      </c>
    </row>
    <row r="4213" spans="1:10" ht="21" customHeight="1">
      <c r="A4213" s="2" t="s">
        <v>5211</v>
      </c>
      <c r="B4213" s="2" t="s">
        <v>42</v>
      </c>
      <c r="C4213" s="4">
        <v>45854.25</v>
      </c>
      <c r="D4213" s="4">
        <v>45854.250043460648</v>
      </c>
      <c r="E4213" s="2">
        <v>2.8</v>
      </c>
      <c r="F4213" s="2">
        <v>78.3</v>
      </c>
      <c r="G4213" s="2" t="s">
        <v>983</v>
      </c>
      <c r="H4213" s="2" t="s">
        <v>984</v>
      </c>
      <c r="I4213" s="2"/>
      <c r="J4213" s="2" t="s">
        <v>42</v>
      </c>
    </row>
    <row r="4214" spans="1:10" ht="21" customHeight="1">
      <c r="A4214" s="2" t="s">
        <v>5212</v>
      </c>
      <c r="B4214" s="2" t="s">
        <v>42</v>
      </c>
      <c r="C4214" s="4">
        <v>45855.25</v>
      </c>
      <c r="D4214" s="4">
        <v>45855.250577812505</v>
      </c>
      <c r="E4214" s="2">
        <v>3.03</v>
      </c>
      <c r="F4214" s="2">
        <v>72.7</v>
      </c>
      <c r="G4214" s="2" t="s">
        <v>983</v>
      </c>
      <c r="H4214" s="2" t="s">
        <v>984</v>
      </c>
      <c r="I4214" s="2"/>
      <c r="J4214" s="2" t="s">
        <v>42</v>
      </c>
    </row>
    <row r="4215" spans="1:10" ht="21" customHeight="1">
      <c r="A4215" s="2" t="s">
        <v>5213</v>
      </c>
      <c r="B4215" s="2" t="s">
        <v>42</v>
      </c>
      <c r="C4215" s="4">
        <v>45856.25</v>
      </c>
      <c r="D4215" s="4">
        <v>45857.5</v>
      </c>
      <c r="E4215" s="2">
        <v>5.86</v>
      </c>
      <c r="F4215" s="2">
        <v>84.3</v>
      </c>
      <c r="G4215" s="2" t="s">
        <v>983</v>
      </c>
      <c r="H4215" s="2" t="s">
        <v>984</v>
      </c>
      <c r="I4215" s="2" t="s">
        <v>1053</v>
      </c>
      <c r="J4215" s="2" t="s">
        <v>42</v>
      </c>
    </row>
    <row r="4216" spans="1:10" ht="21" customHeight="1">
      <c r="A4216" s="2" t="s">
        <v>5214</v>
      </c>
      <c r="B4216" s="2" t="s">
        <v>42</v>
      </c>
      <c r="C4216" s="4">
        <v>45857.25</v>
      </c>
      <c r="D4216" s="4">
        <v>45857.2502015625</v>
      </c>
      <c r="E4216" s="2">
        <v>5.45</v>
      </c>
      <c r="F4216" s="2">
        <v>82.2</v>
      </c>
      <c r="G4216" s="2" t="s">
        <v>983</v>
      </c>
      <c r="H4216" s="2" t="s">
        <v>984</v>
      </c>
      <c r="I4216" s="2"/>
      <c r="J4216" s="2" t="s">
        <v>42</v>
      </c>
    </row>
    <row r="4217" spans="1:10" ht="21" customHeight="1">
      <c r="A4217" s="2" t="s">
        <v>5215</v>
      </c>
      <c r="B4217" s="2" t="s">
        <v>42</v>
      </c>
      <c r="C4217" s="4">
        <v>45858.25</v>
      </c>
      <c r="D4217" s="4">
        <v>45858.250652743052</v>
      </c>
      <c r="E4217" s="2"/>
      <c r="F4217" s="2"/>
      <c r="G4217" s="2" t="s">
        <v>983</v>
      </c>
      <c r="H4217" s="2" t="s">
        <v>1066</v>
      </c>
      <c r="I4217" s="2" t="s">
        <v>1053</v>
      </c>
      <c r="J4217" s="2" t="s">
        <v>42</v>
      </c>
    </row>
    <row r="4218" spans="1:10" ht="21" customHeight="1">
      <c r="A4218" s="2" t="s">
        <v>5216</v>
      </c>
      <c r="B4218" s="2" t="s">
        <v>42</v>
      </c>
      <c r="C4218" s="4">
        <v>45859.25</v>
      </c>
      <c r="D4218" s="4">
        <v>45859.250005451388</v>
      </c>
      <c r="E4218" s="2">
        <v>0</v>
      </c>
      <c r="F4218" s="2">
        <v>72.099999999999994</v>
      </c>
      <c r="G4218" s="2" t="s">
        <v>1175</v>
      </c>
      <c r="H4218" s="2" t="s">
        <v>984</v>
      </c>
      <c r="I4218" s="2"/>
      <c r="J4218" s="2" t="s">
        <v>42</v>
      </c>
    </row>
    <row r="4219" spans="1:10" ht="21" customHeight="1">
      <c r="A4219" s="2" t="s">
        <v>5217</v>
      </c>
      <c r="B4219" s="2" t="s">
        <v>42</v>
      </c>
      <c r="C4219" s="4">
        <v>45860.25</v>
      </c>
      <c r="D4219" s="4">
        <v>45860.250146539351</v>
      </c>
      <c r="E4219" s="2">
        <v>3.3</v>
      </c>
      <c r="F4219" s="2">
        <v>77.3</v>
      </c>
      <c r="G4219" s="2" t="s">
        <v>983</v>
      </c>
      <c r="H4219" s="2" t="s">
        <v>984</v>
      </c>
      <c r="I4219" s="2"/>
      <c r="J4219" s="2" t="s">
        <v>42</v>
      </c>
    </row>
    <row r="4220" spans="1:10" ht="21" customHeight="1">
      <c r="A4220" s="2" t="s">
        <v>5218</v>
      </c>
      <c r="B4220" s="2" t="s">
        <v>42</v>
      </c>
      <c r="C4220" s="4">
        <v>45861.25</v>
      </c>
      <c r="D4220" s="4">
        <v>45861.25049150463</v>
      </c>
      <c r="E4220" s="2">
        <v>3.98</v>
      </c>
      <c r="F4220" s="2">
        <v>77.099999999999994</v>
      </c>
      <c r="G4220" s="2" t="s">
        <v>983</v>
      </c>
      <c r="H4220" s="2" t="s">
        <v>984</v>
      </c>
      <c r="I4220" s="2"/>
      <c r="J4220" s="2" t="s">
        <v>42</v>
      </c>
    </row>
    <row r="4221" spans="1:10" ht="21" customHeight="1">
      <c r="A4221" s="2" t="s">
        <v>5219</v>
      </c>
      <c r="B4221" s="2" t="s">
        <v>42</v>
      </c>
      <c r="C4221" s="4">
        <v>45862.25</v>
      </c>
      <c r="D4221" s="4">
        <v>45862.250206712968</v>
      </c>
      <c r="E4221" s="2">
        <v>3.26</v>
      </c>
      <c r="F4221" s="2">
        <v>76.2</v>
      </c>
      <c r="G4221" s="2" t="s">
        <v>983</v>
      </c>
      <c r="H4221" s="2" t="s">
        <v>984</v>
      </c>
      <c r="I4221" s="2" t="s">
        <v>985</v>
      </c>
      <c r="J4221" s="2" t="s">
        <v>42</v>
      </c>
    </row>
    <row r="4222" spans="1:10" ht="21" customHeight="1">
      <c r="A4222" s="2" t="s">
        <v>5220</v>
      </c>
      <c r="B4222" s="2" t="s">
        <v>42</v>
      </c>
      <c r="C4222" s="4">
        <v>45863.25</v>
      </c>
      <c r="D4222" s="4">
        <v>45863.250610821764</v>
      </c>
      <c r="E4222" s="2"/>
      <c r="F4222" s="2"/>
      <c r="G4222" s="2" t="s">
        <v>983</v>
      </c>
      <c r="H4222" s="2" t="s">
        <v>1066</v>
      </c>
      <c r="I4222" s="2"/>
      <c r="J4222" s="2" t="s">
        <v>42</v>
      </c>
    </row>
    <row r="4223" spans="1:10" ht="21" customHeight="1">
      <c r="A4223" s="2" t="s">
        <v>5221</v>
      </c>
      <c r="B4223" s="2" t="s">
        <v>42</v>
      </c>
      <c r="C4223" s="4">
        <v>45864.25</v>
      </c>
      <c r="D4223" s="4">
        <v>45864.250418321761</v>
      </c>
      <c r="E4223" s="2"/>
      <c r="F4223" s="2"/>
      <c r="G4223" s="2" t="s">
        <v>983</v>
      </c>
      <c r="H4223" s="2" t="s">
        <v>1066</v>
      </c>
      <c r="I4223" s="2"/>
      <c r="J4223" s="2" t="s">
        <v>42</v>
      </c>
    </row>
    <row r="4224" spans="1:10" ht="21" customHeight="1">
      <c r="A4224" s="2" t="s">
        <v>5222</v>
      </c>
      <c r="B4224" s="2" t="s">
        <v>42</v>
      </c>
      <c r="C4224" s="4">
        <v>45865.25</v>
      </c>
      <c r="D4224" s="4">
        <v>45865.250677673612</v>
      </c>
      <c r="E4224" s="2">
        <v>3.75</v>
      </c>
      <c r="F4224" s="2">
        <v>77.3</v>
      </c>
      <c r="G4224" s="2" t="s">
        <v>983</v>
      </c>
      <c r="H4224" s="2" t="s">
        <v>984</v>
      </c>
      <c r="I4224" s="2"/>
      <c r="J4224" s="2" t="s">
        <v>42</v>
      </c>
    </row>
    <row r="4225" spans="1:10" ht="21" customHeight="1">
      <c r="A4225" s="2" t="s">
        <v>5223</v>
      </c>
      <c r="B4225" s="2" t="s">
        <v>5018</v>
      </c>
      <c r="C4225" s="4">
        <v>45866.25</v>
      </c>
      <c r="D4225" s="4">
        <v>45866.250064224536</v>
      </c>
      <c r="E4225" s="2">
        <v>3.52</v>
      </c>
      <c r="F4225" s="2">
        <v>72.599999999999994</v>
      </c>
      <c r="G4225" s="2" t="s">
        <v>983</v>
      </c>
      <c r="H4225" s="2" t="s">
        <v>984</v>
      </c>
      <c r="I4225" s="2"/>
      <c r="J4225" s="2" t="s">
        <v>42</v>
      </c>
    </row>
    <row r="4226" spans="1:10" ht="21" customHeight="1">
      <c r="A4226" s="2" t="s">
        <v>5224</v>
      </c>
      <c r="B4226" s="2" t="s">
        <v>42</v>
      </c>
      <c r="C4226" s="4">
        <v>45867.25</v>
      </c>
      <c r="D4226" s="4">
        <v>45868.5</v>
      </c>
      <c r="E4226" s="2">
        <v>3.26</v>
      </c>
      <c r="F4226" s="2">
        <v>72.3</v>
      </c>
      <c r="G4226" s="2" t="s">
        <v>983</v>
      </c>
      <c r="H4226" s="2" t="s">
        <v>984</v>
      </c>
      <c r="I4226" s="2"/>
      <c r="J4226" s="2" t="s">
        <v>42</v>
      </c>
    </row>
    <row r="4227" spans="1:10" ht="21" customHeight="1">
      <c r="A4227" s="2" t="s">
        <v>5225</v>
      </c>
      <c r="B4227" s="2" t="s">
        <v>42</v>
      </c>
      <c r="C4227" s="4">
        <v>45868.25</v>
      </c>
      <c r="D4227" s="4">
        <v>45868.25000699074</v>
      </c>
      <c r="E4227" s="2">
        <v>3.83</v>
      </c>
      <c r="F4227" s="2">
        <v>74.3</v>
      </c>
      <c r="G4227" s="2" t="s">
        <v>983</v>
      </c>
      <c r="H4227" s="2" t="s">
        <v>984</v>
      </c>
      <c r="I4227" s="2"/>
      <c r="J4227" s="2" t="s">
        <v>42</v>
      </c>
    </row>
    <row r="4228" spans="1:10" ht="21" customHeight="1">
      <c r="A4228" s="2" t="s">
        <v>5226</v>
      </c>
      <c r="B4228" s="2" t="s">
        <v>42</v>
      </c>
      <c r="C4228" s="4">
        <v>45869.25</v>
      </c>
      <c r="D4228" s="4">
        <v>45869.250150046297</v>
      </c>
      <c r="E4228" s="2"/>
      <c r="F4228" s="2"/>
      <c r="G4228" s="2" t="s">
        <v>983</v>
      </c>
      <c r="H4228" s="2" t="s">
        <v>1066</v>
      </c>
      <c r="I4228" s="2"/>
      <c r="J4228" s="2" t="s">
        <v>42</v>
      </c>
    </row>
    <row r="4229" spans="1:10" ht="21" customHeight="1">
      <c r="A4229" s="2" t="s">
        <v>5227</v>
      </c>
      <c r="B4229" s="2" t="s">
        <v>42</v>
      </c>
      <c r="C4229" s="4">
        <v>45870.25</v>
      </c>
      <c r="D4229" s="4">
        <v>45870.250123472222</v>
      </c>
      <c r="E4229" s="2">
        <v>3.67</v>
      </c>
      <c r="F4229" s="2">
        <v>78.5</v>
      </c>
      <c r="G4229" s="2" t="s">
        <v>983</v>
      </c>
      <c r="H4229" s="2" t="s">
        <v>984</v>
      </c>
      <c r="I4229" s="2"/>
      <c r="J4229" s="2" t="s">
        <v>42</v>
      </c>
    </row>
    <row r="4230" spans="1:10" ht="21" customHeight="1">
      <c r="A4230" s="2" t="s">
        <v>5228</v>
      </c>
      <c r="B4230" s="2" t="s">
        <v>42</v>
      </c>
      <c r="C4230" s="4">
        <v>45871.25</v>
      </c>
      <c r="D4230" s="4">
        <v>45871.250106122687</v>
      </c>
      <c r="E4230" s="2">
        <v>2.87</v>
      </c>
      <c r="F4230" s="2">
        <v>79.5</v>
      </c>
      <c r="G4230" s="2" t="s">
        <v>983</v>
      </c>
      <c r="H4230" s="2" t="s">
        <v>984</v>
      </c>
      <c r="I4230" s="2"/>
      <c r="J4230" s="2" t="s">
        <v>42</v>
      </c>
    </row>
    <row r="4231" spans="1:10" ht="21" customHeight="1">
      <c r="A4231" s="2" t="s">
        <v>5229</v>
      </c>
      <c r="B4231" s="2" t="s">
        <v>42</v>
      </c>
      <c r="C4231" s="4">
        <v>45872.25</v>
      </c>
      <c r="D4231" s="4">
        <v>45872.250432407411</v>
      </c>
      <c r="E4231" s="2">
        <v>3.13</v>
      </c>
      <c r="F4231" s="2">
        <v>78.7</v>
      </c>
      <c r="G4231" s="2" t="s">
        <v>983</v>
      </c>
      <c r="H4231" s="2" t="s">
        <v>984</v>
      </c>
      <c r="I4231" s="2"/>
      <c r="J4231" s="2" t="s">
        <v>42</v>
      </c>
    </row>
    <row r="4232" spans="1:10" ht="21" customHeight="1">
      <c r="A4232" s="2" t="s">
        <v>5230</v>
      </c>
      <c r="B4232" s="2" t="s">
        <v>42</v>
      </c>
      <c r="C4232" s="4">
        <v>45873.25</v>
      </c>
      <c r="D4232" s="4">
        <v>45873.250540185181</v>
      </c>
      <c r="E4232" s="2">
        <v>3.06</v>
      </c>
      <c r="F4232" s="2">
        <v>79.3</v>
      </c>
      <c r="G4232" s="2" t="s">
        <v>983</v>
      </c>
      <c r="H4232" s="2" t="s">
        <v>984</v>
      </c>
      <c r="I4232" s="2"/>
      <c r="J4232" s="2" t="s">
        <v>42</v>
      </c>
    </row>
    <row r="4233" spans="1:10" ht="21" customHeight="1">
      <c r="A4233" s="2" t="s">
        <v>5231</v>
      </c>
      <c r="B4233" s="2" t="s">
        <v>42</v>
      </c>
      <c r="C4233" s="4">
        <v>45874.25</v>
      </c>
      <c r="D4233" s="4">
        <v>45874.250442326389</v>
      </c>
      <c r="E4233" s="2"/>
      <c r="F4233" s="2"/>
      <c r="G4233" s="2" t="s">
        <v>983</v>
      </c>
      <c r="H4233" s="2" t="s">
        <v>1066</v>
      </c>
      <c r="I4233" s="2"/>
      <c r="J4233" s="2" t="s">
        <v>42</v>
      </c>
    </row>
    <row r="4234" spans="1:10" ht="21" customHeight="1">
      <c r="A4234" s="2" t="s">
        <v>5232</v>
      </c>
      <c r="B4234" s="2" t="s">
        <v>42</v>
      </c>
      <c r="C4234" s="4">
        <v>45875.25</v>
      </c>
      <c r="D4234" s="4">
        <v>45875.250154745372</v>
      </c>
      <c r="E4234" s="2">
        <v>3.92</v>
      </c>
      <c r="F4234" s="2">
        <v>72</v>
      </c>
      <c r="G4234" s="2" t="s">
        <v>983</v>
      </c>
      <c r="H4234" s="2" t="s">
        <v>984</v>
      </c>
      <c r="I4234" s="2"/>
      <c r="J4234" s="2" t="s">
        <v>42</v>
      </c>
    </row>
    <row r="4235" spans="1:10" ht="21" customHeight="1">
      <c r="A4235" s="2" t="s">
        <v>5233</v>
      </c>
      <c r="B4235" s="2" t="s">
        <v>42</v>
      </c>
      <c r="C4235" s="4">
        <v>45876.25</v>
      </c>
      <c r="D4235" s="4">
        <v>45876.250067650464</v>
      </c>
      <c r="E4235" s="2">
        <v>3.02</v>
      </c>
      <c r="F4235" s="2">
        <v>78.400000000000006</v>
      </c>
      <c r="G4235" s="2" t="s">
        <v>983</v>
      </c>
      <c r="H4235" s="2" t="s">
        <v>984</v>
      </c>
      <c r="I4235" s="2"/>
      <c r="J4235" s="2" t="s">
        <v>42</v>
      </c>
    </row>
    <row r="4236" spans="1:10" ht="21" customHeight="1">
      <c r="A4236" s="2" t="s">
        <v>5234</v>
      </c>
      <c r="B4236" s="2" t="s">
        <v>42</v>
      </c>
      <c r="C4236" s="4">
        <v>45877.25</v>
      </c>
      <c r="D4236" s="4">
        <v>45877.250497870366</v>
      </c>
      <c r="E4236" s="2">
        <v>3.35</v>
      </c>
      <c r="F4236" s="2">
        <v>73.7</v>
      </c>
      <c r="G4236" s="2" t="s">
        <v>983</v>
      </c>
      <c r="H4236" s="2" t="s">
        <v>984</v>
      </c>
      <c r="I4236" s="2"/>
      <c r="J4236" s="2" t="s">
        <v>42</v>
      </c>
    </row>
    <row r="4237" spans="1:10" ht="21" customHeight="1">
      <c r="A4237" s="2" t="s">
        <v>5235</v>
      </c>
      <c r="B4237" s="2" t="s">
        <v>42</v>
      </c>
      <c r="C4237" s="4">
        <v>45878.25</v>
      </c>
      <c r="D4237" s="4">
        <v>45879.5</v>
      </c>
      <c r="E4237" s="2">
        <v>0</v>
      </c>
      <c r="F4237" s="2">
        <v>73.7</v>
      </c>
      <c r="G4237" s="2" t="s">
        <v>1175</v>
      </c>
      <c r="H4237" s="2" t="s">
        <v>984</v>
      </c>
      <c r="I4237" s="2"/>
      <c r="J4237" s="2" t="s">
        <v>42</v>
      </c>
    </row>
    <row r="4238" spans="1:10" ht="21" customHeight="1">
      <c r="A4238" s="2" t="s">
        <v>5236</v>
      </c>
      <c r="B4238" s="2" t="s">
        <v>42</v>
      </c>
      <c r="C4238" s="4">
        <v>45879.25</v>
      </c>
      <c r="D4238" s="4">
        <v>45879.250286678245</v>
      </c>
      <c r="E4238" s="2">
        <v>0</v>
      </c>
      <c r="F4238" s="2">
        <v>77.099999999999994</v>
      </c>
      <c r="G4238" s="2" t="s">
        <v>1175</v>
      </c>
      <c r="H4238" s="2" t="s">
        <v>984</v>
      </c>
      <c r="I4238" s="2" t="s">
        <v>985</v>
      </c>
      <c r="J4238" s="2" t="s">
        <v>42</v>
      </c>
    </row>
    <row r="4239" spans="1:10" ht="21" customHeight="1">
      <c r="A4239" s="2" t="s">
        <v>5237</v>
      </c>
      <c r="B4239" s="2" t="s">
        <v>42</v>
      </c>
      <c r="C4239" s="4">
        <v>45880.25</v>
      </c>
      <c r="D4239" s="4">
        <v>45880.250502060182</v>
      </c>
      <c r="E4239" s="2">
        <v>3.87</v>
      </c>
      <c r="F4239" s="2">
        <v>76</v>
      </c>
      <c r="G4239" s="2" t="s">
        <v>983</v>
      </c>
      <c r="H4239" s="2" t="s">
        <v>984</v>
      </c>
      <c r="I4239" s="2"/>
      <c r="J4239" s="2" t="s">
        <v>42</v>
      </c>
    </row>
    <row r="4240" spans="1:10" ht="21" customHeight="1">
      <c r="A4240" s="2" t="s">
        <v>5238</v>
      </c>
      <c r="B4240" s="2" t="s">
        <v>42</v>
      </c>
      <c r="C4240" s="4">
        <v>45881.25</v>
      </c>
      <c r="D4240" s="4">
        <v>45881.250038900464</v>
      </c>
      <c r="E4240" s="2">
        <v>3.39</v>
      </c>
      <c r="F4240" s="2">
        <v>72.5</v>
      </c>
      <c r="G4240" s="2" t="s">
        <v>983</v>
      </c>
      <c r="H4240" s="2" t="s">
        <v>984</v>
      </c>
      <c r="I4240" s="2"/>
      <c r="J4240" s="2" t="s">
        <v>42</v>
      </c>
    </row>
    <row r="4241" spans="1:10" ht="21" customHeight="1">
      <c r="A4241" s="2" t="s">
        <v>5239</v>
      </c>
      <c r="B4241" s="2" t="s">
        <v>42</v>
      </c>
      <c r="C4241" s="4">
        <v>45882.25</v>
      </c>
      <c r="D4241" s="4">
        <v>45882.25007981481</v>
      </c>
      <c r="E4241" s="2">
        <v>3.56</v>
      </c>
      <c r="F4241" s="2">
        <v>74.8</v>
      </c>
      <c r="G4241" s="2" t="s">
        <v>983</v>
      </c>
      <c r="H4241" s="2" t="s">
        <v>984</v>
      </c>
      <c r="I4241" s="2"/>
      <c r="J4241" s="2" t="s">
        <v>42</v>
      </c>
    </row>
    <row r="4242" spans="1:10" ht="21" customHeight="1">
      <c r="A4242" s="2" t="s">
        <v>5240</v>
      </c>
      <c r="B4242" s="2" t="s">
        <v>42</v>
      </c>
      <c r="C4242" s="4">
        <v>45883.25</v>
      </c>
      <c r="D4242" s="4">
        <v>45883.250636817131</v>
      </c>
      <c r="E4242" s="2">
        <v>3.99</v>
      </c>
      <c r="F4242" s="2">
        <v>76.2</v>
      </c>
      <c r="G4242" s="2" t="s">
        <v>983</v>
      </c>
      <c r="H4242" s="2" t="s">
        <v>984</v>
      </c>
      <c r="I4242" s="2"/>
      <c r="J4242" s="2" t="s">
        <v>42</v>
      </c>
    </row>
    <row r="4243" spans="1:10" ht="21" customHeight="1">
      <c r="A4243" s="2" t="s">
        <v>5241</v>
      </c>
      <c r="B4243" s="2" t="s">
        <v>42</v>
      </c>
      <c r="C4243" s="4">
        <v>45884.25</v>
      </c>
      <c r="D4243" s="4">
        <v>45884.250132187502</v>
      </c>
      <c r="E4243" s="2">
        <v>2.98</v>
      </c>
      <c r="F4243" s="2">
        <v>78.8</v>
      </c>
      <c r="G4243" s="2" t="s">
        <v>983</v>
      </c>
      <c r="H4243" s="2" t="s">
        <v>984</v>
      </c>
      <c r="I4243" s="2"/>
      <c r="J4243" s="2" t="s">
        <v>42</v>
      </c>
    </row>
    <row r="4244" spans="1:10" ht="21" customHeight="1">
      <c r="A4244" s="2" t="s">
        <v>5242</v>
      </c>
      <c r="B4244" s="2" t="s">
        <v>42</v>
      </c>
      <c r="C4244" s="4">
        <v>45885.25</v>
      </c>
      <c r="D4244" s="4">
        <v>45885.250500277776</v>
      </c>
      <c r="E4244" s="2">
        <v>2.97</v>
      </c>
      <c r="F4244" s="2">
        <v>79.5</v>
      </c>
      <c r="G4244" s="2" t="s">
        <v>983</v>
      </c>
      <c r="H4244" s="2" t="s">
        <v>984</v>
      </c>
      <c r="I4244" s="2"/>
      <c r="J4244" s="2" t="s">
        <v>42</v>
      </c>
    </row>
    <row r="4245" spans="1:10" ht="21" customHeight="1">
      <c r="A4245" s="2" t="s">
        <v>5243</v>
      </c>
      <c r="B4245" s="2" t="s">
        <v>42</v>
      </c>
      <c r="C4245" s="4">
        <v>45886.25</v>
      </c>
      <c r="D4245" s="4">
        <v>45886.250443425924</v>
      </c>
      <c r="E4245" s="2">
        <v>3.06</v>
      </c>
      <c r="F4245" s="2">
        <v>77.099999999999994</v>
      </c>
      <c r="G4245" s="2" t="s">
        <v>983</v>
      </c>
      <c r="H4245" s="2" t="s">
        <v>984</v>
      </c>
      <c r="I4245" s="2"/>
      <c r="J4245" s="2" t="s">
        <v>42</v>
      </c>
    </row>
    <row r="4246" spans="1:10" ht="21" customHeight="1">
      <c r="A4246" s="2" t="s">
        <v>5244</v>
      </c>
      <c r="B4246" s="2" t="s">
        <v>42</v>
      </c>
      <c r="C4246" s="4">
        <v>45887.25</v>
      </c>
      <c r="D4246" s="4">
        <v>45887.250341793981</v>
      </c>
      <c r="E4246" s="2">
        <v>3.48</v>
      </c>
      <c r="F4246" s="2">
        <v>75.599999999999994</v>
      </c>
      <c r="G4246" s="2" t="s">
        <v>983</v>
      </c>
      <c r="H4246" s="2" t="s">
        <v>984</v>
      </c>
      <c r="I4246" s="2"/>
      <c r="J4246" s="2" t="s">
        <v>42</v>
      </c>
    </row>
    <row r="4247" spans="1:10" ht="21" customHeight="1">
      <c r="A4247" s="2" t="s">
        <v>5245</v>
      </c>
      <c r="B4247" s="2" t="s">
        <v>42</v>
      </c>
      <c r="C4247" s="4">
        <v>45888.25</v>
      </c>
      <c r="D4247" s="4">
        <v>45888.250150590276</v>
      </c>
      <c r="E4247" s="2"/>
      <c r="F4247" s="2"/>
      <c r="G4247" s="2" t="s">
        <v>983</v>
      </c>
      <c r="H4247" s="2" t="s">
        <v>1066</v>
      </c>
      <c r="I4247" s="2"/>
      <c r="J4247" s="2" t="s">
        <v>42</v>
      </c>
    </row>
    <row r="4248" spans="1:10" ht="21" customHeight="1">
      <c r="A4248" s="2" t="s">
        <v>5246</v>
      </c>
      <c r="B4248" s="2" t="s">
        <v>42</v>
      </c>
      <c r="C4248" s="4">
        <v>45889.25</v>
      </c>
      <c r="D4248" s="4">
        <v>45890.5</v>
      </c>
      <c r="E4248" s="2">
        <v>3.88</v>
      </c>
      <c r="F4248" s="2">
        <v>79.5</v>
      </c>
      <c r="G4248" s="2" t="s">
        <v>983</v>
      </c>
      <c r="H4248" s="2" t="s">
        <v>984</v>
      </c>
      <c r="I4248" s="2"/>
      <c r="J4248" s="2" t="s">
        <v>42</v>
      </c>
    </row>
    <row r="4249" spans="1:10" ht="21" customHeight="1">
      <c r="A4249" s="2" t="s">
        <v>5247</v>
      </c>
      <c r="B4249" s="2" t="s">
        <v>42</v>
      </c>
      <c r="C4249" s="4">
        <v>45890.25</v>
      </c>
      <c r="D4249" s="4">
        <v>45890.250652222225</v>
      </c>
      <c r="E4249" s="2">
        <v>3.82</v>
      </c>
      <c r="F4249" s="2">
        <v>79.099999999999994</v>
      </c>
      <c r="G4249" s="2" t="s">
        <v>983</v>
      </c>
      <c r="H4249" s="2" t="s">
        <v>984</v>
      </c>
      <c r="I4249" s="2"/>
      <c r="J4249" s="2" t="s">
        <v>42</v>
      </c>
    </row>
    <row r="4250" spans="1:10" ht="21" customHeight="1">
      <c r="A4250" s="2" t="s">
        <v>5248</v>
      </c>
      <c r="B4250" s="2" t="s">
        <v>42</v>
      </c>
      <c r="C4250" s="4">
        <v>45891.25</v>
      </c>
      <c r="D4250" s="4">
        <v>45891.250293773148</v>
      </c>
      <c r="E4250" s="2">
        <v>3.76</v>
      </c>
      <c r="F4250" s="2">
        <v>72.8</v>
      </c>
      <c r="G4250" s="2" t="s">
        <v>983</v>
      </c>
      <c r="H4250" s="2" t="s">
        <v>984</v>
      </c>
      <c r="I4250" s="2"/>
      <c r="J4250" s="2" t="s">
        <v>42</v>
      </c>
    </row>
    <row r="4251" spans="1:10" ht="21" customHeight="1">
      <c r="A4251" s="2" t="s">
        <v>5249</v>
      </c>
      <c r="B4251" s="2" t="s">
        <v>42</v>
      </c>
      <c r="C4251" s="4">
        <v>45892.25</v>
      </c>
      <c r="D4251" s="4">
        <v>45892.250590706019</v>
      </c>
      <c r="E4251" s="2">
        <v>0</v>
      </c>
      <c r="F4251" s="2">
        <v>75.900000000000006</v>
      </c>
      <c r="G4251" s="2" t="s">
        <v>1175</v>
      </c>
      <c r="H4251" s="2" t="s">
        <v>984</v>
      </c>
      <c r="I4251" s="2"/>
      <c r="J4251" s="2" t="s">
        <v>42</v>
      </c>
    </row>
    <row r="4252" spans="1:10" ht="21" customHeight="1">
      <c r="A4252" s="2" t="s">
        <v>5250</v>
      </c>
      <c r="B4252" s="2" t="s">
        <v>42</v>
      </c>
      <c r="C4252" s="4">
        <v>45893.25</v>
      </c>
      <c r="D4252" s="4">
        <v>45893.250445266203</v>
      </c>
      <c r="E4252" s="2"/>
      <c r="F4252" s="2"/>
      <c r="G4252" s="2" t="s">
        <v>983</v>
      </c>
      <c r="H4252" s="2" t="s">
        <v>1066</v>
      </c>
      <c r="I4252" s="2"/>
      <c r="J4252" s="2" t="s">
        <v>42</v>
      </c>
    </row>
    <row r="4253" spans="1:10" ht="21" customHeight="1">
      <c r="A4253" s="2" t="s">
        <v>5251</v>
      </c>
      <c r="B4253" s="2" t="s">
        <v>42</v>
      </c>
      <c r="C4253" s="4">
        <v>45894.25</v>
      </c>
      <c r="D4253" s="4">
        <v>45894.250581273147</v>
      </c>
      <c r="E4253" s="2">
        <v>3.88</v>
      </c>
      <c r="F4253" s="2">
        <v>76.099999999999994</v>
      </c>
      <c r="G4253" s="2" t="s">
        <v>983</v>
      </c>
      <c r="H4253" s="2" t="s">
        <v>984</v>
      </c>
      <c r="I4253" s="2"/>
      <c r="J4253" s="2" t="s">
        <v>42</v>
      </c>
    </row>
    <row r="4254" spans="1:10" ht="21" customHeight="1">
      <c r="A4254" s="2" t="s">
        <v>5252</v>
      </c>
      <c r="B4254" s="2" t="s">
        <v>42</v>
      </c>
      <c r="C4254" s="4">
        <v>45895.25</v>
      </c>
      <c r="D4254" s="4">
        <v>45895.250091168986</v>
      </c>
      <c r="E4254" s="2"/>
      <c r="F4254" s="2"/>
      <c r="G4254" s="2" t="s">
        <v>983</v>
      </c>
      <c r="H4254" s="2" t="s">
        <v>1066</v>
      </c>
      <c r="I4254" s="2"/>
      <c r="J4254" s="2" t="s">
        <v>42</v>
      </c>
    </row>
    <row r="4255" spans="1:10" ht="21" customHeight="1">
      <c r="A4255" s="2" t="s">
        <v>5253</v>
      </c>
      <c r="B4255" s="2" t="s">
        <v>42</v>
      </c>
      <c r="C4255" s="4">
        <v>45896.25</v>
      </c>
      <c r="D4255" s="4">
        <v>45896.250040648149</v>
      </c>
      <c r="E4255" s="2">
        <v>2.85</v>
      </c>
      <c r="F4255" s="2">
        <v>77.900000000000006</v>
      </c>
      <c r="G4255" s="2" t="s">
        <v>983</v>
      </c>
      <c r="H4255" s="2" t="s">
        <v>984</v>
      </c>
      <c r="I4255" s="2" t="s">
        <v>985</v>
      </c>
      <c r="J4255" s="2" t="s">
        <v>42</v>
      </c>
    </row>
    <row r="4256" spans="1:10" ht="21" customHeight="1">
      <c r="A4256" s="2" t="s">
        <v>5254</v>
      </c>
      <c r="B4256" s="2" t="s">
        <v>42</v>
      </c>
      <c r="C4256" s="4">
        <v>45897.25</v>
      </c>
      <c r="D4256" s="4">
        <v>45897.250669224537</v>
      </c>
      <c r="E4256" s="2">
        <v>3.53</v>
      </c>
      <c r="F4256" s="2">
        <v>79.2</v>
      </c>
      <c r="G4256" s="2" t="s">
        <v>983</v>
      </c>
      <c r="H4256" s="2" t="s">
        <v>984</v>
      </c>
      <c r="I4256" s="2"/>
      <c r="J4256" s="2" t="s">
        <v>42</v>
      </c>
    </row>
    <row r="4257" spans="1:10" ht="21" customHeight="1">
      <c r="A4257" s="2" t="s">
        <v>5255</v>
      </c>
      <c r="B4257" s="2" t="s">
        <v>42</v>
      </c>
      <c r="C4257" s="4">
        <v>45898.25</v>
      </c>
      <c r="D4257" s="4">
        <v>45898.250025277783</v>
      </c>
      <c r="E4257" s="2">
        <v>3.84</v>
      </c>
      <c r="F4257" s="2">
        <v>76.5</v>
      </c>
      <c r="G4257" s="2" t="s">
        <v>983</v>
      </c>
      <c r="H4257" s="2" t="s">
        <v>984</v>
      </c>
      <c r="I4257" s="2"/>
      <c r="J4257" s="2" t="s">
        <v>42</v>
      </c>
    </row>
    <row r="4258" spans="1:10" ht="21" customHeight="1">
      <c r="A4258" s="2" t="s">
        <v>5256</v>
      </c>
      <c r="B4258" s="2" t="s">
        <v>42</v>
      </c>
      <c r="C4258" s="4">
        <v>45899.25</v>
      </c>
      <c r="D4258" s="4">
        <v>45899.250125486113</v>
      </c>
      <c r="E4258" s="2">
        <v>3.63</v>
      </c>
      <c r="F4258" s="2">
        <v>79.099999999999994</v>
      </c>
      <c r="G4258" s="2" t="s">
        <v>983</v>
      </c>
      <c r="H4258" s="2" t="s">
        <v>984</v>
      </c>
      <c r="I4258" s="2"/>
      <c r="J4258" s="2" t="s">
        <v>42</v>
      </c>
    </row>
    <row r="4259" spans="1:10" ht="21" customHeight="1">
      <c r="A4259" s="2" t="s">
        <v>5257</v>
      </c>
      <c r="B4259" s="2" t="s">
        <v>42</v>
      </c>
      <c r="C4259" s="4">
        <v>45900.25</v>
      </c>
      <c r="D4259" s="4">
        <v>45901.5</v>
      </c>
      <c r="E4259" s="2">
        <v>3.57</v>
      </c>
      <c r="F4259" s="2">
        <v>79.3</v>
      </c>
      <c r="G4259" s="2" t="s">
        <v>983</v>
      </c>
      <c r="H4259" s="2" t="s">
        <v>984</v>
      </c>
      <c r="I4259" s="2"/>
      <c r="J4259" s="2" t="s">
        <v>42</v>
      </c>
    </row>
    <row r="4260" spans="1:10" ht="21" customHeight="1">
      <c r="A4260" s="2" t="s">
        <v>5258</v>
      </c>
      <c r="B4260" s="2" t="s">
        <v>42</v>
      </c>
      <c r="C4260" s="4">
        <v>45901.25</v>
      </c>
      <c r="D4260" s="4">
        <v>45901.25019579861</v>
      </c>
      <c r="E4260" s="2">
        <v>3.33</v>
      </c>
      <c r="F4260" s="2">
        <v>77</v>
      </c>
      <c r="G4260" s="2" t="s">
        <v>983</v>
      </c>
      <c r="H4260" s="2" t="s">
        <v>984</v>
      </c>
      <c r="I4260" s="2"/>
      <c r="J4260" s="2" t="s">
        <v>42</v>
      </c>
    </row>
    <row r="4261" spans="1:10" ht="21" customHeight="1">
      <c r="A4261" s="2" t="s">
        <v>5259</v>
      </c>
      <c r="B4261" s="2" t="s">
        <v>42</v>
      </c>
      <c r="C4261" s="4">
        <v>45902.25</v>
      </c>
      <c r="D4261" s="4">
        <v>45902.250666643522</v>
      </c>
      <c r="E4261" s="2">
        <v>3.39</v>
      </c>
      <c r="F4261" s="2">
        <v>72.7</v>
      </c>
      <c r="G4261" s="2" t="s">
        <v>983</v>
      </c>
      <c r="H4261" s="2" t="s">
        <v>984</v>
      </c>
      <c r="I4261" s="2"/>
      <c r="J4261" s="2" t="s">
        <v>42</v>
      </c>
    </row>
    <row r="4262" spans="1:10" ht="21" customHeight="1">
      <c r="A4262" s="2" t="s">
        <v>5260</v>
      </c>
      <c r="B4262" s="2" t="s">
        <v>42</v>
      </c>
      <c r="C4262" s="4">
        <v>45903.25</v>
      </c>
      <c r="D4262" s="4">
        <v>45903.25050829861</v>
      </c>
      <c r="E4262" s="2">
        <v>2.96</v>
      </c>
      <c r="F4262" s="2">
        <v>76.400000000000006</v>
      </c>
      <c r="G4262" s="2" t="s">
        <v>983</v>
      </c>
      <c r="H4262" s="2" t="s">
        <v>984</v>
      </c>
      <c r="I4262" s="2"/>
      <c r="J4262" s="2" t="s">
        <v>42</v>
      </c>
    </row>
    <row r="4263" spans="1:10" ht="21" customHeight="1">
      <c r="A4263" s="2" t="s">
        <v>5261</v>
      </c>
      <c r="B4263" s="2" t="s">
        <v>42</v>
      </c>
      <c r="C4263" s="4">
        <v>45904.25</v>
      </c>
      <c r="D4263" s="4">
        <v>45904.250147615741</v>
      </c>
      <c r="E4263" s="2">
        <v>3.54</v>
      </c>
      <c r="F4263" s="2">
        <v>73.8</v>
      </c>
      <c r="G4263" s="2" t="s">
        <v>983</v>
      </c>
      <c r="H4263" s="2" t="s">
        <v>984</v>
      </c>
      <c r="I4263" s="2"/>
      <c r="J4263" s="2" t="s">
        <v>42</v>
      </c>
    </row>
    <row r="4264" spans="1:10" ht="21" customHeight="1">
      <c r="A4264" s="2" t="s">
        <v>5262</v>
      </c>
      <c r="B4264" s="2" t="s">
        <v>42</v>
      </c>
      <c r="C4264" s="4">
        <v>45905.25</v>
      </c>
      <c r="D4264" s="4">
        <v>45905.250668078705</v>
      </c>
      <c r="E4264" s="2">
        <v>5.66</v>
      </c>
      <c r="F4264" s="2">
        <v>85.4</v>
      </c>
      <c r="G4264" s="2" t="s">
        <v>983</v>
      </c>
      <c r="H4264" s="2" t="s">
        <v>984</v>
      </c>
      <c r="I4264" s="2"/>
      <c r="J4264" s="2" t="s">
        <v>42</v>
      </c>
    </row>
    <row r="4265" spans="1:10" ht="21" customHeight="1">
      <c r="A4265" s="2" t="s">
        <v>5263</v>
      </c>
      <c r="B4265" s="2" t="s">
        <v>42</v>
      </c>
      <c r="C4265" s="4">
        <v>45906.25</v>
      </c>
      <c r="D4265" s="4">
        <v>45906.25057802083</v>
      </c>
      <c r="E4265" s="2">
        <v>6.02</v>
      </c>
      <c r="F4265" s="2">
        <v>88.5</v>
      </c>
      <c r="G4265" s="2" t="s">
        <v>983</v>
      </c>
      <c r="H4265" s="2" t="s">
        <v>984</v>
      </c>
      <c r="I4265" s="2" t="s">
        <v>1053</v>
      </c>
      <c r="J4265" s="2" t="s">
        <v>42</v>
      </c>
    </row>
    <row r="4266" spans="1:10" ht="21" customHeight="1">
      <c r="A4266" s="2" t="s">
        <v>5264</v>
      </c>
      <c r="B4266" s="2" t="s">
        <v>5018</v>
      </c>
      <c r="C4266" s="4">
        <v>45907.25</v>
      </c>
      <c r="D4266" s="4">
        <v>45907.250541030095</v>
      </c>
      <c r="E4266" s="2">
        <v>5.36</v>
      </c>
      <c r="F4266" s="2">
        <v>81.7</v>
      </c>
      <c r="G4266" s="2" t="s">
        <v>983</v>
      </c>
      <c r="H4266" s="2" t="s">
        <v>984</v>
      </c>
      <c r="I4266" s="2"/>
      <c r="J4266" s="2" t="s">
        <v>42</v>
      </c>
    </row>
    <row r="4267" spans="1:10" ht="21" customHeight="1">
      <c r="A4267" s="2" t="s">
        <v>5265</v>
      </c>
      <c r="B4267" s="2" t="s">
        <v>42</v>
      </c>
      <c r="C4267" s="4">
        <v>45908.25</v>
      </c>
      <c r="D4267" s="4">
        <v>45908.25029325232</v>
      </c>
      <c r="E4267" s="2">
        <v>0</v>
      </c>
      <c r="F4267" s="2">
        <v>72</v>
      </c>
      <c r="G4267" s="2" t="s">
        <v>1175</v>
      </c>
      <c r="H4267" s="2" t="s">
        <v>984</v>
      </c>
      <c r="I4267" s="2"/>
      <c r="J4267" s="2" t="s">
        <v>42</v>
      </c>
    </row>
    <row r="4268" spans="1:10" ht="21" customHeight="1">
      <c r="A4268" s="2" t="s">
        <v>5266</v>
      </c>
      <c r="B4268" s="2" t="s">
        <v>42</v>
      </c>
      <c r="C4268" s="4">
        <v>45909.25</v>
      </c>
      <c r="D4268" s="4">
        <v>45909.250200694441</v>
      </c>
      <c r="E4268" s="2">
        <v>3.37</v>
      </c>
      <c r="F4268" s="2">
        <v>77</v>
      </c>
      <c r="G4268" s="2" t="s">
        <v>983</v>
      </c>
      <c r="H4268" s="2" t="s">
        <v>984</v>
      </c>
      <c r="I4268" s="2"/>
      <c r="J4268" s="2" t="s">
        <v>42</v>
      </c>
    </row>
    <row r="4269" spans="1:10" ht="21" customHeight="1">
      <c r="A4269" s="2" t="s">
        <v>5267</v>
      </c>
      <c r="B4269" s="2" t="s">
        <v>42</v>
      </c>
      <c r="C4269" s="4">
        <v>45910.25</v>
      </c>
      <c r="D4269" s="4">
        <v>45910.250393900467</v>
      </c>
      <c r="E4269" s="2">
        <v>3.07</v>
      </c>
      <c r="F4269" s="2">
        <v>75.7</v>
      </c>
      <c r="G4269" s="2" t="s">
        <v>983</v>
      </c>
      <c r="H4269" s="2" t="s">
        <v>984</v>
      </c>
      <c r="I4269" s="2"/>
      <c r="J4269" s="2" t="s">
        <v>42</v>
      </c>
    </row>
    <row r="4270" spans="1:10" ht="21" customHeight="1">
      <c r="A4270" s="2" t="s">
        <v>5268</v>
      </c>
      <c r="B4270" s="2" t="s">
        <v>42</v>
      </c>
      <c r="C4270" s="4">
        <v>45911.25</v>
      </c>
      <c r="D4270" s="4">
        <v>45912.5</v>
      </c>
      <c r="E4270" s="2">
        <v>3.99</v>
      </c>
      <c r="F4270" s="2">
        <v>72</v>
      </c>
      <c r="G4270" s="2" t="s">
        <v>983</v>
      </c>
      <c r="H4270" s="2" t="s">
        <v>984</v>
      </c>
      <c r="I4270" s="2"/>
      <c r="J4270" s="2" t="s">
        <v>42</v>
      </c>
    </row>
    <row r="4271" spans="1:10" ht="21" customHeight="1">
      <c r="A4271" s="2" t="s">
        <v>5269</v>
      </c>
      <c r="B4271" s="2" t="s">
        <v>42</v>
      </c>
      <c r="C4271" s="4">
        <v>45912.25</v>
      </c>
      <c r="D4271" s="4">
        <v>45912.25031491898</v>
      </c>
      <c r="E4271" s="2">
        <v>3.42</v>
      </c>
      <c r="F4271" s="2">
        <v>74.599999999999994</v>
      </c>
      <c r="G4271" s="2" t="s">
        <v>983</v>
      </c>
      <c r="H4271" s="2" t="s">
        <v>984</v>
      </c>
      <c r="I4271" s="2"/>
      <c r="J4271" s="2" t="s">
        <v>42</v>
      </c>
    </row>
    <row r="4272" spans="1:10" ht="21" customHeight="1">
      <c r="A4272" s="2" t="s">
        <v>5270</v>
      </c>
      <c r="B4272" s="2" t="s">
        <v>42</v>
      </c>
      <c r="C4272" s="4">
        <v>45913.25</v>
      </c>
      <c r="D4272" s="4">
        <v>45913.25025592593</v>
      </c>
      <c r="E4272" s="2">
        <v>3.81</v>
      </c>
      <c r="F4272" s="2">
        <v>76.3</v>
      </c>
      <c r="G4272" s="2" t="s">
        <v>983</v>
      </c>
      <c r="H4272" s="2" t="s">
        <v>984</v>
      </c>
      <c r="I4272" s="2" t="s">
        <v>985</v>
      </c>
      <c r="J4272" s="2" t="s">
        <v>42</v>
      </c>
    </row>
    <row r="4273" spans="1:10" ht="21" customHeight="1">
      <c r="A4273" s="2" t="s">
        <v>5271</v>
      </c>
      <c r="B4273" s="2" t="s">
        <v>42</v>
      </c>
      <c r="C4273" s="4">
        <v>45914.25</v>
      </c>
      <c r="D4273" s="4">
        <v>45914.250463078701</v>
      </c>
      <c r="E4273" s="2">
        <v>3.82</v>
      </c>
      <c r="F4273" s="2">
        <v>73.8</v>
      </c>
      <c r="G4273" s="2" t="s">
        <v>983</v>
      </c>
      <c r="H4273" s="2" t="s">
        <v>984</v>
      </c>
      <c r="I4273" s="2"/>
      <c r="J4273" s="2" t="s">
        <v>42</v>
      </c>
    </row>
    <row r="4274" spans="1:10" ht="21" customHeight="1">
      <c r="A4274" s="2" t="s">
        <v>5272</v>
      </c>
      <c r="B4274" s="2" t="s">
        <v>42</v>
      </c>
      <c r="C4274" s="4">
        <v>45915.25</v>
      </c>
      <c r="D4274" s="4">
        <v>45915.250199780094</v>
      </c>
      <c r="E4274" s="2">
        <v>3.75</v>
      </c>
      <c r="F4274" s="2">
        <v>79.099999999999994</v>
      </c>
      <c r="G4274" s="2" t="s">
        <v>983</v>
      </c>
      <c r="H4274" s="2" t="s">
        <v>984</v>
      </c>
      <c r="I4274" s="2"/>
      <c r="J4274" s="2" t="s">
        <v>42</v>
      </c>
    </row>
    <row r="4275" spans="1:10" ht="21" customHeight="1">
      <c r="A4275" s="2" t="s">
        <v>5273</v>
      </c>
      <c r="B4275" s="2" t="s">
        <v>42</v>
      </c>
      <c r="C4275" s="4">
        <v>45916.25</v>
      </c>
      <c r="D4275" s="4">
        <v>45916.250518113426</v>
      </c>
      <c r="E4275" s="2">
        <v>3.15</v>
      </c>
      <c r="F4275" s="2">
        <v>76.400000000000006</v>
      </c>
      <c r="G4275" s="2" t="s">
        <v>983</v>
      </c>
      <c r="H4275" s="2" t="s">
        <v>984</v>
      </c>
      <c r="I4275" s="2"/>
      <c r="J4275" s="2" t="s">
        <v>42</v>
      </c>
    </row>
    <row r="4276" spans="1:10" ht="21" customHeight="1">
      <c r="A4276" s="2" t="s">
        <v>5274</v>
      </c>
      <c r="B4276" s="2" t="s">
        <v>42</v>
      </c>
      <c r="C4276" s="4">
        <v>45917.25</v>
      </c>
      <c r="D4276" s="4">
        <v>45917.250271886573</v>
      </c>
      <c r="E4276" s="2">
        <v>3.2</v>
      </c>
      <c r="F4276" s="2">
        <v>74.599999999999994</v>
      </c>
      <c r="G4276" s="2" t="s">
        <v>983</v>
      </c>
      <c r="H4276" s="2" t="s">
        <v>984</v>
      </c>
      <c r="I4276" s="2"/>
      <c r="J4276" s="2" t="s">
        <v>42</v>
      </c>
    </row>
    <row r="4277" spans="1:10" ht="21" customHeight="1">
      <c r="A4277" s="2" t="s">
        <v>5275</v>
      </c>
      <c r="B4277" s="2" t="s">
        <v>42</v>
      </c>
      <c r="C4277" s="4">
        <v>45918.25</v>
      </c>
      <c r="D4277" s="4">
        <v>45918.250613217591</v>
      </c>
      <c r="E4277" s="2">
        <v>3.58</v>
      </c>
      <c r="F4277" s="2">
        <v>75.2</v>
      </c>
      <c r="G4277" s="2" t="s">
        <v>983</v>
      </c>
      <c r="H4277" s="2" t="s">
        <v>984</v>
      </c>
      <c r="I4277" s="2"/>
      <c r="J4277" s="2" t="s">
        <v>42</v>
      </c>
    </row>
    <row r="4278" spans="1:10" ht="21" customHeight="1">
      <c r="A4278" s="2" t="s">
        <v>5276</v>
      </c>
      <c r="B4278" s="2" t="s">
        <v>42</v>
      </c>
      <c r="C4278" s="4">
        <v>45919.25</v>
      </c>
      <c r="D4278" s="4">
        <v>45919.250551689816</v>
      </c>
      <c r="E4278" s="2">
        <v>3.28</v>
      </c>
      <c r="F4278" s="2">
        <v>78.8</v>
      </c>
      <c r="G4278" s="2" t="s">
        <v>983</v>
      </c>
      <c r="H4278" s="2" t="s">
        <v>984</v>
      </c>
      <c r="I4278" s="2"/>
      <c r="J4278" s="2" t="s">
        <v>42</v>
      </c>
    </row>
    <row r="4279" spans="1:10" ht="21" customHeight="1">
      <c r="A4279" s="2" t="s">
        <v>5277</v>
      </c>
      <c r="B4279" s="2" t="s">
        <v>42</v>
      </c>
      <c r="C4279" s="4">
        <v>45920.25</v>
      </c>
      <c r="D4279" s="4">
        <v>45920.250446053236</v>
      </c>
      <c r="E4279" s="2"/>
      <c r="F4279" s="2"/>
      <c r="G4279" s="2" t="s">
        <v>983</v>
      </c>
      <c r="H4279" s="2" t="s">
        <v>1066</v>
      </c>
      <c r="I4279" s="2"/>
      <c r="J4279" s="2" t="s">
        <v>42</v>
      </c>
    </row>
    <row r="4280" spans="1:10" ht="21" customHeight="1">
      <c r="A4280" s="2" t="s">
        <v>5278</v>
      </c>
      <c r="B4280" s="2" t="s">
        <v>42</v>
      </c>
      <c r="C4280" s="4">
        <v>45921.25</v>
      </c>
      <c r="D4280" s="4">
        <v>45921.25036982639</v>
      </c>
      <c r="E4280" s="2">
        <v>3.05</v>
      </c>
      <c r="F4280" s="2">
        <v>78.099999999999994</v>
      </c>
      <c r="G4280" s="2" t="s">
        <v>983</v>
      </c>
      <c r="H4280" s="2" t="s">
        <v>984</v>
      </c>
      <c r="I4280" s="2"/>
      <c r="J4280" s="2" t="s">
        <v>42</v>
      </c>
    </row>
    <row r="4281" spans="1:10" ht="21" customHeight="1">
      <c r="A4281" s="2" t="s">
        <v>5279</v>
      </c>
      <c r="B4281" s="2" t="s">
        <v>42</v>
      </c>
      <c r="C4281" s="4">
        <v>45922.25</v>
      </c>
      <c r="D4281" s="4">
        <v>45923.5</v>
      </c>
      <c r="E4281" s="2">
        <v>3.08</v>
      </c>
      <c r="F4281" s="2">
        <v>77.400000000000006</v>
      </c>
      <c r="G4281" s="2" t="s">
        <v>983</v>
      </c>
      <c r="H4281" s="2" t="s">
        <v>984</v>
      </c>
      <c r="I4281" s="2"/>
      <c r="J4281" s="2" t="s">
        <v>42</v>
      </c>
    </row>
    <row r="4282" spans="1:10" ht="21" customHeight="1">
      <c r="A4282" s="2" t="s">
        <v>5280</v>
      </c>
      <c r="B4282" s="2" t="s">
        <v>42</v>
      </c>
      <c r="C4282" s="4">
        <v>45923.25</v>
      </c>
      <c r="D4282" s="4">
        <v>45923.25035736111</v>
      </c>
      <c r="E4282" s="2">
        <v>2.89</v>
      </c>
      <c r="F4282" s="2">
        <v>77.400000000000006</v>
      </c>
      <c r="G4282" s="2" t="s">
        <v>983</v>
      </c>
      <c r="H4282" s="2" t="s">
        <v>984</v>
      </c>
      <c r="I4282" s="2"/>
      <c r="J4282" s="2" t="s">
        <v>42</v>
      </c>
    </row>
    <row r="4283" spans="1:10" ht="21" customHeight="1">
      <c r="A4283" s="2" t="s">
        <v>5281</v>
      </c>
      <c r="B4283" s="2" t="s">
        <v>42</v>
      </c>
      <c r="C4283" s="4">
        <v>45924.25</v>
      </c>
      <c r="D4283" s="4">
        <v>45924.250076631943</v>
      </c>
      <c r="E4283" s="2">
        <v>3.3</v>
      </c>
      <c r="F4283" s="2">
        <v>76</v>
      </c>
      <c r="G4283" s="2" t="s">
        <v>983</v>
      </c>
      <c r="H4283" s="2" t="s">
        <v>984</v>
      </c>
      <c r="I4283" s="2"/>
      <c r="J4283" s="2" t="s">
        <v>42</v>
      </c>
    </row>
    <row r="4284" spans="1:10" ht="21" customHeight="1">
      <c r="A4284" s="2" t="s">
        <v>5282</v>
      </c>
      <c r="B4284" s="2" t="s">
        <v>42</v>
      </c>
      <c r="C4284" s="4">
        <v>45925.25</v>
      </c>
      <c r="D4284" s="4">
        <v>45925.250292280092</v>
      </c>
      <c r="E4284" s="2"/>
      <c r="F4284" s="2"/>
      <c r="G4284" s="2" t="s">
        <v>983</v>
      </c>
      <c r="H4284" s="2" t="s">
        <v>1066</v>
      </c>
      <c r="I4284" s="2"/>
      <c r="J4284" s="2" t="s">
        <v>42</v>
      </c>
    </row>
    <row r="4285" spans="1:10" ht="21" customHeight="1">
      <c r="A4285" s="2" t="s">
        <v>5283</v>
      </c>
      <c r="B4285" s="2" t="s">
        <v>42</v>
      </c>
      <c r="C4285" s="4">
        <v>45926.25</v>
      </c>
      <c r="D4285" s="4">
        <v>45926.250437303243</v>
      </c>
      <c r="E4285" s="2">
        <v>2.9</v>
      </c>
      <c r="F4285" s="2">
        <v>76.400000000000006</v>
      </c>
      <c r="G4285" s="2" t="s">
        <v>983</v>
      </c>
      <c r="H4285" s="2" t="s">
        <v>984</v>
      </c>
      <c r="I4285" s="2"/>
      <c r="J4285" s="2" t="s">
        <v>42</v>
      </c>
    </row>
    <row r="4286" spans="1:10" ht="21" customHeight="1">
      <c r="A4286" s="2" t="s">
        <v>5284</v>
      </c>
      <c r="B4286" s="2" t="s">
        <v>42</v>
      </c>
      <c r="C4286" s="4">
        <v>45927.25</v>
      </c>
      <c r="D4286" s="4">
        <v>45927.250548750002</v>
      </c>
      <c r="E4286" s="2">
        <v>3.49</v>
      </c>
      <c r="F4286" s="2">
        <v>78.400000000000006</v>
      </c>
      <c r="G4286" s="2" t="s">
        <v>983</v>
      </c>
      <c r="H4286" s="2" t="s">
        <v>984</v>
      </c>
      <c r="I4286" s="2"/>
      <c r="J4286" s="2" t="s">
        <v>42</v>
      </c>
    </row>
    <row r="4287" spans="1:10" ht="21" customHeight="1">
      <c r="A4287" s="2" t="s">
        <v>5285</v>
      </c>
      <c r="B4287" s="2" t="s">
        <v>42</v>
      </c>
      <c r="C4287" s="4">
        <v>45928.25</v>
      </c>
      <c r="D4287" s="4">
        <v>45928.25045003472</v>
      </c>
      <c r="E4287" s="2">
        <v>3.08</v>
      </c>
      <c r="F4287" s="2">
        <v>77.099999999999994</v>
      </c>
      <c r="G4287" s="2" t="s">
        <v>983</v>
      </c>
      <c r="H4287" s="2" t="s">
        <v>984</v>
      </c>
      <c r="I4287" s="2"/>
      <c r="J4287" s="2" t="s">
        <v>42</v>
      </c>
    </row>
    <row r="4288" spans="1:10" ht="21" customHeight="1">
      <c r="A4288" s="2" t="s">
        <v>5286</v>
      </c>
      <c r="B4288" s="2" t="s">
        <v>42</v>
      </c>
      <c r="C4288" s="4">
        <v>45929.25</v>
      </c>
      <c r="D4288" s="4">
        <v>45929.25057960648</v>
      </c>
      <c r="E4288" s="2">
        <v>3.21</v>
      </c>
      <c r="F4288" s="2">
        <v>79.8</v>
      </c>
      <c r="G4288" s="2" t="s">
        <v>983</v>
      </c>
      <c r="H4288" s="2" t="s">
        <v>984</v>
      </c>
      <c r="I4288" s="2"/>
      <c r="J4288" s="2" t="s">
        <v>42</v>
      </c>
    </row>
    <row r="4289" spans="1:10" ht="21" customHeight="1">
      <c r="A4289" s="2" t="s">
        <v>5287</v>
      </c>
      <c r="B4289" s="2" t="s">
        <v>42</v>
      </c>
      <c r="C4289" s="4">
        <v>45930.25</v>
      </c>
      <c r="D4289" s="4">
        <v>45930.250673020833</v>
      </c>
      <c r="E4289" s="2">
        <v>3.76</v>
      </c>
      <c r="F4289" s="2">
        <v>72.099999999999994</v>
      </c>
      <c r="G4289" s="2" t="s">
        <v>983</v>
      </c>
      <c r="H4289" s="2" t="s">
        <v>984</v>
      </c>
      <c r="I4289" s="2" t="s">
        <v>985</v>
      </c>
      <c r="J4289" s="2" t="s">
        <v>42</v>
      </c>
    </row>
    <row r="4290" spans="1:10" ht="21" customHeight="1">
      <c r="A4290" s="2" t="s">
        <v>5288</v>
      </c>
      <c r="B4290" s="2" t="s">
        <v>42</v>
      </c>
      <c r="C4290" s="4">
        <v>45931.25</v>
      </c>
      <c r="D4290" s="4">
        <v>45931.250016874998</v>
      </c>
      <c r="E4290" s="2">
        <v>3</v>
      </c>
      <c r="F4290" s="2">
        <v>75.400000000000006</v>
      </c>
      <c r="G4290" s="2" t="s">
        <v>983</v>
      </c>
      <c r="H4290" s="2" t="s">
        <v>984</v>
      </c>
      <c r="I4290" s="2"/>
      <c r="J4290" s="2" t="s">
        <v>42</v>
      </c>
    </row>
    <row r="4291" spans="1:10" ht="21" customHeight="1">
      <c r="A4291" s="2" t="s">
        <v>5289</v>
      </c>
      <c r="B4291" s="2" t="s">
        <v>42</v>
      </c>
      <c r="C4291" s="4">
        <v>45932.25</v>
      </c>
      <c r="D4291" s="4">
        <v>45932.250248321754</v>
      </c>
      <c r="E4291" s="2"/>
      <c r="F4291" s="2"/>
      <c r="G4291" s="2" t="s">
        <v>983</v>
      </c>
      <c r="H4291" s="2" t="s">
        <v>1066</v>
      </c>
      <c r="I4291" s="2"/>
      <c r="J4291" s="2" t="s">
        <v>42</v>
      </c>
    </row>
    <row r="4292" spans="1:10" ht="21" customHeight="1">
      <c r="A4292" s="2" t="s">
        <v>5290</v>
      </c>
      <c r="B4292" s="2" t="s">
        <v>42</v>
      </c>
      <c r="C4292" s="4">
        <v>45933.25</v>
      </c>
      <c r="D4292" s="4">
        <v>45934.5</v>
      </c>
      <c r="E4292" s="2">
        <v>3.03</v>
      </c>
      <c r="F4292" s="2">
        <v>73.7</v>
      </c>
      <c r="G4292" s="2" t="s">
        <v>983</v>
      </c>
      <c r="H4292" s="2" t="s">
        <v>984</v>
      </c>
      <c r="I4292" s="2"/>
      <c r="J4292" s="2" t="s">
        <v>42</v>
      </c>
    </row>
    <row r="4293" spans="1:10" ht="21" customHeight="1">
      <c r="A4293" s="2" t="s">
        <v>5291</v>
      </c>
      <c r="B4293" s="2" t="s">
        <v>42</v>
      </c>
      <c r="C4293" s="4">
        <v>45934.25</v>
      </c>
      <c r="D4293" s="4">
        <v>45934.250293344907</v>
      </c>
      <c r="E4293" s="2">
        <v>2.92</v>
      </c>
      <c r="F4293" s="2">
        <v>74.599999999999994</v>
      </c>
      <c r="G4293" s="2" t="s">
        <v>983</v>
      </c>
      <c r="H4293" s="2" t="s">
        <v>984</v>
      </c>
      <c r="I4293" s="2"/>
      <c r="J4293" s="2" t="s">
        <v>42</v>
      </c>
    </row>
    <row r="4294" spans="1:10" ht="21" customHeight="1">
      <c r="A4294" s="2" t="s">
        <v>5292</v>
      </c>
      <c r="B4294" s="2" t="s">
        <v>42</v>
      </c>
      <c r="C4294" s="4">
        <v>45935.25</v>
      </c>
      <c r="D4294" s="4">
        <v>45935.250388749999</v>
      </c>
      <c r="E4294" s="2">
        <v>3.94</v>
      </c>
      <c r="F4294" s="2">
        <v>72.599999999999994</v>
      </c>
      <c r="G4294" s="2" t="s">
        <v>983</v>
      </c>
      <c r="H4294" s="2" t="s">
        <v>984</v>
      </c>
      <c r="I4294" s="2"/>
      <c r="J4294" s="2" t="s">
        <v>42</v>
      </c>
    </row>
    <row r="4295" spans="1:10" ht="21" customHeight="1">
      <c r="A4295" s="2" t="s">
        <v>5293</v>
      </c>
      <c r="B4295" s="2" t="s">
        <v>42</v>
      </c>
      <c r="C4295" s="4">
        <v>45936.25</v>
      </c>
      <c r="D4295" s="4">
        <v>45936.250276053237</v>
      </c>
      <c r="E4295" s="2">
        <v>3.73</v>
      </c>
      <c r="F4295" s="2">
        <v>79.5</v>
      </c>
      <c r="G4295" s="2" t="s">
        <v>983</v>
      </c>
      <c r="H4295" s="2" t="s">
        <v>984</v>
      </c>
      <c r="I4295" s="2"/>
      <c r="J4295" s="2" t="s">
        <v>42</v>
      </c>
    </row>
    <row r="4296" spans="1:10" ht="21" customHeight="1">
      <c r="A4296" s="2" t="s">
        <v>5294</v>
      </c>
      <c r="B4296" s="2" t="s">
        <v>42</v>
      </c>
      <c r="C4296" s="4">
        <v>45937.25</v>
      </c>
      <c r="D4296" s="4">
        <v>45937.250003541667</v>
      </c>
      <c r="E4296" s="2"/>
      <c r="F4296" s="2"/>
      <c r="G4296" s="2" t="s">
        <v>983</v>
      </c>
      <c r="H4296" s="2" t="s">
        <v>1066</v>
      </c>
      <c r="I4296" s="2"/>
      <c r="J4296" s="2" t="s">
        <v>42</v>
      </c>
    </row>
    <row r="4297" spans="1:10" ht="21" customHeight="1">
      <c r="A4297" s="2" t="s">
        <v>5295</v>
      </c>
      <c r="B4297" s="2" t="s">
        <v>42</v>
      </c>
      <c r="C4297" s="4">
        <v>45938.25</v>
      </c>
      <c r="D4297" s="4">
        <v>45938.250490995371</v>
      </c>
      <c r="E4297" s="2">
        <v>4.8899999999999997</v>
      </c>
      <c r="F4297" s="2">
        <v>83.1</v>
      </c>
      <c r="G4297" s="2" t="s">
        <v>983</v>
      </c>
      <c r="H4297" s="2" t="s">
        <v>984</v>
      </c>
      <c r="I4297" s="2" t="s">
        <v>1053</v>
      </c>
      <c r="J4297" s="2" t="s">
        <v>42</v>
      </c>
    </row>
    <row r="4298" spans="1:10" ht="21" customHeight="1">
      <c r="A4298" s="2" t="s">
        <v>5296</v>
      </c>
      <c r="B4298" s="2" t="s">
        <v>42</v>
      </c>
      <c r="C4298" s="4">
        <v>45939.25</v>
      </c>
      <c r="D4298" s="4">
        <v>45939.250477430556</v>
      </c>
      <c r="E4298" s="2">
        <v>7.09</v>
      </c>
      <c r="F4298" s="2">
        <v>81.8</v>
      </c>
      <c r="G4298" s="2" t="s">
        <v>983</v>
      </c>
      <c r="H4298" s="2" t="s">
        <v>984</v>
      </c>
      <c r="I4298" s="2"/>
      <c r="J4298" s="2" t="s">
        <v>42</v>
      </c>
    </row>
    <row r="4299" spans="1:10" ht="21" customHeight="1">
      <c r="A4299" s="2" t="s">
        <v>5297</v>
      </c>
      <c r="B4299" s="2" t="s">
        <v>42</v>
      </c>
      <c r="C4299" s="4">
        <v>45940.25</v>
      </c>
      <c r="D4299" s="4">
        <v>45940.250420092591</v>
      </c>
      <c r="E4299" s="2">
        <v>0</v>
      </c>
      <c r="F4299" s="2">
        <v>76</v>
      </c>
      <c r="G4299" s="2" t="s">
        <v>1175</v>
      </c>
      <c r="H4299" s="2" t="s">
        <v>984</v>
      </c>
      <c r="I4299" s="2"/>
      <c r="J4299" s="2" t="s">
        <v>42</v>
      </c>
    </row>
    <row r="4300" spans="1:10" ht="21" customHeight="1">
      <c r="A4300" s="2" t="s">
        <v>5298</v>
      </c>
      <c r="B4300" s="2" t="s">
        <v>42</v>
      </c>
      <c r="C4300" s="4">
        <v>45941.25</v>
      </c>
      <c r="D4300" s="4">
        <v>45941.250426909726</v>
      </c>
      <c r="E4300" s="2">
        <v>3.46</v>
      </c>
      <c r="F4300" s="2">
        <v>78.599999999999994</v>
      </c>
      <c r="G4300" s="2" t="s">
        <v>983</v>
      </c>
      <c r="H4300" s="2" t="s">
        <v>984</v>
      </c>
      <c r="I4300" s="2"/>
      <c r="J4300" s="2" t="s">
        <v>42</v>
      </c>
    </row>
    <row r="4301" spans="1:10" ht="21" customHeight="1">
      <c r="A4301" s="2" t="s">
        <v>5299</v>
      </c>
      <c r="B4301" s="2" t="s">
        <v>42</v>
      </c>
      <c r="C4301" s="4">
        <v>45942.25</v>
      </c>
      <c r="D4301" s="4">
        <v>45942.25003836806</v>
      </c>
      <c r="E4301" s="2"/>
      <c r="F4301" s="2"/>
      <c r="G4301" s="2" t="s">
        <v>983</v>
      </c>
      <c r="H4301" s="2" t="s">
        <v>1066</v>
      </c>
      <c r="I4301" s="2"/>
      <c r="J4301" s="2" t="s">
        <v>42</v>
      </c>
    </row>
    <row r="4302" spans="1:10" ht="21" customHeight="1">
      <c r="A4302" s="2" t="s">
        <v>5300</v>
      </c>
      <c r="B4302" s="2" t="s">
        <v>42</v>
      </c>
      <c r="C4302" s="4">
        <v>45943.25</v>
      </c>
      <c r="D4302" s="4">
        <v>45943.250669733796</v>
      </c>
      <c r="E4302" s="2">
        <v>3.03</v>
      </c>
      <c r="F4302" s="2">
        <v>72.900000000000006</v>
      </c>
      <c r="G4302" s="2" t="s">
        <v>983</v>
      </c>
      <c r="H4302" s="2" t="s">
        <v>984</v>
      </c>
      <c r="I4302" s="2"/>
      <c r="J4302" s="2" t="s">
        <v>42</v>
      </c>
    </row>
    <row r="4303" spans="1:10" ht="21" customHeight="1">
      <c r="A4303" s="2" t="s">
        <v>5301</v>
      </c>
      <c r="B4303" s="2" t="s">
        <v>42</v>
      </c>
      <c r="C4303" s="4">
        <v>45944.25</v>
      </c>
      <c r="D4303" s="4">
        <v>45945.5</v>
      </c>
      <c r="E4303" s="2">
        <v>3.29</v>
      </c>
      <c r="F4303" s="2">
        <v>77.599999999999994</v>
      </c>
      <c r="G4303" s="2" t="s">
        <v>983</v>
      </c>
      <c r="H4303" s="2" t="s">
        <v>984</v>
      </c>
      <c r="I4303" s="2"/>
      <c r="J4303" s="2" t="s">
        <v>42</v>
      </c>
    </row>
    <row r="4304" spans="1:10" ht="21" customHeight="1">
      <c r="A4304" s="2" t="s">
        <v>5302</v>
      </c>
      <c r="B4304" s="2" t="s">
        <v>42</v>
      </c>
      <c r="C4304" s="4">
        <v>45945.25</v>
      </c>
      <c r="D4304" s="4">
        <v>45945.2502287963</v>
      </c>
      <c r="E4304" s="2">
        <v>2.93</v>
      </c>
      <c r="F4304" s="2">
        <v>74.099999999999994</v>
      </c>
      <c r="G4304" s="2" t="s">
        <v>983</v>
      </c>
      <c r="H4304" s="2" t="s">
        <v>984</v>
      </c>
      <c r="I4304" s="2"/>
      <c r="J4304" s="2" t="s">
        <v>42</v>
      </c>
    </row>
    <row r="4305" spans="1:10" ht="21" customHeight="1">
      <c r="A4305" s="2" t="s">
        <v>5303</v>
      </c>
      <c r="B4305" s="2" t="s">
        <v>42</v>
      </c>
      <c r="C4305" s="4">
        <v>45946.25</v>
      </c>
      <c r="D4305" s="4">
        <v>45946.250473425927</v>
      </c>
      <c r="E4305" s="2">
        <v>3.65</v>
      </c>
      <c r="F4305" s="2">
        <v>75.900000000000006</v>
      </c>
      <c r="G4305" s="2" t="s">
        <v>983</v>
      </c>
      <c r="H4305" s="2" t="s">
        <v>984</v>
      </c>
      <c r="I4305" s="2"/>
      <c r="J4305" s="2" t="s">
        <v>42</v>
      </c>
    </row>
    <row r="4306" spans="1:10" ht="21" customHeight="1">
      <c r="A4306" s="2" t="s">
        <v>5304</v>
      </c>
      <c r="B4306" s="2" t="s">
        <v>42</v>
      </c>
      <c r="C4306" s="4">
        <v>45947.25</v>
      </c>
      <c r="D4306" s="4">
        <v>45947.25068946759</v>
      </c>
      <c r="E4306" s="2">
        <v>2.99</v>
      </c>
      <c r="F4306" s="2">
        <v>73.8</v>
      </c>
      <c r="G4306" s="2" t="s">
        <v>983</v>
      </c>
      <c r="H4306" s="2" t="s">
        <v>984</v>
      </c>
      <c r="I4306" s="2" t="s">
        <v>985</v>
      </c>
      <c r="J4306" s="2" t="s">
        <v>42</v>
      </c>
    </row>
    <row r="4307" spans="1:10" ht="21" customHeight="1">
      <c r="A4307" s="2" t="s">
        <v>5305</v>
      </c>
      <c r="B4307" s="2" t="s">
        <v>5018</v>
      </c>
      <c r="C4307" s="4">
        <v>45948.25</v>
      </c>
      <c r="D4307" s="4">
        <v>45948.250345057866</v>
      </c>
      <c r="E4307" s="2">
        <v>3.1</v>
      </c>
      <c r="F4307" s="2">
        <v>79.8</v>
      </c>
      <c r="G4307" s="2" t="s">
        <v>983</v>
      </c>
      <c r="H4307" s="2" t="s">
        <v>984</v>
      </c>
      <c r="I4307" s="2"/>
      <c r="J4307" s="2" t="s">
        <v>42</v>
      </c>
    </row>
    <row r="4308" spans="1:10" ht="21" customHeight="1">
      <c r="A4308" s="2" t="s">
        <v>5306</v>
      </c>
      <c r="B4308" s="2" t="s">
        <v>42</v>
      </c>
      <c r="C4308" s="4">
        <v>45949.25</v>
      </c>
      <c r="D4308" s="4">
        <v>45949.250566099538</v>
      </c>
      <c r="E4308" s="2">
        <v>3.17</v>
      </c>
      <c r="F4308" s="2">
        <v>76.099999999999994</v>
      </c>
      <c r="G4308" s="2" t="s">
        <v>983</v>
      </c>
      <c r="H4308" s="2" t="s">
        <v>984</v>
      </c>
      <c r="I4308" s="2"/>
      <c r="J4308" s="2" t="s">
        <v>42</v>
      </c>
    </row>
    <row r="4309" spans="1:10" ht="21" customHeight="1">
      <c r="A4309" s="2" t="s">
        <v>5307</v>
      </c>
      <c r="B4309" s="2" t="s">
        <v>42</v>
      </c>
      <c r="C4309" s="4">
        <v>45950.25</v>
      </c>
      <c r="D4309" s="4">
        <v>45950.250180972223</v>
      </c>
      <c r="E4309" s="2">
        <v>5.84</v>
      </c>
      <c r="F4309" s="2">
        <v>80.5</v>
      </c>
      <c r="G4309" s="2" t="s">
        <v>983</v>
      </c>
      <c r="H4309" s="2" t="s">
        <v>984</v>
      </c>
      <c r="I4309" s="2" t="s">
        <v>1053</v>
      </c>
      <c r="J4309" s="2" t="s">
        <v>42</v>
      </c>
    </row>
    <row r="4310" spans="1:10" ht="21" customHeight="1">
      <c r="A4310" s="2" t="s">
        <v>5308</v>
      </c>
      <c r="B4310" s="2" t="s">
        <v>42</v>
      </c>
      <c r="C4310" s="4">
        <v>45951.25</v>
      </c>
      <c r="D4310" s="4">
        <v>45951.250134120375</v>
      </c>
      <c r="E4310" s="2">
        <v>4.78</v>
      </c>
      <c r="F4310" s="2">
        <v>86.3</v>
      </c>
      <c r="G4310" s="2" t="s">
        <v>983</v>
      </c>
      <c r="H4310" s="2" t="s">
        <v>984</v>
      </c>
      <c r="I4310" s="2"/>
      <c r="J4310" s="2" t="s">
        <v>42</v>
      </c>
    </row>
    <row r="4311" spans="1:10" ht="21" customHeight="1">
      <c r="A4311" s="2" t="s">
        <v>5309</v>
      </c>
      <c r="B4311" s="2" t="s">
        <v>42</v>
      </c>
      <c r="C4311" s="4">
        <v>45952.25</v>
      </c>
      <c r="D4311" s="4">
        <v>45952.250548240743</v>
      </c>
      <c r="E4311" s="2">
        <v>4.93</v>
      </c>
      <c r="F4311" s="2">
        <v>89</v>
      </c>
      <c r="G4311" s="2" t="s">
        <v>983</v>
      </c>
      <c r="H4311" s="2" t="s">
        <v>984</v>
      </c>
      <c r="I4311" s="2" t="s">
        <v>1053</v>
      </c>
      <c r="J4311" s="2" t="s">
        <v>42</v>
      </c>
    </row>
    <row r="4312" spans="1:10" ht="21" customHeight="1">
      <c r="A4312" s="2" t="s">
        <v>5310</v>
      </c>
      <c r="B4312" s="2" t="s">
        <v>42</v>
      </c>
      <c r="C4312" s="4">
        <v>45953.25</v>
      </c>
      <c r="D4312" s="4">
        <v>45953.250612430551</v>
      </c>
      <c r="E4312" s="2">
        <v>0</v>
      </c>
      <c r="F4312" s="2">
        <v>74.8</v>
      </c>
      <c r="G4312" s="2" t="s">
        <v>1175</v>
      </c>
      <c r="H4312" s="2" t="s">
        <v>984</v>
      </c>
      <c r="I4312" s="2"/>
      <c r="J4312" s="2" t="s">
        <v>42</v>
      </c>
    </row>
    <row r="4313" spans="1:10" ht="21" customHeight="1">
      <c r="A4313" s="2" t="s">
        <v>5311</v>
      </c>
      <c r="B4313" s="2" t="s">
        <v>42</v>
      </c>
      <c r="C4313" s="4">
        <v>45954.25</v>
      </c>
      <c r="D4313" s="4">
        <v>45954.250429953703</v>
      </c>
      <c r="E4313" s="2">
        <v>2.97</v>
      </c>
      <c r="F4313" s="2">
        <v>73.2</v>
      </c>
      <c r="G4313" s="2" t="s">
        <v>983</v>
      </c>
      <c r="H4313" s="2" t="s">
        <v>984</v>
      </c>
      <c r="I4313" s="2"/>
      <c r="J4313" s="2" t="s">
        <v>42</v>
      </c>
    </row>
    <row r="4314" spans="1:10" ht="21" customHeight="1">
      <c r="A4314" s="2" t="s">
        <v>5312</v>
      </c>
      <c r="B4314" s="2" t="s">
        <v>42</v>
      </c>
      <c r="C4314" s="4">
        <v>45955.25</v>
      </c>
      <c r="D4314" s="4">
        <v>45956.5</v>
      </c>
      <c r="E4314" s="2">
        <v>3.14</v>
      </c>
      <c r="F4314" s="2">
        <v>78.099999999999994</v>
      </c>
      <c r="G4314" s="2" t="s">
        <v>983</v>
      </c>
      <c r="H4314" s="2" t="s">
        <v>984</v>
      </c>
      <c r="I4314" s="2"/>
      <c r="J4314" s="2" t="s">
        <v>42</v>
      </c>
    </row>
    <row r="4315" spans="1:10" ht="21" customHeight="1">
      <c r="A4315" s="2" t="s">
        <v>5313</v>
      </c>
      <c r="B4315" s="2" t="s">
        <v>42</v>
      </c>
      <c r="C4315" s="4">
        <v>45956.25</v>
      </c>
      <c r="D4315" s="4">
        <v>45956.250236006948</v>
      </c>
      <c r="E4315" s="2">
        <v>3.28</v>
      </c>
      <c r="F4315" s="2">
        <v>73.2</v>
      </c>
      <c r="G4315" s="2" t="s">
        <v>983</v>
      </c>
      <c r="H4315" s="2" t="s">
        <v>984</v>
      </c>
      <c r="I4315" s="2"/>
      <c r="J4315" s="2" t="s">
        <v>42</v>
      </c>
    </row>
    <row r="4316" spans="1:10" ht="21" customHeight="1">
      <c r="A4316" s="2" t="s">
        <v>5314</v>
      </c>
      <c r="B4316" s="2" t="s">
        <v>42</v>
      </c>
      <c r="C4316" s="4">
        <v>45957.25</v>
      </c>
      <c r="D4316" s="4">
        <v>45957.250530717589</v>
      </c>
      <c r="E4316" s="2"/>
      <c r="F4316" s="2"/>
      <c r="G4316" s="2" t="s">
        <v>983</v>
      </c>
      <c r="H4316" s="2" t="s">
        <v>1066</v>
      </c>
      <c r="I4316" s="2"/>
      <c r="J4316" s="2" t="s">
        <v>42</v>
      </c>
    </row>
    <row r="4317" spans="1:10" ht="21" customHeight="1">
      <c r="A4317" s="2" t="s">
        <v>5315</v>
      </c>
      <c r="B4317" s="2" t="s">
        <v>42</v>
      </c>
      <c r="C4317" s="4">
        <v>45958.25</v>
      </c>
      <c r="D4317" s="4">
        <v>45958.250679074074</v>
      </c>
      <c r="E4317" s="2">
        <v>3.83</v>
      </c>
      <c r="F4317" s="2">
        <v>76.099999999999994</v>
      </c>
      <c r="G4317" s="2" t="s">
        <v>983</v>
      </c>
      <c r="H4317" s="2" t="s">
        <v>984</v>
      </c>
      <c r="I4317" s="2"/>
      <c r="J4317" s="2" t="s">
        <v>42</v>
      </c>
    </row>
    <row r="4318" spans="1:10" ht="21" customHeight="1">
      <c r="A4318" s="2" t="s">
        <v>5316</v>
      </c>
      <c r="B4318" s="2" t="s">
        <v>42</v>
      </c>
      <c r="C4318" s="4">
        <v>45959.25</v>
      </c>
      <c r="D4318" s="4">
        <v>45959.250182118056</v>
      </c>
      <c r="E4318" s="2">
        <v>3.96</v>
      </c>
      <c r="F4318" s="2">
        <v>74.099999999999994</v>
      </c>
      <c r="G4318" s="2" t="s">
        <v>983</v>
      </c>
      <c r="H4318" s="2" t="s">
        <v>984</v>
      </c>
      <c r="I4318" s="2"/>
      <c r="J4318" s="2" t="s">
        <v>42</v>
      </c>
    </row>
    <row r="4319" spans="1:10" ht="21" customHeight="1">
      <c r="A4319" s="2" t="s">
        <v>5317</v>
      </c>
      <c r="B4319" s="2" t="s">
        <v>42</v>
      </c>
      <c r="C4319" s="4">
        <v>45960.25</v>
      </c>
      <c r="D4319" s="4">
        <v>45960.250226747681</v>
      </c>
      <c r="E4319" s="2">
        <v>3.27</v>
      </c>
      <c r="F4319" s="2">
        <v>73</v>
      </c>
      <c r="G4319" s="2" t="s">
        <v>983</v>
      </c>
      <c r="H4319" s="2" t="s">
        <v>984</v>
      </c>
      <c r="I4319" s="2"/>
      <c r="J4319" s="2" t="s">
        <v>42</v>
      </c>
    </row>
    <row r="4320" spans="1:10" ht="21" customHeight="1">
      <c r="A4320" s="2" t="s">
        <v>5318</v>
      </c>
      <c r="B4320" s="2" t="s">
        <v>42</v>
      </c>
      <c r="C4320" s="4">
        <v>45961.25</v>
      </c>
      <c r="D4320" s="4">
        <v>45961.250133530091</v>
      </c>
      <c r="E4320" s="2">
        <v>3.22</v>
      </c>
      <c r="F4320" s="2">
        <v>73.5</v>
      </c>
      <c r="G4320" s="2" t="s">
        <v>983</v>
      </c>
      <c r="H4320" s="2" t="s">
        <v>984</v>
      </c>
      <c r="I4320" s="2"/>
      <c r="J4320" s="2" t="s">
        <v>42</v>
      </c>
    </row>
    <row r="4321" spans="1:10" ht="21" customHeight="1">
      <c r="A4321" s="2" t="s">
        <v>5319</v>
      </c>
      <c r="B4321" s="2" t="s">
        <v>42</v>
      </c>
      <c r="C4321" s="4">
        <v>45962.25</v>
      </c>
      <c r="D4321" s="4">
        <v>45962.250585138885</v>
      </c>
      <c r="E4321" s="2">
        <v>3.83</v>
      </c>
      <c r="F4321" s="2">
        <v>77.5</v>
      </c>
      <c r="G4321" s="2" t="s">
        <v>983</v>
      </c>
      <c r="H4321" s="2" t="s">
        <v>984</v>
      </c>
      <c r="I4321" s="2"/>
      <c r="J4321" s="2" t="s">
        <v>42</v>
      </c>
    </row>
    <row r="4322" spans="1:10" ht="21" customHeight="1">
      <c r="A4322" s="2" t="s">
        <v>5320</v>
      </c>
      <c r="B4322" s="2" t="s">
        <v>42</v>
      </c>
      <c r="C4322" s="4">
        <v>45963.25</v>
      </c>
      <c r="D4322" s="4">
        <v>45963.250640729166</v>
      </c>
      <c r="E4322" s="2">
        <v>3.66</v>
      </c>
      <c r="F4322" s="2">
        <v>72.2</v>
      </c>
      <c r="G4322" s="2" t="s">
        <v>983</v>
      </c>
      <c r="H4322" s="2" t="s">
        <v>984</v>
      </c>
      <c r="I4322" s="2"/>
      <c r="J4322" s="2" t="s">
        <v>42</v>
      </c>
    </row>
    <row r="4323" spans="1:10" ht="21" customHeight="1">
      <c r="A4323" s="2" t="s">
        <v>5321</v>
      </c>
      <c r="B4323" s="2" t="s">
        <v>42</v>
      </c>
      <c r="C4323" s="4">
        <v>45964.25</v>
      </c>
      <c r="D4323" s="4">
        <v>45964.250325000001</v>
      </c>
      <c r="E4323" s="2"/>
      <c r="F4323" s="2"/>
      <c r="G4323" s="2" t="s">
        <v>983</v>
      </c>
      <c r="H4323" s="2" t="s">
        <v>1066</v>
      </c>
      <c r="I4323" s="2" t="s">
        <v>985</v>
      </c>
      <c r="J4323" s="2" t="s">
        <v>42</v>
      </c>
    </row>
    <row r="4324" spans="1:10" ht="21" customHeight="1">
      <c r="A4324" s="2" t="s">
        <v>5322</v>
      </c>
      <c r="B4324" s="2" t="s">
        <v>42</v>
      </c>
      <c r="C4324" s="4">
        <v>45965.25</v>
      </c>
      <c r="D4324" s="4">
        <v>45965.250351087961</v>
      </c>
      <c r="E4324" s="2">
        <v>2.91</v>
      </c>
      <c r="F4324" s="2">
        <v>77.099999999999994</v>
      </c>
      <c r="G4324" s="2" t="s">
        <v>983</v>
      </c>
      <c r="H4324" s="2" t="s">
        <v>984</v>
      </c>
      <c r="I4324" s="2"/>
      <c r="J4324" s="2" t="s">
        <v>42</v>
      </c>
    </row>
    <row r="4325" spans="1:10" ht="21" customHeight="1">
      <c r="A4325" s="2" t="s">
        <v>5323</v>
      </c>
      <c r="B4325" s="2" t="s">
        <v>42</v>
      </c>
      <c r="C4325" s="4">
        <v>45966.25</v>
      </c>
      <c r="D4325" s="4">
        <v>45967.5</v>
      </c>
      <c r="E4325" s="2">
        <v>3.94</v>
      </c>
      <c r="F4325" s="2">
        <v>78.3</v>
      </c>
      <c r="G4325" s="2" t="s">
        <v>983</v>
      </c>
      <c r="H4325" s="2" t="s">
        <v>984</v>
      </c>
      <c r="I4325" s="2"/>
      <c r="J4325" s="2" t="s">
        <v>42</v>
      </c>
    </row>
    <row r="4326" spans="1:10" ht="21" customHeight="1">
      <c r="A4326" s="2" t="s">
        <v>5324</v>
      </c>
      <c r="B4326" s="2" t="s">
        <v>42</v>
      </c>
      <c r="C4326" s="4">
        <v>45967.25</v>
      </c>
      <c r="D4326" s="4">
        <v>45967.250490335646</v>
      </c>
      <c r="E4326" s="2">
        <v>3.36</v>
      </c>
      <c r="F4326" s="2">
        <v>72.5</v>
      </c>
      <c r="G4326" s="2" t="s">
        <v>983</v>
      </c>
      <c r="H4326" s="2" t="s">
        <v>984</v>
      </c>
      <c r="I4326" s="2"/>
      <c r="J4326" s="2" t="s">
        <v>42</v>
      </c>
    </row>
    <row r="4327" spans="1:10" ht="21" customHeight="1">
      <c r="A4327" s="2" t="s">
        <v>5325</v>
      </c>
      <c r="B4327" s="2" t="s">
        <v>42</v>
      </c>
      <c r="C4327" s="4">
        <v>45968.25</v>
      </c>
      <c r="D4327" s="4">
        <v>45968.250301932872</v>
      </c>
      <c r="E4327" s="2">
        <v>3.8</v>
      </c>
      <c r="F4327" s="2">
        <v>77.5</v>
      </c>
      <c r="G4327" s="2" t="s">
        <v>983</v>
      </c>
      <c r="H4327" s="2" t="s">
        <v>984</v>
      </c>
      <c r="I4327" s="2"/>
      <c r="J4327" s="2" t="s">
        <v>42</v>
      </c>
    </row>
    <row r="4328" spans="1:10" ht="21" customHeight="1">
      <c r="A4328" s="2" t="s">
        <v>5326</v>
      </c>
      <c r="B4328" s="2" t="s">
        <v>42</v>
      </c>
      <c r="C4328" s="4">
        <v>45969.25</v>
      </c>
      <c r="D4328" s="4">
        <v>45969.250260439818</v>
      </c>
      <c r="E4328" s="2">
        <v>3.1</v>
      </c>
      <c r="F4328" s="2">
        <v>74.099999999999994</v>
      </c>
      <c r="G4328" s="2" t="s">
        <v>983</v>
      </c>
      <c r="H4328" s="2" t="s">
        <v>984</v>
      </c>
      <c r="I4328" s="2"/>
      <c r="J4328" s="2" t="s">
        <v>42</v>
      </c>
    </row>
    <row r="4329" spans="1:10" ht="21" customHeight="1">
      <c r="A4329" s="2" t="s">
        <v>5327</v>
      </c>
      <c r="B4329" s="2" t="s">
        <v>42</v>
      </c>
      <c r="C4329" s="4">
        <v>45970.25</v>
      </c>
      <c r="D4329" s="4">
        <v>45970.250204467593</v>
      </c>
      <c r="E4329" s="2"/>
      <c r="F4329" s="2"/>
      <c r="G4329" s="2" t="s">
        <v>983</v>
      </c>
      <c r="H4329" s="2" t="s">
        <v>1066</v>
      </c>
      <c r="I4329" s="2"/>
      <c r="J4329" s="2" t="s">
        <v>42</v>
      </c>
    </row>
    <row r="4330" spans="1:10" ht="21" customHeight="1">
      <c r="A4330" s="2" t="s">
        <v>5328</v>
      </c>
      <c r="B4330" s="2" t="s">
        <v>42</v>
      </c>
      <c r="C4330" s="4">
        <v>45971.25</v>
      </c>
      <c r="D4330" s="4">
        <v>45971.250622777778</v>
      </c>
      <c r="E4330" s="2">
        <v>3.5</v>
      </c>
      <c r="F4330" s="2">
        <v>76.8</v>
      </c>
      <c r="G4330" s="2" t="s">
        <v>983</v>
      </c>
      <c r="H4330" s="2" t="s">
        <v>984</v>
      </c>
      <c r="I4330" s="2"/>
      <c r="J4330" s="2" t="s">
        <v>42</v>
      </c>
    </row>
    <row r="4331" spans="1:10" ht="21" customHeight="1">
      <c r="A4331" s="2" t="s">
        <v>5329</v>
      </c>
      <c r="B4331" s="2" t="s">
        <v>42</v>
      </c>
      <c r="C4331" s="4">
        <v>45972.25</v>
      </c>
      <c r="D4331" s="4">
        <v>45972.250532685182</v>
      </c>
      <c r="E4331" s="2">
        <v>0</v>
      </c>
      <c r="F4331" s="2">
        <v>76.599999999999994</v>
      </c>
      <c r="G4331" s="2" t="s">
        <v>1175</v>
      </c>
      <c r="H4331" s="2" t="s">
        <v>984</v>
      </c>
      <c r="I4331" s="2"/>
      <c r="J4331" s="2" t="s">
        <v>42</v>
      </c>
    </row>
    <row r="4332" spans="1:10" ht="21" customHeight="1">
      <c r="A4332" s="2" t="s">
        <v>5330</v>
      </c>
      <c r="B4332" s="2" t="s">
        <v>42</v>
      </c>
      <c r="C4332" s="4">
        <v>45973.25</v>
      </c>
      <c r="D4332" s="4">
        <v>45973.25029556713</v>
      </c>
      <c r="E4332" s="2">
        <v>3.2</v>
      </c>
      <c r="F4332" s="2">
        <v>73.599999999999994</v>
      </c>
      <c r="G4332" s="2" t="s">
        <v>983</v>
      </c>
      <c r="H4332" s="2" t="s">
        <v>984</v>
      </c>
      <c r="I4332" s="2"/>
      <c r="J4332" s="2" t="s">
        <v>42</v>
      </c>
    </row>
    <row r="4333" spans="1:10" ht="21" customHeight="1">
      <c r="A4333" s="2" t="s">
        <v>5331</v>
      </c>
      <c r="B4333" s="2" t="s">
        <v>42</v>
      </c>
      <c r="C4333" s="4">
        <v>45974.25</v>
      </c>
      <c r="D4333" s="4">
        <v>45974.250264201386</v>
      </c>
      <c r="E4333" s="2">
        <v>3.93</v>
      </c>
      <c r="F4333" s="2">
        <v>79.7</v>
      </c>
      <c r="G4333" s="2" t="s">
        <v>983</v>
      </c>
      <c r="H4333" s="2" t="s">
        <v>984</v>
      </c>
      <c r="I4333" s="2"/>
      <c r="J4333" s="2" t="s">
        <v>42</v>
      </c>
    </row>
    <row r="4334" spans="1:10" ht="21" customHeight="1">
      <c r="A4334" s="2" t="s">
        <v>5332</v>
      </c>
      <c r="B4334" s="2" t="s">
        <v>42</v>
      </c>
      <c r="C4334" s="4">
        <v>45975.25</v>
      </c>
      <c r="D4334" s="4">
        <v>45975.250205787037</v>
      </c>
      <c r="E4334" s="2">
        <v>2.8</v>
      </c>
      <c r="F4334" s="2">
        <v>76.7</v>
      </c>
      <c r="G4334" s="2" t="s">
        <v>983</v>
      </c>
      <c r="H4334" s="2" t="s">
        <v>984</v>
      </c>
      <c r="I4334" s="2"/>
      <c r="J4334" s="2" t="s">
        <v>42</v>
      </c>
    </row>
    <row r="4335" spans="1:10" ht="21" customHeight="1">
      <c r="A4335" s="2" t="s">
        <v>5333</v>
      </c>
      <c r="B4335" s="2" t="s">
        <v>42</v>
      </c>
      <c r="C4335" s="4">
        <v>45976.25</v>
      </c>
      <c r="D4335" s="4">
        <v>45976.250123668986</v>
      </c>
      <c r="E4335" s="2"/>
      <c r="F4335" s="2"/>
      <c r="G4335" s="2" t="s">
        <v>983</v>
      </c>
      <c r="H4335" s="2" t="s">
        <v>1066</v>
      </c>
      <c r="I4335" s="2"/>
      <c r="J4335" s="2" t="s">
        <v>42</v>
      </c>
    </row>
    <row r="4336" spans="1:10" ht="21" customHeight="1">
      <c r="A4336" s="2" t="s">
        <v>5334</v>
      </c>
      <c r="B4336" s="2" t="s">
        <v>42</v>
      </c>
      <c r="C4336" s="4">
        <v>45977.25</v>
      </c>
      <c r="D4336" s="4">
        <v>45978.5</v>
      </c>
      <c r="E4336" s="2">
        <v>3.21</v>
      </c>
      <c r="F4336" s="2">
        <v>77.2</v>
      </c>
      <c r="G4336" s="2" t="s">
        <v>983</v>
      </c>
      <c r="H4336" s="2" t="s">
        <v>984</v>
      </c>
      <c r="I4336" s="2"/>
      <c r="J4336" s="2" t="s">
        <v>42</v>
      </c>
    </row>
    <row r="4337" spans="1:10" ht="21" customHeight="1">
      <c r="A4337" s="2" t="s">
        <v>5335</v>
      </c>
      <c r="B4337" s="2" t="s">
        <v>42</v>
      </c>
      <c r="C4337" s="4">
        <v>45978.25</v>
      </c>
      <c r="D4337" s="4">
        <v>45978.250152106484</v>
      </c>
      <c r="E4337" s="2">
        <v>3.67</v>
      </c>
      <c r="F4337" s="2">
        <v>73.2</v>
      </c>
      <c r="G4337" s="2" t="s">
        <v>983</v>
      </c>
      <c r="H4337" s="2" t="s">
        <v>984</v>
      </c>
      <c r="I4337" s="2"/>
      <c r="J4337" s="2" t="s">
        <v>42</v>
      </c>
    </row>
    <row r="4338" spans="1:10" ht="21" customHeight="1">
      <c r="A4338" s="2" t="s">
        <v>5336</v>
      </c>
      <c r="B4338" s="2" t="s">
        <v>42</v>
      </c>
      <c r="C4338" s="4">
        <v>45979.25</v>
      </c>
      <c r="D4338" s="4">
        <v>45979.250143796293</v>
      </c>
      <c r="E4338" s="2">
        <v>6.57</v>
      </c>
      <c r="F4338" s="2">
        <v>87.6</v>
      </c>
      <c r="G4338" s="2" t="s">
        <v>983</v>
      </c>
      <c r="H4338" s="2" t="s">
        <v>984</v>
      </c>
      <c r="I4338" s="2"/>
      <c r="J4338" s="2" t="s">
        <v>42</v>
      </c>
    </row>
    <row r="4339" spans="1:10" ht="21" customHeight="1">
      <c r="A4339" s="2" t="s">
        <v>5337</v>
      </c>
      <c r="B4339" s="2" t="s">
        <v>42</v>
      </c>
      <c r="C4339" s="4">
        <v>45980.25</v>
      </c>
      <c r="D4339" s="4">
        <v>45980.250209432867</v>
      </c>
      <c r="E4339" s="2">
        <v>6.19</v>
      </c>
      <c r="F4339" s="2">
        <v>89.1</v>
      </c>
      <c r="G4339" s="2" t="s">
        <v>983</v>
      </c>
      <c r="H4339" s="2" t="s">
        <v>984</v>
      </c>
      <c r="I4339" s="2" t="s">
        <v>1053</v>
      </c>
      <c r="J4339" s="2" t="s">
        <v>42</v>
      </c>
    </row>
    <row r="4340" spans="1:10" ht="21" customHeight="1">
      <c r="A4340" s="2" t="s">
        <v>5338</v>
      </c>
      <c r="B4340" s="2" t="s">
        <v>42</v>
      </c>
      <c r="C4340" s="4">
        <v>45981.25</v>
      </c>
      <c r="D4340" s="4">
        <v>45981.250252071761</v>
      </c>
      <c r="E4340" s="2">
        <v>5.37</v>
      </c>
      <c r="F4340" s="2">
        <v>77.900000000000006</v>
      </c>
      <c r="G4340" s="2" t="s">
        <v>983</v>
      </c>
      <c r="H4340" s="2" t="s">
        <v>984</v>
      </c>
      <c r="I4340" s="2" t="s">
        <v>985</v>
      </c>
      <c r="J4340" s="2" t="s">
        <v>42</v>
      </c>
    </row>
    <row r="4341" spans="1:10" ht="21" customHeight="1">
      <c r="A4341" s="2" t="s">
        <v>5339</v>
      </c>
      <c r="B4341" s="2" t="s">
        <v>42</v>
      </c>
      <c r="C4341" s="4">
        <v>45982.25</v>
      </c>
      <c r="D4341" s="4">
        <v>45982.250207337958</v>
      </c>
      <c r="E4341" s="2">
        <v>0</v>
      </c>
      <c r="F4341" s="2">
        <v>73.5</v>
      </c>
      <c r="G4341" s="2" t="s">
        <v>1175</v>
      </c>
      <c r="H4341" s="2" t="s">
        <v>984</v>
      </c>
      <c r="I4341" s="2"/>
      <c r="J4341" s="2" t="s">
        <v>42</v>
      </c>
    </row>
    <row r="4342" spans="1:10" ht="21" customHeight="1">
      <c r="A4342" s="2" t="s">
        <v>5340</v>
      </c>
      <c r="B4342" s="2" t="s">
        <v>42</v>
      </c>
      <c r="C4342" s="4">
        <v>45983.25</v>
      </c>
      <c r="D4342" s="4">
        <v>45983.250098125005</v>
      </c>
      <c r="E4342" s="2">
        <v>3.91</v>
      </c>
      <c r="F4342" s="2">
        <v>76.8</v>
      </c>
      <c r="G4342" s="2" t="s">
        <v>983</v>
      </c>
      <c r="H4342" s="2" t="s">
        <v>984</v>
      </c>
      <c r="I4342" s="2"/>
      <c r="J4342" s="2" t="s">
        <v>42</v>
      </c>
    </row>
    <row r="4343" spans="1:10" ht="21" customHeight="1">
      <c r="A4343" s="2" t="s">
        <v>5341</v>
      </c>
      <c r="B4343" s="2" t="s">
        <v>42</v>
      </c>
      <c r="C4343" s="4">
        <v>45984.25</v>
      </c>
      <c r="D4343" s="4">
        <v>45984.250277326384</v>
      </c>
      <c r="E4343" s="2">
        <v>26.97</v>
      </c>
      <c r="F4343" s="2">
        <v>73.5</v>
      </c>
      <c r="G4343" s="2" t="s">
        <v>983</v>
      </c>
      <c r="H4343" s="2" t="s">
        <v>1022</v>
      </c>
      <c r="I4343" s="2"/>
      <c r="J4343" s="2" t="s">
        <v>42</v>
      </c>
    </row>
    <row r="4344" spans="1:10" ht="21" customHeight="1">
      <c r="A4344" s="2" t="s">
        <v>5342</v>
      </c>
      <c r="B4344" s="2" t="s">
        <v>42</v>
      </c>
      <c r="C4344" s="4">
        <v>45985.25</v>
      </c>
      <c r="D4344" s="4">
        <v>45985.250292326389</v>
      </c>
      <c r="E4344" s="2">
        <v>3.15</v>
      </c>
      <c r="F4344" s="2">
        <v>79.400000000000006</v>
      </c>
      <c r="G4344" s="2" t="s">
        <v>983</v>
      </c>
      <c r="H4344" s="2" t="s">
        <v>984</v>
      </c>
      <c r="I4344" s="2"/>
      <c r="J4344" s="2" t="s">
        <v>42</v>
      </c>
    </row>
    <row r="4345" spans="1:10" ht="21" customHeight="1">
      <c r="A4345" s="2" t="s">
        <v>5343</v>
      </c>
      <c r="B4345" s="2" t="s">
        <v>42</v>
      </c>
      <c r="C4345" s="4">
        <v>45986.25</v>
      </c>
      <c r="D4345" s="4">
        <v>45986.250403969912</v>
      </c>
      <c r="E4345" s="2"/>
      <c r="F4345" s="2"/>
      <c r="G4345" s="2" t="s">
        <v>983</v>
      </c>
      <c r="H4345" s="2" t="s">
        <v>1066</v>
      </c>
      <c r="I4345" s="2"/>
      <c r="J4345" s="2" t="s">
        <v>42</v>
      </c>
    </row>
    <row r="4346" spans="1:10" ht="21" customHeight="1">
      <c r="A4346" s="2" t="s">
        <v>5344</v>
      </c>
      <c r="B4346" s="2" t="s">
        <v>42</v>
      </c>
      <c r="C4346" s="4">
        <v>45987.25</v>
      </c>
      <c r="D4346" s="4">
        <v>45987.25066907407</v>
      </c>
      <c r="E4346" s="2">
        <v>3.65</v>
      </c>
      <c r="F4346" s="2">
        <v>72.599999999999994</v>
      </c>
      <c r="G4346" s="2" t="s">
        <v>983</v>
      </c>
      <c r="H4346" s="2" t="s">
        <v>984</v>
      </c>
      <c r="I4346" s="2"/>
      <c r="J4346" s="2" t="s">
        <v>42</v>
      </c>
    </row>
    <row r="4347" spans="1:10" ht="21" customHeight="1">
      <c r="A4347" s="2" t="s">
        <v>5345</v>
      </c>
      <c r="B4347" s="2" t="s">
        <v>42</v>
      </c>
      <c r="C4347" s="4">
        <v>45988.25</v>
      </c>
      <c r="D4347" s="4">
        <v>45989.5</v>
      </c>
      <c r="E4347" s="2">
        <v>3.4</v>
      </c>
      <c r="F4347" s="2">
        <v>80</v>
      </c>
      <c r="G4347" s="2" t="s">
        <v>983</v>
      </c>
      <c r="H4347" s="2" t="s">
        <v>984</v>
      </c>
      <c r="I4347" s="2"/>
      <c r="J4347" s="2" t="s">
        <v>42</v>
      </c>
    </row>
    <row r="4348" spans="1:10" ht="21" customHeight="1">
      <c r="A4348" s="2" t="s">
        <v>5346</v>
      </c>
      <c r="B4348" s="2" t="s">
        <v>5018</v>
      </c>
      <c r="C4348" s="4">
        <v>45989.25</v>
      </c>
      <c r="D4348" s="4">
        <v>45989.250045393521</v>
      </c>
      <c r="E4348" s="2">
        <v>3.42</v>
      </c>
      <c r="F4348" s="2">
        <v>79.3</v>
      </c>
      <c r="G4348" s="2" t="s">
        <v>983</v>
      </c>
      <c r="H4348" s="2" t="s">
        <v>984</v>
      </c>
      <c r="I4348" s="2"/>
      <c r="J4348" s="2" t="s">
        <v>42</v>
      </c>
    </row>
    <row r="4349" spans="1:10" ht="21" customHeight="1">
      <c r="A4349" s="2" t="s">
        <v>5347</v>
      </c>
      <c r="B4349" s="2" t="s">
        <v>42</v>
      </c>
      <c r="C4349" s="4">
        <v>45990.25</v>
      </c>
      <c r="D4349" s="4">
        <v>45990.250289571763</v>
      </c>
      <c r="E4349" s="2"/>
      <c r="F4349" s="2"/>
      <c r="G4349" s="2" t="s">
        <v>983</v>
      </c>
      <c r="H4349" s="2" t="s">
        <v>1066</v>
      </c>
      <c r="I4349" s="2"/>
      <c r="J4349" s="2" t="s">
        <v>42</v>
      </c>
    </row>
    <row r="4350" spans="1:10" ht="21" customHeight="1">
      <c r="A4350" s="2" t="s">
        <v>5348</v>
      </c>
      <c r="B4350" s="2" t="s">
        <v>42</v>
      </c>
      <c r="C4350" s="4">
        <v>45991.25</v>
      </c>
      <c r="D4350" s="4">
        <v>45991.250643842592</v>
      </c>
      <c r="E4350" s="2">
        <v>3.36</v>
      </c>
      <c r="F4350" s="2">
        <v>75.099999999999994</v>
      </c>
      <c r="G4350" s="2" t="s">
        <v>983</v>
      </c>
      <c r="H4350" s="2" t="s">
        <v>984</v>
      </c>
      <c r="I4350" s="2"/>
      <c r="J4350" s="2" t="s">
        <v>42</v>
      </c>
    </row>
    <row r="4351" spans="1:10" ht="21" customHeight="1">
      <c r="A4351" s="2" t="s">
        <v>5349</v>
      </c>
      <c r="B4351" s="2" t="s">
        <v>42</v>
      </c>
      <c r="C4351" s="4">
        <v>45992.25</v>
      </c>
      <c r="D4351" s="4">
        <v>45992.250434340276</v>
      </c>
      <c r="E4351" s="2">
        <v>2.94</v>
      </c>
      <c r="F4351" s="2">
        <v>78</v>
      </c>
      <c r="G4351" s="2" t="s">
        <v>983</v>
      </c>
      <c r="H4351" s="2" t="s">
        <v>984</v>
      </c>
      <c r="I4351" s="2"/>
      <c r="J4351" s="2" t="s">
        <v>42</v>
      </c>
    </row>
    <row r="4352" spans="1:10" ht="21" customHeight="1">
      <c r="A4352" s="2" t="s">
        <v>5350</v>
      </c>
      <c r="B4352" s="2" t="s">
        <v>42</v>
      </c>
      <c r="C4352" s="4">
        <v>45993.25</v>
      </c>
      <c r="D4352" s="4">
        <v>45993.250337986115</v>
      </c>
      <c r="E4352" s="2"/>
      <c r="F4352" s="2"/>
      <c r="G4352" s="2" t="s">
        <v>983</v>
      </c>
      <c r="H4352" s="2" t="s">
        <v>1066</v>
      </c>
      <c r="I4352" s="2"/>
      <c r="J4352" s="2" t="s">
        <v>42</v>
      </c>
    </row>
    <row r="4353" spans="1:10" ht="21" customHeight="1">
      <c r="A4353" s="2" t="s">
        <v>5351</v>
      </c>
      <c r="B4353" s="2" t="s">
        <v>42</v>
      </c>
      <c r="C4353" s="4">
        <v>45994.25</v>
      </c>
      <c r="D4353" s="4">
        <v>45994.25059487269</v>
      </c>
      <c r="E4353" s="2">
        <v>5.63</v>
      </c>
      <c r="F4353" s="2">
        <v>82.7</v>
      </c>
      <c r="G4353" s="2" t="s">
        <v>983</v>
      </c>
      <c r="H4353" s="2" t="s">
        <v>984</v>
      </c>
      <c r="I4353" s="2" t="s">
        <v>1053</v>
      </c>
      <c r="J4353" s="2" t="s">
        <v>42</v>
      </c>
    </row>
    <row r="4354" spans="1:10" ht="21" customHeight="1">
      <c r="A4354" s="2" t="s">
        <v>5352</v>
      </c>
      <c r="B4354" s="2" t="s">
        <v>42</v>
      </c>
      <c r="C4354" s="4">
        <v>45995.25</v>
      </c>
      <c r="D4354" s="4">
        <v>45995.250329861112</v>
      </c>
      <c r="E4354" s="2">
        <v>5.67</v>
      </c>
      <c r="F4354" s="2">
        <v>83.5</v>
      </c>
      <c r="G4354" s="2" t="s">
        <v>983</v>
      </c>
      <c r="H4354" s="2" t="s">
        <v>984</v>
      </c>
      <c r="I4354" s="2"/>
      <c r="J4354" s="2" t="s">
        <v>42</v>
      </c>
    </row>
    <row r="4355" spans="1:10" ht="21" customHeight="1">
      <c r="A4355" s="2" t="s">
        <v>5353</v>
      </c>
      <c r="B4355" s="2" t="s">
        <v>42</v>
      </c>
      <c r="C4355" s="4">
        <v>45996.25</v>
      </c>
      <c r="D4355" s="4">
        <v>45996.250113981485</v>
      </c>
      <c r="E4355" s="2">
        <v>0</v>
      </c>
      <c r="F4355" s="2">
        <v>72.5</v>
      </c>
      <c r="G4355" s="2" t="s">
        <v>1175</v>
      </c>
      <c r="H4355" s="2" t="s">
        <v>984</v>
      </c>
      <c r="I4355" s="2"/>
      <c r="J4355" s="2" t="s">
        <v>42</v>
      </c>
    </row>
    <row r="4356" spans="1:10" ht="21" customHeight="1">
      <c r="A4356" s="2" t="s">
        <v>5354</v>
      </c>
      <c r="B4356" s="2" t="s">
        <v>42</v>
      </c>
      <c r="C4356" s="4">
        <v>45997.25</v>
      </c>
      <c r="D4356" s="4">
        <v>45997.250052615738</v>
      </c>
      <c r="E4356" s="2"/>
      <c r="F4356" s="2"/>
      <c r="G4356" s="2" t="s">
        <v>983</v>
      </c>
      <c r="H4356" s="2" t="s">
        <v>1066</v>
      </c>
      <c r="I4356" s="2"/>
      <c r="J4356" s="2" t="s">
        <v>42</v>
      </c>
    </row>
    <row r="4357" spans="1:10" ht="21" customHeight="1">
      <c r="A4357" s="2" t="s">
        <v>5355</v>
      </c>
      <c r="B4357" s="2" t="s">
        <v>42</v>
      </c>
      <c r="C4357" s="4">
        <v>45998.25</v>
      </c>
      <c r="D4357" s="4">
        <v>45998.250379537036</v>
      </c>
      <c r="E4357" s="2">
        <v>3.16</v>
      </c>
      <c r="F4357" s="2">
        <v>74.5</v>
      </c>
      <c r="G4357" s="2" t="s">
        <v>983</v>
      </c>
      <c r="H4357" s="2" t="s">
        <v>984</v>
      </c>
      <c r="I4357" s="2" t="s">
        <v>985</v>
      </c>
      <c r="J4357" s="2" t="s">
        <v>42</v>
      </c>
    </row>
    <row r="4358" spans="1:10" ht="21" customHeight="1">
      <c r="A4358" s="2" t="s">
        <v>5356</v>
      </c>
      <c r="B4358" s="2" t="s">
        <v>42</v>
      </c>
      <c r="C4358" s="4">
        <v>45999.25</v>
      </c>
      <c r="D4358" s="4">
        <v>46000.5</v>
      </c>
      <c r="E4358" s="2">
        <v>3.49</v>
      </c>
      <c r="F4358" s="2">
        <v>74.3</v>
      </c>
      <c r="G4358" s="2" t="s">
        <v>983</v>
      </c>
      <c r="H4358" s="2" t="s">
        <v>984</v>
      </c>
      <c r="I4358" s="2"/>
      <c r="J4358" s="2" t="s">
        <v>42</v>
      </c>
    </row>
    <row r="4359" spans="1:10" ht="21" customHeight="1">
      <c r="A4359" s="2" t="s">
        <v>5357</v>
      </c>
      <c r="B4359" s="2" t="s">
        <v>42</v>
      </c>
      <c r="C4359" s="4">
        <v>46000.25</v>
      </c>
      <c r="D4359" s="4">
        <v>46000.250098182871</v>
      </c>
      <c r="E4359" s="2">
        <v>3.38</v>
      </c>
      <c r="F4359" s="2">
        <v>74</v>
      </c>
      <c r="G4359" s="2" t="s">
        <v>983</v>
      </c>
      <c r="H4359" s="2" t="s">
        <v>984</v>
      </c>
      <c r="I4359" s="2"/>
      <c r="J4359" s="2" t="s">
        <v>42</v>
      </c>
    </row>
    <row r="4360" spans="1:10" ht="21" customHeight="1">
      <c r="A4360" s="2" t="s">
        <v>5358</v>
      </c>
      <c r="B4360" s="2" t="s">
        <v>42</v>
      </c>
      <c r="C4360" s="4">
        <v>46001.25</v>
      </c>
      <c r="D4360" s="4">
        <v>46001.250118946758</v>
      </c>
      <c r="E4360" s="2">
        <v>3.63</v>
      </c>
      <c r="F4360" s="2">
        <v>72.8</v>
      </c>
      <c r="G4360" s="2" t="s">
        <v>983</v>
      </c>
      <c r="H4360" s="2" t="s">
        <v>984</v>
      </c>
      <c r="I4360" s="2"/>
      <c r="J4360" s="2" t="s">
        <v>42</v>
      </c>
    </row>
    <row r="4361" spans="1:10" ht="21" customHeight="1">
      <c r="A4361" s="2" t="s">
        <v>5359</v>
      </c>
      <c r="B4361" s="2" t="s">
        <v>42</v>
      </c>
      <c r="C4361" s="4">
        <v>46002.25</v>
      </c>
      <c r="D4361" s="4">
        <v>46002.250249652774</v>
      </c>
      <c r="E4361" s="2">
        <v>3.26</v>
      </c>
      <c r="F4361" s="2">
        <v>78.5</v>
      </c>
      <c r="G4361" s="2" t="s">
        <v>983</v>
      </c>
      <c r="H4361" s="2" t="s">
        <v>984</v>
      </c>
      <c r="I4361" s="2"/>
      <c r="J4361" s="2" t="s">
        <v>42</v>
      </c>
    </row>
    <row r="4362" spans="1:10" ht="21" customHeight="1">
      <c r="A4362" s="2" t="s">
        <v>5360</v>
      </c>
      <c r="B4362" s="2" t="s">
        <v>42</v>
      </c>
      <c r="C4362" s="4">
        <v>46003.25</v>
      </c>
      <c r="D4362" s="4">
        <v>46003.250219421301</v>
      </c>
      <c r="E4362" s="2">
        <v>3.91</v>
      </c>
      <c r="F4362" s="2">
        <v>75.599999999999994</v>
      </c>
      <c r="G4362" s="2" t="s">
        <v>983</v>
      </c>
      <c r="H4362" s="2" t="s">
        <v>984</v>
      </c>
      <c r="I4362" s="2"/>
      <c r="J4362" s="2" t="s">
        <v>42</v>
      </c>
    </row>
    <row r="4363" spans="1:10" ht="21" customHeight="1">
      <c r="A4363" s="2" t="s">
        <v>5361</v>
      </c>
      <c r="B4363" s="2" t="s">
        <v>42</v>
      </c>
      <c r="C4363" s="4">
        <v>46004.25</v>
      </c>
      <c r="D4363" s="4">
        <v>46004.250020011576</v>
      </c>
      <c r="E4363" s="2">
        <v>2.9</v>
      </c>
      <c r="F4363" s="2">
        <v>74.099999999999994</v>
      </c>
      <c r="G4363" s="2" t="s">
        <v>983</v>
      </c>
      <c r="H4363" s="2" t="s">
        <v>984</v>
      </c>
      <c r="I4363" s="2"/>
      <c r="J4363" s="2" t="s">
        <v>42</v>
      </c>
    </row>
    <row r="4364" spans="1:10" ht="21" customHeight="1">
      <c r="A4364" s="2" t="s">
        <v>5362</v>
      </c>
      <c r="B4364" s="2" t="s">
        <v>42</v>
      </c>
      <c r="C4364" s="4">
        <v>46005.25</v>
      </c>
      <c r="D4364" s="4">
        <v>46005.250181087962</v>
      </c>
      <c r="E4364" s="2">
        <v>3.87</v>
      </c>
      <c r="F4364" s="2">
        <v>73</v>
      </c>
      <c r="G4364" s="2" t="s">
        <v>983</v>
      </c>
      <c r="H4364" s="2" t="s">
        <v>984</v>
      </c>
      <c r="I4364" s="2"/>
      <c r="J4364" s="2" t="s">
        <v>42</v>
      </c>
    </row>
    <row r="4365" spans="1:10" ht="21" customHeight="1">
      <c r="A4365" s="2" t="s">
        <v>5363</v>
      </c>
      <c r="B4365" s="2" t="s">
        <v>42</v>
      </c>
      <c r="C4365" s="4">
        <v>46006.25</v>
      </c>
      <c r="D4365" s="4">
        <v>46006.250056689816</v>
      </c>
      <c r="E4365" s="2"/>
      <c r="F4365" s="2"/>
      <c r="G4365" s="2" t="s">
        <v>983</v>
      </c>
      <c r="H4365" s="2" t="s">
        <v>1066</v>
      </c>
      <c r="I4365" s="2"/>
      <c r="J4365" s="2" t="s">
        <v>42</v>
      </c>
    </row>
    <row r="4366" spans="1:10" ht="21" customHeight="1">
      <c r="A4366" s="2" t="s">
        <v>5364</v>
      </c>
      <c r="B4366" s="2" t="s">
        <v>42</v>
      </c>
      <c r="C4366" s="4">
        <v>46007.25</v>
      </c>
      <c r="D4366" s="4">
        <v>46007.250333692129</v>
      </c>
      <c r="E4366" s="2">
        <v>3.39</v>
      </c>
      <c r="F4366" s="2">
        <v>79.900000000000006</v>
      </c>
      <c r="G4366" s="2" t="s">
        <v>983</v>
      </c>
      <c r="H4366" s="2" t="s">
        <v>984</v>
      </c>
      <c r="I4366" s="2"/>
      <c r="J4366" s="2" t="s">
        <v>42</v>
      </c>
    </row>
    <row r="4367" spans="1:10" ht="21" customHeight="1">
      <c r="A4367" s="2" t="s">
        <v>5365</v>
      </c>
      <c r="B4367" s="2" t="s">
        <v>42</v>
      </c>
      <c r="C4367" s="4">
        <v>46008.25</v>
      </c>
      <c r="D4367" s="4">
        <v>46008.250084363426</v>
      </c>
      <c r="E4367" s="2">
        <v>3.36</v>
      </c>
      <c r="F4367" s="2">
        <v>72.400000000000006</v>
      </c>
      <c r="G4367" s="2" t="s">
        <v>983</v>
      </c>
      <c r="H4367" s="2" t="s">
        <v>984</v>
      </c>
      <c r="I4367" s="2"/>
      <c r="J4367" s="2" t="s">
        <v>42</v>
      </c>
    </row>
    <row r="4368" spans="1:10" ht="21" customHeight="1">
      <c r="A4368" s="2" t="s">
        <v>5366</v>
      </c>
      <c r="B4368" s="2" t="s">
        <v>42</v>
      </c>
      <c r="C4368" s="4">
        <v>46009.25</v>
      </c>
      <c r="D4368" s="4">
        <v>46009.250545381947</v>
      </c>
      <c r="E4368" s="2">
        <v>3.82</v>
      </c>
      <c r="F4368" s="2">
        <v>74.599999999999994</v>
      </c>
      <c r="G4368" s="2" t="s">
        <v>983</v>
      </c>
      <c r="H4368" s="2" t="s">
        <v>984</v>
      </c>
      <c r="I4368" s="2"/>
      <c r="J4368" s="2" t="s">
        <v>42</v>
      </c>
    </row>
    <row r="4369" spans="1:10" ht="21" customHeight="1">
      <c r="A4369" s="2" t="s">
        <v>5367</v>
      </c>
      <c r="B4369" s="2" t="s">
        <v>42</v>
      </c>
      <c r="C4369" s="4">
        <v>46010.25</v>
      </c>
      <c r="D4369" s="4">
        <v>46011.5</v>
      </c>
      <c r="E4369" s="2"/>
      <c r="F4369" s="2"/>
      <c r="G4369" s="2" t="s">
        <v>983</v>
      </c>
      <c r="H4369" s="2" t="s">
        <v>1066</v>
      </c>
      <c r="I4369" s="2"/>
      <c r="J4369" s="2" t="s">
        <v>42</v>
      </c>
    </row>
    <row r="4370" spans="1:10" ht="21" customHeight="1">
      <c r="A4370" s="2" t="s">
        <v>5368</v>
      </c>
      <c r="B4370" s="2" t="s">
        <v>42</v>
      </c>
      <c r="C4370" s="4">
        <v>46011.25</v>
      </c>
      <c r="D4370" s="4">
        <v>46011.250186412042</v>
      </c>
      <c r="E4370" s="2">
        <v>5.7</v>
      </c>
      <c r="F4370" s="2">
        <v>77.8</v>
      </c>
      <c r="G4370" s="2" t="s">
        <v>983</v>
      </c>
      <c r="H4370" s="2" t="s">
        <v>984</v>
      </c>
      <c r="I4370" s="2"/>
      <c r="J4370" s="2" t="s">
        <v>42</v>
      </c>
    </row>
    <row r="4371" spans="1:10" ht="21" customHeight="1">
      <c r="A4371" s="2" t="s">
        <v>5369</v>
      </c>
      <c r="B4371" s="2" t="s">
        <v>42</v>
      </c>
      <c r="C4371" s="4">
        <v>46012.25</v>
      </c>
      <c r="D4371" s="4">
        <v>46012.250451967593</v>
      </c>
      <c r="E4371" s="2">
        <v>4.62</v>
      </c>
      <c r="F4371" s="2">
        <v>81.3</v>
      </c>
      <c r="G4371" s="2" t="s">
        <v>983</v>
      </c>
      <c r="H4371" s="2" t="s">
        <v>984</v>
      </c>
      <c r="I4371" s="2" t="s">
        <v>1053</v>
      </c>
      <c r="J4371" s="2" t="s">
        <v>42</v>
      </c>
    </row>
    <row r="4372" spans="1:10" ht="21" customHeight="1">
      <c r="A4372" s="2" t="s">
        <v>5370</v>
      </c>
      <c r="B4372" s="2" t="s">
        <v>42</v>
      </c>
      <c r="C4372" s="4">
        <v>46013.25</v>
      </c>
      <c r="D4372" s="4">
        <v>46013.250319108796</v>
      </c>
      <c r="E4372" s="2">
        <v>5.79</v>
      </c>
      <c r="F4372" s="2">
        <v>88.2</v>
      </c>
      <c r="G4372" s="2" t="s">
        <v>983</v>
      </c>
      <c r="H4372" s="2" t="s">
        <v>984</v>
      </c>
      <c r="I4372" s="2"/>
      <c r="J4372" s="2" t="s">
        <v>42</v>
      </c>
    </row>
    <row r="4373" spans="1:10" ht="21" customHeight="1">
      <c r="A4373" s="2" t="s">
        <v>5371</v>
      </c>
      <c r="B4373" s="2" t="s">
        <v>42</v>
      </c>
      <c r="C4373" s="4">
        <v>46014.25</v>
      </c>
      <c r="D4373" s="4">
        <v>46014.250468009261</v>
      </c>
      <c r="E4373" s="2">
        <v>0</v>
      </c>
      <c r="F4373" s="2">
        <v>78.5</v>
      </c>
      <c r="G4373" s="2" t="s">
        <v>1175</v>
      </c>
      <c r="H4373" s="2" t="s">
        <v>984</v>
      </c>
      <c r="I4373" s="2"/>
      <c r="J4373" s="2" t="s">
        <v>42</v>
      </c>
    </row>
    <row r="4374" spans="1:10" ht="21" customHeight="1">
      <c r="A4374" s="2" t="s">
        <v>5372</v>
      </c>
      <c r="B4374" s="2" t="s">
        <v>42</v>
      </c>
      <c r="C4374" s="4">
        <v>46015.25</v>
      </c>
      <c r="D4374" s="4">
        <v>46015.250272106481</v>
      </c>
      <c r="E4374" s="2"/>
      <c r="F4374" s="2"/>
      <c r="G4374" s="2" t="s">
        <v>1175</v>
      </c>
      <c r="H4374" s="2" t="s">
        <v>1066</v>
      </c>
      <c r="I4374" s="2" t="s">
        <v>985</v>
      </c>
      <c r="J4374" s="2" t="s">
        <v>42</v>
      </c>
    </row>
    <row r="4375" spans="1:10" ht="21" customHeight="1">
      <c r="A4375" s="2" t="s">
        <v>5373</v>
      </c>
      <c r="B4375" s="2" t="s">
        <v>42</v>
      </c>
      <c r="C4375" s="4">
        <v>46016.25</v>
      </c>
      <c r="D4375" s="4">
        <v>46016.250258472224</v>
      </c>
      <c r="E4375" s="2">
        <v>3.67</v>
      </c>
      <c r="F4375" s="2">
        <v>79.2</v>
      </c>
      <c r="G4375" s="2" t="s">
        <v>983</v>
      </c>
      <c r="H4375" s="2" t="s">
        <v>984</v>
      </c>
      <c r="I4375" s="2"/>
      <c r="J4375" s="2" t="s">
        <v>42</v>
      </c>
    </row>
    <row r="4376" spans="1:10" ht="21" customHeight="1">
      <c r="A4376" s="2" t="s">
        <v>5374</v>
      </c>
      <c r="B4376" s="2" t="s">
        <v>42</v>
      </c>
      <c r="C4376" s="4">
        <v>46017.25</v>
      </c>
      <c r="D4376" s="4">
        <v>46017.250281157409</v>
      </c>
      <c r="E4376" s="2">
        <v>3.38</v>
      </c>
      <c r="F4376" s="2">
        <v>79.7</v>
      </c>
      <c r="G4376" s="2" t="s">
        <v>983</v>
      </c>
      <c r="H4376" s="2" t="s">
        <v>984</v>
      </c>
      <c r="I4376" s="2"/>
      <c r="J4376" s="2" t="s">
        <v>42</v>
      </c>
    </row>
    <row r="4377" spans="1:10" ht="21" customHeight="1">
      <c r="A4377" s="2" t="s">
        <v>5375</v>
      </c>
      <c r="B4377" s="2" t="s">
        <v>42</v>
      </c>
      <c r="C4377" s="4">
        <v>46018.25</v>
      </c>
      <c r="D4377" s="4">
        <v>46018.250579236112</v>
      </c>
      <c r="E4377" s="2">
        <v>3.22</v>
      </c>
      <c r="F4377" s="2">
        <v>77.7</v>
      </c>
      <c r="G4377" s="2" t="s">
        <v>983</v>
      </c>
      <c r="H4377" s="2" t="s">
        <v>984</v>
      </c>
      <c r="I4377" s="2"/>
      <c r="J4377" s="2" t="s">
        <v>42</v>
      </c>
    </row>
    <row r="4378" spans="1:10" ht="21" customHeight="1">
      <c r="A4378" s="2" t="s">
        <v>5376</v>
      </c>
      <c r="B4378" s="2" t="s">
        <v>42</v>
      </c>
      <c r="C4378" s="4">
        <v>46019.25</v>
      </c>
      <c r="D4378" s="4">
        <v>46019.250024293986</v>
      </c>
      <c r="E4378" s="2">
        <v>3.42</v>
      </c>
      <c r="F4378" s="2">
        <v>74.5</v>
      </c>
      <c r="G4378" s="2" t="s">
        <v>983</v>
      </c>
      <c r="H4378" s="2" t="s">
        <v>984</v>
      </c>
      <c r="I4378" s="2"/>
      <c r="J4378" s="2" t="s">
        <v>42</v>
      </c>
    </row>
    <row r="4379" spans="1:10" ht="21" customHeight="1">
      <c r="A4379" s="2" t="s">
        <v>5377</v>
      </c>
      <c r="B4379" s="2" t="s">
        <v>42</v>
      </c>
      <c r="C4379" s="4">
        <v>46020.25</v>
      </c>
      <c r="D4379" s="4">
        <v>46020.250296724538</v>
      </c>
      <c r="E4379" s="2">
        <v>3.76</v>
      </c>
      <c r="F4379" s="2">
        <v>76.099999999999994</v>
      </c>
      <c r="G4379" s="2" t="s">
        <v>983</v>
      </c>
      <c r="H4379" s="2" t="s">
        <v>984</v>
      </c>
      <c r="I4379" s="2"/>
      <c r="J4379" s="2" t="s">
        <v>42</v>
      </c>
    </row>
    <row r="4380" spans="1:10" ht="21" customHeight="1">
      <c r="A4380" s="2" t="s">
        <v>5378</v>
      </c>
      <c r="B4380" s="2" t="s">
        <v>42</v>
      </c>
      <c r="C4380" s="4">
        <v>46021.25</v>
      </c>
      <c r="D4380" s="4">
        <v>46022.5</v>
      </c>
      <c r="E4380" s="2">
        <v>3.34</v>
      </c>
      <c r="F4380" s="2">
        <v>74.400000000000006</v>
      </c>
      <c r="G4380" s="2" t="s">
        <v>983</v>
      </c>
      <c r="H4380" s="2" t="s">
        <v>984</v>
      </c>
      <c r="I4380" s="2"/>
      <c r="J4380" s="2" t="s">
        <v>42</v>
      </c>
    </row>
    <row r="4381" spans="1:10" ht="21" customHeight="1">
      <c r="A4381" s="2" t="s">
        <v>5379</v>
      </c>
      <c r="B4381" s="2" t="s">
        <v>42</v>
      </c>
      <c r="C4381" s="4">
        <v>46022.25</v>
      </c>
      <c r="D4381" s="4">
        <v>46022.250089085646</v>
      </c>
      <c r="E4381" s="2">
        <v>3.75</v>
      </c>
      <c r="F4381" s="2">
        <v>73.599999999999994</v>
      </c>
      <c r="G4381" s="2" t="s">
        <v>983</v>
      </c>
      <c r="H4381" s="2" t="s">
        <v>984</v>
      </c>
      <c r="I4381" s="2"/>
      <c r="J4381" s="2" t="s">
        <v>42</v>
      </c>
    </row>
    <row r="4382" spans="1:10" ht="21" customHeight="1">
      <c r="A4382" s="2" t="s">
        <v>5380</v>
      </c>
      <c r="B4382" s="2" t="s">
        <v>43</v>
      </c>
      <c r="C4382" s="4">
        <v>45658.25</v>
      </c>
      <c r="D4382" s="4">
        <v>45658.25047890046</v>
      </c>
      <c r="E4382" s="2">
        <v>2.4900000000000002</v>
      </c>
      <c r="F4382" s="2">
        <v>63.9</v>
      </c>
      <c r="G4382" s="2" t="s">
        <v>983</v>
      </c>
      <c r="H4382" s="2" t="s">
        <v>984</v>
      </c>
      <c r="I4382" s="2" t="s">
        <v>985</v>
      </c>
      <c r="J4382" s="2" t="s">
        <v>43</v>
      </c>
    </row>
    <row r="4383" spans="1:10" ht="21" customHeight="1">
      <c r="A4383" s="2" t="s">
        <v>5381</v>
      </c>
      <c r="B4383" s="2" t="s">
        <v>43</v>
      </c>
      <c r="C4383" s="4">
        <v>45659.25</v>
      </c>
      <c r="D4383" s="4">
        <v>45659.250693819442</v>
      </c>
      <c r="E4383" s="2">
        <v>2.87</v>
      </c>
      <c r="F4383" s="2">
        <v>60.5</v>
      </c>
      <c r="G4383" s="2" t="s">
        <v>983</v>
      </c>
      <c r="H4383" s="2" t="s">
        <v>984</v>
      </c>
      <c r="I4383" s="2"/>
      <c r="J4383" s="2" t="s">
        <v>43</v>
      </c>
    </row>
    <row r="4384" spans="1:10" ht="21" customHeight="1">
      <c r="A4384" s="2" t="s">
        <v>5382</v>
      </c>
      <c r="B4384" s="2" t="s">
        <v>43</v>
      </c>
      <c r="C4384" s="4">
        <v>45660.25</v>
      </c>
      <c r="D4384" s="4">
        <v>45660.250273020836</v>
      </c>
      <c r="E4384" s="2">
        <v>6.81</v>
      </c>
      <c r="F4384" s="2">
        <v>69.8</v>
      </c>
      <c r="G4384" s="2" t="s">
        <v>983</v>
      </c>
      <c r="H4384" s="2" t="s">
        <v>984</v>
      </c>
      <c r="I4384" s="2" t="s">
        <v>1053</v>
      </c>
      <c r="J4384" s="2" t="s">
        <v>43</v>
      </c>
    </row>
    <row r="4385" spans="1:10" ht="21" customHeight="1">
      <c r="A4385" s="2" t="s">
        <v>5383</v>
      </c>
      <c r="B4385" s="2" t="s">
        <v>43</v>
      </c>
      <c r="C4385" s="4">
        <v>45661.25</v>
      </c>
      <c r="D4385" s="4">
        <v>45661.250126898143</v>
      </c>
      <c r="E4385" s="2">
        <v>5.91</v>
      </c>
      <c r="F4385" s="2">
        <v>72.3</v>
      </c>
      <c r="G4385" s="2" t="s">
        <v>983</v>
      </c>
      <c r="H4385" s="2" t="s">
        <v>984</v>
      </c>
      <c r="I4385" s="2"/>
      <c r="J4385" s="2" t="s">
        <v>43</v>
      </c>
    </row>
    <row r="4386" spans="1:10" ht="21" customHeight="1">
      <c r="A4386" s="2" t="s">
        <v>5384</v>
      </c>
      <c r="B4386" s="2" t="s">
        <v>43</v>
      </c>
      <c r="C4386" s="4">
        <v>45662.25</v>
      </c>
      <c r="D4386" s="4">
        <v>45662.250081435181</v>
      </c>
      <c r="E4386" s="2">
        <v>6.44</v>
      </c>
      <c r="F4386" s="2">
        <v>65.8</v>
      </c>
      <c r="G4386" s="2" t="s">
        <v>983</v>
      </c>
      <c r="H4386" s="2" t="s">
        <v>984</v>
      </c>
      <c r="I4386" s="2" t="s">
        <v>1053</v>
      </c>
      <c r="J4386" s="2" t="s">
        <v>43</v>
      </c>
    </row>
    <row r="4387" spans="1:10" ht="21" customHeight="1">
      <c r="A4387" s="2" t="s">
        <v>5385</v>
      </c>
      <c r="B4387" s="2" t="s">
        <v>43</v>
      </c>
      <c r="C4387" s="4">
        <v>45663.25</v>
      </c>
      <c r="D4387" s="4">
        <v>45663.25063761574</v>
      </c>
      <c r="E4387" s="2">
        <v>0</v>
      </c>
      <c r="F4387" s="2">
        <v>62.9</v>
      </c>
      <c r="G4387" s="2" t="s">
        <v>1175</v>
      </c>
      <c r="H4387" s="2" t="s">
        <v>984</v>
      </c>
      <c r="I4387" s="2"/>
      <c r="J4387" s="2" t="s">
        <v>43</v>
      </c>
    </row>
    <row r="4388" spans="1:10" ht="21" customHeight="1">
      <c r="A4388" s="2" t="s">
        <v>5386</v>
      </c>
      <c r="B4388" s="2" t="s">
        <v>43</v>
      </c>
      <c r="C4388" s="4">
        <v>45664.25</v>
      </c>
      <c r="D4388" s="4">
        <v>45664.250155891204</v>
      </c>
      <c r="E4388" s="2">
        <v>2.4900000000000002</v>
      </c>
      <c r="F4388" s="2">
        <v>65.3</v>
      </c>
      <c r="G4388" s="2" t="s">
        <v>983</v>
      </c>
      <c r="H4388" s="2" t="s">
        <v>984</v>
      </c>
      <c r="I4388" s="2"/>
      <c r="J4388" s="2" t="s">
        <v>43</v>
      </c>
    </row>
    <row r="4389" spans="1:10" ht="21" customHeight="1">
      <c r="A4389" s="2" t="s">
        <v>5387</v>
      </c>
      <c r="B4389" s="2" t="s">
        <v>5388</v>
      </c>
      <c r="C4389" s="4">
        <v>45665.25</v>
      </c>
      <c r="D4389" s="4">
        <v>45665.25044462963</v>
      </c>
      <c r="E4389" s="2">
        <v>2.41</v>
      </c>
      <c r="F4389" s="2">
        <v>65.8</v>
      </c>
      <c r="G4389" s="2" t="s">
        <v>983</v>
      </c>
      <c r="H4389" s="2" t="s">
        <v>984</v>
      </c>
      <c r="I4389" s="2"/>
      <c r="J4389" s="2" t="s">
        <v>43</v>
      </c>
    </row>
    <row r="4390" spans="1:10" ht="21" customHeight="1">
      <c r="A4390" s="2" t="s">
        <v>5389</v>
      </c>
      <c r="B4390" s="2" t="s">
        <v>43</v>
      </c>
      <c r="C4390" s="4">
        <v>45666.25</v>
      </c>
      <c r="D4390" s="4">
        <v>45666.250134918984</v>
      </c>
      <c r="E4390" s="2">
        <v>2.94</v>
      </c>
      <c r="F4390" s="2">
        <v>66</v>
      </c>
      <c r="G4390" s="2" t="s">
        <v>983</v>
      </c>
      <c r="H4390" s="2" t="s">
        <v>984</v>
      </c>
      <c r="I4390" s="2"/>
      <c r="J4390" s="2" t="s">
        <v>43</v>
      </c>
    </row>
    <row r="4391" spans="1:10" ht="21" customHeight="1">
      <c r="A4391" s="2" t="s">
        <v>5390</v>
      </c>
      <c r="B4391" s="2" t="s">
        <v>43</v>
      </c>
      <c r="C4391" s="4">
        <v>45667.25</v>
      </c>
      <c r="D4391" s="4">
        <v>45667.250448032406</v>
      </c>
      <c r="E4391" s="2">
        <v>2.33</v>
      </c>
      <c r="F4391" s="2">
        <v>64.900000000000006</v>
      </c>
      <c r="G4391" s="2" t="s">
        <v>983</v>
      </c>
      <c r="H4391" s="2" t="s">
        <v>984</v>
      </c>
      <c r="I4391" s="2"/>
      <c r="J4391" s="2" t="s">
        <v>43</v>
      </c>
    </row>
    <row r="4392" spans="1:10" ht="21" customHeight="1">
      <c r="A4392" s="2" t="s">
        <v>5391</v>
      </c>
      <c r="B4392" s="2" t="s">
        <v>43</v>
      </c>
      <c r="C4392" s="4">
        <v>45668.25</v>
      </c>
      <c r="D4392" s="4">
        <v>45668.250085879627</v>
      </c>
      <c r="E4392" s="2">
        <v>2.16</v>
      </c>
      <c r="F4392" s="2">
        <v>61.8</v>
      </c>
      <c r="G4392" s="2" t="s">
        <v>983</v>
      </c>
      <c r="H4392" s="2" t="s">
        <v>984</v>
      </c>
      <c r="I4392" s="2"/>
      <c r="J4392" s="2" t="s">
        <v>43</v>
      </c>
    </row>
    <row r="4393" spans="1:10" ht="21" customHeight="1">
      <c r="A4393" s="2" t="s">
        <v>5392</v>
      </c>
      <c r="B4393" s="2" t="s">
        <v>43</v>
      </c>
      <c r="C4393" s="4">
        <v>45669.25</v>
      </c>
      <c r="D4393" s="4">
        <v>45669.250407858795</v>
      </c>
      <c r="E4393" s="2">
        <v>2.59</v>
      </c>
      <c r="F4393" s="2">
        <v>60</v>
      </c>
      <c r="G4393" s="2" t="s">
        <v>983</v>
      </c>
      <c r="H4393" s="2" t="s">
        <v>984</v>
      </c>
      <c r="I4393" s="2"/>
      <c r="J4393" s="2" t="s">
        <v>43</v>
      </c>
    </row>
    <row r="4394" spans="1:10" ht="21" customHeight="1">
      <c r="A4394" s="2" t="s">
        <v>5393</v>
      </c>
      <c r="B4394" s="2" t="s">
        <v>43</v>
      </c>
      <c r="C4394" s="4">
        <v>45670.25</v>
      </c>
      <c r="D4394" s="4">
        <v>45670.250185439814</v>
      </c>
      <c r="E4394" s="2">
        <v>2.46</v>
      </c>
      <c r="F4394" s="2">
        <v>62</v>
      </c>
      <c r="G4394" s="2" t="s">
        <v>983</v>
      </c>
      <c r="H4394" s="2" t="s">
        <v>984</v>
      </c>
      <c r="I4394" s="2"/>
      <c r="J4394" s="2" t="s">
        <v>43</v>
      </c>
    </row>
    <row r="4395" spans="1:10" ht="21" customHeight="1">
      <c r="A4395" s="2" t="s">
        <v>5394</v>
      </c>
      <c r="B4395" s="2" t="s">
        <v>43</v>
      </c>
      <c r="C4395" s="4">
        <v>45671.25</v>
      </c>
      <c r="D4395" s="4">
        <v>45671.250076770833</v>
      </c>
      <c r="E4395" s="2">
        <v>2.61</v>
      </c>
      <c r="F4395" s="2">
        <v>58.9</v>
      </c>
      <c r="G4395" s="2" t="s">
        <v>983</v>
      </c>
      <c r="H4395" s="2" t="s">
        <v>984</v>
      </c>
      <c r="I4395" s="2"/>
      <c r="J4395" s="2" t="s">
        <v>43</v>
      </c>
    </row>
    <row r="4396" spans="1:10" ht="21" customHeight="1">
      <c r="A4396" s="2" t="s">
        <v>5395</v>
      </c>
      <c r="B4396" s="2" t="s">
        <v>43</v>
      </c>
      <c r="C4396" s="4">
        <v>45672.25</v>
      </c>
      <c r="D4396" s="4">
        <v>45672.250629386574</v>
      </c>
      <c r="E4396" s="2">
        <v>2.1800000000000002</v>
      </c>
      <c r="F4396" s="2">
        <v>64.3</v>
      </c>
      <c r="G4396" s="2" t="s">
        <v>983</v>
      </c>
      <c r="H4396" s="2" t="s">
        <v>984</v>
      </c>
      <c r="I4396" s="2"/>
      <c r="J4396" s="2" t="s">
        <v>43</v>
      </c>
    </row>
    <row r="4397" spans="1:10" ht="21" customHeight="1">
      <c r="A4397" s="2" t="s">
        <v>5396</v>
      </c>
      <c r="B4397" s="2" t="s">
        <v>43</v>
      </c>
      <c r="C4397" s="4">
        <v>45673.25</v>
      </c>
      <c r="D4397" s="4">
        <v>45673.250508275465</v>
      </c>
      <c r="E4397" s="2">
        <v>2.92</v>
      </c>
      <c r="F4397" s="2">
        <v>60.9</v>
      </c>
      <c r="G4397" s="2" t="s">
        <v>983</v>
      </c>
      <c r="H4397" s="2" t="s">
        <v>984</v>
      </c>
      <c r="I4397" s="2"/>
      <c r="J4397" s="2" t="s">
        <v>43</v>
      </c>
    </row>
    <row r="4398" spans="1:10" ht="21" customHeight="1">
      <c r="A4398" s="2" t="s">
        <v>5397</v>
      </c>
      <c r="B4398" s="2" t="s">
        <v>43</v>
      </c>
      <c r="C4398" s="4">
        <v>45674.25</v>
      </c>
      <c r="D4398" s="4">
        <v>45674.250000856482</v>
      </c>
      <c r="E4398" s="2">
        <v>2.4300000000000002</v>
      </c>
      <c r="F4398" s="2">
        <v>61.8</v>
      </c>
      <c r="G4398" s="2" t="s">
        <v>983</v>
      </c>
      <c r="H4398" s="2" t="s">
        <v>984</v>
      </c>
      <c r="I4398" s="2"/>
      <c r="J4398" s="2" t="s">
        <v>43</v>
      </c>
    </row>
    <row r="4399" spans="1:10" ht="21" customHeight="1">
      <c r="A4399" s="2" t="s">
        <v>5398</v>
      </c>
      <c r="B4399" s="2" t="s">
        <v>43</v>
      </c>
      <c r="C4399" s="4">
        <v>45675.25</v>
      </c>
      <c r="D4399" s="4">
        <v>45675.250571875004</v>
      </c>
      <c r="E4399" s="2"/>
      <c r="F4399" s="2"/>
      <c r="G4399" s="2" t="s">
        <v>983</v>
      </c>
      <c r="H4399" s="2" t="s">
        <v>1066</v>
      </c>
      <c r="I4399" s="2" t="s">
        <v>985</v>
      </c>
      <c r="J4399" s="2" t="s">
        <v>43</v>
      </c>
    </row>
    <row r="4400" spans="1:10" ht="21" customHeight="1">
      <c r="A4400" s="2" t="s">
        <v>5399</v>
      </c>
      <c r="B4400" s="2" t="s">
        <v>43</v>
      </c>
      <c r="C4400" s="4">
        <v>45676.25</v>
      </c>
      <c r="D4400" s="4">
        <v>45676.250256250001</v>
      </c>
      <c r="E4400" s="2">
        <v>2.99</v>
      </c>
      <c r="F4400" s="2">
        <v>64</v>
      </c>
      <c r="G4400" s="2" t="s">
        <v>983</v>
      </c>
      <c r="H4400" s="2" t="s">
        <v>984</v>
      </c>
      <c r="I4400" s="2"/>
      <c r="J4400" s="2" t="s">
        <v>43</v>
      </c>
    </row>
    <row r="4401" spans="1:10" ht="21" customHeight="1">
      <c r="A4401" s="2" t="s">
        <v>5400</v>
      </c>
      <c r="B4401" s="2" t="s">
        <v>43</v>
      </c>
      <c r="C4401" s="4">
        <v>45677.25</v>
      </c>
      <c r="D4401" s="4">
        <v>45677.250425729166</v>
      </c>
      <c r="E4401" s="2">
        <v>2.73</v>
      </c>
      <c r="F4401" s="2">
        <v>64</v>
      </c>
      <c r="G4401" s="2" t="s">
        <v>983</v>
      </c>
      <c r="H4401" s="2" t="s">
        <v>984</v>
      </c>
      <c r="I4401" s="2"/>
      <c r="J4401" s="2" t="s">
        <v>43</v>
      </c>
    </row>
    <row r="4402" spans="1:10" ht="21" customHeight="1">
      <c r="A4402" s="2" t="s">
        <v>5401</v>
      </c>
      <c r="B4402" s="2" t="s">
        <v>43</v>
      </c>
      <c r="C4402" s="4">
        <v>45678.25</v>
      </c>
      <c r="D4402" s="4">
        <v>45678.250175729168</v>
      </c>
      <c r="E4402" s="2">
        <v>2.91</v>
      </c>
      <c r="F4402" s="2">
        <v>64.400000000000006</v>
      </c>
      <c r="G4402" s="2" t="s">
        <v>983</v>
      </c>
      <c r="H4402" s="2" t="s">
        <v>984</v>
      </c>
      <c r="I4402" s="2"/>
      <c r="J4402" s="2" t="s">
        <v>43</v>
      </c>
    </row>
    <row r="4403" spans="1:10" ht="21" customHeight="1">
      <c r="A4403" s="2" t="s">
        <v>5402</v>
      </c>
      <c r="B4403" s="2" t="s">
        <v>43</v>
      </c>
      <c r="C4403" s="4">
        <v>45679.25</v>
      </c>
      <c r="D4403" s="4">
        <v>45679.250268240736</v>
      </c>
      <c r="E4403" s="2">
        <v>2.35</v>
      </c>
      <c r="F4403" s="2">
        <v>60.7</v>
      </c>
      <c r="G4403" s="2" t="s">
        <v>983</v>
      </c>
      <c r="H4403" s="2" t="s">
        <v>984</v>
      </c>
      <c r="I4403" s="2"/>
      <c r="J4403" s="2" t="s">
        <v>43</v>
      </c>
    </row>
    <row r="4404" spans="1:10" ht="21" customHeight="1">
      <c r="A4404" s="2" t="s">
        <v>5403</v>
      </c>
      <c r="B4404" s="2" t="s">
        <v>43</v>
      </c>
      <c r="C4404" s="4">
        <v>45680.25</v>
      </c>
      <c r="D4404" s="4">
        <v>45680.250396342592</v>
      </c>
      <c r="E4404" s="2">
        <v>2.75</v>
      </c>
      <c r="F4404" s="2">
        <v>64.599999999999994</v>
      </c>
      <c r="G4404" s="2" t="s">
        <v>983</v>
      </c>
      <c r="H4404" s="2" t="s">
        <v>984</v>
      </c>
      <c r="I4404" s="2"/>
      <c r="J4404" s="2" t="s">
        <v>43</v>
      </c>
    </row>
    <row r="4405" spans="1:10" ht="21" customHeight="1">
      <c r="A4405" s="2" t="s">
        <v>5404</v>
      </c>
      <c r="B4405" s="2" t="s">
        <v>43</v>
      </c>
      <c r="C4405" s="4">
        <v>45681.25</v>
      </c>
      <c r="D4405" s="4">
        <v>45681.250087604167</v>
      </c>
      <c r="E4405" s="2">
        <v>3.03</v>
      </c>
      <c r="F4405" s="2">
        <v>59.4</v>
      </c>
      <c r="G4405" s="2" t="s">
        <v>983</v>
      </c>
      <c r="H4405" s="2" t="s">
        <v>984</v>
      </c>
      <c r="I4405" s="2"/>
      <c r="J4405" s="2" t="s">
        <v>43</v>
      </c>
    </row>
    <row r="4406" spans="1:10" ht="21" customHeight="1">
      <c r="A4406" s="2" t="s">
        <v>5405</v>
      </c>
      <c r="B4406" s="2" t="s">
        <v>43</v>
      </c>
      <c r="C4406" s="4">
        <v>45682.25</v>
      </c>
      <c r="D4406" s="4">
        <v>45682.25065548611</v>
      </c>
      <c r="E4406" s="2">
        <v>2.36</v>
      </c>
      <c r="F4406" s="2">
        <v>59.9</v>
      </c>
      <c r="G4406" s="2" t="s">
        <v>983</v>
      </c>
      <c r="H4406" s="2" t="s">
        <v>984</v>
      </c>
      <c r="I4406" s="2"/>
      <c r="J4406" s="2" t="s">
        <v>43</v>
      </c>
    </row>
    <row r="4407" spans="1:10" ht="21" customHeight="1">
      <c r="A4407" s="2" t="s">
        <v>5406</v>
      </c>
      <c r="B4407" s="2" t="s">
        <v>43</v>
      </c>
      <c r="C4407" s="4">
        <v>45683.25</v>
      </c>
      <c r="D4407" s="4">
        <v>45683.250331423609</v>
      </c>
      <c r="E4407" s="2">
        <v>2.65</v>
      </c>
      <c r="F4407" s="2">
        <v>61.5</v>
      </c>
      <c r="G4407" s="2" t="s">
        <v>983</v>
      </c>
      <c r="H4407" s="2" t="s">
        <v>984</v>
      </c>
      <c r="I4407" s="2"/>
      <c r="J4407" s="2" t="s">
        <v>43</v>
      </c>
    </row>
    <row r="4408" spans="1:10" ht="21" customHeight="1">
      <c r="A4408" s="2" t="s">
        <v>5407</v>
      </c>
      <c r="B4408" s="2" t="s">
        <v>43</v>
      </c>
      <c r="C4408" s="4">
        <v>45684.25</v>
      </c>
      <c r="D4408" s="4">
        <v>45684.250260000001</v>
      </c>
      <c r="E4408" s="2">
        <v>2.2000000000000002</v>
      </c>
      <c r="F4408" s="2">
        <v>65</v>
      </c>
      <c r="G4408" s="2" t="s">
        <v>983</v>
      </c>
      <c r="H4408" s="2" t="s">
        <v>984</v>
      </c>
      <c r="I4408" s="2"/>
      <c r="J4408" s="2" t="s">
        <v>43</v>
      </c>
    </row>
    <row r="4409" spans="1:10" ht="21" customHeight="1">
      <c r="A4409" s="2" t="s">
        <v>5408</v>
      </c>
      <c r="B4409" s="2" t="s">
        <v>43</v>
      </c>
      <c r="C4409" s="4">
        <v>45685.25</v>
      </c>
      <c r="D4409" s="4">
        <v>45685.250340949075</v>
      </c>
      <c r="E4409" s="2">
        <v>2.54</v>
      </c>
      <c r="F4409" s="2">
        <v>59.4</v>
      </c>
      <c r="G4409" s="2" t="s">
        <v>983</v>
      </c>
      <c r="H4409" s="2" t="s">
        <v>984</v>
      </c>
      <c r="I4409" s="2"/>
      <c r="J4409" s="2" t="s">
        <v>43</v>
      </c>
    </row>
    <row r="4410" spans="1:10" ht="21" customHeight="1">
      <c r="A4410" s="2" t="s">
        <v>5409</v>
      </c>
      <c r="B4410" s="2" t="s">
        <v>43</v>
      </c>
      <c r="C4410" s="4">
        <v>45686.25</v>
      </c>
      <c r="D4410" s="4">
        <v>45686.250134756949</v>
      </c>
      <c r="E4410" s="2">
        <v>2.4900000000000002</v>
      </c>
      <c r="F4410" s="2">
        <v>60.8</v>
      </c>
      <c r="G4410" s="2" t="s">
        <v>983</v>
      </c>
      <c r="H4410" s="2" t="s">
        <v>984</v>
      </c>
      <c r="I4410" s="2"/>
      <c r="J4410" s="2" t="s">
        <v>43</v>
      </c>
    </row>
    <row r="4411" spans="1:10" ht="21" customHeight="1">
      <c r="A4411" s="2" t="s">
        <v>5410</v>
      </c>
      <c r="B4411" s="2" t="s">
        <v>43</v>
      </c>
      <c r="C4411" s="4">
        <v>45687.25</v>
      </c>
      <c r="D4411" s="4">
        <v>45687.250625868051</v>
      </c>
      <c r="E4411" s="2">
        <v>2.52</v>
      </c>
      <c r="F4411" s="2">
        <v>62.6</v>
      </c>
      <c r="G4411" s="2" t="s">
        <v>983</v>
      </c>
      <c r="H4411" s="2" t="s">
        <v>984</v>
      </c>
      <c r="I4411" s="2"/>
      <c r="J4411" s="2" t="s">
        <v>43</v>
      </c>
    </row>
    <row r="4412" spans="1:10" ht="21" customHeight="1">
      <c r="A4412" s="2" t="s">
        <v>5411</v>
      </c>
      <c r="B4412" s="2" t="s">
        <v>43</v>
      </c>
      <c r="C4412" s="4">
        <v>45688.25</v>
      </c>
      <c r="D4412" s="4">
        <v>45688.250176759262</v>
      </c>
      <c r="E4412" s="2">
        <v>2.81</v>
      </c>
      <c r="F4412" s="2">
        <v>62.5</v>
      </c>
      <c r="G4412" s="2" t="s">
        <v>983</v>
      </c>
      <c r="H4412" s="2" t="s">
        <v>984</v>
      </c>
      <c r="I4412" s="2"/>
      <c r="J4412" s="2" t="s">
        <v>43</v>
      </c>
    </row>
    <row r="4413" spans="1:10" ht="21" customHeight="1">
      <c r="A4413" s="2" t="s">
        <v>5412</v>
      </c>
      <c r="B4413" s="2" t="s">
        <v>43</v>
      </c>
      <c r="C4413" s="4">
        <v>45689.25</v>
      </c>
      <c r="D4413" s="4">
        <v>45689.250203356482</v>
      </c>
      <c r="E4413" s="2">
        <v>16.16</v>
      </c>
      <c r="F4413" s="2">
        <v>63.5</v>
      </c>
      <c r="G4413" s="2" t="s">
        <v>983</v>
      </c>
      <c r="H4413" s="2" t="s">
        <v>1022</v>
      </c>
      <c r="I4413" s="2"/>
      <c r="J4413" s="2" t="s">
        <v>43</v>
      </c>
    </row>
    <row r="4414" spans="1:10" ht="21" customHeight="1">
      <c r="A4414" s="2" t="s">
        <v>5413</v>
      </c>
      <c r="B4414" s="2" t="s">
        <v>43</v>
      </c>
      <c r="C4414" s="4">
        <v>45690.25</v>
      </c>
      <c r="D4414" s="4">
        <v>45690.250313576384</v>
      </c>
      <c r="E4414" s="2">
        <v>2.23</v>
      </c>
      <c r="F4414" s="2">
        <v>61.8</v>
      </c>
      <c r="G4414" s="2" t="s">
        <v>983</v>
      </c>
      <c r="H4414" s="2" t="s">
        <v>984</v>
      </c>
      <c r="I4414" s="2"/>
      <c r="J4414" s="2" t="s">
        <v>43</v>
      </c>
    </row>
    <row r="4415" spans="1:10" ht="21" customHeight="1">
      <c r="A4415" s="2" t="s">
        <v>5414</v>
      </c>
      <c r="B4415" s="2" t="s">
        <v>43</v>
      </c>
      <c r="C4415" s="4">
        <v>45691.25</v>
      </c>
      <c r="D4415" s="4">
        <v>45691.250201076386</v>
      </c>
      <c r="E4415" s="2">
        <v>2.5299999999999998</v>
      </c>
      <c r="F4415" s="2">
        <v>60.7</v>
      </c>
      <c r="G4415" s="2" t="s">
        <v>983</v>
      </c>
      <c r="H4415" s="2" t="s">
        <v>984</v>
      </c>
      <c r="I4415" s="2"/>
      <c r="J4415" s="2" t="s">
        <v>43</v>
      </c>
    </row>
    <row r="4416" spans="1:10" ht="21" customHeight="1">
      <c r="A4416" s="2" t="s">
        <v>5415</v>
      </c>
      <c r="B4416" s="2" t="s">
        <v>43</v>
      </c>
      <c r="C4416" s="4">
        <v>45692.25</v>
      </c>
      <c r="D4416" s="4">
        <v>45692.250375023148</v>
      </c>
      <c r="E4416" s="2">
        <v>2.6</v>
      </c>
      <c r="F4416" s="2">
        <v>64.3</v>
      </c>
      <c r="G4416" s="2" t="s">
        <v>983</v>
      </c>
      <c r="H4416" s="2" t="s">
        <v>984</v>
      </c>
      <c r="I4416" s="2" t="s">
        <v>985</v>
      </c>
      <c r="J4416" s="2" t="s">
        <v>43</v>
      </c>
    </row>
    <row r="4417" spans="1:10" ht="21" customHeight="1">
      <c r="A4417" s="2" t="s">
        <v>5416</v>
      </c>
      <c r="B4417" s="2" t="s">
        <v>43</v>
      </c>
      <c r="C4417" s="4">
        <v>45693.25</v>
      </c>
      <c r="D4417" s="4">
        <v>45693.250410763889</v>
      </c>
      <c r="E4417" s="2">
        <v>2.4</v>
      </c>
      <c r="F4417" s="2">
        <v>60.7</v>
      </c>
      <c r="G4417" s="2" t="s">
        <v>983</v>
      </c>
      <c r="H4417" s="2" t="s">
        <v>984</v>
      </c>
      <c r="I4417" s="2"/>
      <c r="J4417" s="2" t="s">
        <v>43</v>
      </c>
    </row>
    <row r="4418" spans="1:10" ht="21" customHeight="1">
      <c r="A4418" s="2" t="s">
        <v>5417</v>
      </c>
      <c r="B4418" s="2" t="s">
        <v>43</v>
      </c>
      <c r="C4418" s="4">
        <v>45694.25</v>
      </c>
      <c r="D4418" s="4">
        <v>45694.250449618055</v>
      </c>
      <c r="E4418" s="2">
        <v>2.2400000000000002</v>
      </c>
      <c r="F4418" s="2">
        <v>59.3</v>
      </c>
      <c r="G4418" s="2" t="s">
        <v>983</v>
      </c>
      <c r="H4418" s="2" t="s">
        <v>984</v>
      </c>
      <c r="I4418" s="2"/>
      <c r="J4418" s="2" t="s">
        <v>43</v>
      </c>
    </row>
    <row r="4419" spans="1:10" ht="21" customHeight="1">
      <c r="A4419" s="2" t="s">
        <v>5418</v>
      </c>
      <c r="B4419" s="2" t="s">
        <v>43</v>
      </c>
      <c r="C4419" s="4">
        <v>45695.25</v>
      </c>
      <c r="D4419" s="4">
        <v>45695.250606666668</v>
      </c>
      <c r="E4419" s="2">
        <v>2.35</v>
      </c>
      <c r="F4419" s="2">
        <v>60.3</v>
      </c>
      <c r="G4419" s="2" t="s">
        <v>983</v>
      </c>
      <c r="H4419" s="2" t="s">
        <v>984</v>
      </c>
      <c r="I4419" s="2"/>
      <c r="J4419" s="2" t="s">
        <v>43</v>
      </c>
    </row>
    <row r="4420" spans="1:10" ht="21" customHeight="1">
      <c r="A4420" s="2" t="s">
        <v>5419</v>
      </c>
      <c r="B4420" s="2" t="s">
        <v>43</v>
      </c>
      <c r="C4420" s="4">
        <v>45696.25</v>
      </c>
      <c r="D4420" s="4">
        <v>45696.250242094902</v>
      </c>
      <c r="E4420" s="2">
        <v>3</v>
      </c>
      <c r="F4420" s="2">
        <v>60</v>
      </c>
      <c r="G4420" s="2" t="s">
        <v>983</v>
      </c>
      <c r="H4420" s="2" t="s">
        <v>984</v>
      </c>
      <c r="I4420" s="2"/>
      <c r="J4420" s="2" t="s">
        <v>43</v>
      </c>
    </row>
    <row r="4421" spans="1:10" ht="21" customHeight="1">
      <c r="A4421" s="2" t="s">
        <v>5420</v>
      </c>
      <c r="B4421" s="2" t="s">
        <v>43</v>
      </c>
      <c r="C4421" s="4">
        <v>45697.25</v>
      </c>
      <c r="D4421" s="4">
        <v>45697.250105555555</v>
      </c>
      <c r="E4421" s="2">
        <v>2.2200000000000002</v>
      </c>
      <c r="F4421" s="2">
        <v>61.8</v>
      </c>
      <c r="G4421" s="2" t="s">
        <v>983</v>
      </c>
      <c r="H4421" s="2" t="s">
        <v>984</v>
      </c>
      <c r="I4421" s="2"/>
      <c r="J4421" s="2" t="s">
        <v>43</v>
      </c>
    </row>
    <row r="4422" spans="1:10" ht="21" customHeight="1">
      <c r="A4422" s="2" t="s">
        <v>5421</v>
      </c>
      <c r="B4422" s="2" t="s">
        <v>43</v>
      </c>
      <c r="C4422" s="4">
        <v>45698.25</v>
      </c>
      <c r="D4422" s="4">
        <v>45698.250396539355</v>
      </c>
      <c r="E4422" s="2"/>
      <c r="F4422" s="2"/>
      <c r="G4422" s="2" t="s">
        <v>983</v>
      </c>
      <c r="H4422" s="2" t="s">
        <v>1066</v>
      </c>
      <c r="I4422" s="2"/>
      <c r="J4422" s="2" t="s">
        <v>43</v>
      </c>
    </row>
    <row r="4423" spans="1:10" ht="21" customHeight="1">
      <c r="A4423" s="2" t="s">
        <v>5422</v>
      </c>
      <c r="B4423" s="2" t="s">
        <v>43</v>
      </c>
      <c r="C4423" s="4">
        <v>45699.25</v>
      </c>
      <c r="D4423" s="4">
        <v>45699.250664282408</v>
      </c>
      <c r="E4423" s="2">
        <v>2.5099999999999998</v>
      </c>
      <c r="F4423" s="2">
        <v>60.4</v>
      </c>
      <c r="G4423" s="2" t="s">
        <v>983</v>
      </c>
      <c r="H4423" s="2" t="s">
        <v>984</v>
      </c>
      <c r="I4423" s="2"/>
      <c r="J4423" s="2" t="s">
        <v>43</v>
      </c>
    </row>
    <row r="4424" spans="1:10" ht="21" customHeight="1">
      <c r="A4424" s="2" t="s">
        <v>5423</v>
      </c>
      <c r="B4424" s="2" t="s">
        <v>43</v>
      </c>
      <c r="C4424" s="4">
        <v>45700.25</v>
      </c>
      <c r="D4424" s="4">
        <v>45700.250498715279</v>
      </c>
      <c r="E4424" s="2">
        <v>2.34</v>
      </c>
      <c r="F4424" s="2">
        <v>62.9</v>
      </c>
      <c r="G4424" s="2" t="s">
        <v>983</v>
      </c>
      <c r="H4424" s="2" t="s">
        <v>984</v>
      </c>
      <c r="I4424" s="2"/>
      <c r="J4424" s="2" t="s">
        <v>43</v>
      </c>
    </row>
    <row r="4425" spans="1:10" ht="21" customHeight="1">
      <c r="A4425" s="2" t="s">
        <v>5424</v>
      </c>
      <c r="B4425" s="2" t="s">
        <v>43</v>
      </c>
      <c r="C4425" s="4">
        <v>45701.25</v>
      </c>
      <c r="D4425" s="4">
        <v>45701.250614884259</v>
      </c>
      <c r="E4425" s="2">
        <v>2.29</v>
      </c>
      <c r="F4425" s="2">
        <v>59.3</v>
      </c>
      <c r="G4425" s="2" t="s">
        <v>983</v>
      </c>
      <c r="H4425" s="2" t="s">
        <v>984</v>
      </c>
      <c r="I4425" s="2"/>
      <c r="J4425" s="2" t="s">
        <v>43</v>
      </c>
    </row>
    <row r="4426" spans="1:10" ht="21" customHeight="1">
      <c r="A4426" s="2" t="s">
        <v>5425</v>
      </c>
      <c r="B4426" s="2" t="s">
        <v>43</v>
      </c>
      <c r="C4426" s="4">
        <v>45702.25</v>
      </c>
      <c r="D4426" s="4">
        <v>45702.250612280091</v>
      </c>
      <c r="E4426" s="2">
        <v>2.81</v>
      </c>
      <c r="F4426" s="2">
        <v>60.2</v>
      </c>
      <c r="G4426" s="2" t="s">
        <v>983</v>
      </c>
      <c r="H4426" s="2" t="s">
        <v>984</v>
      </c>
      <c r="I4426" s="2"/>
      <c r="J4426" s="2" t="s">
        <v>43</v>
      </c>
    </row>
    <row r="4427" spans="1:10" ht="21" customHeight="1">
      <c r="A4427" s="2" t="s">
        <v>5426</v>
      </c>
      <c r="B4427" s="2" t="s">
        <v>43</v>
      </c>
      <c r="C4427" s="4">
        <v>45703.25</v>
      </c>
      <c r="D4427" s="4">
        <v>45703.250573842597</v>
      </c>
      <c r="E4427" s="2">
        <v>3.08</v>
      </c>
      <c r="F4427" s="2">
        <v>65</v>
      </c>
      <c r="G4427" s="2" t="s">
        <v>983</v>
      </c>
      <c r="H4427" s="2" t="s">
        <v>984</v>
      </c>
      <c r="I4427" s="2"/>
      <c r="J4427" s="2" t="s">
        <v>43</v>
      </c>
    </row>
    <row r="4428" spans="1:10" ht="21" customHeight="1">
      <c r="A4428" s="2" t="s">
        <v>5427</v>
      </c>
      <c r="B4428" s="2" t="s">
        <v>43</v>
      </c>
      <c r="C4428" s="4">
        <v>45704.25</v>
      </c>
      <c r="D4428" s="4">
        <v>45704.250578171297</v>
      </c>
      <c r="E4428" s="2">
        <v>2.78</v>
      </c>
      <c r="F4428" s="2">
        <v>64.099999999999994</v>
      </c>
      <c r="G4428" s="2" t="s">
        <v>983</v>
      </c>
      <c r="H4428" s="2" t="s">
        <v>984</v>
      </c>
      <c r="I4428" s="2"/>
      <c r="J4428" s="2" t="s">
        <v>43</v>
      </c>
    </row>
    <row r="4429" spans="1:10" ht="21" customHeight="1">
      <c r="A4429" s="2" t="s">
        <v>5428</v>
      </c>
      <c r="B4429" s="2" t="s">
        <v>43</v>
      </c>
      <c r="C4429" s="4">
        <v>45705.25</v>
      </c>
      <c r="D4429" s="4">
        <v>45705.250187812504</v>
      </c>
      <c r="E4429" s="2">
        <v>2.94</v>
      </c>
      <c r="F4429" s="2">
        <v>58.1</v>
      </c>
      <c r="G4429" s="2" t="s">
        <v>983</v>
      </c>
      <c r="H4429" s="2" t="s">
        <v>984</v>
      </c>
      <c r="I4429" s="2"/>
      <c r="J4429" s="2" t="s">
        <v>43</v>
      </c>
    </row>
    <row r="4430" spans="1:10" ht="21" customHeight="1">
      <c r="A4430" s="2" t="s">
        <v>5429</v>
      </c>
      <c r="B4430" s="2" t="s">
        <v>5388</v>
      </c>
      <c r="C4430" s="4">
        <v>45706.25</v>
      </c>
      <c r="D4430" s="4">
        <v>45706.25045136574</v>
      </c>
      <c r="E4430" s="2">
        <v>2.71</v>
      </c>
      <c r="F4430" s="2">
        <v>63.9</v>
      </c>
      <c r="G4430" s="2" t="s">
        <v>983</v>
      </c>
      <c r="H4430" s="2" t="s">
        <v>984</v>
      </c>
      <c r="I4430" s="2"/>
      <c r="J4430" s="2" t="s">
        <v>43</v>
      </c>
    </row>
    <row r="4431" spans="1:10" ht="21" customHeight="1">
      <c r="A4431" s="2" t="s">
        <v>5430</v>
      </c>
      <c r="B4431" s="2" t="s">
        <v>43</v>
      </c>
      <c r="C4431" s="4">
        <v>45707.25</v>
      </c>
      <c r="D4431" s="4">
        <v>45707.250594861107</v>
      </c>
      <c r="E4431" s="2">
        <v>3.22</v>
      </c>
      <c r="F4431" s="2">
        <v>62.1</v>
      </c>
      <c r="G4431" s="2" t="s">
        <v>983</v>
      </c>
      <c r="H4431" s="2" t="s">
        <v>984</v>
      </c>
      <c r="I4431" s="2"/>
      <c r="J4431" s="2" t="s">
        <v>43</v>
      </c>
    </row>
    <row r="4432" spans="1:10" ht="21" customHeight="1">
      <c r="A4432" s="2" t="s">
        <v>5431</v>
      </c>
      <c r="B4432" s="2" t="s">
        <v>43</v>
      </c>
      <c r="C4432" s="4">
        <v>45708.25</v>
      </c>
      <c r="D4432" s="4">
        <v>45708.250038310187</v>
      </c>
      <c r="E4432" s="2">
        <v>2.19</v>
      </c>
      <c r="F4432" s="2">
        <v>61.3</v>
      </c>
      <c r="G4432" s="2" t="s">
        <v>983</v>
      </c>
      <c r="H4432" s="2" t="s">
        <v>984</v>
      </c>
      <c r="I4432" s="2"/>
      <c r="J4432" s="2" t="s">
        <v>43</v>
      </c>
    </row>
    <row r="4433" spans="1:10" ht="21" customHeight="1">
      <c r="A4433" s="2" t="s">
        <v>5432</v>
      </c>
      <c r="B4433" s="2" t="s">
        <v>43</v>
      </c>
      <c r="C4433" s="4">
        <v>45709.25</v>
      </c>
      <c r="D4433" s="4">
        <v>45709.250436388887</v>
      </c>
      <c r="E4433" s="2">
        <v>2.27</v>
      </c>
      <c r="F4433" s="2">
        <v>63.3</v>
      </c>
      <c r="G4433" s="2" t="s">
        <v>983</v>
      </c>
      <c r="H4433" s="2" t="s">
        <v>984</v>
      </c>
      <c r="I4433" s="2" t="s">
        <v>985</v>
      </c>
      <c r="J4433" s="2" t="s">
        <v>43</v>
      </c>
    </row>
    <row r="4434" spans="1:10" ht="21" customHeight="1">
      <c r="A4434" s="2" t="s">
        <v>5433</v>
      </c>
      <c r="B4434" s="2" t="s">
        <v>43</v>
      </c>
      <c r="C4434" s="4">
        <v>45710.25</v>
      </c>
      <c r="D4434" s="4">
        <v>45710.250400601857</v>
      </c>
      <c r="E4434" s="2">
        <v>2.31</v>
      </c>
      <c r="F4434" s="2">
        <v>58.7</v>
      </c>
      <c r="G4434" s="2" t="s">
        <v>983</v>
      </c>
      <c r="H4434" s="2" t="s">
        <v>984</v>
      </c>
      <c r="I4434" s="2"/>
      <c r="J4434" s="2" t="s">
        <v>43</v>
      </c>
    </row>
    <row r="4435" spans="1:10" ht="21" customHeight="1">
      <c r="A4435" s="2" t="s">
        <v>5434</v>
      </c>
      <c r="B4435" s="2" t="s">
        <v>43</v>
      </c>
      <c r="C4435" s="4">
        <v>45711.25</v>
      </c>
      <c r="D4435" s="4">
        <v>45711.250018599538</v>
      </c>
      <c r="E4435" s="2">
        <v>2.31</v>
      </c>
      <c r="F4435" s="2">
        <v>64.099999999999994</v>
      </c>
      <c r="G4435" s="2" t="s">
        <v>983</v>
      </c>
      <c r="H4435" s="2" t="s">
        <v>984</v>
      </c>
      <c r="I4435" s="2"/>
      <c r="J4435" s="2" t="s">
        <v>43</v>
      </c>
    </row>
    <row r="4436" spans="1:10" ht="21" customHeight="1">
      <c r="A4436" s="2" t="s">
        <v>5435</v>
      </c>
      <c r="B4436" s="2" t="s">
        <v>43</v>
      </c>
      <c r="C4436" s="4">
        <v>45712.25</v>
      </c>
      <c r="D4436" s="4">
        <v>45712.250623854168</v>
      </c>
      <c r="E4436" s="2">
        <v>2.65</v>
      </c>
      <c r="F4436" s="2">
        <v>60.7</v>
      </c>
      <c r="G4436" s="2" t="s">
        <v>983</v>
      </c>
      <c r="H4436" s="2" t="s">
        <v>984</v>
      </c>
      <c r="I4436" s="2"/>
      <c r="J4436" s="2" t="s">
        <v>43</v>
      </c>
    </row>
    <row r="4437" spans="1:10" ht="21" customHeight="1">
      <c r="A4437" s="2" t="s">
        <v>5436</v>
      </c>
      <c r="B4437" s="2" t="s">
        <v>43</v>
      </c>
      <c r="C4437" s="4">
        <v>45713.25</v>
      </c>
      <c r="D4437" s="4">
        <v>45713.250304583329</v>
      </c>
      <c r="E4437" s="2">
        <v>2.5099999999999998</v>
      </c>
      <c r="F4437" s="2">
        <v>58.1</v>
      </c>
      <c r="G4437" s="2" t="s">
        <v>983</v>
      </c>
      <c r="H4437" s="2" t="s">
        <v>984</v>
      </c>
      <c r="I4437" s="2"/>
      <c r="J4437" s="2" t="s">
        <v>43</v>
      </c>
    </row>
    <row r="4438" spans="1:10" ht="21" customHeight="1">
      <c r="A4438" s="2" t="s">
        <v>5437</v>
      </c>
      <c r="B4438" s="2" t="s">
        <v>43</v>
      </c>
      <c r="C4438" s="4">
        <v>45714.25</v>
      </c>
      <c r="D4438" s="4">
        <v>45714.250650462964</v>
      </c>
      <c r="E4438" s="2">
        <v>3.15</v>
      </c>
      <c r="F4438" s="2">
        <v>66</v>
      </c>
      <c r="G4438" s="2" t="s">
        <v>983</v>
      </c>
      <c r="H4438" s="2" t="s">
        <v>984</v>
      </c>
      <c r="I4438" s="2"/>
      <c r="J4438" s="2" t="s">
        <v>43</v>
      </c>
    </row>
    <row r="4439" spans="1:10" ht="21" customHeight="1">
      <c r="A4439" s="2" t="s">
        <v>5438</v>
      </c>
      <c r="B4439" s="2" t="s">
        <v>43</v>
      </c>
      <c r="C4439" s="4">
        <v>45715.25</v>
      </c>
      <c r="D4439" s="4">
        <v>45715.250513634259</v>
      </c>
      <c r="E4439" s="2">
        <v>2.74</v>
      </c>
      <c r="F4439" s="2">
        <v>63.4</v>
      </c>
      <c r="G4439" s="2" t="s">
        <v>983</v>
      </c>
      <c r="H4439" s="2" t="s">
        <v>984</v>
      </c>
      <c r="I4439" s="2"/>
      <c r="J4439" s="2" t="s">
        <v>43</v>
      </c>
    </row>
    <row r="4440" spans="1:10" ht="21" customHeight="1">
      <c r="A4440" s="2" t="s">
        <v>5439</v>
      </c>
      <c r="B4440" s="2" t="s">
        <v>43</v>
      </c>
      <c r="C4440" s="4">
        <v>45716.25</v>
      </c>
      <c r="D4440" s="4">
        <v>45716.250481701391</v>
      </c>
      <c r="E4440" s="2">
        <v>2.46</v>
      </c>
      <c r="F4440" s="2">
        <v>61.9</v>
      </c>
      <c r="G4440" s="2" t="s">
        <v>983</v>
      </c>
      <c r="H4440" s="2" t="s">
        <v>984</v>
      </c>
      <c r="I4440" s="2"/>
      <c r="J4440" s="2" t="s">
        <v>43</v>
      </c>
    </row>
    <row r="4441" spans="1:10" ht="21" customHeight="1">
      <c r="A4441" s="2" t="s">
        <v>5440</v>
      </c>
      <c r="B4441" s="2" t="s">
        <v>43</v>
      </c>
      <c r="C4441" s="4">
        <v>45717.25</v>
      </c>
      <c r="D4441" s="4">
        <v>45717.250535937499</v>
      </c>
      <c r="E4441" s="2"/>
      <c r="F4441" s="2"/>
      <c r="G4441" s="2" t="s">
        <v>983</v>
      </c>
      <c r="H4441" s="2" t="s">
        <v>1066</v>
      </c>
      <c r="I4441" s="2"/>
      <c r="J4441" s="2" t="s">
        <v>43</v>
      </c>
    </row>
    <row r="4442" spans="1:10" ht="21" customHeight="1">
      <c r="A4442" s="2" t="s">
        <v>5441</v>
      </c>
      <c r="B4442" s="2" t="s">
        <v>43</v>
      </c>
      <c r="C4442" s="4">
        <v>45718.25</v>
      </c>
      <c r="D4442" s="4">
        <v>45718.250353645832</v>
      </c>
      <c r="E4442" s="2">
        <v>3.12</v>
      </c>
      <c r="F4442" s="2">
        <v>61.4</v>
      </c>
      <c r="G4442" s="2" t="s">
        <v>983</v>
      </c>
      <c r="H4442" s="2" t="s">
        <v>984</v>
      </c>
      <c r="I4442" s="2"/>
      <c r="J4442" s="2" t="s">
        <v>43</v>
      </c>
    </row>
    <row r="4443" spans="1:10" ht="21" customHeight="1">
      <c r="A4443" s="2" t="s">
        <v>5442</v>
      </c>
      <c r="B4443" s="2" t="s">
        <v>43</v>
      </c>
      <c r="C4443" s="4">
        <v>45719.25</v>
      </c>
      <c r="D4443" s="4">
        <v>45719.250444432866</v>
      </c>
      <c r="E4443" s="2">
        <v>3.29</v>
      </c>
      <c r="F4443" s="2">
        <v>58.1</v>
      </c>
      <c r="G4443" s="2" t="s">
        <v>983</v>
      </c>
      <c r="H4443" s="2" t="s">
        <v>984</v>
      </c>
      <c r="I4443" s="2"/>
      <c r="J4443" s="2" t="s">
        <v>43</v>
      </c>
    </row>
    <row r="4444" spans="1:10" ht="21" customHeight="1">
      <c r="A4444" s="2" t="s">
        <v>5443</v>
      </c>
      <c r="B4444" s="2" t="s">
        <v>43</v>
      </c>
      <c r="C4444" s="4">
        <v>45720.25</v>
      </c>
      <c r="D4444" s="4">
        <v>45720.250244803239</v>
      </c>
      <c r="E4444" s="2">
        <v>2.78</v>
      </c>
      <c r="F4444" s="2">
        <v>63.8</v>
      </c>
      <c r="G4444" s="2" t="s">
        <v>983</v>
      </c>
      <c r="H4444" s="2" t="s">
        <v>984</v>
      </c>
      <c r="I4444" s="2"/>
      <c r="J4444" s="2" t="s">
        <v>43</v>
      </c>
    </row>
    <row r="4445" spans="1:10" ht="21" customHeight="1">
      <c r="A4445" s="2" t="s">
        <v>5444</v>
      </c>
      <c r="B4445" s="2" t="s">
        <v>43</v>
      </c>
      <c r="C4445" s="4">
        <v>45721.25</v>
      </c>
      <c r="D4445" s="4">
        <v>45721.250117777774</v>
      </c>
      <c r="E4445" s="2">
        <v>2.37</v>
      </c>
      <c r="F4445" s="2">
        <v>62.3</v>
      </c>
      <c r="G4445" s="2" t="s">
        <v>983</v>
      </c>
      <c r="H4445" s="2" t="s">
        <v>984</v>
      </c>
      <c r="I4445" s="2"/>
      <c r="J4445" s="2" t="s">
        <v>43</v>
      </c>
    </row>
    <row r="4446" spans="1:10" ht="21" customHeight="1">
      <c r="A4446" s="2" t="s">
        <v>5445</v>
      </c>
      <c r="B4446" s="2" t="s">
        <v>43</v>
      </c>
      <c r="C4446" s="4">
        <v>45722.25</v>
      </c>
      <c r="D4446" s="4">
        <v>45722.250011863427</v>
      </c>
      <c r="E4446" s="2">
        <v>2.9</v>
      </c>
      <c r="F4446" s="2">
        <v>63.8</v>
      </c>
      <c r="G4446" s="2" t="s">
        <v>983</v>
      </c>
      <c r="H4446" s="2" t="s">
        <v>984</v>
      </c>
      <c r="I4446" s="2"/>
      <c r="J4446" s="2" t="s">
        <v>43</v>
      </c>
    </row>
    <row r="4447" spans="1:10" ht="21" customHeight="1">
      <c r="A4447" s="2" t="s">
        <v>5446</v>
      </c>
      <c r="B4447" s="2" t="s">
        <v>43</v>
      </c>
      <c r="C4447" s="4">
        <v>45723.25</v>
      </c>
      <c r="D4447" s="4">
        <v>45723.250269050928</v>
      </c>
      <c r="E4447" s="2">
        <v>2.4700000000000002</v>
      </c>
      <c r="F4447" s="2">
        <v>60.8</v>
      </c>
      <c r="G4447" s="2" t="s">
        <v>983</v>
      </c>
      <c r="H4447" s="2" t="s">
        <v>984</v>
      </c>
      <c r="I4447" s="2"/>
      <c r="J4447" s="2" t="s">
        <v>43</v>
      </c>
    </row>
    <row r="4448" spans="1:10" ht="21" customHeight="1">
      <c r="A4448" s="2" t="s">
        <v>5447</v>
      </c>
      <c r="B4448" s="2" t="s">
        <v>43</v>
      </c>
      <c r="C4448" s="4">
        <v>45724.25</v>
      </c>
      <c r="D4448" s="4">
        <v>45724.250596203703</v>
      </c>
      <c r="E4448" s="2">
        <v>2.62</v>
      </c>
      <c r="F4448" s="2">
        <v>60.4</v>
      </c>
      <c r="G4448" s="2" t="s">
        <v>983</v>
      </c>
      <c r="H4448" s="2" t="s">
        <v>984</v>
      </c>
      <c r="I4448" s="2"/>
      <c r="J4448" s="2" t="s">
        <v>43</v>
      </c>
    </row>
    <row r="4449" spans="1:10" ht="21" customHeight="1">
      <c r="A4449" s="2" t="s">
        <v>5448</v>
      </c>
      <c r="B4449" s="2" t="s">
        <v>43</v>
      </c>
      <c r="C4449" s="4">
        <v>45725.25</v>
      </c>
      <c r="D4449" s="4">
        <v>45725.250381331018</v>
      </c>
      <c r="E4449" s="2">
        <v>3.25</v>
      </c>
      <c r="F4449" s="2">
        <v>59.4</v>
      </c>
      <c r="G4449" s="2" t="s">
        <v>983</v>
      </c>
      <c r="H4449" s="2" t="s">
        <v>984</v>
      </c>
      <c r="I4449" s="2"/>
      <c r="J4449" s="2" t="s">
        <v>43</v>
      </c>
    </row>
    <row r="4450" spans="1:10" ht="21" customHeight="1">
      <c r="A4450" s="2" t="s">
        <v>5449</v>
      </c>
      <c r="B4450" s="2" t="s">
        <v>43</v>
      </c>
      <c r="C4450" s="4">
        <v>45726.25</v>
      </c>
      <c r="D4450" s="4">
        <v>45726.25057837963</v>
      </c>
      <c r="E4450" s="2">
        <v>2.94</v>
      </c>
      <c r="F4450" s="2">
        <v>64.8</v>
      </c>
      <c r="G4450" s="2" t="s">
        <v>983</v>
      </c>
      <c r="H4450" s="2" t="s">
        <v>984</v>
      </c>
      <c r="I4450" s="2" t="s">
        <v>985</v>
      </c>
      <c r="J4450" s="2" t="s">
        <v>43</v>
      </c>
    </row>
    <row r="4451" spans="1:10" ht="21" customHeight="1">
      <c r="A4451" s="2" t="s">
        <v>5450</v>
      </c>
      <c r="B4451" s="2" t="s">
        <v>43</v>
      </c>
      <c r="C4451" s="4">
        <v>45727.25</v>
      </c>
      <c r="D4451" s="4">
        <v>45727.250407233798</v>
      </c>
      <c r="E4451" s="2">
        <v>2.73</v>
      </c>
      <c r="F4451" s="2">
        <v>65.400000000000006</v>
      </c>
      <c r="G4451" s="2" t="s">
        <v>983</v>
      </c>
      <c r="H4451" s="2" t="s">
        <v>984</v>
      </c>
      <c r="I4451" s="2"/>
      <c r="J4451" s="2" t="s">
        <v>43</v>
      </c>
    </row>
    <row r="4452" spans="1:10" ht="21" customHeight="1">
      <c r="A4452" s="2" t="s">
        <v>5451</v>
      </c>
      <c r="B4452" s="2" t="s">
        <v>43</v>
      </c>
      <c r="C4452" s="4">
        <v>45728.25</v>
      </c>
      <c r="D4452" s="4">
        <v>45728.250265138893</v>
      </c>
      <c r="E4452" s="2">
        <v>2.82</v>
      </c>
      <c r="F4452" s="2">
        <v>59.1</v>
      </c>
      <c r="G4452" s="2" t="s">
        <v>983</v>
      </c>
      <c r="H4452" s="2" t="s">
        <v>984</v>
      </c>
      <c r="I4452" s="2"/>
      <c r="J4452" s="2" t="s">
        <v>43</v>
      </c>
    </row>
    <row r="4453" spans="1:10" ht="21" customHeight="1">
      <c r="A4453" s="2" t="s">
        <v>5452</v>
      </c>
      <c r="B4453" s="2" t="s">
        <v>43</v>
      </c>
      <c r="C4453" s="4">
        <v>45729.25</v>
      </c>
      <c r="D4453" s="4">
        <v>45729.250666041669</v>
      </c>
      <c r="E4453" s="2">
        <v>3.28</v>
      </c>
      <c r="F4453" s="2">
        <v>62.8</v>
      </c>
      <c r="G4453" s="2" t="s">
        <v>983</v>
      </c>
      <c r="H4453" s="2" t="s">
        <v>984</v>
      </c>
      <c r="I4453" s="2"/>
      <c r="J4453" s="2" t="s">
        <v>43</v>
      </c>
    </row>
    <row r="4454" spans="1:10" ht="21" customHeight="1">
      <c r="A4454" s="2" t="s">
        <v>5453</v>
      </c>
      <c r="B4454" s="2" t="s">
        <v>43</v>
      </c>
      <c r="C4454" s="4">
        <v>45730.25</v>
      </c>
      <c r="D4454" s="4">
        <v>45730.250675787036</v>
      </c>
      <c r="E4454" s="2">
        <v>2.95</v>
      </c>
      <c r="F4454" s="2">
        <v>59.5</v>
      </c>
      <c r="G4454" s="2" t="s">
        <v>983</v>
      </c>
      <c r="H4454" s="2" t="s">
        <v>984</v>
      </c>
      <c r="I4454" s="2"/>
      <c r="J4454" s="2" t="s">
        <v>43</v>
      </c>
    </row>
    <row r="4455" spans="1:10" ht="21" customHeight="1">
      <c r="A4455" s="2" t="s">
        <v>5454</v>
      </c>
      <c r="B4455" s="2" t="s">
        <v>43</v>
      </c>
      <c r="C4455" s="4">
        <v>45731.25</v>
      </c>
      <c r="D4455" s="4">
        <v>45731.250226724536</v>
      </c>
      <c r="E4455" s="2">
        <v>3.17</v>
      </c>
      <c r="F4455" s="2">
        <v>62.3</v>
      </c>
      <c r="G4455" s="2" t="s">
        <v>983</v>
      </c>
      <c r="H4455" s="2" t="s">
        <v>984</v>
      </c>
      <c r="I4455" s="2"/>
      <c r="J4455" s="2" t="s">
        <v>43</v>
      </c>
    </row>
    <row r="4456" spans="1:10" ht="21" customHeight="1">
      <c r="A4456" s="2" t="s">
        <v>5455</v>
      </c>
      <c r="B4456" s="2" t="s">
        <v>43</v>
      </c>
      <c r="C4456" s="4">
        <v>45732.25</v>
      </c>
      <c r="D4456" s="4">
        <v>45732.250108263892</v>
      </c>
      <c r="E4456" s="2">
        <v>3.09</v>
      </c>
      <c r="F4456" s="2">
        <v>63.5</v>
      </c>
      <c r="G4456" s="2" t="s">
        <v>983</v>
      </c>
      <c r="H4456" s="2" t="s">
        <v>984</v>
      </c>
      <c r="I4456" s="2"/>
      <c r="J4456" s="2" t="s">
        <v>43</v>
      </c>
    </row>
    <row r="4457" spans="1:10" ht="21" customHeight="1">
      <c r="A4457" s="2" t="s">
        <v>5456</v>
      </c>
      <c r="B4457" s="2" t="s">
        <v>43</v>
      </c>
      <c r="C4457" s="4">
        <v>45733.25</v>
      </c>
      <c r="D4457" s="4">
        <v>45733.250185740741</v>
      </c>
      <c r="E4457" s="2">
        <v>3.18</v>
      </c>
      <c r="F4457" s="2">
        <v>63</v>
      </c>
      <c r="G4457" s="2" t="s">
        <v>983</v>
      </c>
      <c r="H4457" s="2" t="s">
        <v>984</v>
      </c>
      <c r="I4457" s="2"/>
      <c r="J4457" s="2" t="s">
        <v>43</v>
      </c>
    </row>
    <row r="4458" spans="1:10" ht="21" customHeight="1">
      <c r="A4458" s="2" t="s">
        <v>5457</v>
      </c>
      <c r="B4458" s="2" t="s">
        <v>43</v>
      </c>
      <c r="C4458" s="4">
        <v>45734.25</v>
      </c>
      <c r="D4458" s="4">
        <v>45734.250447152779</v>
      </c>
      <c r="E4458" s="2">
        <v>2.89</v>
      </c>
      <c r="F4458" s="2">
        <v>61.8</v>
      </c>
      <c r="G4458" s="2" t="s">
        <v>983</v>
      </c>
      <c r="H4458" s="2" t="s">
        <v>984</v>
      </c>
      <c r="I4458" s="2"/>
      <c r="J4458" s="2" t="s">
        <v>43</v>
      </c>
    </row>
    <row r="4459" spans="1:10" ht="21" customHeight="1">
      <c r="A4459" s="2" t="s">
        <v>5458</v>
      </c>
      <c r="B4459" s="2" t="s">
        <v>43</v>
      </c>
      <c r="C4459" s="4">
        <v>45735.25</v>
      </c>
      <c r="D4459" s="4">
        <v>45735.250025104164</v>
      </c>
      <c r="E4459" s="2">
        <v>3.22</v>
      </c>
      <c r="F4459" s="2">
        <v>60.2</v>
      </c>
      <c r="G4459" s="2" t="s">
        <v>983</v>
      </c>
      <c r="H4459" s="2" t="s">
        <v>984</v>
      </c>
      <c r="I4459" s="2"/>
      <c r="J4459" s="2" t="s">
        <v>43</v>
      </c>
    </row>
    <row r="4460" spans="1:10" ht="21" customHeight="1">
      <c r="A4460" s="2" t="s">
        <v>5459</v>
      </c>
      <c r="B4460" s="2" t="s">
        <v>43</v>
      </c>
      <c r="C4460" s="4">
        <v>45736.25</v>
      </c>
      <c r="D4460" s="4">
        <v>45736.25035292824</v>
      </c>
      <c r="E4460" s="2">
        <v>2.57</v>
      </c>
      <c r="F4460" s="2">
        <v>65.099999999999994</v>
      </c>
      <c r="G4460" s="2" t="s">
        <v>983</v>
      </c>
      <c r="H4460" s="2" t="s">
        <v>984</v>
      </c>
      <c r="I4460" s="2"/>
      <c r="J4460" s="2" t="s">
        <v>43</v>
      </c>
    </row>
    <row r="4461" spans="1:10" ht="21" customHeight="1">
      <c r="A4461" s="2" t="s">
        <v>5460</v>
      </c>
      <c r="B4461" s="2" t="s">
        <v>43</v>
      </c>
      <c r="C4461" s="4">
        <v>45737.25</v>
      </c>
      <c r="D4461" s="4">
        <v>45737.250074618059</v>
      </c>
      <c r="E4461" s="2">
        <v>2.21</v>
      </c>
      <c r="F4461" s="2">
        <v>61.5</v>
      </c>
      <c r="G4461" s="2" t="s">
        <v>983</v>
      </c>
      <c r="H4461" s="2" t="s">
        <v>984</v>
      </c>
      <c r="I4461" s="2"/>
      <c r="J4461" s="2" t="s">
        <v>43</v>
      </c>
    </row>
    <row r="4462" spans="1:10" ht="21" customHeight="1">
      <c r="A4462" s="2" t="s">
        <v>5461</v>
      </c>
      <c r="B4462" s="2" t="s">
        <v>43</v>
      </c>
      <c r="C4462" s="4">
        <v>45738.25</v>
      </c>
      <c r="D4462" s="4">
        <v>45738.250592581018</v>
      </c>
      <c r="E4462" s="2">
        <v>2.46</v>
      </c>
      <c r="F4462" s="2">
        <v>64.099999999999994</v>
      </c>
      <c r="G4462" s="2" t="s">
        <v>983</v>
      </c>
      <c r="H4462" s="2" t="s">
        <v>984</v>
      </c>
      <c r="I4462" s="2"/>
      <c r="J4462" s="2" t="s">
        <v>43</v>
      </c>
    </row>
    <row r="4463" spans="1:10" ht="21" customHeight="1">
      <c r="A4463" s="2" t="s">
        <v>5462</v>
      </c>
      <c r="B4463" s="2" t="s">
        <v>43</v>
      </c>
      <c r="C4463" s="4">
        <v>45739.25</v>
      </c>
      <c r="D4463" s="4">
        <v>45739.25041896991</v>
      </c>
      <c r="E4463" s="2">
        <v>3.28</v>
      </c>
      <c r="F4463" s="2">
        <v>63.9</v>
      </c>
      <c r="G4463" s="2" t="s">
        <v>983</v>
      </c>
      <c r="H4463" s="2" t="s">
        <v>984</v>
      </c>
      <c r="I4463" s="2"/>
      <c r="J4463" s="2" t="s">
        <v>43</v>
      </c>
    </row>
    <row r="4464" spans="1:10" ht="21" customHeight="1">
      <c r="A4464" s="2" t="s">
        <v>5463</v>
      </c>
      <c r="B4464" s="2" t="s">
        <v>43</v>
      </c>
      <c r="C4464" s="4">
        <v>45740.25</v>
      </c>
      <c r="D4464" s="4">
        <v>45740.250475208333</v>
      </c>
      <c r="E4464" s="2">
        <v>2.9</v>
      </c>
      <c r="F4464" s="2">
        <v>61</v>
      </c>
      <c r="G4464" s="2" t="s">
        <v>983</v>
      </c>
      <c r="H4464" s="2" t="s">
        <v>984</v>
      </c>
      <c r="I4464" s="2"/>
      <c r="J4464" s="2" t="s">
        <v>43</v>
      </c>
    </row>
    <row r="4465" spans="1:10" ht="21" customHeight="1">
      <c r="A4465" s="2" t="s">
        <v>5464</v>
      </c>
      <c r="B4465" s="2" t="s">
        <v>43</v>
      </c>
      <c r="C4465" s="4">
        <v>45741.25</v>
      </c>
      <c r="D4465" s="4">
        <v>45741.250458703704</v>
      </c>
      <c r="E4465" s="2">
        <v>2.58</v>
      </c>
      <c r="F4465" s="2">
        <v>63.5</v>
      </c>
      <c r="G4465" s="2" t="s">
        <v>983</v>
      </c>
      <c r="H4465" s="2" t="s">
        <v>984</v>
      </c>
      <c r="I4465" s="2"/>
      <c r="J4465" s="2" t="s">
        <v>43</v>
      </c>
    </row>
    <row r="4466" spans="1:10" ht="21" customHeight="1">
      <c r="A4466" s="2" t="s">
        <v>5465</v>
      </c>
      <c r="B4466" s="2" t="s">
        <v>43</v>
      </c>
      <c r="C4466" s="4">
        <v>45742.25</v>
      </c>
      <c r="D4466" s="4">
        <v>45742.250350277776</v>
      </c>
      <c r="E4466" s="2">
        <v>26.29</v>
      </c>
      <c r="F4466" s="2">
        <v>63.4</v>
      </c>
      <c r="G4466" s="2" t="s">
        <v>983</v>
      </c>
      <c r="H4466" s="2" t="s">
        <v>1022</v>
      </c>
      <c r="I4466" s="2"/>
      <c r="J4466" s="2" t="s">
        <v>43</v>
      </c>
    </row>
    <row r="4467" spans="1:10" ht="21" customHeight="1">
      <c r="A4467" s="2" t="s">
        <v>5466</v>
      </c>
      <c r="B4467" s="2" t="s">
        <v>43</v>
      </c>
      <c r="C4467" s="4">
        <v>45743.25</v>
      </c>
      <c r="D4467" s="4">
        <v>45743.250572986115</v>
      </c>
      <c r="E4467" s="2">
        <v>3.17</v>
      </c>
      <c r="F4467" s="2">
        <v>65.099999999999994</v>
      </c>
      <c r="G4467" s="2" t="s">
        <v>983</v>
      </c>
      <c r="H4467" s="2" t="s">
        <v>984</v>
      </c>
      <c r="I4467" s="2" t="s">
        <v>985</v>
      </c>
      <c r="J4467" s="2" t="s">
        <v>43</v>
      </c>
    </row>
    <row r="4468" spans="1:10" ht="21" customHeight="1">
      <c r="A4468" s="2" t="s">
        <v>5467</v>
      </c>
      <c r="B4468" s="2" t="s">
        <v>43</v>
      </c>
      <c r="C4468" s="4">
        <v>45744.25</v>
      </c>
      <c r="D4468" s="4">
        <v>45744.250422685189</v>
      </c>
      <c r="E4468" s="2">
        <v>2.4300000000000002</v>
      </c>
      <c r="F4468" s="2">
        <v>64</v>
      </c>
      <c r="G4468" s="2" t="s">
        <v>983</v>
      </c>
      <c r="H4468" s="2" t="s">
        <v>984</v>
      </c>
      <c r="I4468" s="2"/>
      <c r="J4468" s="2" t="s">
        <v>43</v>
      </c>
    </row>
    <row r="4469" spans="1:10" ht="21" customHeight="1">
      <c r="A4469" s="2" t="s">
        <v>5468</v>
      </c>
      <c r="B4469" s="2" t="s">
        <v>43</v>
      </c>
      <c r="C4469" s="4">
        <v>45745.25</v>
      </c>
      <c r="D4469" s="4">
        <v>45745.250413171292</v>
      </c>
      <c r="E4469" s="2">
        <v>3.16</v>
      </c>
      <c r="F4469" s="2">
        <v>66</v>
      </c>
      <c r="G4469" s="2" t="s">
        <v>983</v>
      </c>
      <c r="H4469" s="2" t="s">
        <v>984</v>
      </c>
      <c r="I4469" s="2"/>
      <c r="J4469" s="2" t="s">
        <v>43</v>
      </c>
    </row>
    <row r="4470" spans="1:10" ht="21" customHeight="1">
      <c r="A4470" s="2" t="s">
        <v>5469</v>
      </c>
      <c r="B4470" s="2" t="s">
        <v>43</v>
      </c>
      <c r="C4470" s="4">
        <v>45746.25</v>
      </c>
      <c r="D4470" s="4">
        <v>45746.250659456018</v>
      </c>
      <c r="E4470" s="2">
        <v>2.31</v>
      </c>
      <c r="F4470" s="2">
        <v>61.7</v>
      </c>
      <c r="G4470" s="2" t="s">
        <v>983</v>
      </c>
      <c r="H4470" s="2" t="s">
        <v>984</v>
      </c>
      <c r="I4470" s="2"/>
      <c r="J4470" s="2" t="s">
        <v>43</v>
      </c>
    </row>
    <row r="4471" spans="1:10" ht="21" customHeight="1">
      <c r="A4471" s="2" t="s">
        <v>5470</v>
      </c>
      <c r="B4471" s="2" t="s">
        <v>5388</v>
      </c>
      <c r="C4471" s="4">
        <v>45747.25</v>
      </c>
      <c r="D4471" s="4">
        <v>45747.250444074074</v>
      </c>
      <c r="E4471" s="2">
        <v>3.04</v>
      </c>
      <c r="F4471" s="2">
        <v>58.8</v>
      </c>
      <c r="G4471" s="2" t="s">
        <v>983</v>
      </c>
      <c r="H4471" s="2" t="s">
        <v>984</v>
      </c>
      <c r="I4471" s="2"/>
      <c r="J4471" s="2" t="s">
        <v>43</v>
      </c>
    </row>
    <row r="4472" spans="1:10" ht="21" customHeight="1">
      <c r="A4472" s="2" t="s">
        <v>5471</v>
      </c>
      <c r="B4472" s="2" t="s">
        <v>43</v>
      </c>
      <c r="C4472" s="4">
        <v>45748.25</v>
      </c>
      <c r="D4472" s="4">
        <v>45748.25062259259</v>
      </c>
      <c r="E4472" s="2">
        <v>3.1</v>
      </c>
      <c r="F4472" s="2">
        <v>58.9</v>
      </c>
      <c r="G4472" s="2" t="s">
        <v>983</v>
      </c>
      <c r="H4472" s="2" t="s">
        <v>984</v>
      </c>
      <c r="I4472" s="2"/>
      <c r="J4472" s="2" t="s">
        <v>43</v>
      </c>
    </row>
    <row r="4473" spans="1:10" ht="21" customHeight="1">
      <c r="A4473" s="2" t="s">
        <v>5472</v>
      </c>
      <c r="B4473" s="2" t="s">
        <v>43</v>
      </c>
      <c r="C4473" s="4">
        <v>45749.25</v>
      </c>
      <c r="D4473" s="4">
        <v>45749.250543703703</v>
      </c>
      <c r="E4473" s="2">
        <v>2.5099999999999998</v>
      </c>
      <c r="F4473" s="2">
        <v>64.3</v>
      </c>
      <c r="G4473" s="2" t="s">
        <v>983</v>
      </c>
      <c r="H4473" s="2" t="s">
        <v>984</v>
      </c>
      <c r="I4473" s="2"/>
      <c r="J4473" s="2" t="s">
        <v>43</v>
      </c>
    </row>
    <row r="4474" spans="1:10" ht="21" customHeight="1">
      <c r="A4474" s="2" t="s">
        <v>5473</v>
      </c>
      <c r="B4474" s="2" t="s">
        <v>43</v>
      </c>
      <c r="C4474" s="4">
        <v>45750.25</v>
      </c>
      <c r="D4474" s="4">
        <v>45750.250140034725</v>
      </c>
      <c r="E4474" s="2">
        <v>2.8</v>
      </c>
      <c r="F4474" s="2">
        <v>64.2</v>
      </c>
      <c r="G4474" s="2" t="s">
        <v>983</v>
      </c>
      <c r="H4474" s="2" t="s">
        <v>984</v>
      </c>
      <c r="I4474" s="2"/>
      <c r="J4474" s="2" t="s">
        <v>43</v>
      </c>
    </row>
    <row r="4475" spans="1:10" ht="21" customHeight="1">
      <c r="A4475" s="2" t="s">
        <v>5474</v>
      </c>
      <c r="B4475" s="2" t="s">
        <v>43</v>
      </c>
      <c r="C4475" s="4">
        <v>45751.25</v>
      </c>
      <c r="D4475" s="4">
        <v>45751.250471215273</v>
      </c>
      <c r="E4475" s="2">
        <v>3.21</v>
      </c>
      <c r="F4475" s="2">
        <v>60</v>
      </c>
      <c r="G4475" s="2" t="s">
        <v>983</v>
      </c>
      <c r="H4475" s="2" t="s">
        <v>984</v>
      </c>
      <c r="I4475" s="2"/>
      <c r="J4475" s="2" t="s">
        <v>43</v>
      </c>
    </row>
    <row r="4476" spans="1:10" ht="21" customHeight="1">
      <c r="A4476" s="2" t="s">
        <v>5475</v>
      </c>
      <c r="B4476" s="2" t="s">
        <v>43</v>
      </c>
      <c r="C4476" s="4">
        <v>45752.25</v>
      </c>
      <c r="D4476" s="4">
        <v>45752.250690578701</v>
      </c>
      <c r="E4476" s="2">
        <v>3.23</v>
      </c>
      <c r="F4476" s="2">
        <v>59.6</v>
      </c>
      <c r="G4476" s="2" t="s">
        <v>983</v>
      </c>
      <c r="H4476" s="2" t="s">
        <v>984</v>
      </c>
      <c r="I4476" s="2"/>
      <c r="J4476" s="2" t="s">
        <v>43</v>
      </c>
    </row>
    <row r="4477" spans="1:10" ht="21" customHeight="1">
      <c r="A4477" s="2" t="s">
        <v>5476</v>
      </c>
      <c r="B4477" s="2" t="s">
        <v>43</v>
      </c>
      <c r="C4477" s="4">
        <v>45753.25</v>
      </c>
      <c r="D4477" s="4">
        <v>45753.250617754631</v>
      </c>
      <c r="E4477" s="2">
        <v>3.07</v>
      </c>
      <c r="F4477" s="2">
        <v>62.2</v>
      </c>
      <c r="G4477" s="2" t="s">
        <v>983</v>
      </c>
      <c r="H4477" s="2" t="s">
        <v>984</v>
      </c>
      <c r="I4477" s="2"/>
      <c r="J4477" s="2" t="s">
        <v>43</v>
      </c>
    </row>
    <row r="4478" spans="1:10" ht="21" customHeight="1">
      <c r="A4478" s="2" t="s">
        <v>5477</v>
      </c>
      <c r="B4478" s="2" t="s">
        <v>43</v>
      </c>
      <c r="C4478" s="4">
        <v>45754.25</v>
      </c>
      <c r="D4478" s="4">
        <v>45754.250578321764</v>
      </c>
      <c r="E4478" s="2">
        <v>2.96</v>
      </c>
      <c r="F4478" s="2">
        <v>63.5</v>
      </c>
      <c r="G4478" s="2" t="s">
        <v>983</v>
      </c>
      <c r="H4478" s="2" t="s">
        <v>984</v>
      </c>
      <c r="I4478" s="2"/>
      <c r="J4478" s="2" t="s">
        <v>43</v>
      </c>
    </row>
    <row r="4479" spans="1:10" ht="21" customHeight="1">
      <c r="A4479" s="2" t="s">
        <v>5478</v>
      </c>
      <c r="B4479" s="2" t="s">
        <v>43</v>
      </c>
      <c r="C4479" s="4">
        <v>45755.25</v>
      </c>
      <c r="D4479" s="4">
        <v>45755.25005396991</v>
      </c>
      <c r="E4479" s="2">
        <v>3.24</v>
      </c>
      <c r="F4479" s="2">
        <v>63.8</v>
      </c>
      <c r="G4479" s="2" t="s">
        <v>983</v>
      </c>
      <c r="H4479" s="2" t="s">
        <v>984</v>
      </c>
      <c r="I4479" s="2"/>
      <c r="J4479" s="2" t="s">
        <v>43</v>
      </c>
    </row>
    <row r="4480" spans="1:10" ht="21" customHeight="1">
      <c r="A4480" s="2" t="s">
        <v>5479</v>
      </c>
      <c r="B4480" s="2" t="s">
        <v>43</v>
      </c>
      <c r="C4480" s="4">
        <v>45756.25</v>
      </c>
      <c r="D4480" s="4">
        <v>45756.250251874997</v>
      </c>
      <c r="E4480" s="2">
        <v>2.61</v>
      </c>
      <c r="F4480" s="2">
        <v>65.8</v>
      </c>
      <c r="G4480" s="2" t="s">
        <v>983</v>
      </c>
      <c r="H4480" s="2" t="s">
        <v>984</v>
      </c>
      <c r="I4480" s="2"/>
      <c r="J4480" s="2" t="s">
        <v>43</v>
      </c>
    </row>
    <row r="4481" spans="1:10" ht="21" customHeight="1">
      <c r="A4481" s="2" t="s">
        <v>5480</v>
      </c>
      <c r="B4481" s="2" t="s">
        <v>43</v>
      </c>
      <c r="C4481" s="4">
        <v>45757.25</v>
      </c>
      <c r="D4481" s="4">
        <v>45757.250543414353</v>
      </c>
      <c r="E4481" s="2">
        <v>2.2200000000000002</v>
      </c>
      <c r="F4481" s="2">
        <v>65.5</v>
      </c>
      <c r="G4481" s="2" t="s">
        <v>983</v>
      </c>
      <c r="H4481" s="2" t="s">
        <v>984</v>
      </c>
      <c r="I4481" s="2"/>
      <c r="J4481" s="2" t="s">
        <v>43</v>
      </c>
    </row>
    <row r="4482" spans="1:10" ht="21" customHeight="1">
      <c r="A4482" s="2" t="s">
        <v>5481</v>
      </c>
      <c r="B4482" s="2" t="s">
        <v>43</v>
      </c>
      <c r="C4482" s="4">
        <v>45758.25</v>
      </c>
      <c r="D4482" s="4">
        <v>45758.250589432871</v>
      </c>
      <c r="E4482" s="2">
        <v>2.5</v>
      </c>
      <c r="F4482" s="2">
        <v>58.7</v>
      </c>
      <c r="G4482" s="2" t="s">
        <v>983</v>
      </c>
      <c r="H4482" s="2" t="s">
        <v>984</v>
      </c>
      <c r="I4482" s="2"/>
      <c r="J4482" s="2" t="s">
        <v>43</v>
      </c>
    </row>
    <row r="4483" spans="1:10" ht="21" customHeight="1">
      <c r="A4483" s="2" t="s">
        <v>5482</v>
      </c>
      <c r="B4483" s="2" t="s">
        <v>43</v>
      </c>
      <c r="C4483" s="4">
        <v>45759.25</v>
      </c>
      <c r="D4483" s="4">
        <v>45759.250335891207</v>
      </c>
      <c r="E4483" s="2">
        <v>2.88</v>
      </c>
      <c r="F4483" s="2">
        <v>62.4</v>
      </c>
      <c r="G4483" s="2" t="s">
        <v>983</v>
      </c>
      <c r="H4483" s="2" t="s">
        <v>984</v>
      </c>
      <c r="I4483" s="2"/>
      <c r="J4483" s="2" t="s">
        <v>43</v>
      </c>
    </row>
    <row r="4484" spans="1:10" ht="21" customHeight="1">
      <c r="A4484" s="2" t="s">
        <v>5483</v>
      </c>
      <c r="B4484" s="2" t="s">
        <v>43</v>
      </c>
      <c r="C4484" s="4">
        <v>45760.25</v>
      </c>
      <c r="D4484" s="4">
        <v>45760.250127291671</v>
      </c>
      <c r="E4484" s="2">
        <v>2.52</v>
      </c>
      <c r="F4484" s="2">
        <v>65.7</v>
      </c>
      <c r="G4484" s="2" t="s">
        <v>983</v>
      </c>
      <c r="H4484" s="2" t="s">
        <v>984</v>
      </c>
      <c r="I4484" s="2" t="s">
        <v>985</v>
      </c>
      <c r="J4484" s="2" t="s">
        <v>43</v>
      </c>
    </row>
    <row r="4485" spans="1:10" ht="21" customHeight="1">
      <c r="A4485" s="2" t="s">
        <v>5484</v>
      </c>
      <c r="B4485" s="2" t="s">
        <v>43</v>
      </c>
      <c r="C4485" s="4">
        <v>45761.25</v>
      </c>
      <c r="D4485" s="4">
        <v>45761.250484826392</v>
      </c>
      <c r="E4485" s="2">
        <v>2.87</v>
      </c>
      <c r="F4485" s="2">
        <v>65.2</v>
      </c>
      <c r="G4485" s="2" t="s">
        <v>983</v>
      </c>
      <c r="H4485" s="2" t="s">
        <v>984</v>
      </c>
      <c r="I4485" s="2"/>
      <c r="J4485" s="2" t="s">
        <v>43</v>
      </c>
    </row>
    <row r="4486" spans="1:10" ht="21" customHeight="1">
      <c r="A4486" s="2" t="s">
        <v>5485</v>
      </c>
      <c r="B4486" s="2" t="s">
        <v>43</v>
      </c>
      <c r="C4486" s="4">
        <v>45762.25</v>
      </c>
      <c r="D4486" s="4">
        <v>45762.250362025465</v>
      </c>
      <c r="E4486" s="2">
        <v>2.29</v>
      </c>
      <c r="F4486" s="2">
        <v>65.400000000000006</v>
      </c>
      <c r="G4486" s="2" t="s">
        <v>983</v>
      </c>
      <c r="H4486" s="2" t="s">
        <v>984</v>
      </c>
      <c r="I4486" s="2"/>
      <c r="J4486" s="2" t="s">
        <v>43</v>
      </c>
    </row>
    <row r="4487" spans="1:10" ht="21" customHeight="1">
      <c r="A4487" s="2" t="s">
        <v>5486</v>
      </c>
      <c r="B4487" s="2" t="s">
        <v>43</v>
      </c>
      <c r="C4487" s="4">
        <v>45763.25</v>
      </c>
      <c r="D4487" s="4">
        <v>45763.250060324077</v>
      </c>
      <c r="E4487" s="2">
        <v>3.16</v>
      </c>
      <c r="F4487" s="2">
        <v>59.3</v>
      </c>
      <c r="G4487" s="2" t="s">
        <v>983</v>
      </c>
      <c r="H4487" s="2" t="s">
        <v>984</v>
      </c>
      <c r="I4487" s="2"/>
      <c r="J4487" s="2" t="s">
        <v>43</v>
      </c>
    </row>
    <row r="4488" spans="1:10" ht="21" customHeight="1">
      <c r="A4488" s="2" t="s">
        <v>5487</v>
      </c>
      <c r="B4488" s="2" t="s">
        <v>43</v>
      </c>
      <c r="C4488" s="4">
        <v>45764.25</v>
      </c>
      <c r="D4488" s="4">
        <v>45764.250338564816</v>
      </c>
      <c r="E4488" s="2">
        <v>3.19</v>
      </c>
      <c r="F4488" s="2">
        <v>63.7</v>
      </c>
      <c r="G4488" s="2" t="s">
        <v>983</v>
      </c>
      <c r="H4488" s="2" t="s">
        <v>984</v>
      </c>
      <c r="I4488" s="2"/>
      <c r="J4488" s="2" t="s">
        <v>43</v>
      </c>
    </row>
    <row r="4489" spans="1:10" ht="21" customHeight="1">
      <c r="A4489" s="2" t="s">
        <v>5488</v>
      </c>
      <c r="B4489" s="2" t="s">
        <v>43</v>
      </c>
      <c r="C4489" s="4">
        <v>45765.25</v>
      </c>
      <c r="D4489" s="4">
        <v>45765.250518738423</v>
      </c>
      <c r="E4489" s="2">
        <v>3</v>
      </c>
      <c r="F4489" s="2">
        <v>61.7</v>
      </c>
      <c r="G4489" s="2" t="s">
        <v>983</v>
      </c>
      <c r="H4489" s="2" t="s">
        <v>984</v>
      </c>
      <c r="I4489" s="2"/>
      <c r="J4489" s="2" t="s">
        <v>43</v>
      </c>
    </row>
    <row r="4490" spans="1:10" ht="21" customHeight="1">
      <c r="A4490" s="2" t="s">
        <v>5489</v>
      </c>
      <c r="B4490" s="2" t="s">
        <v>43</v>
      </c>
      <c r="C4490" s="4">
        <v>45766.25</v>
      </c>
      <c r="D4490" s="4">
        <v>45766.250359745369</v>
      </c>
      <c r="E4490" s="2">
        <v>2.4</v>
      </c>
      <c r="F4490" s="2">
        <v>61.6</v>
      </c>
      <c r="G4490" s="2" t="s">
        <v>983</v>
      </c>
      <c r="H4490" s="2" t="s">
        <v>984</v>
      </c>
      <c r="I4490" s="2"/>
      <c r="J4490" s="2" t="s">
        <v>43</v>
      </c>
    </row>
    <row r="4491" spans="1:10" ht="21" customHeight="1">
      <c r="A4491" s="2" t="s">
        <v>5490</v>
      </c>
      <c r="B4491" s="2" t="s">
        <v>43</v>
      </c>
      <c r="C4491" s="4">
        <v>45767.25</v>
      </c>
      <c r="D4491" s="4">
        <v>45767.250245694449</v>
      </c>
      <c r="E4491" s="2">
        <v>3.01</v>
      </c>
      <c r="F4491" s="2">
        <v>58.9</v>
      </c>
      <c r="G4491" s="2" t="s">
        <v>983</v>
      </c>
      <c r="H4491" s="2" t="s">
        <v>984</v>
      </c>
      <c r="I4491" s="2"/>
      <c r="J4491" s="2" t="s">
        <v>43</v>
      </c>
    </row>
    <row r="4492" spans="1:10" ht="21" customHeight="1">
      <c r="A4492" s="2" t="s">
        <v>5491</v>
      </c>
      <c r="B4492" s="2" t="s">
        <v>43</v>
      </c>
      <c r="C4492" s="4">
        <v>45768.25</v>
      </c>
      <c r="D4492" s="4">
        <v>45768.250279166663</v>
      </c>
      <c r="E4492" s="2">
        <v>2.91</v>
      </c>
      <c r="F4492" s="2">
        <v>58.5</v>
      </c>
      <c r="G4492" s="2" t="s">
        <v>983</v>
      </c>
      <c r="H4492" s="2" t="s">
        <v>984</v>
      </c>
      <c r="I4492" s="2"/>
      <c r="J4492" s="2" t="s">
        <v>43</v>
      </c>
    </row>
    <row r="4493" spans="1:10" ht="21" customHeight="1">
      <c r="A4493" s="2" t="s">
        <v>5492</v>
      </c>
      <c r="B4493" s="2" t="s">
        <v>43</v>
      </c>
      <c r="C4493" s="4">
        <v>45769.25</v>
      </c>
      <c r="D4493" s="4">
        <v>45769.250283553236</v>
      </c>
      <c r="E4493" s="2">
        <v>3.14</v>
      </c>
      <c r="F4493" s="2">
        <v>58.1</v>
      </c>
      <c r="G4493" s="2" t="s">
        <v>983</v>
      </c>
      <c r="H4493" s="2" t="s">
        <v>984</v>
      </c>
      <c r="I4493" s="2"/>
      <c r="J4493" s="2" t="s">
        <v>43</v>
      </c>
    </row>
    <row r="4494" spans="1:10" ht="21" customHeight="1">
      <c r="A4494" s="2" t="s">
        <v>5493</v>
      </c>
      <c r="B4494" s="2" t="s">
        <v>43</v>
      </c>
      <c r="C4494" s="4">
        <v>45770.25</v>
      </c>
      <c r="D4494" s="4">
        <v>45770.250023472225</v>
      </c>
      <c r="E4494" s="2">
        <v>0</v>
      </c>
      <c r="F4494" s="2">
        <v>60.2</v>
      </c>
      <c r="G4494" s="2" t="s">
        <v>1175</v>
      </c>
      <c r="H4494" s="2" t="s">
        <v>984</v>
      </c>
      <c r="I4494" s="2"/>
      <c r="J4494" s="2" t="s">
        <v>43</v>
      </c>
    </row>
    <row r="4495" spans="1:10" ht="21" customHeight="1">
      <c r="A4495" s="2" t="s">
        <v>5494</v>
      </c>
      <c r="B4495" s="2" t="s">
        <v>43</v>
      </c>
      <c r="C4495" s="4">
        <v>45771.25</v>
      </c>
      <c r="D4495" s="4">
        <v>45771.250590578704</v>
      </c>
      <c r="E4495" s="2">
        <v>3.25</v>
      </c>
      <c r="F4495" s="2">
        <v>60.8</v>
      </c>
      <c r="G4495" s="2" t="s">
        <v>983</v>
      </c>
      <c r="H4495" s="2" t="s">
        <v>984</v>
      </c>
      <c r="I4495" s="2"/>
      <c r="J4495" s="2" t="s">
        <v>43</v>
      </c>
    </row>
    <row r="4496" spans="1:10" ht="21" customHeight="1">
      <c r="A4496" s="2" t="s">
        <v>5495</v>
      </c>
      <c r="B4496" s="2" t="s">
        <v>43</v>
      </c>
      <c r="C4496" s="4">
        <v>45772.25</v>
      </c>
      <c r="D4496" s="4">
        <v>45772.25058388889</v>
      </c>
      <c r="E4496" s="2">
        <v>2.2999999999999998</v>
      </c>
      <c r="F4496" s="2">
        <v>62.3</v>
      </c>
      <c r="G4496" s="2" t="s">
        <v>983</v>
      </c>
      <c r="H4496" s="2" t="s">
        <v>984</v>
      </c>
      <c r="I4496" s="2"/>
      <c r="J4496" s="2" t="s">
        <v>43</v>
      </c>
    </row>
    <row r="4497" spans="1:10" ht="21" customHeight="1">
      <c r="A4497" s="2" t="s">
        <v>5496</v>
      </c>
      <c r="B4497" s="2" t="s">
        <v>43</v>
      </c>
      <c r="C4497" s="4">
        <v>45773.25</v>
      </c>
      <c r="D4497" s="4">
        <v>45773.250367974542</v>
      </c>
      <c r="E4497" s="2">
        <v>2.38</v>
      </c>
      <c r="F4497" s="2">
        <v>62.1</v>
      </c>
      <c r="G4497" s="2" t="s">
        <v>983</v>
      </c>
      <c r="H4497" s="2" t="s">
        <v>984</v>
      </c>
      <c r="I4497" s="2"/>
      <c r="J4497" s="2" t="s">
        <v>43</v>
      </c>
    </row>
    <row r="4498" spans="1:10" ht="21" customHeight="1">
      <c r="A4498" s="2" t="s">
        <v>5497</v>
      </c>
      <c r="B4498" s="2" t="s">
        <v>43</v>
      </c>
      <c r="C4498" s="4">
        <v>45774.25</v>
      </c>
      <c r="D4498" s="4">
        <v>45774.250608298607</v>
      </c>
      <c r="E4498" s="2">
        <v>2.93</v>
      </c>
      <c r="F4498" s="2">
        <v>60.3</v>
      </c>
      <c r="G4498" s="2" t="s">
        <v>983</v>
      </c>
      <c r="H4498" s="2" t="s">
        <v>984</v>
      </c>
      <c r="I4498" s="2"/>
      <c r="J4498" s="2" t="s">
        <v>43</v>
      </c>
    </row>
    <row r="4499" spans="1:10" ht="21" customHeight="1">
      <c r="A4499" s="2" t="s">
        <v>5498</v>
      </c>
      <c r="B4499" s="2" t="s">
        <v>43</v>
      </c>
      <c r="C4499" s="4">
        <v>45775.25</v>
      </c>
      <c r="D4499" s="4">
        <v>45775.250553460646</v>
      </c>
      <c r="E4499" s="2">
        <v>2.5299999999999998</v>
      </c>
      <c r="F4499" s="2">
        <v>59.9</v>
      </c>
      <c r="G4499" s="2" t="s">
        <v>983</v>
      </c>
      <c r="H4499" s="2" t="s">
        <v>984</v>
      </c>
      <c r="I4499" s="2"/>
      <c r="J4499" s="2" t="s">
        <v>43</v>
      </c>
    </row>
    <row r="4500" spans="1:10" ht="21" customHeight="1">
      <c r="A4500" s="2" t="s">
        <v>5499</v>
      </c>
      <c r="B4500" s="2" t="s">
        <v>43</v>
      </c>
      <c r="C4500" s="4">
        <v>45776.25</v>
      </c>
      <c r="D4500" s="4">
        <v>45776.250154224537</v>
      </c>
      <c r="E4500" s="2">
        <v>2.14</v>
      </c>
      <c r="F4500" s="2">
        <v>58.9</v>
      </c>
      <c r="G4500" s="2" t="s">
        <v>983</v>
      </c>
      <c r="H4500" s="2" t="s">
        <v>984</v>
      </c>
      <c r="I4500" s="2"/>
      <c r="J4500" s="2" t="s">
        <v>43</v>
      </c>
    </row>
    <row r="4501" spans="1:10" ht="21" customHeight="1">
      <c r="A4501" s="2" t="s">
        <v>5500</v>
      </c>
      <c r="B4501" s="2" t="s">
        <v>43</v>
      </c>
      <c r="C4501" s="4">
        <v>45777.25</v>
      </c>
      <c r="D4501" s="4">
        <v>45777.250415196759</v>
      </c>
      <c r="E4501" s="2">
        <v>2.93</v>
      </c>
      <c r="F4501" s="2">
        <v>64</v>
      </c>
      <c r="G4501" s="2" t="s">
        <v>983</v>
      </c>
      <c r="H4501" s="2" t="s">
        <v>984</v>
      </c>
      <c r="I4501" s="2" t="s">
        <v>985</v>
      </c>
      <c r="J4501" s="2" t="s">
        <v>43</v>
      </c>
    </row>
    <row r="4502" spans="1:10" ht="21" customHeight="1">
      <c r="A4502" s="2" t="s">
        <v>5501</v>
      </c>
      <c r="B4502" s="2" t="s">
        <v>43</v>
      </c>
      <c r="C4502" s="4">
        <v>45778.25</v>
      </c>
      <c r="D4502" s="4">
        <v>45778.250490798615</v>
      </c>
      <c r="E4502" s="2">
        <v>2.95</v>
      </c>
      <c r="F4502" s="2">
        <v>59.8</v>
      </c>
      <c r="G4502" s="2" t="s">
        <v>983</v>
      </c>
      <c r="H4502" s="2" t="s">
        <v>984</v>
      </c>
      <c r="I4502" s="2"/>
      <c r="J4502" s="2" t="s">
        <v>43</v>
      </c>
    </row>
    <row r="4503" spans="1:10" ht="21" customHeight="1">
      <c r="A4503" s="2" t="s">
        <v>5502</v>
      </c>
      <c r="B4503" s="2" t="s">
        <v>43</v>
      </c>
      <c r="C4503" s="4">
        <v>45779.25</v>
      </c>
      <c r="D4503" s="4">
        <v>45779.250169872685</v>
      </c>
      <c r="E4503" s="2">
        <v>2.34</v>
      </c>
      <c r="F4503" s="2">
        <v>61.8</v>
      </c>
      <c r="G4503" s="2" t="s">
        <v>983</v>
      </c>
      <c r="H4503" s="2" t="s">
        <v>984</v>
      </c>
      <c r="I4503" s="2"/>
      <c r="J4503" s="2" t="s">
        <v>43</v>
      </c>
    </row>
    <row r="4504" spans="1:10" ht="21" customHeight="1">
      <c r="A4504" s="2" t="s">
        <v>5503</v>
      </c>
      <c r="B4504" s="2" t="s">
        <v>43</v>
      </c>
      <c r="C4504" s="4">
        <v>45780.25</v>
      </c>
      <c r="D4504" s="4">
        <v>45780.250025891204</v>
      </c>
      <c r="E4504" s="2">
        <v>2.54</v>
      </c>
      <c r="F4504" s="2">
        <v>59.6</v>
      </c>
      <c r="G4504" s="2" t="s">
        <v>983</v>
      </c>
      <c r="H4504" s="2" t="s">
        <v>984</v>
      </c>
      <c r="I4504" s="2"/>
      <c r="J4504" s="2" t="s">
        <v>43</v>
      </c>
    </row>
    <row r="4505" spans="1:10" ht="21" customHeight="1">
      <c r="A4505" s="2" t="s">
        <v>5504</v>
      </c>
      <c r="B4505" s="2" t="s">
        <v>43</v>
      </c>
      <c r="C4505" s="4">
        <v>45781.25</v>
      </c>
      <c r="D4505" s="4">
        <v>45781.250203622687</v>
      </c>
      <c r="E4505" s="2">
        <v>2.74</v>
      </c>
      <c r="F4505" s="2">
        <v>59.2</v>
      </c>
      <c r="G4505" s="2" t="s">
        <v>983</v>
      </c>
      <c r="H4505" s="2" t="s">
        <v>984</v>
      </c>
      <c r="I4505" s="2"/>
      <c r="J4505" s="2" t="s">
        <v>43</v>
      </c>
    </row>
    <row r="4506" spans="1:10" ht="21" customHeight="1">
      <c r="A4506" s="2" t="s">
        <v>5505</v>
      </c>
      <c r="B4506" s="2" t="s">
        <v>43</v>
      </c>
      <c r="C4506" s="4">
        <v>45782.25</v>
      </c>
      <c r="D4506" s="4">
        <v>45782.250622407402</v>
      </c>
      <c r="E4506" s="2">
        <v>3.11</v>
      </c>
      <c r="F4506" s="2">
        <v>62.2</v>
      </c>
      <c r="G4506" s="2" t="s">
        <v>983</v>
      </c>
      <c r="H4506" s="2" t="s">
        <v>984</v>
      </c>
      <c r="I4506" s="2"/>
      <c r="J4506" s="2" t="s">
        <v>43</v>
      </c>
    </row>
    <row r="4507" spans="1:10" ht="21" customHeight="1">
      <c r="A4507" s="2" t="s">
        <v>5506</v>
      </c>
      <c r="B4507" s="2" t="s">
        <v>43</v>
      </c>
      <c r="C4507" s="4">
        <v>45783.25</v>
      </c>
      <c r="D4507" s="4">
        <v>45783.250010451389</v>
      </c>
      <c r="E4507" s="2">
        <v>2.56</v>
      </c>
      <c r="F4507" s="2">
        <v>61.2</v>
      </c>
      <c r="G4507" s="2" t="s">
        <v>983</v>
      </c>
      <c r="H4507" s="2" t="s">
        <v>984</v>
      </c>
      <c r="I4507" s="2"/>
      <c r="J4507" s="2" t="s">
        <v>43</v>
      </c>
    </row>
    <row r="4508" spans="1:10" ht="21" customHeight="1">
      <c r="A4508" s="2" t="s">
        <v>5507</v>
      </c>
      <c r="B4508" s="2" t="s">
        <v>43</v>
      </c>
      <c r="C4508" s="4">
        <v>45784.25</v>
      </c>
      <c r="D4508" s="4">
        <v>45784.250243657407</v>
      </c>
      <c r="E4508" s="2">
        <v>3.23</v>
      </c>
      <c r="F4508" s="2">
        <v>64.900000000000006</v>
      </c>
      <c r="G4508" s="2" t="s">
        <v>983</v>
      </c>
      <c r="H4508" s="2" t="s">
        <v>984</v>
      </c>
      <c r="I4508" s="2"/>
      <c r="J4508" s="2" t="s">
        <v>43</v>
      </c>
    </row>
    <row r="4509" spans="1:10" ht="21" customHeight="1">
      <c r="A4509" s="2" t="s">
        <v>5508</v>
      </c>
      <c r="B4509" s="2" t="s">
        <v>43</v>
      </c>
      <c r="C4509" s="4">
        <v>45785.25</v>
      </c>
      <c r="D4509" s="4">
        <v>45785.250416261573</v>
      </c>
      <c r="E4509" s="2">
        <v>2.94</v>
      </c>
      <c r="F4509" s="2">
        <v>65</v>
      </c>
      <c r="G4509" s="2" t="s">
        <v>983</v>
      </c>
      <c r="H4509" s="2" t="s">
        <v>984</v>
      </c>
      <c r="I4509" s="2"/>
      <c r="J4509" s="2" t="s">
        <v>43</v>
      </c>
    </row>
    <row r="4510" spans="1:10" ht="21" customHeight="1">
      <c r="A4510" s="2" t="s">
        <v>5509</v>
      </c>
      <c r="B4510" s="2" t="s">
        <v>43</v>
      </c>
      <c r="C4510" s="4">
        <v>45786.25</v>
      </c>
      <c r="D4510" s="4">
        <v>45786.250478263886</v>
      </c>
      <c r="E4510" s="2">
        <v>3.05</v>
      </c>
      <c r="F4510" s="2">
        <v>64</v>
      </c>
      <c r="G4510" s="2" t="s">
        <v>983</v>
      </c>
      <c r="H4510" s="2" t="s">
        <v>984</v>
      </c>
      <c r="I4510" s="2"/>
      <c r="J4510" s="2" t="s">
        <v>43</v>
      </c>
    </row>
    <row r="4511" spans="1:10" ht="21" customHeight="1">
      <c r="A4511" s="2" t="s">
        <v>5510</v>
      </c>
      <c r="B4511" s="2" t="s">
        <v>43</v>
      </c>
      <c r="C4511" s="4">
        <v>45787.25</v>
      </c>
      <c r="D4511" s="4">
        <v>45787.250550937504</v>
      </c>
      <c r="E4511" s="2">
        <v>3.07</v>
      </c>
      <c r="F4511" s="2">
        <v>63</v>
      </c>
      <c r="G4511" s="2" t="s">
        <v>983</v>
      </c>
      <c r="H4511" s="2" t="s">
        <v>984</v>
      </c>
      <c r="I4511" s="2"/>
      <c r="J4511" s="2" t="s">
        <v>43</v>
      </c>
    </row>
    <row r="4512" spans="1:10" ht="21" customHeight="1">
      <c r="A4512" s="2" t="s">
        <v>5511</v>
      </c>
      <c r="B4512" s="2" t="s">
        <v>5388</v>
      </c>
      <c r="C4512" s="4">
        <v>45788.25</v>
      </c>
      <c r="D4512" s="4">
        <v>45788.250388194443</v>
      </c>
      <c r="E4512" s="2">
        <v>2.48</v>
      </c>
      <c r="F4512" s="2">
        <v>59.8</v>
      </c>
      <c r="G4512" s="2" t="s">
        <v>983</v>
      </c>
      <c r="H4512" s="2" t="s">
        <v>984</v>
      </c>
      <c r="I4512" s="2"/>
      <c r="J4512" s="2" t="s">
        <v>43</v>
      </c>
    </row>
    <row r="4513" spans="1:10" ht="21" customHeight="1">
      <c r="A4513" s="2" t="s">
        <v>5512</v>
      </c>
      <c r="B4513" s="2" t="s">
        <v>43</v>
      </c>
      <c r="C4513" s="4">
        <v>45789.25</v>
      </c>
      <c r="D4513" s="4">
        <v>45789.250679212964</v>
      </c>
      <c r="E4513" s="2">
        <v>2.86</v>
      </c>
      <c r="F4513" s="2">
        <v>64.3</v>
      </c>
      <c r="G4513" s="2" t="s">
        <v>983</v>
      </c>
      <c r="H4513" s="2" t="s">
        <v>984</v>
      </c>
      <c r="I4513" s="2"/>
      <c r="J4513" s="2" t="s">
        <v>43</v>
      </c>
    </row>
    <row r="4514" spans="1:10" ht="21" customHeight="1">
      <c r="A4514" s="2" t="s">
        <v>5513</v>
      </c>
      <c r="B4514" s="2" t="s">
        <v>43</v>
      </c>
      <c r="C4514" s="4">
        <v>45790.25</v>
      </c>
      <c r="D4514" s="4">
        <v>45790.250441168981</v>
      </c>
      <c r="E4514" s="2">
        <v>2.4</v>
      </c>
      <c r="F4514" s="2">
        <v>63.4</v>
      </c>
      <c r="G4514" s="2" t="s">
        <v>983</v>
      </c>
      <c r="H4514" s="2" t="s">
        <v>984</v>
      </c>
      <c r="I4514" s="2"/>
      <c r="J4514" s="2" t="s">
        <v>43</v>
      </c>
    </row>
    <row r="4515" spans="1:10" ht="21" customHeight="1">
      <c r="A4515" s="2" t="s">
        <v>5514</v>
      </c>
      <c r="B4515" s="2" t="s">
        <v>43</v>
      </c>
      <c r="C4515" s="4">
        <v>45791.25</v>
      </c>
      <c r="D4515" s="4">
        <v>45791.250010254633</v>
      </c>
      <c r="E4515" s="2">
        <v>2.9</v>
      </c>
      <c r="F4515" s="2">
        <v>64.099999999999994</v>
      </c>
      <c r="G4515" s="2" t="s">
        <v>983</v>
      </c>
      <c r="H4515" s="2" t="s">
        <v>984</v>
      </c>
      <c r="I4515" s="2"/>
      <c r="J4515" s="2" t="s">
        <v>43</v>
      </c>
    </row>
    <row r="4516" spans="1:10" ht="21" customHeight="1">
      <c r="A4516" s="2" t="s">
        <v>5515</v>
      </c>
      <c r="B4516" s="2" t="s">
        <v>43</v>
      </c>
      <c r="C4516" s="4">
        <v>45792.25</v>
      </c>
      <c r="D4516" s="4">
        <v>45792.250684027778</v>
      </c>
      <c r="E4516" s="2">
        <v>2.29</v>
      </c>
      <c r="F4516" s="2">
        <v>64.5</v>
      </c>
      <c r="G4516" s="2" t="s">
        <v>983</v>
      </c>
      <c r="H4516" s="2" t="s">
        <v>984</v>
      </c>
      <c r="I4516" s="2"/>
      <c r="J4516" s="2" t="s">
        <v>43</v>
      </c>
    </row>
    <row r="4517" spans="1:10" ht="21" customHeight="1">
      <c r="A4517" s="2" t="s">
        <v>5516</v>
      </c>
      <c r="B4517" s="2" t="s">
        <v>43</v>
      </c>
      <c r="C4517" s="4">
        <v>45793.25</v>
      </c>
      <c r="D4517" s="4">
        <v>45793.250261863424</v>
      </c>
      <c r="E4517" s="2">
        <v>2.86</v>
      </c>
      <c r="F4517" s="2">
        <v>64.099999999999994</v>
      </c>
      <c r="G4517" s="2" t="s">
        <v>983</v>
      </c>
      <c r="H4517" s="2" t="s">
        <v>984</v>
      </c>
      <c r="I4517" s="2"/>
      <c r="J4517" s="2" t="s">
        <v>43</v>
      </c>
    </row>
    <row r="4518" spans="1:10" ht="21" customHeight="1">
      <c r="A4518" s="2" t="s">
        <v>5517</v>
      </c>
      <c r="B4518" s="2" t="s">
        <v>43</v>
      </c>
      <c r="C4518" s="4">
        <v>45794.25</v>
      </c>
      <c r="D4518" s="4">
        <v>45794.25034510417</v>
      </c>
      <c r="E4518" s="2">
        <v>2.48</v>
      </c>
      <c r="F4518" s="2">
        <v>65.599999999999994</v>
      </c>
      <c r="G4518" s="2" t="s">
        <v>983</v>
      </c>
      <c r="H4518" s="2" t="s">
        <v>984</v>
      </c>
      <c r="I4518" s="2" t="s">
        <v>985</v>
      </c>
      <c r="J4518" s="2" t="s">
        <v>43</v>
      </c>
    </row>
    <row r="4519" spans="1:10" ht="21" customHeight="1">
      <c r="A4519" s="2" t="s">
        <v>5518</v>
      </c>
      <c r="B4519" s="2" t="s">
        <v>43</v>
      </c>
      <c r="C4519" s="4">
        <v>45795.25</v>
      </c>
      <c r="D4519" s="4">
        <v>45795.250302754634</v>
      </c>
      <c r="E4519" s="2">
        <v>2.39</v>
      </c>
      <c r="F4519" s="2">
        <v>64</v>
      </c>
      <c r="G4519" s="2" t="s">
        <v>983</v>
      </c>
      <c r="H4519" s="2" t="s">
        <v>984</v>
      </c>
      <c r="I4519" s="2"/>
      <c r="J4519" s="2" t="s">
        <v>43</v>
      </c>
    </row>
    <row r="4520" spans="1:10" ht="21" customHeight="1">
      <c r="A4520" s="2" t="s">
        <v>5519</v>
      </c>
      <c r="B4520" s="2" t="s">
        <v>43</v>
      </c>
      <c r="C4520" s="4">
        <v>45796.25</v>
      </c>
      <c r="D4520" s="4">
        <v>45796.250097199074</v>
      </c>
      <c r="E4520" s="2">
        <v>2.35</v>
      </c>
      <c r="F4520" s="2">
        <v>60.4</v>
      </c>
      <c r="G4520" s="2" t="s">
        <v>983</v>
      </c>
      <c r="H4520" s="2" t="s">
        <v>984</v>
      </c>
      <c r="I4520" s="2"/>
      <c r="J4520" s="2" t="s">
        <v>43</v>
      </c>
    </row>
    <row r="4521" spans="1:10" ht="21" customHeight="1">
      <c r="A4521" s="2" t="s">
        <v>5520</v>
      </c>
      <c r="B4521" s="2" t="s">
        <v>43</v>
      </c>
      <c r="C4521" s="4">
        <v>45797.25</v>
      </c>
      <c r="D4521" s="4">
        <v>45797.250060983795</v>
      </c>
      <c r="E4521" s="2">
        <v>2.76</v>
      </c>
      <c r="F4521" s="2">
        <v>62.3</v>
      </c>
      <c r="G4521" s="2" t="s">
        <v>983</v>
      </c>
      <c r="H4521" s="2" t="s">
        <v>984</v>
      </c>
      <c r="I4521" s="2"/>
      <c r="J4521" s="2" t="s">
        <v>43</v>
      </c>
    </row>
    <row r="4522" spans="1:10" ht="21" customHeight="1">
      <c r="A4522" s="2" t="s">
        <v>5521</v>
      </c>
      <c r="B4522" s="2" t="s">
        <v>43</v>
      </c>
      <c r="C4522" s="4">
        <v>45798.25</v>
      </c>
      <c r="D4522" s="4">
        <v>45798.250048472226</v>
      </c>
      <c r="E4522" s="2">
        <v>2.3199999999999998</v>
      </c>
      <c r="F4522" s="2">
        <v>62.9</v>
      </c>
      <c r="G4522" s="2" t="s">
        <v>983</v>
      </c>
      <c r="H4522" s="2" t="s">
        <v>984</v>
      </c>
      <c r="I4522" s="2"/>
      <c r="J4522" s="2" t="s">
        <v>43</v>
      </c>
    </row>
    <row r="4523" spans="1:10" ht="21" customHeight="1">
      <c r="A4523" s="2" t="s">
        <v>5522</v>
      </c>
      <c r="B4523" s="2" t="s">
        <v>43</v>
      </c>
      <c r="C4523" s="4">
        <v>45799.25</v>
      </c>
      <c r="D4523" s="4">
        <v>45799.250369247689</v>
      </c>
      <c r="E4523" s="2">
        <v>2.76</v>
      </c>
      <c r="F4523" s="2">
        <v>58.6</v>
      </c>
      <c r="G4523" s="2" t="s">
        <v>983</v>
      </c>
      <c r="H4523" s="2" t="s">
        <v>984</v>
      </c>
      <c r="I4523" s="2"/>
      <c r="J4523" s="2" t="s">
        <v>43</v>
      </c>
    </row>
    <row r="4524" spans="1:10" ht="21" customHeight="1">
      <c r="A4524" s="2" t="s">
        <v>5523</v>
      </c>
      <c r="B4524" s="2" t="s">
        <v>43</v>
      </c>
      <c r="C4524" s="4">
        <v>45800.25</v>
      </c>
      <c r="D4524" s="4">
        <v>45800.250504490745</v>
      </c>
      <c r="E4524" s="2"/>
      <c r="F4524" s="2"/>
      <c r="G4524" s="2" t="s">
        <v>983</v>
      </c>
      <c r="H4524" s="2" t="s">
        <v>1066</v>
      </c>
      <c r="I4524" s="2"/>
      <c r="J4524" s="2" t="s">
        <v>43</v>
      </c>
    </row>
    <row r="4525" spans="1:10" ht="21" customHeight="1">
      <c r="A4525" s="2" t="s">
        <v>5524</v>
      </c>
      <c r="B4525" s="2" t="s">
        <v>43</v>
      </c>
      <c r="C4525" s="4">
        <v>45801.25</v>
      </c>
      <c r="D4525" s="4">
        <v>45801.250497361107</v>
      </c>
      <c r="E4525" s="2">
        <v>2.2599999999999998</v>
      </c>
      <c r="F4525" s="2">
        <v>64.3</v>
      </c>
      <c r="G4525" s="2" t="s">
        <v>983</v>
      </c>
      <c r="H4525" s="2" t="s">
        <v>984</v>
      </c>
      <c r="I4525" s="2"/>
      <c r="J4525" s="2" t="s">
        <v>43</v>
      </c>
    </row>
    <row r="4526" spans="1:10" ht="21" customHeight="1">
      <c r="A4526" s="2" t="s">
        <v>5525</v>
      </c>
      <c r="B4526" s="2" t="s">
        <v>43</v>
      </c>
      <c r="C4526" s="4">
        <v>45802.25</v>
      </c>
      <c r="D4526" s="4">
        <v>45802.25044210648</v>
      </c>
      <c r="E4526" s="2">
        <v>2.4300000000000002</v>
      </c>
      <c r="F4526" s="2">
        <v>60.5</v>
      </c>
      <c r="G4526" s="2" t="s">
        <v>983</v>
      </c>
      <c r="H4526" s="2" t="s">
        <v>984</v>
      </c>
      <c r="I4526" s="2"/>
      <c r="J4526" s="2" t="s">
        <v>43</v>
      </c>
    </row>
    <row r="4527" spans="1:10" ht="21" customHeight="1">
      <c r="A4527" s="2" t="s">
        <v>5526</v>
      </c>
      <c r="B4527" s="2" t="s">
        <v>43</v>
      </c>
      <c r="C4527" s="4">
        <v>45803.25</v>
      </c>
      <c r="D4527" s="4">
        <v>45803.250074421296</v>
      </c>
      <c r="E4527" s="2">
        <v>3.12</v>
      </c>
      <c r="F4527" s="2">
        <v>65.099999999999994</v>
      </c>
      <c r="G4527" s="2" t="s">
        <v>983</v>
      </c>
      <c r="H4527" s="2" t="s">
        <v>984</v>
      </c>
      <c r="I4527" s="2"/>
      <c r="J4527" s="2" t="s">
        <v>43</v>
      </c>
    </row>
    <row r="4528" spans="1:10" ht="21" customHeight="1">
      <c r="A4528" s="2" t="s">
        <v>5527</v>
      </c>
      <c r="B4528" s="2" t="s">
        <v>43</v>
      </c>
      <c r="C4528" s="4">
        <v>45804.25</v>
      </c>
      <c r="D4528" s="4">
        <v>45804.25016737268</v>
      </c>
      <c r="E4528" s="2">
        <v>24.56</v>
      </c>
      <c r="F4528" s="2">
        <v>63.8</v>
      </c>
      <c r="G4528" s="2" t="s">
        <v>983</v>
      </c>
      <c r="H4528" s="2" t="s">
        <v>1022</v>
      </c>
      <c r="I4528" s="2"/>
      <c r="J4528" s="2" t="s">
        <v>43</v>
      </c>
    </row>
    <row r="4529" spans="1:10" ht="21" customHeight="1">
      <c r="A4529" s="2" t="s">
        <v>5528</v>
      </c>
      <c r="B4529" s="2" t="s">
        <v>43</v>
      </c>
      <c r="C4529" s="4">
        <v>45805.25</v>
      </c>
      <c r="D4529" s="4">
        <v>45805.250288854164</v>
      </c>
      <c r="E4529" s="2">
        <v>2.5499999999999998</v>
      </c>
      <c r="F4529" s="2">
        <v>59.8</v>
      </c>
      <c r="G4529" s="2" t="s">
        <v>983</v>
      </c>
      <c r="H4529" s="2" t="s">
        <v>984</v>
      </c>
      <c r="I4529" s="2"/>
      <c r="J4529" s="2" t="s">
        <v>43</v>
      </c>
    </row>
    <row r="4530" spans="1:10" ht="21" customHeight="1">
      <c r="A4530" s="2" t="s">
        <v>5529</v>
      </c>
      <c r="B4530" s="2" t="s">
        <v>43</v>
      </c>
      <c r="C4530" s="4">
        <v>45806.25</v>
      </c>
      <c r="D4530" s="4">
        <v>45806.250057592595</v>
      </c>
      <c r="E4530" s="2">
        <v>2.98</v>
      </c>
      <c r="F4530" s="2">
        <v>58.2</v>
      </c>
      <c r="G4530" s="2" t="s">
        <v>983</v>
      </c>
      <c r="H4530" s="2" t="s">
        <v>984</v>
      </c>
      <c r="I4530" s="2"/>
      <c r="J4530" s="2" t="s">
        <v>43</v>
      </c>
    </row>
    <row r="4531" spans="1:10" ht="21" customHeight="1">
      <c r="A4531" s="2" t="s">
        <v>5530</v>
      </c>
      <c r="B4531" s="2" t="s">
        <v>43</v>
      </c>
      <c r="C4531" s="4">
        <v>45807.25</v>
      </c>
      <c r="D4531" s="4">
        <v>45807.250532314814</v>
      </c>
      <c r="E4531" s="2"/>
      <c r="F4531" s="2"/>
      <c r="G4531" s="2" t="s">
        <v>983</v>
      </c>
      <c r="H4531" s="2" t="s">
        <v>1066</v>
      </c>
      <c r="I4531" s="2"/>
      <c r="J4531" s="2" t="s">
        <v>43</v>
      </c>
    </row>
    <row r="4532" spans="1:10" ht="21" customHeight="1">
      <c r="A4532" s="2" t="s">
        <v>5531</v>
      </c>
      <c r="B4532" s="2" t="s">
        <v>43</v>
      </c>
      <c r="C4532" s="4">
        <v>45808.25</v>
      </c>
      <c r="D4532" s="4">
        <v>45808.250012094912</v>
      </c>
      <c r="E4532" s="2">
        <v>3.04</v>
      </c>
      <c r="F4532" s="2">
        <v>59.8</v>
      </c>
      <c r="G4532" s="2" t="s">
        <v>983</v>
      </c>
      <c r="H4532" s="2" t="s">
        <v>984</v>
      </c>
      <c r="I4532" s="2"/>
      <c r="J4532" s="2" t="s">
        <v>43</v>
      </c>
    </row>
    <row r="4533" spans="1:10" ht="21" customHeight="1">
      <c r="A4533" s="2" t="s">
        <v>5532</v>
      </c>
      <c r="B4533" s="2" t="s">
        <v>43</v>
      </c>
      <c r="C4533" s="4">
        <v>45809.25</v>
      </c>
      <c r="D4533" s="4">
        <v>45809.250684085651</v>
      </c>
      <c r="E4533" s="2">
        <v>2.97</v>
      </c>
      <c r="F4533" s="2">
        <v>65.599999999999994</v>
      </c>
      <c r="G4533" s="2" t="s">
        <v>983</v>
      </c>
      <c r="H4533" s="2" t="s">
        <v>984</v>
      </c>
      <c r="I4533" s="2"/>
      <c r="J4533" s="2" t="s">
        <v>43</v>
      </c>
    </row>
    <row r="4534" spans="1:10" ht="21" customHeight="1">
      <c r="A4534" s="2" t="s">
        <v>5533</v>
      </c>
      <c r="B4534" s="2" t="s">
        <v>43</v>
      </c>
      <c r="C4534" s="4">
        <v>45810.25</v>
      </c>
      <c r="D4534" s="4">
        <v>45810.250304780093</v>
      </c>
      <c r="E4534" s="2">
        <v>2.71</v>
      </c>
      <c r="F4534" s="2">
        <v>58.6</v>
      </c>
      <c r="G4534" s="2" t="s">
        <v>983</v>
      </c>
      <c r="H4534" s="2" t="s">
        <v>984</v>
      </c>
      <c r="I4534" s="2"/>
      <c r="J4534" s="2" t="s">
        <v>43</v>
      </c>
    </row>
    <row r="4535" spans="1:10" ht="21" customHeight="1">
      <c r="A4535" s="2" t="s">
        <v>5534</v>
      </c>
      <c r="B4535" s="2" t="s">
        <v>43</v>
      </c>
      <c r="C4535" s="4">
        <v>45811.25</v>
      </c>
      <c r="D4535" s="4">
        <v>45811.250238692126</v>
      </c>
      <c r="E4535" s="2">
        <v>3</v>
      </c>
      <c r="F4535" s="2">
        <v>58.2</v>
      </c>
      <c r="G4535" s="2" t="s">
        <v>983</v>
      </c>
      <c r="H4535" s="2" t="s">
        <v>984</v>
      </c>
      <c r="I4535" s="2" t="s">
        <v>985</v>
      </c>
      <c r="J4535" s="2" t="s">
        <v>43</v>
      </c>
    </row>
    <row r="4536" spans="1:10" ht="21" customHeight="1">
      <c r="A4536" s="2" t="s">
        <v>5535</v>
      </c>
      <c r="B4536" s="2" t="s">
        <v>43</v>
      </c>
      <c r="C4536" s="4">
        <v>45812.25</v>
      </c>
      <c r="D4536" s="4">
        <v>45812.250179664348</v>
      </c>
      <c r="E4536" s="2"/>
      <c r="F4536" s="2"/>
      <c r="G4536" s="2" t="s">
        <v>983</v>
      </c>
      <c r="H4536" s="2" t="s">
        <v>1066</v>
      </c>
      <c r="I4536" s="2"/>
      <c r="J4536" s="2" t="s">
        <v>43</v>
      </c>
    </row>
    <row r="4537" spans="1:10" ht="21" customHeight="1">
      <c r="A4537" s="2" t="s">
        <v>5536</v>
      </c>
      <c r="B4537" s="2" t="s">
        <v>43</v>
      </c>
      <c r="C4537" s="4">
        <v>45813.25</v>
      </c>
      <c r="D4537" s="4">
        <v>45813.250342337968</v>
      </c>
      <c r="E4537" s="2">
        <v>2.19</v>
      </c>
      <c r="F4537" s="2">
        <v>58.5</v>
      </c>
      <c r="G4537" s="2" t="s">
        <v>983</v>
      </c>
      <c r="H4537" s="2" t="s">
        <v>984</v>
      </c>
      <c r="I4537" s="2"/>
      <c r="J4537" s="2" t="s">
        <v>43</v>
      </c>
    </row>
    <row r="4538" spans="1:10" ht="21" customHeight="1">
      <c r="A4538" s="2" t="s">
        <v>5537</v>
      </c>
      <c r="B4538" s="2" t="s">
        <v>43</v>
      </c>
      <c r="C4538" s="4">
        <v>45814.25</v>
      </c>
      <c r="D4538" s="4">
        <v>45814.250535972227</v>
      </c>
      <c r="E4538" s="2">
        <v>3.16</v>
      </c>
      <c r="F4538" s="2">
        <v>62</v>
      </c>
      <c r="G4538" s="2" t="s">
        <v>983</v>
      </c>
      <c r="H4538" s="2" t="s">
        <v>984</v>
      </c>
      <c r="I4538" s="2"/>
      <c r="J4538" s="2" t="s">
        <v>43</v>
      </c>
    </row>
    <row r="4539" spans="1:10" ht="21" customHeight="1">
      <c r="A4539" s="2" t="s">
        <v>5538</v>
      </c>
      <c r="B4539" s="2" t="s">
        <v>43</v>
      </c>
      <c r="C4539" s="4">
        <v>45815.25</v>
      </c>
      <c r="D4539" s="4">
        <v>45815.250226770833</v>
      </c>
      <c r="E4539" s="2">
        <v>2.76</v>
      </c>
      <c r="F4539" s="2">
        <v>59.2</v>
      </c>
      <c r="G4539" s="2" t="s">
        <v>983</v>
      </c>
      <c r="H4539" s="2" t="s">
        <v>984</v>
      </c>
      <c r="I4539" s="2"/>
      <c r="J4539" s="2" t="s">
        <v>43</v>
      </c>
    </row>
    <row r="4540" spans="1:10" ht="21" customHeight="1">
      <c r="A4540" s="2" t="s">
        <v>5539</v>
      </c>
      <c r="B4540" s="2" t="s">
        <v>43</v>
      </c>
      <c r="C4540" s="4">
        <v>45816.25</v>
      </c>
      <c r="D4540" s="4">
        <v>45816.250112222224</v>
      </c>
      <c r="E4540" s="2">
        <v>0</v>
      </c>
      <c r="F4540" s="2">
        <v>60.4</v>
      </c>
      <c r="G4540" s="2" t="s">
        <v>1175</v>
      </c>
      <c r="H4540" s="2" t="s">
        <v>984</v>
      </c>
      <c r="I4540" s="2"/>
      <c r="J4540" s="2" t="s">
        <v>43</v>
      </c>
    </row>
    <row r="4541" spans="1:10" ht="21" customHeight="1">
      <c r="A4541" s="2" t="s">
        <v>5540</v>
      </c>
      <c r="B4541" s="2" t="s">
        <v>43</v>
      </c>
      <c r="C4541" s="4">
        <v>45817.25</v>
      </c>
      <c r="D4541" s="4">
        <v>45817.25008484954</v>
      </c>
      <c r="E4541" s="2">
        <v>3.03</v>
      </c>
      <c r="F4541" s="2">
        <v>60.4</v>
      </c>
      <c r="G4541" s="2" t="s">
        <v>983</v>
      </c>
      <c r="H4541" s="2" t="s">
        <v>984</v>
      </c>
      <c r="I4541" s="2"/>
      <c r="J4541" s="2" t="s">
        <v>43</v>
      </c>
    </row>
    <row r="4542" spans="1:10" ht="21" customHeight="1">
      <c r="A4542" s="2" t="s">
        <v>5541</v>
      </c>
      <c r="B4542" s="2" t="s">
        <v>43</v>
      </c>
      <c r="C4542" s="4">
        <v>45818.25</v>
      </c>
      <c r="D4542" s="4">
        <v>45818.250648043977</v>
      </c>
      <c r="E4542" s="2">
        <v>2.96</v>
      </c>
      <c r="F4542" s="2">
        <v>63.5</v>
      </c>
      <c r="G4542" s="2" t="s">
        <v>983</v>
      </c>
      <c r="H4542" s="2" t="s">
        <v>984</v>
      </c>
      <c r="I4542" s="2"/>
      <c r="J4542" s="2" t="s">
        <v>43</v>
      </c>
    </row>
    <row r="4543" spans="1:10" ht="21" customHeight="1">
      <c r="A4543" s="2" t="s">
        <v>5542</v>
      </c>
      <c r="B4543" s="2" t="s">
        <v>43</v>
      </c>
      <c r="C4543" s="4">
        <v>45819.25</v>
      </c>
      <c r="D4543" s="4">
        <v>45819.250102465274</v>
      </c>
      <c r="E4543" s="2">
        <v>2.78</v>
      </c>
      <c r="F4543" s="2">
        <v>59.5</v>
      </c>
      <c r="G4543" s="2" t="s">
        <v>983</v>
      </c>
      <c r="H4543" s="2" t="s">
        <v>984</v>
      </c>
      <c r="I4543" s="2"/>
      <c r="J4543" s="2" t="s">
        <v>43</v>
      </c>
    </row>
    <row r="4544" spans="1:10" ht="21" customHeight="1">
      <c r="A4544" s="2" t="s">
        <v>5543</v>
      </c>
      <c r="B4544" s="2" t="s">
        <v>43</v>
      </c>
      <c r="C4544" s="4">
        <v>45820.25</v>
      </c>
      <c r="D4544" s="4">
        <v>45820.250107534725</v>
      </c>
      <c r="E4544" s="2">
        <v>3.06</v>
      </c>
      <c r="F4544" s="2">
        <v>65.5</v>
      </c>
      <c r="G4544" s="2" t="s">
        <v>983</v>
      </c>
      <c r="H4544" s="2" t="s">
        <v>984</v>
      </c>
      <c r="I4544" s="2"/>
      <c r="J4544" s="2" t="s">
        <v>43</v>
      </c>
    </row>
    <row r="4545" spans="1:10" ht="21" customHeight="1">
      <c r="A4545" s="2" t="s">
        <v>5544</v>
      </c>
      <c r="B4545" s="2" t="s">
        <v>43</v>
      </c>
      <c r="C4545" s="4">
        <v>45821.25</v>
      </c>
      <c r="D4545" s="4">
        <v>45821.250602523149</v>
      </c>
      <c r="E4545" s="2">
        <v>3.28</v>
      </c>
      <c r="F4545" s="2">
        <v>60.8</v>
      </c>
      <c r="G4545" s="2" t="s">
        <v>983</v>
      </c>
      <c r="H4545" s="2" t="s">
        <v>984</v>
      </c>
      <c r="I4545" s="2"/>
      <c r="J4545" s="2" t="s">
        <v>43</v>
      </c>
    </row>
    <row r="4546" spans="1:10" ht="21" customHeight="1">
      <c r="A4546" s="2" t="s">
        <v>5545</v>
      </c>
      <c r="B4546" s="2" t="s">
        <v>43</v>
      </c>
      <c r="C4546" s="4">
        <v>45822.25</v>
      </c>
      <c r="D4546" s="4">
        <v>45822.250273333339</v>
      </c>
      <c r="E4546" s="2">
        <v>2.88</v>
      </c>
      <c r="F4546" s="2">
        <v>65.599999999999994</v>
      </c>
      <c r="G4546" s="2" t="s">
        <v>983</v>
      </c>
      <c r="H4546" s="2" t="s">
        <v>984</v>
      </c>
      <c r="I4546" s="2"/>
      <c r="J4546" s="2" t="s">
        <v>43</v>
      </c>
    </row>
    <row r="4547" spans="1:10" ht="21" customHeight="1">
      <c r="A4547" s="2" t="s">
        <v>5546</v>
      </c>
      <c r="B4547" s="2" t="s">
        <v>43</v>
      </c>
      <c r="C4547" s="4">
        <v>45823.25</v>
      </c>
      <c r="D4547" s="4">
        <v>45823.250238263892</v>
      </c>
      <c r="E4547" s="2">
        <v>3.23</v>
      </c>
      <c r="F4547" s="2">
        <v>58.5</v>
      </c>
      <c r="G4547" s="2" t="s">
        <v>983</v>
      </c>
      <c r="H4547" s="2" t="s">
        <v>984</v>
      </c>
      <c r="I4547" s="2"/>
      <c r="J4547" s="2" t="s">
        <v>43</v>
      </c>
    </row>
    <row r="4548" spans="1:10" ht="21" customHeight="1">
      <c r="A4548" s="2" t="s">
        <v>5547</v>
      </c>
      <c r="B4548" s="2" t="s">
        <v>43</v>
      </c>
      <c r="C4548" s="4">
        <v>45824.25</v>
      </c>
      <c r="D4548" s="4">
        <v>45824.250320451392</v>
      </c>
      <c r="E4548" s="2">
        <v>2.94</v>
      </c>
      <c r="F4548" s="2">
        <v>64.400000000000006</v>
      </c>
      <c r="G4548" s="2" t="s">
        <v>983</v>
      </c>
      <c r="H4548" s="2" t="s">
        <v>984</v>
      </c>
      <c r="I4548" s="2"/>
      <c r="J4548" s="2" t="s">
        <v>43</v>
      </c>
    </row>
    <row r="4549" spans="1:10" ht="21" customHeight="1">
      <c r="A4549" s="2" t="s">
        <v>5548</v>
      </c>
      <c r="B4549" s="2" t="s">
        <v>43</v>
      </c>
      <c r="C4549" s="4">
        <v>45825.25</v>
      </c>
      <c r="D4549" s="4">
        <v>45825.250480069444</v>
      </c>
      <c r="E4549" s="2">
        <v>27.21</v>
      </c>
      <c r="F4549" s="2">
        <v>63.2</v>
      </c>
      <c r="G4549" s="2" t="s">
        <v>983</v>
      </c>
      <c r="H4549" s="2" t="s">
        <v>1022</v>
      </c>
      <c r="I4549" s="2"/>
      <c r="J4549" s="2" t="s">
        <v>43</v>
      </c>
    </row>
    <row r="4550" spans="1:10" ht="21" customHeight="1">
      <c r="A4550" s="2" t="s">
        <v>5549</v>
      </c>
      <c r="B4550" s="2" t="s">
        <v>43</v>
      </c>
      <c r="C4550" s="4">
        <v>45826.25</v>
      </c>
      <c r="D4550" s="4">
        <v>45826.250341342587</v>
      </c>
      <c r="E4550" s="2">
        <v>2.1</v>
      </c>
      <c r="F4550" s="2">
        <v>63.3</v>
      </c>
      <c r="G4550" s="2" t="s">
        <v>983</v>
      </c>
      <c r="H4550" s="2" t="s">
        <v>984</v>
      </c>
      <c r="I4550" s="2"/>
      <c r="J4550" s="2" t="s">
        <v>43</v>
      </c>
    </row>
    <row r="4551" spans="1:10" ht="21" customHeight="1">
      <c r="A4551" s="2" t="s">
        <v>5550</v>
      </c>
      <c r="B4551" s="2" t="s">
        <v>43</v>
      </c>
      <c r="C4551" s="4">
        <v>45827.25</v>
      </c>
      <c r="D4551" s="4">
        <v>45827.250515046297</v>
      </c>
      <c r="E4551" s="2">
        <v>5.93</v>
      </c>
      <c r="F4551" s="2">
        <v>62.7</v>
      </c>
      <c r="G4551" s="2" t="s">
        <v>983</v>
      </c>
      <c r="H4551" s="2" t="s">
        <v>984</v>
      </c>
      <c r="I4551" s="2"/>
      <c r="J4551" s="2" t="s">
        <v>43</v>
      </c>
    </row>
    <row r="4552" spans="1:10" ht="21" customHeight="1">
      <c r="A4552" s="2" t="s">
        <v>5551</v>
      </c>
      <c r="B4552" s="2" t="s">
        <v>43</v>
      </c>
      <c r="C4552" s="4">
        <v>45828.25</v>
      </c>
      <c r="D4552" s="4">
        <v>45828.250203090276</v>
      </c>
      <c r="E4552" s="2">
        <v>5.25</v>
      </c>
      <c r="F4552" s="2">
        <v>71.900000000000006</v>
      </c>
      <c r="G4552" s="2" t="s">
        <v>983</v>
      </c>
      <c r="H4552" s="2" t="s">
        <v>984</v>
      </c>
      <c r="I4552" s="2" t="s">
        <v>1053</v>
      </c>
      <c r="J4552" s="2" t="s">
        <v>43</v>
      </c>
    </row>
    <row r="4553" spans="1:10" ht="21" customHeight="1">
      <c r="A4553" s="2" t="s">
        <v>5552</v>
      </c>
      <c r="B4553" s="2" t="s">
        <v>5388</v>
      </c>
      <c r="C4553" s="4">
        <v>45829.25</v>
      </c>
      <c r="D4553" s="4">
        <v>45829.250451898144</v>
      </c>
      <c r="E4553" s="2">
        <v>5.47</v>
      </c>
      <c r="F4553" s="2">
        <v>71.099999999999994</v>
      </c>
      <c r="G4553" s="2" t="s">
        <v>983</v>
      </c>
      <c r="H4553" s="2" t="s">
        <v>984</v>
      </c>
      <c r="I4553" s="2"/>
      <c r="J4553" s="2" t="s">
        <v>43</v>
      </c>
    </row>
    <row r="4554" spans="1:10" ht="21" customHeight="1">
      <c r="A4554" s="2" t="s">
        <v>5553</v>
      </c>
      <c r="B4554" s="2" t="s">
        <v>43</v>
      </c>
      <c r="C4554" s="4">
        <v>45830.25</v>
      </c>
      <c r="D4554" s="4">
        <v>45830.250174942128</v>
      </c>
      <c r="E4554" s="2">
        <v>3.27</v>
      </c>
      <c r="F4554" s="2">
        <v>62.4</v>
      </c>
      <c r="G4554" s="2" t="s">
        <v>983</v>
      </c>
      <c r="H4554" s="2" t="s">
        <v>984</v>
      </c>
      <c r="I4554" s="2"/>
      <c r="J4554" s="2" t="s">
        <v>43</v>
      </c>
    </row>
    <row r="4555" spans="1:10" ht="21" customHeight="1">
      <c r="A4555" s="2" t="s">
        <v>5554</v>
      </c>
      <c r="B4555" s="2" t="s">
        <v>43</v>
      </c>
      <c r="C4555" s="4">
        <v>45831.25</v>
      </c>
      <c r="D4555" s="4">
        <v>45831.250491886574</v>
      </c>
      <c r="E4555" s="2">
        <v>2.75</v>
      </c>
      <c r="F4555" s="2">
        <v>59.3</v>
      </c>
      <c r="G4555" s="2" t="s">
        <v>983</v>
      </c>
      <c r="H4555" s="2" t="s">
        <v>984</v>
      </c>
      <c r="I4555" s="2"/>
      <c r="J4555" s="2" t="s">
        <v>43</v>
      </c>
    </row>
    <row r="4556" spans="1:10" ht="21" customHeight="1">
      <c r="A4556" s="2" t="s">
        <v>5555</v>
      </c>
      <c r="B4556" s="2" t="s">
        <v>43</v>
      </c>
      <c r="C4556" s="4">
        <v>45832.25</v>
      </c>
      <c r="D4556" s="4">
        <v>45832.250357002311</v>
      </c>
      <c r="E4556" s="2">
        <v>3.29</v>
      </c>
      <c r="F4556" s="2">
        <v>64.7</v>
      </c>
      <c r="G4556" s="2" t="s">
        <v>983</v>
      </c>
      <c r="H4556" s="2" t="s">
        <v>984</v>
      </c>
      <c r="I4556" s="2"/>
      <c r="J4556" s="2" t="s">
        <v>43</v>
      </c>
    </row>
    <row r="4557" spans="1:10" ht="21" customHeight="1">
      <c r="A4557" s="2" t="s">
        <v>5556</v>
      </c>
      <c r="B4557" s="2" t="s">
        <v>43</v>
      </c>
      <c r="C4557" s="4">
        <v>45833.25</v>
      </c>
      <c r="D4557" s="4">
        <v>45833.250106099542</v>
      </c>
      <c r="E4557" s="2">
        <v>2.23</v>
      </c>
      <c r="F4557" s="2">
        <v>58.1</v>
      </c>
      <c r="G4557" s="2" t="s">
        <v>983</v>
      </c>
      <c r="H4557" s="2" t="s">
        <v>984</v>
      </c>
      <c r="I4557" s="2"/>
      <c r="J4557" s="2" t="s">
        <v>43</v>
      </c>
    </row>
    <row r="4558" spans="1:10" ht="21" customHeight="1">
      <c r="A4558" s="2" t="s">
        <v>5557</v>
      </c>
      <c r="B4558" s="2" t="s">
        <v>43</v>
      </c>
      <c r="C4558" s="4">
        <v>45834.25</v>
      </c>
      <c r="D4558" s="4">
        <v>45834.250110972222</v>
      </c>
      <c r="E4558" s="2">
        <v>2.52</v>
      </c>
      <c r="F4558" s="2">
        <v>60.1</v>
      </c>
      <c r="G4558" s="2" t="s">
        <v>983</v>
      </c>
      <c r="H4558" s="2" t="s">
        <v>984</v>
      </c>
      <c r="I4558" s="2"/>
      <c r="J4558" s="2" t="s">
        <v>43</v>
      </c>
    </row>
    <row r="4559" spans="1:10" ht="21" customHeight="1">
      <c r="A4559" s="2" t="s">
        <v>5558</v>
      </c>
      <c r="B4559" s="2" t="s">
        <v>43</v>
      </c>
      <c r="C4559" s="4">
        <v>45835.25</v>
      </c>
      <c r="D4559" s="4">
        <v>45835.250670717593</v>
      </c>
      <c r="E4559" s="2">
        <v>3.15</v>
      </c>
      <c r="F4559" s="2">
        <v>59.3</v>
      </c>
      <c r="G4559" s="2" t="s">
        <v>983</v>
      </c>
      <c r="H4559" s="2" t="s">
        <v>984</v>
      </c>
      <c r="I4559" s="2"/>
      <c r="J4559" s="2" t="s">
        <v>43</v>
      </c>
    </row>
    <row r="4560" spans="1:10" ht="21" customHeight="1">
      <c r="A4560" s="2" t="s">
        <v>5559</v>
      </c>
      <c r="B4560" s="2" t="s">
        <v>43</v>
      </c>
      <c r="C4560" s="4">
        <v>45836.25</v>
      </c>
      <c r="D4560" s="4">
        <v>45836.250456689813</v>
      </c>
      <c r="E4560" s="2">
        <v>2.46</v>
      </c>
      <c r="F4560" s="2">
        <v>65.2</v>
      </c>
      <c r="G4560" s="2" t="s">
        <v>983</v>
      </c>
      <c r="H4560" s="2" t="s">
        <v>984</v>
      </c>
      <c r="I4560" s="2"/>
      <c r="J4560" s="2" t="s">
        <v>43</v>
      </c>
    </row>
    <row r="4561" spans="1:10" ht="21" customHeight="1">
      <c r="A4561" s="2" t="s">
        <v>5560</v>
      </c>
      <c r="B4561" s="2" t="s">
        <v>43</v>
      </c>
      <c r="C4561" s="4">
        <v>45837.25</v>
      </c>
      <c r="D4561" s="4">
        <v>45837.250566527779</v>
      </c>
      <c r="E4561" s="2">
        <v>3.29</v>
      </c>
      <c r="F4561" s="2">
        <v>63.3</v>
      </c>
      <c r="G4561" s="2" t="s">
        <v>983</v>
      </c>
      <c r="H4561" s="2" t="s">
        <v>984</v>
      </c>
      <c r="I4561" s="2"/>
      <c r="J4561" s="2" t="s">
        <v>43</v>
      </c>
    </row>
    <row r="4562" spans="1:10" ht="21" customHeight="1">
      <c r="A4562" s="2" t="s">
        <v>5561</v>
      </c>
      <c r="B4562" s="2" t="s">
        <v>43</v>
      </c>
      <c r="C4562" s="4">
        <v>45838.25</v>
      </c>
      <c r="D4562" s="4">
        <v>45838.250638634257</v>
      </c>
      <c r="E4562" s="2">
        <v>2.9</v>
      </c>
      <c r="F4562" s="2">
        <v>62.9</v>
      </c>
      <c r="G4562" s="2" t="s">
        <v>983</v>
      </c>
      <c r="H4562" s="2" t="s">
        <v>984</v>
      </c>
      <c r="I4562" s="2"/>
      <c r="J4562" s="2" t="s">
        <v>43</v>
      </c>
    </row>
    <row r="4563" spans="1:10" ht="21" customHeight="1">
      <c r="A4563" s="2" t="s">
        <v>5562</v>
      </c>
      <c r="B4563" s="2" t="s">
        <v>43</v>
      </c>
      <c r="C4563" s="4">
        <v>45839.25</v>
      </c>
      <c r="D4563" s="4">
        <v>45839.25048609954</v>
      </c>
      <c r="E4563" s="2">
        <v>2.14</v>
      </c>
      <c r="F4563" s="2">
        <v>58.7</v>
      </c>
      <c r="G4563" s="2" t="s">
        <v>983</v>
      </c>
      <c r="H4563" s="2" t="s">
        <v>984</v>
      </c>
      <c r="I4563" s="2"/>
      <c r="J4563" s="2" t="s">
        <v>43</v>
      </c>
    </row>
    <row r="4564" spans="1:10" ht="21" customHeight="1">
      <c r="A4564" s="2" t="s">
        <v>5563</v>
      </c>
      <c r="B4564" s="2" t="s">
        <v>43</v>
      </c>
      <c r="C4564" s="4">
        <v>45840.25</v>
      </c>
      <c r="D4564" s="4">
        <v>45840.250088217595</v>
      </c>
      <c r="E4564" s="2">
        <v>2.4500000000000002</v>
      </c>
      <c r="F4564" s="2">
        <v>65.3</v>
      </c>
      <c r="G4564" s="2" t="s">
        <v>983</v>
      </c>
      <c r="H4564" s="2" t="s">
        <v>984</v>
      </c>
      <c r="I4564" s="2"/>
      <c r="J4564" s="2" t="s">
        <v>43</v>
      </c>
    </row>
    <row r="4565" spans="1:10" ht="21" customHeight="1">
      <c r="A4565" s="2" t="s">
        <v>5564</v>
      </c>
      <c r="B4565" s="2" t="s">
        <v>43</v>
      </c>
      <c r="C4565" s="4">
        <v>45841.25</v>
      </c>
      <c r="D4565" s="4">
        <v>45841.250249629629</v>
      </c>
      <c r="E4565" s="2">
        <v>2.4300000000000002</v>
      </c>
      <c r="F4565" s="2">
        <v>60.5</v>
      </c>
      <c r="G4565" s="2" t="s">
        <v>983</v>
      </c>
      <c r="H4565" s="2" t="s">
        <v>984</v>
      </c>
      <c r="I4565" s="2"/>
      <c r="J4565" s="2" t="s">
        <v>43</v>
      </c>
    </row>
    <row r="4566" spans="1:10" ht="21" customHeight="1">
      <c r="A4566" s="2" t="s">
        <v>5565</v>
      </c>
      <c r="B4566" s="2" t="s">
        <v>43</v>
      </c>
      <c r="C4566" s="4">
        <v>45842.25</v>
      </c>
      <c r="D4566" s="4">
        <v>45842.250553287042</v>
      </c>
      <c r="E4566" s="2"/>
      <c r="F4566" s="2"/>
      <c r="G4566" s="2" t="s">
        <v>983</v>
      </c>
      <c r="H4566" s="2" t="s">
        <v>1066</v>
      </c>
      <c r="I4566" s="2"/>
      <c r="J4566" s="2" t="s">
        <v>43</v>
      </c>
    </row>
    <row r="4567" spans="1:10" ht="21" customHeight="1">
      <c r="A4567" s="2" t="s">
        <v>5566</v>
      </c>
      <c r="B4567" s="2" t="s">
        <v>43</v>
      </c>
      <c r="C4567" s="4">
        <v>45843.25</v>
      </c>
      <c r="D4567" s="4">
        <v>45843.25060777778</v>
      </c>
      <c r="E4567" s="2">
        <v>2.78</v>
      </c>
      <c r="F4567" s="2">
        <v>64.7</v>
      </c>
      <c r="G4567" s="2" t="s">
        <v>983</v>
      </c>
      <c r="H4567" s="2" t="s">
        <v>984</v>
      </c>
      <c r="I4567" s="2"/>
      <c r="J4567" s="2" t="s">
        <v>43</v>
      </c>
    </row>
    <row r="4568" spans="1:10" ht="21" customHeight="1">
      <c r="A4568" s="2" t="s">
        <v>5567</v>
      </c>
      <c r="B4568" s="2" t="s">
        <v>43</v>
      </c>
      <c r="C4568" s="4">
        <v>45844.25</v>
      </c>
      <c r="D4568" s="4">
        <v>45844.250684120372</v>
      </c>
      <c r="E4568" s="2">
        <v>5.96</v>
      </c>
      <c r="F4568" s="2">
        <v>66.5</v>
      </c>
      <c r="G4568" s="2" t="s">
        <v>983</v>
      </c>
      <c r="H4568" s="2" t="s">
        <v>984</v>
      </c>
      <c r="I4568" s="2" t="s">
        <v>1053</v>
      </c>
      <c r="J4568" s="2" t="s">
        <v>43</v>
      </c>
    </row>
    <row r="4569" spans="1:10" ht="21" customHeight="1">
      <c r="A4569" s="2" t="s">
        <v>5568</v>
      </c>
      <c r="B4569" s="2" t="s">
        <v>43</v>
      </c>
      <c r="C4569" s="4">
        <v>45845.25</v>
      </c>
      <c r="D4569" s="4">
        <v>45845.25068305555</v>
      </c>
      <c r="E4569" s="2">
        <v>6.13</v>
      </c>
      <c r="F4569" s="2">
        <v>74.400000000000006</v>
      </c>
      <c r="G4569" s="2" t="s">
        <v>983</v>
      </c>
      <c r="H4569" s="2" t="s">
        <v>984</v>
      </c>
      <c r="I4569" s="2" t="s">
        <v>985</v>
      </c>
      <c r="J4569" s="2" t="s">
        <v>43</v>
      </c>
    </row>
    <row r="4570" spans="1:10" ht="21" customHeight="1">
      <c r="A4570" s="2" t="s">
        <v>5569</v>
      </c>
      <c r="B4570" s="2" t="s">
        <v>43</v>
      </c>
      <c r="C4570" s="4">
        <v>45846.25</v>
      </c>
      <c r="D4570" s="4">
        <v>45846.25020865741</v>
      </c>
      <c r="E4570" s="2">
        <v>6.54</v>
      </c>
      <c r="F4570" s="2">
        <v>71.8</v>
      </c>
      <c r="G4570" s="2" t="s">
        <v>983</v>
      </c>
      <c r="H4570" s="2" t="s">
        <v>984</v>
      </c>
      <c r="I4570" s="2" t="s">
        <v>1053</v>
      </c>
      <c r="J4570" s="2" t="s">
        <v>43</v>
      </c>
    </row>
    <row r="4571" spans="1:10" ht="21" customHeight="1">
      <c r="A4571" s="2" t="s">
        <v>5570</v>
      </c>
      <c r="B4571" s="2" t="s">
        <v>43</v>
      </c>
      <c r="C4571" s="4">
        <v>45847.25</v>
      </c>
      <c r="D4571" s="4">
        <v>45847.250451851854</v>
      </c>
      <c r="E4571" s="2">
        <v>2.93</v>
      </c>
      <c r="F4571" s="2">
        <v>58.3</v>
      </c>
      <c r="G4571" s="2" t="s">
        <v>983</v>
      </c>
      <c r="H4571" s="2" t="s">
        <v>984</v>
      </c>
      <c r="I4571" s="2"/>
      <c r="J4571" s="2" t="s">
        <v>43</v>
      </c>
    </row>
    <row r="4572" spans="1:10" ht="21" customHeight="1">
      <c r="A4572" s="2" t="s">
        <v>5571</v>
      </c>
      <c r="B4572" s="2" t="s">
        <v>43</v>
      </c>
      <c r="C4572" s="4">
        <v>45848.25</v>
      </c>
      <c r="D4572" s="4">
        <v>45848.250071550923</v>
      </c>
      <c r="E4572" s="2">
        <v>2.96</v>
      </c>
      <c r="F4572" s="2">
        <v>63.1</v>
      </c>
      <c r="G4572" s="2" t="s">
        <v>983</v>
      </c>
      <c r="H4572" s="2" t="s">
        <v>984</v>
      </c>
      <c r="I4572" s="2"/>
      <c r="J4572" s="2" t="s">
        <v>43</v>
      </c>
    </row>
    <row r="4573" spans="1:10" ht="21" customHeight="1">
      <c r="A4573" s="2" t="s">
        <v>5572</v>
      </c>
      <c r="B4573" s="2" t="s">
        <v>43</v>
      </c>
      <c r="C4573" s="4">
        <v>45849.25</v>
      </c>
      <c r="D4573" s="4">
        <v>45849.250198217589</v>
      </c>
      <c r="E4573" s="2">
        <v>2.61</v>
      </c>
      <c r="F4573" s="2">
        <v>64.099999999999994</v>
      </c>
      <c r="G4573" s="2" t="s">
        <v>983</v>
      </c>
      <c r="H4573" s="2" t="s">
        <v>984</v>
      </c>
      <c r="I4573" s="2"/>
      <c r="J4573" s="2" t="s">
        <v>43</v>
      </c>
    </row>
    <row r="4574" spans="1:10" ht="21" customHeight="1">
      <c r="A4574" s="2" t="s">
        <v>5573</v>
      </c>
      <c r="B4574" s="2" t="s">
        <v>43</v>
      </c>
      <c r="C4574" s="4">
        <v>45850.25</v>
      </c>
      <c r="D4574" s="4">
        <v>45850.250288356481</v>
      </c>
      <c r="E4574" s="2">
        <v>2.87</v>
      </c>
      <c r="F4574" s="2">
        <v>64.599999999999994</v>
      </c>
      <c r="G4574" s="2" t="s">
        <v>983</v>
      </c>
      <c r="H4574" s="2" t="s">
        <v>984</v>
      </c>
      <c r="I4574" s="2"/>
      <c r="J4574" s="2" t="s">
        <v>43</v>
      </c>
    </row>
    <row r="4575" spans="1:10" ht="21" customHeight="1">
      <c r="A4575" s="2" t="s">
        <v>5574</v>
      </c>
      <c r="B4575" s="2" t="s">
        <v>43</v>
      </c>
      <c r="C4575" s="4">
        <v>45851.25</v>
      </c>
      <c r="D4575" s="4">
        <v>45851.250565752314</v>
      </c>
      <c r="E4575" s="2">
        <v>2.6</v>
      </c>
      <c r="F4575" s="2">
        <v>64</v>
      </c>
      <c r="G4575" s="2" t="s">
        <v>983</v>
      </c>
      <c r="H4575" s="2" t="s">
        <v>984</v>
      </c>
      <c r="I4575" s="2"/>
      <c r="J4575" s="2" t="s">
        <v>43</v>
      </c>
    </row>
    <row r="4576" spans="1:10" ht="21" customHeight="1">
      <c r="A4576" s="2" t="s">
        <v>5575</v>
      </c>
      <c r="B4576" s="2" t="s">
        <v>43</v>
      </c>
      <c r="C4576" s="4">
        <v>45852.25</v>
      </c>
      <c r="D4576" s="4">
        <v>45852.250606331014</v>
      </c>
      <c r="E4576" s="2">
        <v>2.5099999999999998</v>
      </c>
      <c r="F4576" s="2">
        <v>60</v>
      </c>
      <c r="G4576" s="2" t="s">
        <v>983</v>
      </c>
      <c r="H4576" s="2" t="s">
        <v>984</v>
      </c>
      <c r="I4576" s="2"/>
      <c r="J4576" s="2" t="s">
        <v>43</v>
      </c>
    </row>
    <row r="4577" spans="1:10" ht="21" customHeight="1">
      <c r="A4577" s="2" t="s">
        <v>5576</v>
      </c>
      <c r="B4577" s="2" t="s">
        <v>43</v>
      </c>
      <c r="C4577" s="4">
        <v>45853.25</v>
      </c>
      <c r="D4577" s="4">
        <v>45853.250059918981</v>
      </c>
      <c r="E4577" s="2"/>
      <c r="F4577" s="2"/>
      <c r="G4577" s="2" t="s">
        <v>983</v>
      </c>
      <c r="H4577" s="2" t="s">
        <v>1066</v>
      </c>
      <c r="I4577" s="2"/>
      <c r="J4577" s="2" t="s">
        <v>43</v>
      </c>
    </row>
    <row r="4578" spans="1:10" ht="21" customHeight="1">
      <c r="A4578" s="2" t="s">
        <v>5577</v>
      </c>
      <c r="B4578" s="2" t="s">
        <v>43</v>
      </c>
      <c r="C4578" s="4">
        <v>45854.25</v>
      </c>
      <c r="D4578" s="4">
        <v>45854.250336527781</v>
      </c>
      <c r="E4578" s="2">
        <v>27.87</v>
      </c>
      <c r="F4578" s="2">
        <v>59.1</v>
      </c>
      <c r="G4578" s="2" t="s">
        <v>983</v>
      </c>
      <c r="H4578" s="2" t="s">
        <v>1022</v>
      </c>
      <c r="I4578" s="2"/>
      <c r="J4578" s="2" t="s">
        <v>43</v>
      </c>
    </row>
    <row r="4579" spans="1:10" ht="21" customHeight="1">
      <c r="A4579" s="2" t="s">
        <v>5578</v>
      </c>
      <c r="B4579" s="2" t="s">
        <v>43</v>
      </c>
      <c r="C4579" s="4">
        <v>45855.25</v>
      </c>
      <c r="D4579" s="4">
        <v>45855.2503946875</v>
      </c>
      <c r="E4579" s="2">
        <v>2.29</v>
      </c>
      <c r="F4579" s="2">
        <v>59.4</v>
      </c>
      <c r="G4579" s="2" t="s">
        <v>983</v>
      </c>
      <c r="H4579" s="2" t="s">
        <v>984</v>
      </c>
      <c r="I4579" s="2"/>
      <c r="J4579" s="2" t="s">
        <v>43</v>
      </c>
    </row>
    <row r="4580" spans="1:10" ht="21" customHeight="1">
      <c r="A4580" s="2" t="s">
        <v>5579</v>
      </c>
      <c r="B4580" s="2" t="s">
        <v>43</v>
      </c>
      <c r="C4580" s="4">
        <v>45856.25</v>
      </c>
      <c r="D4580" s="4">
        <v>45856.250630393522</v>
      </c>
      <c r="E4580" s="2">
        <v>2.75</v>
      </c>
      <c r="F4580" s="2">
        <v>58.7</v>
      </c>
      <c r="G4580" s="2" t="s">
        <v>983</v>
      </c>
      <c r="H4580" s="2" t="s">
        <v>984</v>
      </c>
      <c r="I4580" s="2"/>
      <c r="J4580" s="2" t="s">
        <v>43</v>
      </c>
    </row>
    <row r="4581" spans="1:10" ht="21" customHeight="1">
      <c r="A4581" s="2" t="s">
        <v>5580</v>
      </c>
      <c r="B4581" s="2" t="s">
        <v>43</v>
      </c>
      <c r="C4581" s="4">
        <v>45857.25</v>
      </c>
      <c r="D4581" s="4">
        <v>45857.250107256943</v>
      </c>
      <c r="E4581" s="2">
        <v>2.2999999999999998</v>
      </c>
      <c r="F4581" s="2">
        <v>59</v>
      </c>
      <c r="G4581" s="2" t="s">
        <v>983</v>
      </c>
      <c r="H4581" s="2" t="s">
        <v>984</v>
      </c>
      <c r="I4581" s="2"/>
      <c r="J4581" s="2" t="s">
        <v>43</v>
      </c>
    </row>
    <row r="4582" spans="1:10" ht="21" customHeight="1">
      <c r="A4582" s="2" t="s">
        <v>5581</v>
      </c>
      <c r="B4582" s="2" t="s">
        <v>43</v>
      </c>
      <c r="C4582" s="4">
        <v>45858.25</v>
      </c>
      <c r="D4582" s="4">
        <v>45858.250543657407</v>
      </c>
      <c r="E4582" s="2">
        <v>3.09</v>
      </c>
      <c r="F4582" s="2">
        <v>59.2</v>
      </c>
      <c r="G4582" s="2" t="s">
        <v>983</v>
      </c>
      <c r="H4582" s="2" t="s">
        <v>984</v>
      </c>
      <c r="I4582" s="2"/>
      <c r="J4582" s="2" t="s">
        <v>43</v>
      </c>
    </row>
    <row r="4583" spans="1:10" ht="21" customHeight="1">
      <c r="A4583" s="2" t="s">
        <v>5582</v>
      </c>
      <c r="B4583" s="2" t="s">
        <v>43</v>
      </c>
      <c r="C4583" s="4">
        <v>45859.25</v>
      </c>
      <c r="D4583" s="4">
        <v>45859.250286782408</v>
      </c>
      <c r="E4583" s="2">
        <v>2.38</v>
      </c>
      <c r="F4583" s="2">
        <v>62.3</v>
      </c>
      <c r="G4583" s="2" t="s">
        <v>983</v>
      </c>
      <c r="H4583" s="2" t="s">
        <v>984</v>
      </c>
      <c r="I4583" s="2"/>
      <c r="J4583" s="2" t="s">
        <v>43</v>
      </c>
    </row>
    <row r="4584" spans="1:10" ht="21" customHeight="1">
      <c r="A4584" s="2" t="s">
        <v>5583</v>
      </c>
      <c r="B4584" s="2" t="s">
        <v>43</v>
      </c>
      <c r="C4584" s="4">
        <v>45860.25</v>
      </c>
      <c r="D4584" s="4">
        <v>45860.250689328706</v>
      </c>
      <c r="E4584" s="2">
        <v>2.31</v>
      </c>
      <c r="F4584" s="2">
        <v>65.099999999999994</v>
      </c>
      <c r="G4584" s="2" t="s">
        <v>983</v>
      </c>
      <c r="H4584" s="2" t="s">
        <v>984</v>
      </c>
      <c r="I4584" s="2"/>
      <c r="J4584" s="2" t="s">
        <v>43</v>
      </c>
    </row>
    <row r="4585" spans="1:10" ht="21" customHeight="1">
      <c r="A4585" s="2" t="s">
        <v>5584</v>
      </c>
      <c r="B4585" s="2" t="s">
        <v>43</v>
      </c>
      <c r="C4585" s="4">
        <v>45861.25</v>
      </c>
      <c r="D4585" s="4">
        <v>45861.250177187496</v>
      </c>
      <c r="E4585" s="2">
        <v>2.19</v>
      </c>
      <c r="F4585" s="2">
        <v>64.900000000000006</v>
      </c>
      <c r="G4585" s="2" t="s">
        <v>983</v>
      </c>
      <c r="H4585" s="2" t="s">
        <v>984</v>
      </c>
      <c r="I4585" s="2"/>
      <c r="J4585" s="2" t="s">
        <v>43</v>
      </c>
    </row>
    <row r="4586" spans="1:10" ht="21" customHeight="1">
      <c r="A4586" s="2" t="s">
        <v>5585</v>
      </c>
      <c r="B4586" s="2" t="s">
        <v>43</v>
      </c>
      <c r="C4586" s="4">
        <v>45862.25</v>
      </c>
      <c r="D4586" s="4">
        <v>45862.250095891199</v>
      </c>
      <c r="E4586" s="2">
        <v>2.71</v>
      </c>
      <c r="F4586" s="2">
        <v>64</v>
      </c>
      <c r="G4586" s="2" t="s">
        <v>983</v>
      </c>
      <c r="H4586" s="2" t="s">
        <v>984</v>
      </c>
      <c r="I4586" s="2" t="s">
        <v>985</v>
      </c>
      <c r="J4586" s="2" t="s">
        <v>43</v>
      </c>
    </row>
    <row r="4587" spans="1:10" ht="21" customHeight="1">
      <c r="A4587" s="2" t="s">
        <v>5586</v>
      </c>
      <c r="B4587" s="2" t="s">
        <v>43</v>
      </c>
      <c r="C4587" s="4">
        <v>45863.25</v>
      </c>
      <c r="D4587" s="4">
        <v>45863.250627291665</v>
      </c>
      <c r="E4587" s="2">
        <v>2.42</v>
      </c>
      <c r="F4587" s="2">
        <v>62.8</v>
      </c>
      <c r="G4587" s="2" t="s">
        <v>983</v>
      </c>
      <c r="H4587" s="2" t="s">
        <v>984</v>
      </c>
      <c r="I4587" s="2"/>
      <c r="J4587" s="2" t="s">
        <v>43</v>
      </c>
    </row>
    <row r="4588" spans="1:10" ht="21" customHeight="1">
      <c r="A4588" s="2" t="s">
        <v>5587</v>
      </c>
      <c r="B4588" s="2" t="s">
        <v>43</v>
      </c>
      <c r="C4588" s="4">
        <v>45864.25</v>
      </c>
      <c r="D4588" s="4">
        <v>45864.250579328705</v>
      </c>
      <c r="E4588" s="2">
        <v>2.12</v>
      </c>
      <c r="F4588" s="2">
        <v>58.1</v>
      </c>
      <c r="G4588" s="2" t="s">
        <v>983</v>
      </c>
      <c r="H4588" s="2" t="s">
        <v>984</v>
      </c>
      <c r="I4588" s="2"/>
      <c r="J4588" s="2" t="s">
        <v>43</v>
      </c>
    </row>
    <row r="4589" spans="1:10" ht="21" customHeight="1">
      <c r="A4589" s="2" t="s">
        <v>5588</v>
      </c>
      <c r="B4589" s="2" t="s">
        <v>43</v>
      </c>
      <c r="C4589" s="4">
        <v>45865.25</v>
      </c>
      <c r="D4589" s="4">
        <v>45865.250193854168</v>
      </c>
      <c r="E4589" s="2">
        <v>3.29</v>
      </c>
      <c r="F4589" s="2">
        <v>64.2</v>
      </c>
      <c r="G4589" s="2" t="s">
        <v>983</v>
      </c>
      <c r="H4589" s="2" t="s">
        <v>984</v>
      </c>
      <c r="I4589" s="2"/>
      <c r="J4589" s="2" t="s">
        <v>43</v>
      </c>
    </row>
    <row r="4590" spans="1:10" ht="21" customHeight="1">
      <c r="A4590" s="2" t="s">
        <v>5589</v>
      </c>
      <c r="B4590" s="2" t="s">
        <v>43</v>
      </c>
      <c r="C4590" s="4">
        <v>45866.25</v>
      </c>
      <c r="D4590" s="4">
        <v>45866.250017638886</v>
      </c>
      <c r="E4590" s="2">
        <v>2.2400000000000002</v>
      </c>
      <c r="F4590" s="2">
        <v>58.6</v>
      </c>
      <c r="G4590" s="2" t="s">
        <v>983</v>
      </c>
      <c r="H4590" s="2" t="s">
        <v>984</v>
      </c>
      <c r="I4590" s="2"/>
      <c r="J4590" s="2" t="s">
        <v>43</v>
      </c>
    </row>
    <row r="4591" spans="1:10" ht="21" customHeight="1">
      <c r="A4591" s="2" t="s">
        <v>5590</v>
      </c>
      <c r="B4591" s="2" t="s">
        <v>43</v>
      </c>
      <c r="C4591" s="4">
        <v>45867.25</v>
      </c>
      <c r="D4591" s="4">
        <v>45867.250092638889</v>
      </c>
      <c r="E4591" s="2">
        <v>2.99</v>
      </c>
      <c r="F4591" s="2">
        <v>65.099999999999994</v>
      </c>
      <c r="G4591" s="2" t="s">
        <v>983</v>
      </c>
      <c r="H4591" s="2" t="s">
        <v>984</v>
      </c>
      <c r="I4591" s="2"/>
      <c r="J4591" s="2" t="s">
        <v>43</v>
      </c>
    </row>
    <row r="4592" spans="1:10" ht="21" customHeight="1">
      <c r="A4592" s="2" t="s">
        <v>5591</v>
      </c>
      <c r="B4592" s="2" t="s">
        <v>43</v>
      </c>
      <c r="C4592" s="4">
        <v>45868.25</v>
      </c>
      <c r="D4592" s="4">
        <v>45868.25035037037</v>
      </c>
      <c r="E4592" s="2">
        <v>2.19</v>
      </c>
      <c r="F4592" s="2">
        <v>62.3</v>
      </c>
      <c r="G4592" s="2" t="s">
        <v>983</v>
      </c>
      <c r="H4592" s="2" t="s">
        <v>984</v>
      </c>
      <c r="I4592" s="2"/>
      <c r="J4592" s="2" t="s">
        <v>43</v>
      </c>
    </row>
    <row r="4593" spans="1:10" ht="21" customHeight="1">
      <c r="A4593" s="2" t="s">
        <v>5592</v>
      </c>
      <c r="B4593" s="2" t="s">
        <v>43</v>
      </c>
      <c r="C4593" s="4">
        <v>45869.25</v>
      </c>
      <c r="D4593" s="4">
        <v>45869.250206481476</v>
      </c>
      <c r="E4593" s="2">
        <v>2.77</v>
      </c>
      <c r="F4593" s="2">
        <v>60.4</v>
      </c>
      <c r="G4593" s="2" t="s">
        <v>983</v>
      </c>
      <c r="H4593" s="2" t="s">
        <v>984</v>
      </c>
      <c r="I4593" s="2"/>
      <c r="J4593" s="2" t="s">
        <v>43</v>
      </c>
    </row>
    <row r="4594" spans="1:10" ht="21" customHeight="1">
      <c r="A4594" s="2" t="s">
        <v>5593</v>
      </c>
      <c r="B4594" s="2" t="s">
        <v>5388</v>
      </c>
      <c r="C4594" s="4">
        <v>45870.25</v>
      </c>
      <c r="D4594" s="4">
        <v>45870.250220624999</v>
      </c>
      <c r="E4594" s="2">
        <v>2.94</v>
      </c>
      <c r="F4594" s="2">
        <v>65.900000000000006</v>
      </c>
      <c r="G4594" s="2" t="s">
        <v>983</v>
      </c>
      <c r="H4594" s="2" t="s">
        <v>984</v>
      </c>
      <c r="I4594" s="2"/>
      <c r="J4594" s="2" t="s">
        <v>43</v>
      </c>
    </row>
    <row r="4595" spans="1:10" ht="21" customHeight="1">
      <c r="A4595" s="2" t="s">
        <v>5594</v>
      </c>
      <c r="B4595" s="2" t="s">
        <v>43</v>
      </c>
      <c r="C4595" s="4">
        <v>45871.25</v>
      </c>
      <c r="D4595" s="4">
        <v>45871.250461840275</v>
      </c>
      <c r="E4595" s="2">
        <v>2.4500000000000002</v>
      </c>
      <c r="F4595" s="2">
        <v>63.4</v>
      </c>
      <c r="G4595" s="2" t="s">
        <v>983</v>
      </c>
      <c r="H4595" s="2" t="s">
        <v>984</v>
      </c>
      <c r="I4595" s="2"/>
      <c r="J4595" s="2" t="s">
        <v>43</v>
      </c>
    </row>
    <row r="4596" spans="1:10" ht="21" customHeight="1">
      <c r="A4596" s="2" t="s">
        <v>5595</v>
      </c>
      <c r="B4596" s="2" t="s">
        <v>43</v>
      </c>
      <c r="C4596" s="4">
        <v>45872.25</v>
      </c>
      <c r="D4596" s="4">
        <v>45872.250622384265</v>
      </c>
      <c r="E4596" s="2">
        <v>2.99</v>
      </c>
      <c r="F4596" s="2">
        <v>65.3</v>
      </c>
      <c r="G4596" s="2" t="s">
        <v>983</v>
      </c>
      <c r="H4596" s="2" t="s">
        <v>984</v>
      </c>
      <c r="I4596" s="2"/>
      <c r="J4596" s="2" t="s">
        <v>43</v>
      </c>
    </row>
    <row r="4597" spans="1:10" ht="21" customHeight="1">
      <c r="A4597" s="2" t="s">
        <v>5596</v>
      </c>
      <c r="B4597" s="2" t="s">
        <v>43</v>
      </c>
      <c r="C4597" s="4">
        <v>45873.25</v>
      </c>
      <c r="D4597" s="4">
        <v>45873.250347349538</v>
      </c>
      <c r="E4597" s="2">
        <v>2.85</v>
      </c>
      <c r="F4597" s="2">
        <v>62.3</v>
      </c>
      <c r="G4597" s="2" t="s">
        <v>983</v>
      </c>
      <c r="H4597" s="2" t="s">
        <v>984</v>
      </c>
      <c r="I4597" s="2"/>
      <c r="J4597" s="2" t="s">
        <v>43</v>
      </c>
    </row>
    <row r="4598" spans="1:10" ht="21" customHeight="1">
      <c r="A4598" s="2" t="s">
        <v>5597</v>
      </c>
      <c r="B4598" s="2" t="s">
        <v>43</v>
      </c>
      <c r="C4598" s="4">
        <v>45874.25</v>
      </c>
      <c r="D4598" s="4">
        <v>45874.250275370374</v>
      </c>
      <c r="E4598" s="2">
        <v>2.25</v>
      </c>
      <c r="F4598" s="2">
        <v>63.8</v>
      </c>
      <c r="G4598" s="2" t="s">
        <v>983</v>
      </c>
      <c r="H4598" s="2" t="s">
        <v>984</v>
      </c>
      <c r="I4598" s="2"/>
      <c r="J4598" s="2" t="s">
        <v>43</v>
      </c>
    </row>
    <row r="4599" spans="1:10" ht="21" customHeight="1">
      <c r="A4599" s="2" t="s">
        <v>5598</v>
      </c>
      <c r="B4599" s="2" t="s">
        <v>43</v>
      </c>
      <c r="C4599" s="4">
        <v>45875.25</v>
      </c>
      <c r="D4599" s="4">
        <v>45875.250671226851</v>
      </c>
      <c r="E4599" s="2">
        <v>2.5299999999999998</v>
      </c>
      <c r="F4599" s="2">
        <v>61.8</v>
      </c>
      <c r="G4599" s="2" t="s">
        <v>983</v>
      </c>
      <c r="H4599" s="2" t="s">
        <v>984</v>
      </c>
      <c r="I4599" s="2"/>
      <c r="J4599" s="2" t="s">
        <v>43</v>
      </c>
    </row>
    <row r="4600" spans="1:10" ht="21" customHeight="1">
      <c r="A4600" s="2" t="s">
        <v>5599</v>
      </c>
      <c r="B4600" s="2" t="s">
        <v>43</v>
      </c>
      <c r="C4600" s="4">
        <v>45876.25</v>
      </c>
      <c r="D4600" s="4">
        <v>45876.250107291664</v>
      </c>
      <c r="E4600" s="2">
        <v>2.33</v>
      </c>
      <c r="F4600" s="2">
        <v>62.9</v>
      </c>
      <c r="G4600" s="2" t="s">
        <v>983</v>
      </c>
      <c r="H4600" s="2" t="s">
        <v>984</v>
      </c>
      <c r="I4600" s="2"/>
      <c r="J4600" s="2" t="s">
        <v>43</v>
      </c>
    </row>
    <row r="4601" spans="1:10" ht="21" customHeight="1">
      <c r="A4601" s="2" t="s">
        <v>5600</v>
      </c>
      <c r="B4601" s="2" t="s">
        <v>43</v>
      </c>
      <c r="C4601" s="4">
        <v>45877.25</v>
      </c>
      <c r="D4601" s="4">
        <v>45877.250327118054</v>
      </c>
      <c r="E4601" s="2">
        <v>0</v>
      </c>
      <c r="F4601" s="2">
        <v>64.3</v>
      </c>
      <c r="G4601" s="2" t="s">
        <v>1175</v>
      </c>
      <c r="H4601" s="2" t="s">
        <v>984</v>
      </c>
      <c r="I4601" s="2"/>
      <c r="J4601" s="2" t="s">
        <v>43</v>
      </c>
    </row>
    <row r="4602" spans="1:10" ht="21" customHeight="1">
      <c r="A4602" s="2" t="s">
        <v>5601</v>
      </c>
      <c r="B4602" s="2" t="s">
        <v>43</v>
      </c>
      <c r="C4602" s="4">
        <v>45878.25</v>
      </c>
      <c r="D4602" s="4">
        <v>45878.250131759254</v>
      </c>
      <c r="E4602" s="2">
        <v>3.19</v>
      </c>
      <c r="F4602" s="2">
        <v>58.8</v>
      </c>
      <c r="G4602" s="2" t="s">
        <v>983</v>
      </c>
      <c r="H4602" s="2" t="s">
        <v>984</v>
      </c>
      <c r="I4602" s="2"/>
      <c r="J4602" s="2" t="s">
        <v>43</v>
      </c>
    </row>
    <row r="4603" spans="1:10" ht="21" customHeight="1">
      <c r="A4603" s="2" t="s">
        <v>5602</v>
      </c>
      <c r="B4603" s="2" t="s">
        <v>43</v>
      </c>
      <c r="C4603" s="4">
        <v>45879.25</v>
      </c>
      <c r="D4603" s="4">
        <v>45879.250027789356</v>
      </c>
      <c r="E4603" s="2">
        <v>2.7</v>
      </c>
      <c r="F4603" s="2">
        <v>65.8</v>
      </c>
      <c r="G4603" s="2" t="s">
        <v>983</v>
      </c>
      <c r="H4603" s="2" t="s">
        <v>984</v>
      </c>
      <c r="I4603" s="2" t="s">
        <v>985</v>
      </c>
      <c r="J4603" s="2" t="s">
        <v>43</v>
      </c>
    </row>
    <row r="4604" spans="1:10" ht="21" customHeight="1">
      <c r="A4604" s="2" t="s">
        <v>5603</v>
      </c>
      <c r="B4604" s="2" t="s">
        <v>43</v>
      </c>
      <c r="C4604" s="4">
        <v>45880.25</v>
      </c>
      <c r="D4604" s="4">
        <v>45880.250442349541</v>
      </c>
      <c r="E4604" s="2">
        <v>2.77</v>
      </c>
      <c r="F4604" s="2">
        <v>61.2</v>
      </c>
      <c r="G4604" s="2" t="s">
        <v>983</v>
      </c>
      <c r="H4604" s="2" t="s">
        <v>984</v>
      </c>
      <c r="I4604" s="2"/>
      <c r="J4604" s="2" t="s">
        <v>43</v>
      </c>
    </row>
    <row r="4605" spans="1:10" ht="21" customHeight="1">
      <c r="A4605" s="2" t="s">
        <v>5604</v>
      </c>
      <c r="B4605" s="2" t="s">
        <v>43</v>
      </c>
      <c r="C4605" s="4">
        <v>45881.25</v>
      </c>
      <c r="D4605" s="4">
        <v>45881.250411967594</v>
      </c>
      <c r="E4605" s="2">
        <v>2.56</v>
      </c>
      <c r="F4605" s="2">
        <v>59.6</v>
      </c>
      <c r="G4605" s="2" t="s">
        <v>983</v>
      </c>
      <c r="H4605" s="2" t="s">
        <v>984</v>
      </c>
      <c r="I4605" s="2"/>
      <c r="J4605" s="2" t="s">
        <v>43</v>
      </c>
    </row>
    <row r="4606" spans="1:10" ht="21" customHeight="1">
      <c r="A4606" s="2" t="s">
        <v>5605</v>
      </c>
      <c r="B4606" s="2" t="s">
        <v>43</v>
      </c>
      <c r="C4606" s="4">
        <v>45882.25</v>
      </c>
      <c r="D4606" s="4">
        <v>45882.250452453707</v>
      </c>
      <c r="E4606" s="2">
        <v>2.97</v>
      </c>
      <c r="F4606" s="2">
        <v>59.4</v>
      </c>
      <c r="G4606" s="2" t="s">
        <v>983</v>
      </c>
      <c r="H4606" s="2" t="s">
        <v>984</v>
      </c>
      <c r="I4606" s="2"/>
      <c r="J4606" s="2" t="s">
        <v>43</v>
      </c>
    </row>
    <row r="4607" spans="1:10" ht="21" customHeight="1">
      <c r="A4607" s="2" t="s">
        <v>5606</v>
      </c>
      <c r="B4607" s="2" t="s">
        <v>43</v>
      </c>
      <c r="C4607" s="4">
        <v>45883.25</v>
      </c>
      <c r="D4607" s="4">
        <v>45883.250132060188</v>
      </c>
      <c r="E4607" s="2">
        <v>2.67</v>
      </c>
      <c r="F4607" s="2">
        <v>62.3</v>
      </c>
      <c r="G4607" s="2" t="s">
        <v>983</v>
      </c>
      <c r="H4607" s="2" t="s">
        <v>984</v>
      </c>
      <c r="I4607" s="2"/>
      <c r="J4607" s="2" t="s">
        <v>43</v>
      </c>
    </row>
    <row r="4608" spans="1:10" ht="21" customHeight="1">
      <c r="A4608" s="2" t="s">
        <v>5607</v>
      </c>
      <c r="B4608" s="2" t="s">
        <v>43</v>
      </c>
      <c r="C4608" s="4">
        <v>45884.25</v>
      </c>
      <c r="D4608" s="4">
        <v>45884.250029722221</v>
      </c>
      <c r="E4608" s="2">
        <v>2.16</v>
      </c>
      <c r="F4608" s="2">
        <v>59.2</v>
      </c>
      <c r="G4608" s="2" t="s">
        <v>983</v>
      </c>
      <c r="H4608" s="2" t="s">
        <v>984</v>
      </c>
      <c r="I4608" s="2"/>
      <c r="J4608" s="2" t="s">
        <v>43</v>
      </c>
    </row>
    <row r="4609" spans="1:10" ht="21" customHeight="1">
      <c r="A4609" s="2" t="s">
        <v>5608</v>
      </c>
      <c r="B4609" s="2" t="s">
        <v>43</v>
      </c>
      <c r="C4609" s="4">
        <v>45885.25</v>
      </c>
      <c r="D4609" s="4">
        <v>45885.250117326388</v>
      </c>
      <c r="E4609" s="2">
        <v>2.25</v>
      </c>
      <c r="F4609" s="2">
        <v>59.2</v>
      </c>
      <c r="G4609" s="2" t="s">
        <v>983</v>
      </c>
      <c r="H4609" s="2" t="s">
        <v>984</v>
      </c>
      <c r="I4609" s="2"/>
      <c r="J4609" s="2" t="s">
        <v>43</v>
      </c>
    </row>
    <row r="4610" spans="1:10" ht="21" customHeight="1">
      <c r="A4610" s="2" t="s">
        <v>5609</v>
      </c>
      <c r="B4610" s="2" t="s">
        <v>43</v>
      </c>
      <c r="C4610" s="4">
        <v>45886.25</v>
      </c>
      <c r="D4610" s="4">
        <v>45886.250312870368</v>
      </c>
      <c r="E4610" s="2">
        <v>2.36</v>
      </c>
      <c r="F4610" s="2">
        <v>62.4</v>
      </c>
      <c r="G4610" s="2" t="s">
        <v>983</v>
      </c>
      <c r="H4610" s="2" t="s">
        <v>984</v>
      </c>
      <c r="I4610" s="2"/>
      <c r="J4610" s="2" t="s">
        <v>43</v>
      </c>
    </row>
    <row r="4611" spans="1:10" ht="21" customHeight="1">
      <c r="A4611" s="2" t="s">
        <v>5610</v>
      </c>
      <c r="B4611" s="2" t="s">
        <v>43</v>
      </c>
      <c r="C4611" s="4">
        <v>45887.25</v>
      </c>
      <c r="D4611" s="4">
        <v>45887.250095833333</v>
      </c>
      <c r="E4611" s="2">
        <v>2.6</v>
      </c>
      <c r="F4611" s="2">
        <v>58.6</v>
      </c>
      <c r="G4611" s="2" t="s">
        <v>983</v>
      </c>
      <c r="H4611" s="2" t="s">
        <v>984</v>
      </c>
      <c r="I4611" s="2"/>
      <c r="J4611" s="2" t="s">
        <v>43</v>
      </c>
    </row>
    <row r="4612" spans="1:10" ht="21" customHeight="1">
      <c r="A4612" s="2" t="s">
        <v>5611</v>
      </c>
      <c r="B4612" s="2" t="s">
        <v>43</v>
      </c>
      <c r="C4612" s="4">
        <v>45888.25</v>
      </c>
      <c r="D4612" s="4">
        <v>45888.250417372685</v>
      </c>
      <c r="E4612" s="2">
        <v>2.4900000000000002</v>
      </c>
      <c r="F4612" s="2">
        <v>62.6</v>
      </c>
      <c r="G4612" s="2" t="s">
        <v>983</v>
      </c>
      <c r="H4612" s="2" t="s">
        <v>984</v>
      </c>
      <c r="I4612" s="2"/>
      <c r="J4612" s="2" t="s">
        <v>43</v>
      </c>
    </row>
    <row r="4613" spans="1:10" ht="21" customHeight="1">
      <c r="A4613" s="2" t="s">
        <v>5612</v>
      </c>
      <c r="B4613" s="2" t="s">
        <v>43</v>
      </c>
      <c r="C4613" s="4">
        <v>45889.25</v>
      </c>
      <c r="D4613" s="4">
        <v>45889.250693541668</v>
      </c>
      <c r="E4613" s="2">
        <v>5.01</v>
      </c>
      <c r="F4613" s="2">
        <v>67.7</v>
      </c>
      <c r="G4613" s="2" t="s">
        <v>983</v>
      </c>
      <c r="H4613" s="2" t="s">
        <v>984</v>
      </c>
      <c r="I4613" s="2"/>
      <c r="J4613" s="2" t="s">
        <v>43</v>
      </c>
    </row>
    <row r="4614" spans="1:10" ht="21" customHeight="1">
      <c r="A4614" s="2" t="s">
        <v>5613</v>
      </c>
      <c r="B4614" s="2" t="s">
        <v>43</v>
      </c>
      <c r="C4614" s="4">
        <v>45890.25</v>
      </c>
      <c r="D4614" s="4">
        <v>45890.25057621528</v>
      </c>
      <c r="E4614" s="2">
        <v>5.86</v>
      </c>
      <c r="F4614" s="2">
        <v>71.900000000000006</v>
      </c>
      <c r="G4614" s="2" t="s">
        <v>983</v>
      </c>
      <c r="H4614" s="2" t="s">
        <v>984</v>
      </c>
      <c r="I4614" s="2" t="s">
        <v>1053</v>
      </c>
      <c r="J4614" s="2" t="s">
        <v>43</v>
      </c>
    </row>
    <row r="4615" spans="1:10" ht="21" customHeight="1">
      <c r="A4615" s="2" t="s">
        <v>5614</v>
      </c>
      <c r="B4615" s="2" t="s">
        <v>43</v>
      </c>
      <c r="C4615" s="4">
        <v>45891.25</v>
      </c>
      <c r="D4615" s="4">
        <v>45891.250406273146</v>
      </c>
      <c r="E4615" s="2">
        <v>5.69</v>
      </c>
      <c r="F4615" s="2">
        <v>66.2</v>
      </c>
      <c r="G4615" s="2" t="s">
        <v>983</v>
      </c>
      <c r="H4615" s="2" t="s">
        <v>984</v>
      </c>
      <c r="I4615" s="2"/>
      <c r="J4615" s="2" t="s">
        <v>43</v>
      </c>
    </row>
    <row r="4616" spans="1:10" ht="21" customHeight="1">
      <c r="A4616" s="2" t="s">
        <v>5615</v>
      </c>
      <c r="B4616" s="2" t="s">
        <v>43</v>
      </c>
      <c r="C4616" s="4">
        <v>45892.25</v>
      </c>
      <c r="D4616" s="4">
        <v>45892.250382743056</v>
      </c>
      <c r="E4616" s="2">
        <v>0</v>
      </c>
      <c r="F4616" s="2">
        <v>61.9</v>
      </c>
      <c r="G4616" s="2" t="s">
        <v>1175</v>
      </c>
      <c r="H4616" s="2" t="s">
        <v>984</v>
      </c>
      <c r="I4616" s="2"/>
      <c r="J4616" s="2" t="s">
        <v>43</v>
      </c>
    </row>
    <row r="4617" spans="1:10" ht="21" customHeight="1">
      <c r="A4617" s="2" t="s">
        <v>5616</v>
      </c>
      <c r="B4617" s="2" t="s">
        <v>43</v>
      </c>
      <c r="C4617" s="4">
        <v>45893.25</v>
      </c>
      <c r="D4617" s="4">
        <v>45893.250654930554</v>
      </c>
      <c r="E4617" s="2">
        <v>2.11</v>
      </c>
      <c r="F4617" s="2">
        <v>61.2</v>
      </c>
      <c r="G4617" s="2" t="s">
        <v>983</v>
      </c>
      <c r="H4617" s="2" t="s">
        <v>984</v>
      </c>
      <c r="I4617" s="2"/>
      <c r="J4617" s="2" t="s">
        <v>43</v>
      </c>
    </row>
    <row r="4618" spans="1:10" ht="21" customHeight="1">
      <c r="A4618" s="2" t="s">
        <v>5617</v>
      </c>
      <c r="B4618" s="2" t="s">
        <v>43</v>
      </c>
      <c r="C4618" s="4">
        <v>45894.25</v>
      </c>
      <c r="D4618" s="4">
        <v>45894.250134074071</v>
      </c>
      <c r="E4618" s="2">
        <v>2.76</v>
      </c>
      <c r="F4618" s="2">
        <v>58.9</v>
      </c>
      <c r="G4618" s="2" t="s">
        <v>983</v>
      </c>
      <c r="H4618" s="2" t="s">
        <v>984</v>
      </c>
      <c r="I4618" s="2"/>
      <c r="J4618" s="2" t="s">
        <v>43</v>
      </c>
    </row>
    <row r="4619" spans="1:10" ht="21" customHeight="1">
      <c r="A4619" s="2" t="s">
        <v>5618</v>
      </c>
      <c r="B4619" s="2" t="s">
        <v>43</v>
      </c>
      <c r="C4619" s="4">
        <v>45895.25</v>
      </c>
      <c r="D4619" s="4">
        <v>45895.250243958333</v>
      </c>
      <c r="E4619" s="2">
        <v>2.16</v>
      </c>
      <c r="F4619" s="2">
        <v>58.2</v>
      </c>
      <c r="G4619" s="2" t="s">
        <v>983</v>
      </c>
      <c r="H4619" s="2" t="s">
        <v>984</v>
      </c>
      <c r="I4619" s="2"/>
      <c r="J4619" s="2" t="s">
        <v>43</v>
      </c>
    </row>
    <row r="4620" spans="1:10" ht="21" customHeight="1">
      <c r="A4620" s="2" t="s">
        <v>5619</v>
      </c>
      <c r="B4620" s="2" t="s">
        <v>43</v>
      </c>
      <c r="C4620" s="4">
        <v>45896.25</v>
      </c>
      <c r="D4620" s="4">
        <v>45896.25059570602</v>
      </c>
      <c r="E4620" s="2">
        <v>3.13</v>
      </c>
      <c r="F4620" s="2">
        <v>59.9</v>
      </c>
      <c r="G4620" s="2" t="s">
        <v>983</v>
      </c>
      <c r="H4620" s="2" t="s">
        <v>984</v>
      </c>
      <c r="I4620" s="2" t="s">
        <v>985</v>
      </c>
      <c r="J4620" s="2" t="s">
        <v>43</v>
      </c>
    </row>
    <row r="4621" spans="1:10" ht="21" customHeight="1">
      <c r="A4621" s="2" t="s">
        <v>5620</v>
      </c>
      <c r="B4621" s="2" t="s">
        <v>43</v>
      </c>
      <c r="C4621" s="4">
        <v>45897.25</v>
      </c>
      <c r="D4621" s="4">
        <v>45897.250389050925</v>
      </c>
      <c r="E4621" s="2">
        <v>3.04</v>
      </c>
      <c r="F4621" s="2">
        <v>60.1</v>
      </c>
      <c r="G4621" s="2" t="s">
        <v>983</v>
      </c>
      <c r="H4621" s="2" t="s">
        <v>984</v>
      </c>
      <c r="I4621" s="2"/>
      <c r="J4621" s="2" t="s">
        <v>43</v>
      </c>
    </row>
    <row r="4622" spans="1:10" ht="21" customHeight="1">
      <c r="A4622" s="2" t="s">
        <v>5621</v>
      </c>
      <c r="B4622" s="2" t="s">
        <v>43</v>
      </c>
      <c r="C4622" s="4">
        <v>45898.25</v>
      </c>
      <c r="D4622" s="4">
        <v>45898.25025621528</v>
      </c>
      <c r="E4622" s="2">
        <v>3</v>
      </c>
      <c r="F4622" s="2">
        <v>63.9</v>
      </c>
      <c r="G4622" s="2" t="s">
        <v>983</v>
      </c>
      <c r="H4622" s="2" t="s">
        <v>984</v>
      </c>
      <c r="I4622" s="2"/>
      <c r="J4622" s="2" t="s">
        <v>43</v>
      </c>
    </row>
    <row r="4623" spans="1:10" ht="21" customHeight="1">
      <c r="A4623" s="2" t="s">
        <v>5622</v>
      </c>
      <c r="B4623" s="2" t="s">
        <v>43</v>
      </c>
      <c r="C4623" s="4">
        <v>45899.25</v>
      </c>
      <c r="D4623" s="4">
        <v>45899.25054734954</v>
      </c>
      <c r="E4623" s="2">
        <v>2.2799999999999998</v>
      </c>
      <c r="F4623" s="2">
        <v>65.5</v>
      </c>
      <c r="G4623" s="2" t="s">
        <v>983</v>
      </c>
      <c r="H4623" s="2" t="s">
        <v>984</v>
      </c>
      <c r="I4623" s="2"/>
      <c r="J4623" s="2" t="s">
        <v>43</v>
      </c>
    </row>
    <row r="4624" spans="1:10" ht="21" customHeight="1">
      <c r="A4624" s="2" t="s">
        <v>5623</v>
      </c>
      <c r="B4624" s="2" t="s">
        <v>43</v>
      </c>
      <c r="C4624" s="4">
        <v>45900.25</v>
      </c>
      <c r="D4624" s="4">
        <v>45900.250117256946</v>
      </c>
      <c r="E4624" s="2">
        <v>2.5</v>
      </c>
      <c r="F4624" s="2">
        <v>64.3</v>
      </c>
      <c r="G4624" s="2" t="s">
        <v>983</v>
      </c>
      <c r="H4624" s="2" t="s">
        <v>984</v>
      </c>
      <c r="I4624" s="2"/>
      <c r="J4624" s="2" t="s">
        <v>43</v>
      </c>
    </row>
    <row r="4625" spans="1:10" ht="21" customHeight="1">
      <c r="A4625" s="2" t="s">
        <v>5624</v>
      </c>
      <c r="B4625" s="2" t="s">
        <v>43</v>
      </c>
      <c r="C4625" s="4">
        <v>45901.25</v>
      </c>
      <c r="D4625" s="4">
        <v>45901.250331921299</v>
      </c>
      <c r="E4625" s="2">
        <v>2.69</v>
      </c>
      <c r="F4625" s="2">
        <v>63.6</v>
      </c>
      <c r="G4625" s="2" t="s">
        <v>983</v>
      </c>
      <c r="H4625" s="2" t="s">
        <v>984</v>
      </c>
      <c r="I4625" s="2"/>
      <c r="J4625" s="2" t="s">
        <v>43</v>
      </c>
    </row>
    <row r="4626" spans="1:10" ht="21" customHeight="1">
      <c r="A4626" s="2" t="s">
        <v>5625</v>
      </c>
      <c r="B4626" s="2" t="s">
        <v>43</v>
      </c>
      <c r="C4626" s="4">
        <v>45902.25</v>
      </c>
      <c r="D4626" s="4">
        <v>45902.250645</v>
      </c>
      <c r="E4626" s="2">
        <v>2.73</v>
      </c>
      <c r="F4626" s="2">
        <v>60.3</v>
      </c>
      <c r="G4626" s="2" t="s">
        <v>983</v>
      </c>
      <c r="H4626" s="2" t="s">
        <v>984</v>
      </c>
      <c r="I4626" s="2"/>
      <c r="J4626" s="2" t="s">
        <v>43</v>
      </c>
    </row>
    <row r="4627" spans="1:10" ht="21" customHeight="1">
      <c r="A4627" s="2" t="s">
        <v>5626</v>
      </c>
      <c r="B4627" s="2" t="s">
        <v>43</v>
      </c>
      <c r="C4627" s="4">
        <v>45903.25</v>
      </c>
      <c r="D4627" s="4">
        <v>45903.250509351856</v>
      </c>
      <c r="E4627" s="2">
        <v>2.37</v>
      </c>
      <c r="F4627" s="2">
        <v>59.1</v>
      </c>
      <c r="G4627" s="2" t="s">
        <v>983</v>
      </c>
      <c r="H4627" s="2" t="s">
        <v>984</v>
      </c>
      <c r="I4627" s="2"/>
      <c r="J4627" s="2" t="s">
        <v>43</v>
      </c>
    </row>
    <row r="4628" spans="1:10" ht="21" customHeight="1">
      <c r="A4628" s="2" t="s">
        <v>5627</v>
      </c>
      <c r="B4628" s="2" t="s">
        <v>43</v>
      </c>
      <c r="C4628" s="4">
        <v>45904.25</v>
      </c>
      <c r="D4628" s="4">
        <v>45904.250626724534</v>
      </c>
      <c r="E4628" s="2">
        <v>2.77</v>
      </c>
      <c r="F4628" s="2">
        <v>63.5</v>
      </c>
      <c r="G4628" s="2" t="s">
        <v>983</v>
      </c>
      <c r="H4628" s="2" t="s">
        <v>984</v>
      </c>
      <c r="I4628" s="2"/>
      <c r="J4628" s="2" t="s">
        <v>43</v>
      </c>
    </row>
    <row r="4629" spans="1:10" ht="21" customHeight="1">
      <c r="A4629" s="2" t="s">
        <v>5628</v>
      </c>
      <c r="B4629" s="2" t="s">
        <v>43</v>
      </c>
      <c r="C4629" s="4">
        <v>45905.25</v>
      </c>
      <c r="D4629" s="4">
        <v>45905.250220752314</v>
      </c>
      <c r="E4629" s="2">
        <v>2.85</v>
      </c>
      <c r="F4629" s="2">
        <v>60.4</v>
      </c>
      <c r="G4629" s="2" t="s">
        <v>983</v>
      </c>
      <c r="H4629" s="2" t="s">
        <v>984</v>
      </c>
      <c r="I4629" s="2"/>
      <c r="J4629" s="2" t="s">
        <v>43</v>
      </c>
    </row>
    <row r="4630" spans="1:10" ht="21" customHeight="1">
      <c r="A4630" s="2" t="s">
        <v>5629</v>
      </c>
      <c r="B4630" s="2" t="s">
        <v>43</v>
      </c>
      <c r="C4630" s="4">
        <v>45906.25</v>
      </c>
      <c r="D4630" s="4">
        <v>45906.250205138887</v>
      </c>
      <c r="E4630" s="2">
        <v>3.01</v>
      </c>
      <c r="F4630" s="2">
        <v>59.7</v>
      </c>
      <c r="G4630" s="2" t="s">
        <v>983</v>
      </c>
      <c r="H4630" s="2" t="s">
        <v>984</v>
      </c>
      <c r="I4630" s="2"/>
      <c r="J4630" s="2" t="s">
        <v>43</v>
      </c>
    </row>
    <row r="4631" spans="1:10" ht="21" customHeight="1">
      <c r="A4631" s="2" t="s">
        <v>5630</v>
      </c>
      <c r="B4631" s="2" t="s">
        <v>43</v>
      </c>
      <c r="C4631" s="4">
        <v>45907.25</v>
      </c>
      <c r="D4631" s="4">
        <v>45907.250533599537</v>
      </c>
      <c r="E4631" s="2">
        <v>2.15</v>
      </c>
      <c r="F4631" s="2">
        <v>63.9</v>
      </c>
      <c r="G4631" s="2" t="s">
        <v>983</v>
      </c>
      <c r="H4631" s="2" t="s">
        <v>984</v>
      </c>
      <c r="I4631" s="2"/>
      <c r="J4631" s="2" t="s">
        <v>43</v>
      </c>
    </row>
    <row r="4632" spans="1:10" ht="21" customHeight="1">
      <c r="A4632" s="2" t="s">
        <v>5631</v>
      </c>
      <c r="B4632" s="2" t="s">
        <v>43</v>
      </c>
      <c r="C4632" s="4">
        <v>45908.25</v>
      </c>
      <c r="D4632" s="4">
        <v>45908.250345185181</v>
      </c>
      <c r="E4632" s="2">
        <v>3.23</v>
      </c>
      <c r="F4632" s="2">
        <v>63.5</v>
      </c>
      <c r="G4632" s="2" t="s">
        <v>983</v>
      </c>
      <c r="H4632" s="2" t="s">
        <v>984</v>
      </c>
      <c r="I4632" s="2"/>
      <c r="J4632" s="2" t="s">
        <v>43</v>
      </c>
    </row>
    <row r="4633" spans="1:10" ht="21" customHeight="1">
      <c r="A4633" s="2" t="s">
        <v>5632</v>
      </c>
      <c r="B4633" s="2" t="s">
        <v>43</v>
      </c>
      <c r="C4633" s="4">
        <v>45909.25</v>
      </c>
      <c r="D4633" s="4">
        <v>45909.250468923608</v>
      </c>
      <c r="E4633" s="2"/>
      <c r="F4633" s="2"/>
      <c r="G4633" s="2" t="s">
        <v>983</v>
      </c>
      <c r="H4633" s="2" t="s">
        <v>1066</v>
      </c>
      <c r="I4633" s="2"/>
      <c r="J4633" s="2" t="s">
        <v>43</v>
      </c>
    </row>
    <row r="4634" spans="1:10" ht="21" customHeight="1">
      <c r="A4634" s="2" t="s">
        <v>5633</v>
      </c>
      <c r="B4634" s="2" t="s">
        <v>43</v>
      </c>
      <c r="C4634" s="4">
        <v>45910.25</v>
      </c>
      <c r="D4634" s="4">
        <v>45910.250616597223</v>
      </c>
      <c r="E4634" s="2">
        <v>2.98</v>
      </c>
      <c r="F4634" s="2">
        <v>64.8</v>
      </c>
      <c r="G4634" s="2" t="s">
        <v>983</v>
      </c>
      <c r="H4634" s="2" t="s">
        <v>984</v>
      </c>
      <c r="I4634" s="2"/>
      <c r="J4634" s="2" t="s">
        <v>43</v>
      </c>
    </row>
    <row r="4635" spans="1:10" ht="21" customHeight="1">
      <c r="A4635" s="2" t="s">
        <v>5634</v>
      </c>
      <c r="B4635" s="2" t="s">
        <v>5388</v>
      </c>
      <c r="C4635" s="4">
        <v>45911.25</v>
      </c>
      <c r="D4635" s="4">
        <v>45911.250381527774</v>
      </c>
      <c r="E4635" s="2">
        <v>3.24</v>
      </c>
      <c r="F4635" s="2">
        <v>59.7</v>
      </c>
      <c r="G4635" s="2" t="s">
        <v>983</v>
      </c>
      <c r="H4635" s="2" t="s">
        <v>984</v>
      </c>
      <c r="I4635" s="2"/>
      <c r="J4635" s="2" t="s">
        <v>43</v>
      </c>
    </row>
    <row r="4636" spans="1:10" ht="21" customHeight="1">
      <c r="A4636" s="2" t="s">
        <v>5635</v>
      </c>
      <c r="B4636" s="2" t="s">
        <v>43</v>
      </c>
      <c r="C4636" s="4">
        <v>45912.25</v>
      </c>
      <c r="D4636" s="4">
        <v>45912.250623576387</v>
      </c>
      <c r="E4636" s="2">
        <v>2.2400000000000002</v>
      </c>
      <c r="F4636" s="2">
        <v>62.8</v>
      </c>
      <c r="G4636" s="2" t="s">
        <v>983</v>
      </c>
      <c r="H4636" s="2" t="s">
        <v>984</v>
      </c>
      <c r="I4636" s="2"/>
      <c r="J4636" s="2" t="s">
        <v>43</v>
      </c>
    </row>
    <row r="4637" spans="1:10" ht="21" customHeight="1">
      <c r="A4637" s="2" t="s">
        <v>5636</v>
      </c>
      <c r="B4637" s="2" t="s">
        <v>43</v>
      </c>
      <c r="C4637" s="4">
        <v>45913.25</v>
      </c>
      <c r="D4637" s="4">
        <v>45913.250363587962</v>
      </c>
      <c r="E4637" s="2">
        <v>3.16</v>
      </c>
      <c r="F4637" s="2">
        <v>60.3</v>
      </c>
      <c r="G4637" s="2" t="s">
        <v>983</v>
      </c>
      <c r="H4637" s="2" t="s">
        <v>984</v>
      </c>
      <c r="I4637" s="2" t="s">
        <v>985</v>
      </c>
      <c r="J4637" s="2" t="s">
        <v>43</v>
      </c>
    </row>
    <row r="4638" spans="1:10" ht="21" customHeight="1">
      <c r="A4638" s="2" t="s">
        <v>5637</v>
      </c>
      <c r="B4638" s="2" t="s">
        <v>43</v>
      </c>
      <c r="C4638" s="4">
        <v>45914.25</v>
      </c>
      <c r="D4638" s="4">
        <v>45914.250260277782</v>
      </c>
      <c r="E4638" s="2">
        <v>2.85</v>
      </c>
      <c r="F4638" s="2">
        <v>62.4</v>
      </c>
      <c r="G4638" s="2" t="s">
        <v>983</v>
      </c>
      <c r="H4638" s="2" t="s">
        <v>984</v>
      </c>
      <c r="I4638" s="2"/>
      <c r="J4638" s="2" t="s">
        <v>43</v>
      </c>
    </row>
    <row r="4639" spans="1:10" ht="21" customHeight="1">
      <c r="A4639" s="2" t="s">
        <v>5638</v>
      </c>
      <c r="B4639" s="2" t="s">
        <v>43</v>
      </c>
      <c r="C4639" s="4">
        <v>45915.25</v>
      </c>
      <c r="D4639" s="4">
        <v>45915.250320405088</v>
      </c>
      <c r="E4639" s="2">
        <v>2.16</v>
      </c>
      <c r="F4639" s="2">
        <v>64</v>
      </c>
      <c r="G4639" s="2" t="s">
        <v>983</v>
      </c>
      <c r="H4639" s="2" t="s">
        <v>984</v>
      </c>
      <c r="I4639" s="2"/>
      <c r="J4639" s="2" t="s">
        <v>43</v>
      </c>
    </row>
    <row r="4640" spans="1:10" ht="21" customHeight="1">
      <c r="A4640" s="2" t="s">
        <v>5639</v>
      </c>
      <c r="B4640" s="2" t="s">
        <v>43</v>
      </c>
      <c r="C4640" s="4">
        <v>45916.25</v>
      </c>
      <c r="D4640" s="4">
        <v>45916.250641851853</v>
      </c>
      <c r="E4640" s="2">
        <v>2.17</v>
      </c>
      <c r="F4640" s="2">
        <v>64.2</v>
      </c>
      <c r="G4640" s="2" t="s">
        <v>983</v>
      </c>
      <c r="H4640" s="2" t="s">
        <v>984</v>
      </c>
      <c r="I4640" s="2"/>
      <c r="J4640" s="2" t="s">
        <v>43</v>
      </c>
    </row>
    <row r="4641" spans="1:10" ht="21" customHeight="1">
      <c r="A4641" s="2" t="s">
        <v>5640</v>
      </c>
      <c r="B4641" s="2" t="s">
        <v>43</v>
      </c>
      <c r="C4641" s="4">
        <v>45917.25</v>
      </c>
      <c r="D4641" s="4">
        <v>45917.250311342592</v>
      </c>
      <c r="E4641" s="2">
        <v>2.2200000000000002</v>
      </c>
      <c r="F4641" s="2">
        <v>59.5</v>
      </c>
      <c r="G4641" s="2" t="s">
        <v>983</v>
      </c>
      <c r="H4641" s="2" t="s">
        <v>984</v>
      </c>
      <c r="I4641" s="2"/>
      <c r="J4641" s="2" t="s">
        <v>43</v>
      </c>
    </row>
    <row r="4642" spans="1:10" ht="21" customHeight="1">
      <c r="A4642" s="2" t="s">
        <v>5641</v>
      </c>
      <c r="B4642" s="2" t="s">
        <v>43</v>
      </c>
      <c r="C4642" s="4">
        <v>45918.25</v>
      </c>
      <c r="D4642" s="4">
        <v>45918.250023159722</v>
      </c>
      <c r="E4642" s="2">
        <v>2.38</v>
      </c>
      <c r="F4642" s="2">
        <v>63.8</v>
      </c>
      <c r="G4642" s="2" t="s">
        <v>983</v>
      </c>
      <c r="H4642" s="2" t="s">
        <v>984</v>
      </c>
      <c r="I4642" s="2"/>
      <c r="J4642" s="2" t="s">
        <v>43</v>
      </c>
    </row>
    <row r="4643" spans="1:10" ht="21" customHeight="1">
      <c r="A4643" s="2" t="s">
        <v>5642</v>
      </c>
      <c r="B4643" s="2" t="s">
        <v>43</v>
      </c>
      <c r="C4643" s="4">
        <v>45919.25</v>
      </c>
      <c r="D4643" s="4">
        <v>45919.25011818287</v>
      </c>
      <c r="E4643" s="2">
        <v>2.63</v>
      </c>
      <c r="F4643" s="2">
        <v>58</v>
      </c>
      <c r="G4643" s="2" t="s">
        <v>983</v>
      </c>
      <c r="H4643" s="2" t="s">
        <v>984</v>
      </c>
      <c r="I4643" s="2"/>
      <c r="J4643" s="2" t="s">
        <v>43</v>
      </c>
    </row>
    <row r="4644" spans="1:10" ht="21" customHeight="1">
      <c r="A4644" s="2" t="s">
        <v>5643</v>
      </c>
      <c r="B4644" s="2" t="s">
        <v>43</v>
      </c>
      <c r="C4644" s="4">
        <v>45920.25</v>
      </c>
      <c r="D4644" s="4">
        <v>45920.250195266199</v>
      </c>
      <c r="E4644" s="2">
        <v>2.23</v>
      </c>
      <c r="F4644" s="2">
        <v>64.900000000000006</v>
      </c>
      <c r="G4644" s="2" t="s">
        <v>983</v>
      </c>
      <c r="H4644" s="2" t="s">
        <v>984</v>
      </c>
      <c r="I4644" s="2"/>
      <c r="J4644" s="2" t="s">
        <v>43</v>
      </c>
    </row>
    <row r="4645" spans="1:10" ht="21" customHeight="1">
      <c r="A4645" s="2" t="s">
        <v>5644</v>
      </c>
      <c r="B4645" s="2" t="s">
        <v>43</v>
      </c>
      <c r="C4645" s="4">
        <v>45921.25</v>
      </c>
      <c r="D4645" s="4">
        <v>45921.250633981486</v>
      </c>
      <c r="E4645" s="2">
        <v>3.14</v>
      </c>
      <c r="F4645" s="2">
        <v>58.6</v>
      </c>
      <c r="G4645" s="2" t="s">
        <v>983</v>
      </c>
      <c r="H4645" s="2" t="s">
        <v>984</v>
      </c>
      <c r="I4645" s="2"/>
      <c r="J4645" s="2" t="s">
        <v>43</v>
      </c>
    </row>
    <row r="4646" spans="1:10" ht="21" customHeight="1">
      <c r="A4646" s="2" t="s">
        <v>5645</v>
      </c>
      <c r="B4646" s="2" t="s">
        <v>43</v>
      </c>
      <c r="C4646" s="4">
        <v>45922.25</v>
      </c>
      <c r="D4646" s="4">
        <v>45922.250073692128</v>
      </c>
      <c r="E4646" s="2">
        <v>2.21</v>
      </c>
      <c r="F4646" s="2">
        <v>60.3</v>
      </c>
      <c r="G4646" s="2" t="s">
        <v>983</v>
      </c>
      <c r="H4646" s="2" t="s">
        <v>984</v>
      </c>
      <c r="I4646" s="2"/>
      <c r="J4646" s="2" t="s">
        <v>43</v>
      </c>
    </row>
    <row r="4647" spans="1:10" ht="21" customHeight="1">
      <c r="A4647" s="2" t="s">
        <v>5646</v>
      </c>
      <c r="B4647" s="2" t="s">
        <v>43</v>
      </c>
      <c r="C4647" s="4">
        <v>45923.25</v>
      </c>
      <c r="D4647" s="4">
        <v>45923.250626828703</v>
      </c>
      <c r="E4647" s="2">
        <v>3.1</v>
      </c>
      <c r="F4647" s="2">
        <v>64.8</v>
      </c>
      <c r="G4647" s="2" t="s">
        <v>983</v>
      </c>
      <c r="H4647" s="2" t="s">
        <v>984</v>
      </c>
      <c r="I4647" s="2"/>
      <c r="J4647" s="2" t="s">
        <v>43</v>
      </c>
    </row>
    <row r="4648" spans="1:10" ht="21" customHeight="1">
      <c r="A4648" s="2" t="s">
        <v>5647</v>
      </c>
      <c r="B4648" s="2" t="s">
        <v>43</v>
      </c>
      <c r="C4648" s="4">
        <v>45924.25</v>
      </c>
      <c r="D4648" s="4">
        <v>45924.250162013894</v>
      </c>
      <c r="E4648" s="2"/>
      <c r="F4648" s="2"/>
      <c r="G4648" s="2" t="s">
        <v>983</v>
      </c>
      <c r="H4648" s="2" t="s">
        <v>1066</v>
      </c>
      <c r="I4648" s="2"/>
      <c r="J4648" s="2" t="s">
        <v>43</v>
      </c>
    </row>
    <row r="4649" spans="1:10" ht="21" customHeight="1">
      <c r="A4649" s="2" t="s">
        <v>5648</v>
      </c>
      <c r="B4649" s="2" t="s">
        <v>43</v>
      </c>
      <c r="C4649" s="4">
        <v>45925.25</v>
      </c>
      <c r="D4649" s="4">
        <v>45925.250006921298</v>
      </c>
      <c r="E4649" s="2">
        <v>2.83</v>
      </c>
      <c r="F4649" s="2">
        <v>63.3</v>
      </c>
      <c r="G4649" s="2" t="s">
        <v>983</v>
      </c>
      <c r="H4649" s="2" t="s">
        <v>984</v>
      </c>
      <c r="I4649" s="2"/>
      <c r="J4649" s="2" t="s">
        <v>43</v>
      </c>
    </row>
    <row r="4650" spans="1:10" ht="21" customHeight="1">
      <c r="A4650" s="2" t="s">
        <v>5649</v>
      </c>
      <c r="B4650" s="2" t="s">
        <v>43</v>
      </c>
      <c r="C4650" s="4">
        <v>45926.25</v>
      </c>
      <c r="D4650" s="4">
        <v>45926.250204976852</v>
      </c>
      <c r="E4650" s="2">
        <v>2.84</v>
      </c>
      <c r="F4650" s="2">
        <v>64.900000000000006</v>
      </c>
      <c r="G4650" s="2" t="s">
        <v>983</v>
      </c>
      <c r="H4650" s="2" t="s">
        <v>984</v>
      </c>
      <c r="I4650" s="2"/>
      <c r="J4650" s="2" t="s">
        <v>43</v>
      </c>
    </row>
    <row r="4651" spans="1:10" ht="21" customHeight="1">
      <c r="A4651" s="2" t="s">
        <v>5650</v>
      </c>
      <c r="B4651" s="2" t="s">
        <v>43</v>
      </c>
      <c r="C4651" s="4">
        <v>45927.25</v>
      </c>
      <c r="D4651" s="4">
        <v>45927.250369722227</v>
      </c>
      <c r="E4651" s="2">
        <v>2.76</v>
      </c>
      <c r="F4651" s="2">
        <v>59.3</v>
      </c>
      <c r="G4651" s="2" t="s">
        <v>983</v>
      </c>
      <c r="H4651" s="2" t="s">
        <v>984</v>
      </c>
      <c r="I4651" s="2"/>
      <c r="J4651" s="2" t="s">
        <v>43</v>
      </c>
    </row>
    <row r="4652" spans="1:10" ht="21" customHeight="1">
      <c r="A4652" s="2" t="s">
        <v>5651</v>
      </c>
      <c r="B4652" s="2" t="s">
        <v>43</v>
      </c>
      <c r="C4652" s="4">
        <v>45928.25</v>
      </c>
      <c r="D4652" s="4">
        <v>45928.250142210643</v>
      </c>
      <c r="E4652" s="2">
        <v>2.23</v>
      </c>
      <c r="F4652" s="2">
        <v>60.4</v>
      </c>
      <c r="G4652" s="2" t="s">
        <v>983</v>
      </c>
      <c r="H4652" s="2" t="s">
        <v>984</v>
      </c>
      <c r="I4652" s="2"/>
      <c r="J4652" s="2" t="s">
        <v>43</v>
      </c>
    </row>
    <row r="4653" spans="1:10" ht="21" customHeight="1">
      <c r="A4653" s="2" t="s">
        <v>5652</v>
      </c>
      <c r="B4653" s="2" t="s">
        <v>43</v>
      </c>
      <c r="C4653" s="4">
        <v>45929.25</v>
      </c>
      <c r="D4653" s="4">
        <v>45929.250278425927</v>
      </c>
      <c r="E4653" s="2">
        <v>2.73</v>
      </c>
      <c r="F4653" s="2">
        <v>59.8</v>
      </c>
      <c r="G4653" s="2" t="s">
        <v>983</v>
      </c>
      <c r="H4653" s="2" t="s">
        <v>984</v>
      </c>
      <c r="I4653" s="2"/>
      <c r="J4653" s="2" t="s">
        <v>43</v>
      </c>
    </row>
    <row r="4654" spans="1:10" ht="21" customHeight="1">
      <c r="A4654" s="2" t="s">
        <v>5653</v>
      </c>
      <c r="B4654" s="2" t="s">
        <v>43</v>
      </c>
      <c r="C4654" s="4">
        <v>45930.25</v>
      </c>
      <c r="D4654" s="4">
        <v>45930.250544837967</v>
      </c>
      <c r="E4654" s="2">
        <v>2.2599999999999998</v>
      </c>
      <c r="F4654" s="2">
        <v>62.8</v>
      </c>
      <c r="G4654" s="2" t="s">
        <v>983</v>
      </c>
      <c r="H4654" s="2" t="s">
        <v>984</v>
      </c>
      <c r="I4654" s="2" t="s">
        <v>985</v>
      </c>
      <c r="J4654" s="2" t="s">
        <v>43</v>
      </c>
    </row>
    <row r="4655" spans="1:10" ht="21" customHeight="1">
      <c r="A4655" s="2" t="s">
        <v>5654</v>
      </c>
      <c r="B4655" s="2" t="s">
        <v>43</v>
      </c>
      <c r="C4655" s="4">
        <v>45931.25</v>
      </c>
      <c r="D4655" s="4">
        <v>45931.250555196762</v>
      </c>
      <c r="E4655" s="2">
        <v>3.03</v>
      </c>
      <c r="F4655" s="2">
        <v>64.900000000000006</v>
      </c>
      <c r="G4655" s="2" t="s">
        <v>983</v>
      </c>
      <c r="H4655" s="2" t="s">
        <v>984</v>
      </c>
      <c r="I4655" s="2"/>
      <c r="J4655" s="2" t="s">
        <v>43</v>
      </c>
    </row>
    <row r="4656" spans="1:10" ht="21" customHeight="1">
      <c r="A4656" s="2" t="s">
        <v>5655</v>
      </c>
      <c r="B4656" s="2" t="s">
        <v>43</v>
      </c>
      <c r="C4656" s="4">
        <v>45932.25</v>
      </c>
      <c r="D4656" s="4">
        <v>45932.250570833334</v>
      </c>
      <c r="E4656" s="2">
        <v>2.2400000000000002</v>
      </c>
      <c r="F4656" s="2">
        <v>59.3</v>
      </c>
      <c r="G4656" s="2" t="s">
        <v>983</v>
      </c>
      <c r="H4656" s="2" t="s">
        <v>984</v>
      </c>
      <c r="I4656" s="2"/>
      <c r="J4656" s="2" t="s">
        <v>43</v>
      </c>
    </row>
    <row r="4657" spans="1:10" ht="21" customHeight="1">
      <c r="A4657" s="2" t="s">
        <v>5656</v>
      </c>
      <c r="B4657" s="2" t="s">
        <v>43</v>
      </c>
      <c r="C4657" s="4">
        <v>45933.25</v>
      </c>
      <c r="D4657" s="4">
        <v>45933.250276145831</v>
      </c>
      <c r="E4657" s="2">
        <v>2.93</v>
      </c>
      <c r="F4657" s="2">
        <v>65</v>
      </c>
      <c r="G4657" s="2" t="s">
        <v>983</v>
      </c>
      <c r="H4657" s="2" t="s">
        <v>984</v>
      </c>
      <c r="I4657" s="2"/>
      <c r="J4657" s="2" t="s">
        <v>43</v>
      </c>
    </row>
    <row r="4658" spans="1:10" ht="21" customHeight="1">
      <c r="A4658" s="2" t="s">
        <v>5657</v>
      </c>
      <c r="B4658" s="2" t="s">
        <v>43</v>
      </c>
      <c r="C4658" s="4">
        <v>45934.25</v>
      </c>
      <c r="D4658" s="4">
        <v>45934.250299907406</v>
      </c>
      <c r="E4658" s="2">
        <v>3.04</v>
      </c>
      <c r="F4658" s="2">
        <v>62.4</v>
      </c>
      <c r="G4658" s="2" t="s">
        <v>983</v>
      </c>
      <c r="H4658" s="2" t="s">
        <v>984</v>
      </c>
      <c r="I4658" s="2"/>
      <c r="J4658" s="2" t="s">
        <v>43</v>
      </c>
    </row>
    <row r="4659" spans="1:10" ht="21" customHeight="1">
      <c r="A4659" s="2" t="s">
        <v>5658</v>
      </c>
      <c r="B4659" s="2" t="s">
        <v>43</v>
      </c>
      <c r="C4659" s="4">
        <v>45935.25</v>
      </c>
      <c r="D4659" s="4">
        <v>45935.250167800928</v>
      </c>
      <c r="E4659" s="2">
        <v>2.4900000000000002</v>
      </c>
      <c r="F4659" s="2">
        <v>62.5</v>
      </c>
      <c r="G4659" s="2" t="s">
        <v>983</v>
      </c>
      <c r="H4659" s="2" t="s">
        <v>984</v>
      </c>
      <c r="I4659" s="2"/>
      <c r="J4659" s="2" t="s">
        <v>43</v>
      </c>
    </row>
    <row r="4660" spans="1:10" ht="21" customHeight="1">
      <c r="A4660" s="2" t="s">
        <v>5659</v>
      </c>
      <c r="B4660" s="2" t="s">
        <v>43</v>
      </c>
      <c r="C4660" s="4">
        <v>45936.25</v>
      </c>
      <c r="D4660" s="4">
        <v>45936.25011385417</v>
      </c>
      <c r="E4660" s="2">
        <v>2.36</v>
      </c>
      <c r="F4660" s="2">
        <v>58.5</v>
      </c>
      <c r="G4660" s="2" t="s">
        <v>983</v>
      </c>
      <c r="H4660" s="2" t="s">
        <v>984</v>
      </c>
      <c r="I4660" s="2"/>
      <c r="J4660" s="2" t="s">
        <v>43</v>
      </c>
    </row>
    <row r="4661" spans="1:10" ht="21" customHeight="1">
      <c r="A4661" s="2" t="s">
        <v>5660</v>
      </c>
      <c r="B4661" s="2" t="s">
        <v>43</v>
      </c>
      <c r="C4661" s="4">
        <v>45937.25</v>
      </c>
      <c r="D4661" s="4">
        <v>45937.25026969907</v>
      </c>
      <c r="E4661" s="2">
        <v>2.56</v>
      </c>
      <c r="F4661" s="2">
        <v>60.6</v>
      </c>
      <c r="G4661" s="2" t="s">
        <v>983</v>
      </c>
      <c r="H4661" s="2" t="s">
        <v>984</v>
      </c>
      <c r="I4661" s="2"/>
      <c r="J4661" s="2" t="s">
        <v>43</v>
      </c>
    </row>
    <row r="4662" spans="1:10" ht="21" customHeight="1">
      <c r="A4662" s="2" t="s">
        <v>5661</v>
      </c>
      <c r="B4662" s="2" t="s">
        <v>43</v>
      </c>
      <c r="C4662" s="4">
        <v>45938.25</v>
      </c>
      <c r="D4662" s="4">
        <v>45938.250013287034</v>
      </c>
      <c r="E4662" s="2">
        <v>3.02</v>
      </c>
      <c r="F4662" s="2">
        <v>65.599999999999994</v>
      </c>
      <c r="G4662" s="2" t="s">
        <v>983</v>
      </c>
      <c r="H4662" s="2" t="s">
        <v>984</v>
      </c>
      <c r="I4662" s="2"/>
      <c r="J4662" s="2" t="s">
        <v>43</v>
      </c>
    </row>
    <row r="4663" spans="1:10" ht="21" customHeight="1">
      <c r="A4663" s="2" t="s">
        <v>5662</v>
      </c>
      <c r="B4663" s="2" t="s">
        <v>43</v>
      </c>
      <c r="C4663" s="4">
        <v>45939.25</v>
      </c>
      <c r="D4663" s="4">
        <v>45939.250462488431</v>
      </c>
      <c r="E4663" s="2">
        <v>2.72</v>
      </c>
      <c r="F4663" s="2">
        <v>63.2</v>
      </c>
      <c r="G4663" s="2" t="s">
        <v>983</v>
      </c>
      <c r="H4663" s="2" t="s">
        <v>984</v>
      </c>
      <c r="I4663" s="2"/>
      <c r="J4663" s="2" t="s">
        <v>43</v>
      </c>
    </row>
    <row r="4664" spans="1:10" ht="21" customHeight="1">
      <c r="A4664" s="2" t="s">
        <v>5663</v>
      </c>
      <c r="B4664" s="2" t="s">
        <v>43</v>
      </c>
      <c r="C4664" s="4">
        <v>45940.25</v>
      </c>
      <c r="D4664" s="4">
        <v>45940.250164259254</v>
      </c>
      <c r="E4664" s="2">
        <v>2.65</v>
      </c>
      <c r="F4664" s="2">
        <v>62.5</v>
      </c>
      <c r="G4664" s="2" t="s">
        <v>983</v>
      </c>
      <c r="H4664" s="2" t="s">
        <v>984</v>
      </c>
      <c r="I4664" s="2"/>
      <c r="J4664" s="2" t="s">
        <v>43</v>
      </c>
    </row>
    <row r="4665" spans="1:10" ht="21" customHeight="1">
      <c r="A4665" s="2" t="s">
        <v>5664</v>
      </c>
      <c r="B4665" s="2" t="s">
        <v>43</v>
      </c>
      <c r="C4665" s="4">
        <v>45941.25</v>
      </c>
      <c r="D4665" s="4">
        <v>45941.250042777778</v>
      </c>
      <c r="E4665" s="2">
        <v>2.21</v>
      </c>
      <c r="F4665" s="2">
        <v>61.2</v>
      </c>
      <c r="G4665" s="2" t="s">
        <v>983</v>
      </c>
      <c r="H4665" s="2" t="s">
        <v>984</v>
      </c>
      <c r="I4665" s="2"/>
      <c r="J4665" s="2" t="s">
        <v>43</v>
      </c>
    </row>
    <row r="4666" spans="1:10" ht="21" customHeight="1">
      <c r="A4666" s="2" t="s">
        <v>5665</v>
      </c>
      <c r="B4666" s="2" t="s">
        <v>43</v>
      </c>
      <c r="C4666" s="4">
        <v>45942.25</v>
      </c>
      <c r="D4666" s="4">
        <v>45942.250489004626</v>
      </c>
      <c r="E4666" s="2">
        <v>2.4900000000000002</v>
      </c>
      <c r="F4666" s="2">
        <v>65.2</v>
      </c>
      <c r="G4666" s="2" t="s">
        <v>983</v>
      </c>
      <c r="H4666" s="2" t="s">
        <v>984</v>
      </c>
      <c r="I4666" s="2"/>
      <c r="J4666" s="2" t="s">
        <v>43</v>
      </c>
    </row>
    <row r="4667" spans="1:10" ht="21" customHeight="1">
      <c r="A4667" s="2" t="s">
        <v>5666</v>
      </c>
      <c r="B4667" s="2" t="s">
        <v>43</v>
      </c>
      <c r="C4667" s="4">
        <v>45943.25</v>
      </c>
      <c r="D4667" s="4">
        <v>45943.250165624995</v>
      </c>
      <c r="E4667" s="2">
        <v>3.14</v>
      </c>
      <c r="F4667" s="2">
        <v>63.4</v>
      </c>
      <c r="G4667" s="2" t="s">
        <v>983</v>
      </c>
      <c r="H4667" s="2" t="s">
        <v>984</v>
      </c>
      <c r="I4667" s="2"/>
      <c r="J4667" s="2" t="s">
        <v>43</v>
      </c>
    </row>
    <row r="4668" spans="1:10" ht="21" customHeight="1">
      <c r="A4668" s="2" t="s">
        <v>5667</v>
      </c>
      <c r="B4668" s="2" t="s">
        <v>43</v>
      </c>
      <c r="C4668" s="4">
        <v>45944.25</v>
      </c>
      <c r="D4668" s="4">
        <v>45944.250649942129</v>
      </c>
      <c r="E4668" s="2">
        <v>2.78</v>
      </c>
      <c r="F4668" s="2">
        <v>65</v>
      </c>
      <c r="G4668" s="2" t="s">
        <v>983</v>
      </c>
      <c r="H4668" s="2" t="s">
        <v>984</v>
      </c>
      <c r="I4668" s="2"/>
      <c r="J4668" s="2" t="s">
        <v>43</v>
      </c>
    </row>
    <row r="4669" spans="1:10" ht="21" customHeight="1">
      <c r="A4669" s="2" t="s">
        <v>5668</v>
      </c>
      <c r="B4669" s="2" t="s">
        <v>43</v>
      </c>
      <c r="C4669" s="4">
        <v>45945.25</v>
      </c>
      <c r="D4669" s="4">
        <v>45945.25009105324</v>
      </c>
      <c r="E4669" s="2">
        <v>2.4900000000000002</v>
      </c>
      <c r="F4669" s="2">
        <v>58.3</v>
      </c>
      <c r="G4669" s="2" t="s">
        <v>983</v>
      </c>
      <c r="H4669" s="2" t="s">
        <v>984</v>
      </c>
      <c r="I4669" s="2"/>
      <c r="J4669" s="2" t="s">
        <v>43</v>
      </c>
    </row>
    <row r="4670" spans="1:10" ht="21" customHeight="1">
      <c r="A4670" s="2" t="s">
        <v>5669</v>
      </c>
      <c r="B4670" s="2" t="s">
        <v>43</v>
      </c>
      <c r="C4670" s="4">
        <v>45946.25</v>
      </c>
      <c r="D4670" s="4">
        <v>45946.250043495369</v>
      </c>
      <c r="E4670" s="2">
        <v>2.67</v>
      </c>
      <c r="F4670" s="2">
        <v>58.9</v>
      </c>
      <c r="G4670" s="2" t="s">
        <v>983</v>
      </c>
      <c r="H4670" s="2" t="s">
        <v>984</v>
      </c>
      <c r="I4670" s="2"/>
      <c r="J4670" s="2" t="s">
        <v>43</v>
      </c>
    </row>
    <row r="4671" spans="1:10" ht="21" customHeight="1">
      <c r="A4671" s="2" t="s">
        <v>5670</v>
      </c>
      <c r="B4671" s="2" t="s">
        <v>43</v>
      </c>
      <c r="C4671" s="4">
        <v>45947.25</v>
      </c>
      <c r="D4671" s="4">
        <v>45947.250361226848</v>
      </c>
      <c r="E4671" s="2">
        <v>2.89</v>
      </c>
      <c r="F4671" s="2">
        <v>60.1</v>
      </c>
      <c r="G4671" s="2" t="s">
        <v>983</v>
      </c>
      <c r="H4671" s="2" t="s">
        <v>984</v>
      </c>
      <c r="I4671" s="2" t="s">
        <v>985</v>
      </c>
      <c r="J4671" s="2" t="s">
        <v>43</v>
      </c>
    </row>
    <row r="4672" spans="1:10" ht="21" customHeight="1">
      <c r="A4672" s="2" t="s">
        <v>5671</v>
      </c>
      <c r="B4672" s="2" t="s">
        <v>43</v>
      </c>
      <c r="C4672" s="4">
        <v>45948.25</v>
      </c>
      <c r="D4672" s="4">
        <v>45948.250011770833</v>
      </c>
      <c r="E4672" s="2">
        <v>2.97</v>
      </c>
      <c r="F4672" s="2">
        <v>60.3</v>
      </c>
      <c r="G4672" s="2" t="s">
        <v>983</v>
      </c>
      <c r="H4672" s="2" t="s">
        <v>984</v>
      </c>
      <c r="I4672" s="2"/>
      <c r="J4672" s="2" t="s">
        <v>43</v>
      </c>
    </row>
    <row r="4673" spans="1:10" ht="21" customHeight="1">
      <c r="A4673" s="2" t="s">
        <v>5672</v>
      </c>
      <c r="B4673" s="2" t="s">
        <v>43</v>
      </c>
      <c r="C4673" s="4">
        <v>45949.25</v>
      </c>
      <c r="D4673" s="4">
        <v>45949.250357627316</v>
      </c>
      <c r="E4673" s="2">
        <v>2.33</v>
      </c>
      <c r="F4673" s="2">
        <v>61.6</v>
      </c>
      <c r="G4673" s="2" t="s">
        <v>983</v>
      </c>
      <c r="H4673" s="2" t="s">
        <v>984</v>
      </c>
      <c r="I4673" s="2"/>
      <c r="J4673" s="2" t="s">
        <v>43</v>
      </c>
    </row>
    <row r="4674" spans="1:10" ht="21" customHeight="1">
      <c r="A4674" s="2" t="s">
        <v>5673</v>
      </c>
      <c r="B4674" s="2" t="s">
        <v>43</v>
      </c>
      <c r="C4674" s="4">
        <v>45950.25</v>
      </c>
      <c r="D4674" s="4">
        <v>45950.25025099537</v>
      </c>
      <c r="E4674" s="2">
        <v>2.6</v>
      </c>
      <c r="F4674" s="2">
        <v>65.099999999999994</v>
      </c>
      <c r="G4674" s="2" t="s">
        <v>983</v>
      </c>
      <c r="H4674" s="2" t="s">
        <v>984</v>
      </c>
      <c r="I4674" s="2"/>
      <c r="J4674" s="2" t="s">
        <v>43</v>
      </c>
    </row>
    <row r="4675" spans="1:10" ht="21" customHeight="1">
      <c r="A4675" s="2" t="s">
        <v>5674</v>
      </c>
      <c r="B4675" s="2" t="s">
        <v>43</v>
      </c>
      <c r="C4675" s="4">
        <v>45951.25</v>
      </c>
      <c r="D4675" s="4">
        <v>45951.250018842591</v>
      </c>
      <c r="E4675" s="2">
        <v>2.76</v>
      </c>
      <c r="F4675" s="2">
        <v>58.5</v>
      </c>
      <c r="G4675" s="2" t="s">
        <v>983</v>
      </c>
      <c r="H4675" s="2" t="s">
        <v>984</v>
      </c>
      <c r="I4675" s="2"/>
      <c r="J4675" s="2" t="s">
        <v>43</v>
      </c>
    </row>
    <row r="4676" spans="1:10" ht="21" customHeight="1">
      <c r="A4676" s="2" t="s">
        <v>5675</v>
      </c>
      <c r="B4676" s="2" t="s">
        <v>5388</v>
      </c>
      <c r="C4676" s="4">
        <v>45952.25</v>
      </c>
      <c r="D4676" s="4">
        <v>45952.250577719911</v>
      </c>
      <c r="E4676" s="2">
        <v>3.26</v>
      </c>
      <c r="F4676" s="2">
        <v>58.9</v>
      </c>
      <c r="G4676" s="2" t="s">
        <v>983</v>
      </c>
      <c r="H4676" s="2" t="s">
        <v>984</v>
      </c>
      <c r="I4676" s="2"/>
      <c r="J4676" s="2" t="s">
        <v>43</v>
      </c>
    </row>
    <row r="4677" spans="1:10" ht="21" customHeight="1">
      <c r="A4677" s="2" t="s">
        <v>5676</v>
      </c>
      <c r="B4677" s="2" t="s">
        <v>43</v>
      </c>
      <c r="C4677" s="4">
        <v>45953.25</v>
      </c>
      <c r="D4677" s="4">
        <v>45953.25011927083</v>
      </c>
      <c r="E4677" s="2">
        <v>2.2999999999999998</v>
      </c>
      <c r="F4677" s="2">
        <v>63.1</v>
      </c>
      <c r="G4677" s="2" t="s">
        <v>983</v>
      </c>
      <c r="H4677" s="2" t="s">
        <v>984</v>
      </c>
      <c r="I4677" s="2"/>
      <c r="J4677" s="2" t="s">
        <v>43</v>
      </c>
    </row>
    <row r="4678" spans="1:10" ht="21" customHeight="1">
      <c r="A4678" s="2" t="s">
        <v>5677</v>
      </c>
      <c r="B4678" s="2" t="s">
        <v>43</v>
      </c>
      <c r="C4678" s="4">
        <v>45954.25</v>
      </c>
      <c r="D4678" s="4">
        <v>45954.250662754624</v>
      </c>
      <c r="E4678" s="2">
        <v>2.21</v>
      </c>
      <c r="F4678" s="2">
        <v>61.9</v>
      </c>
      <c r="G4678" s="2" t="s">
        <v>983</v>
      </c>
      <c r="H4678" s="2" t="s">
        <v>984</v>
      </c>
      <c r="I4678" s="2"/>
      <c r="J4678" s="2" t="s">
        <v>43</v>
      </c>
    </row>
    <row r="4679" spans="1:10" ht="21" customHeight="1">
      <c r="A4679" s="2" t="s">
        <v>5678</v>
      </c>
      <c r="B4679" s="2" t="s">
        <v>43</v>
      </c>
      <c r="C4679" s="4">
        <v>45955.25</v>
      </c>
      <c r="D4679" s="4">
        <v>45955.250099861107</v>
      </c>
      <c r="E4679" s="2">
        <v>3.2</v>
      </c>
      <c r="F4679" s="2">
        <v>60</v>
      </c>
      <c r="G4679" s="2" t="s">
        <v>983</v>
      </c>
      <c r="H4679" s="2" t="s">
        <v>984</v>
      </c>
      <c r="I4679" s="2"/>
      <c r="J4679" s="2" t="s">
        <v>43</v>
      </c>
    </row>
    <row r="4680" spans="1:10" ht="21" customHeight="1">
      <c r="A4680" s="2" t="s">
        <v>5679</v>
      </c>
      <c r="B4680" s="2" t="s">
        <v>43</v>
      </c>
      <c r="C4680" s="4">
        <v>45956.25</v>
      </c>
      <c r="D4680" s="4">
        <v>45956.250594120371</v>
      </c>
      <c r="E4680" s="2">
        <v>2.25</v>
      </c>
      <c r="F4680" s="2">
        <v>64.3</v>
      </c>
      <c r="G4680" s="2" t="s">
        <v>983</v>
      </c>
      <c r="H4680" s="2" t="s">
        <v>984</v>
      </c>
      <c r="I4680" s="2"/>
      <c r="J4680" s="2" t="s">
        <v>43</v>
      </c>
    </row>
    <row r="4681" spans="1:10" ht="21" customHeight="1">
      <c r="A4681" s="2" t="s">
        <v>5680</v>
      </c>
      <c r="B4681" s="2" t="s">
        <v>43</v>
      </c>
      <c r="C4681" s="4">
        <v>45957.25</v>
      </c>
      <c r="D4681" s="4">
        <v>45957.250032650467</v>
      </c>
      <c r="E4681" s="2">
        <v>3.05</v>
      </c>
      <c r="F4681" s="2">
        <v>61.8</v>
      </c>
      <c r="G4681" s="2" t="s">
        <v>983</v>
      </c>
      <c r="H4681" s="2" t="s">
        <v>984</v>
      </c>
      <c r="I4681" s="2"/>
      <c r="J4681" s="2" t="s">
        <v>43</v>
      </c>
    </row>
    <row r="4682" spans="1:10" ht="21" customHeight="1">
      <c r="A4682" s="2" t="s">
        <v>5681</v>
      </c>
      <c r="B4682" s="2" t="s">
        <v>43</v>
      </c>
      <c r="C4682" s="4">
        <v>45958.25</v>
      </c>
      <c r="D4682" s="4">
        <v>45958.250653043986</v>
      </c>
      <c r="E4682" s="2">
        <v>2.4700000000000002</v>
      </c>
      <c r="F4682" s="2">
        <v>61.7</v>
      </c>
      <c r="G4682" s="2" t="s">
        <v>983</v>
      </c>
      <c r="H4682" s="2" t="s">
        <v>984</v>
      </c>
      <c r="I4682" s="2"/>
      <c r="J4682" s="2" t="s">
        <v>43</v>
      </c>
    </row>
    <row r="4683" spans="1:10" ht="21" customHeight="1">
      <c r="A4683" s="2" t="s">
        <v>5682</v>
      </c>
      <c r="B4683" s="2" t="s">
        <v>43</v>
      </c>
      <c r="C4683" s="4">
        <v>45959.25</v>
      </c>
      <c r="D4683" s="4">
        <v>45959.250323784727</v>
      </c>
      <c r="E4683" s="2">
        <v>2.71</v>
      </c>
      <c r="F4683" s="2">
        <v>65.099999999999994</v>
      </c>
      <c r="G4683" s="2" t="s">
        <v>983</v>
      </c>
      <c r="H4683" s="2" t="s">
        <v>984</v>
      </c>
      <c r="I4683" s="2"/>
      <c r="J4683" s="2" t="s">
        <v>43</v>
      </c>
    </row>
    <row r="4684" spans="1:10" ht="21" customHeight="1">
      <c r="A4684" s="2" t="s">
        <v>5683</v>
      </c>
      <c r="B4684" s="2" t="s">
        <v>43</v>
      </c>
      <c r="C4684" s="4">
        <v>45960.25</v>
      </c>
      <c r="D4684" s="4">
        <v>45960.250181701384</v>
      </c>
      <c r="E4684" s="2"/>
      <c r="F4684" s="2"/>
      <c r="G4684" s="2" t="s">
        <v>983</v>
      </c>
      <c r="H4684" s="2" t="s">
        <v>1066</v>
      </c>
      <c r="I4684" s="2"/>
      <c r="J4684" s="2" t="s">
        <v>43</v>
      </c>
    </row>
    <row r="4685" spans="1:10" ht="21" customHeight="1">
      <c r="A4685" s="2" t="s">
        <v>5684</v>
      </c>
      <c r="B4685" s="2" t="s">
        <v>43</v>
      </c>
      <c r="C4685" s="4">
        <v>45961.25</v>
      </c>
      <c r="D4685" s="4">
        <v>45961.250578888888</v>
      </c>
      <c r="E4685" s="2">
        <v>2.16</v>
      </c>
      <c r="F4685" s="2">
        <v>58.7</v>
      </c>
      <c r="G4685" s="2" t="s">
        <v>983</v>
      </c>
      <c r="H4685" s="2" t="s">
        <v>984</v>
      </c>
      <c r="I4685" s="2"/>
      <c r="J4685" s="2" t="s">
        <v>43</v>
      </c>
    </row>
    <row r="4686" spans="1:10" ht="21" customHeight="1">
      <c r="A4686" s="2" t="s">
        <v>5685</v>
      </c>
      <c r="B4686" s="2" t="s">
        <v>43</v>
      </c>
      <c r="C4686" s="4">
        <v>45962.25</v>
      </c>
      <c r="D4686" s="4">
        <v>45962.25032994213</v>
      </c>
      <c r="E4686" s="2">
        <v>2.56</v>
      </c>
      <c r="F4686" s="2">
        <v>63.6</v>
      </c>
      <c r="G4686" s="2" t="s">
        <v>983</v>
      </c>
      <c r="H4686" s="2" t="s">
        <v>984</v>
      </c>
      <c r="I4686" s="2"/>
      <c r="J4686" s="2" t="s">
        <v>43</v>
      </c>
    </row>
    <row r="4687" spans="1:10" ht="21" customHeight="1">
      <c r="A4687" s="2" t="s">
        <v>5686</v>
      </c>
      <c r="B4687" s="2" t="s">
        <v>43</v>
      </c>
      <c r="C4687" s="4">
        <v>45963.25</v>
      </c>
      <c r="D4687" s="4">
        <v>45963.250628229165</v>
      </c>
      <c r="E4687" s="2"/>
      <c r="F4687" s="2"/>
      <c r="G4687" s="2" t="s">
        <v>983</v>
      </c>
      <c r="H4687" s="2" t="s">
        <v>1066</v>
      </c>
      <c r="I4687" s="2"/>
      <c r="J4687" s="2" t="s">
        <v>43</v>
      </c>
    </row>
    <row r="4688" spans="1:10" ht="21" customHeight="1">
      <c r="A4688" s="2" t="s">
        <v>5687</v>
      </c>
      <c r="B4688" s="2" t="s">
        <v>43</v>
      </c>
      <c r="C4688" s="4">
        <v>45964.25</v>
      </c>
      <c r="D4688" s="4">
        <v>45964.250046793983</v>
      </c>
      <c r="E4688" s="2">
        <v>2.5</v>
      </c>
      <c r="F4688" s="2">
        <v>65.400000000000006</v>
      </c>
      <c r="G4688" s="2" t="s">
        <v>983</v>
      </c>
      <c r="H4688" s="2" t="s">
        <v>984</v>
      </c>
      <c r="I4688" s="2" t="s">
        <v>985</v>
      </c>
      <c r="J4688" s="2" t="s">
        <v>43</v>
      </c>
    </row>
    <row r="4689" spans="1:10" ht="21" customHeight="1">
      <c r="A4689" s="2" t="s">
        <v>5688</v>
      </c>
      <c r="B4689" s="2" t="s">
        <v>43</v>
      </c>
      <c r="C4689" s="4">
        <v>45965.25</v>
      </c>
      <c r="D4689" s="4">
        <v>45965.2503459375</v>
      </c>
      <c r="E4689" s="2">
        <v>2.89</v>
      </c>
      <c r="F4689" s="2">
        <v>59.7</v>
      </c>
      <c r="G4689" s="2" t="s">
        <v>983</v>
      </c>
      <c r="H4689" s="2" t="s">
        <v>984</v>
      </c>
      <c r="I4689" s="2"/>
      <c r="J4689" s="2" t="s">
        <v>43</v>
      </c>
    </row>
    <row r="4690" spans="1:10" ht="21" customHeight="1">
      <c r="A4690" s="2" t="s">
        <v>5689</v>
      </c>
      <c r="B4690" s="2" t="s">
        <v>43</v>
      </c>
      <c r="C4690" s="4">
        <v>45966.25</v>
      </c>
      <c r="D4690" s="4">
        <v>45966.250302222223</v>
      </c>
      <c r="E4690" s="2">
        <v>4.58</v>
      </c>
      <c r="F4690" s="2">
        <v>72.5</v>
      </c>
      <c r="G4690" s="2" t="s">
        <v>983</v>
      </c>
      <c r="H4690" s="2" t="s">
        <v>984</v>
      </c>
      <c r="I4690" s="2" t="s">
        <v>1053</v>
      </c>
      <c r="J4690" s="2" t="s">
        <v>43</v>
      </c>
    </row>
    <row r="4691" spans="1:10" ht="21" customHeight="1">
      <c r="A4691" s="2" t="s">
        <v>5690</v>
      </c>
      <c r="B4691" s="2" t="s">
        <v>43</v>
      </c>
      <c r="C4691" s="4">
        <v>45967.25</v>
      </c>
      <c r="D4691" s="4">
        <v>45967.250060185186</v>
      </c>
      <c r="E4691" s="2">
        <v>5.26</v>
      </c>
      <c r="F4691" s="2">
        <v>68.8</v>
      </c>
      <c r="G4691" s="2" t="s">
        <v>983</v>
      </c>
      <c r="H4691" s="2" t="s">
        <v>984</v>
      </c>
      <c r="I4691" s="2"/>
      <c r="J4691" s="2" t="s">
        <v>43</v>
      </c>
    </row>
    <row r="4692" spans="1:10" ht="21" customHeight="1">
      <c r="A4692" s="2" t="s">
        <v>5691</v>
      </c>
      <c r="B4692" s="2" t="s">
        <v>43</v>
      </c>
      <c r="C4692" s="4">
        <v>45968.25</v>
      </c>
      <c r="D4692" s="4">
        <v>45968.250579803236</v>
      </c>
      <c r="E4692" s="2">
        <v>6.07</v>
      </c>
      <c r="F4692" s="2">
        <v>70.599999999999994</v>
      </c>
      <c r="G4692" s="2" t="s">
        <v>983</v>
      </c>
      <c r="H4692" s="2" t="s">
        <v>984</v>
      </c>
      <c r="I4692" s="2" t="s">
        <v>1053</v>
      </c>
      <c r="J4692" s="2" t="s">
        <v>43</v>
      </c>
    </row>
    <row r="4693" spans="1:10" ht="21" customHeight="1">
      <c r="A4693" s="2" t="s">
        <v>5692</v>
      </c>
      <c r="B4693" s="2" t="s">
        <v>43</v>
      </c>
      <c r="C4693" s="4">
        <v>45969.25</v>
      </c>
      <c r="D4693" s="4">
        <v>45969.250024490742</v>
      </c>
      <c r="E4693" s="2">
        <v>0</v>
      </c>
      <c r="F4693" s="2">
        <v>63.1</v>
      </c>
      <c r="G4693" s="2" t="s">
        <v>1175</v>
      </c>
      <c r="H4693" s="2" t="s">
        <v>984</v>
      </c>
      <c r="I4693" s="2"/>
      <c r="J4693" s="2" t="s">
        <v>43</v>
      </c>
    </row>
    <row r="4694" spans="1:10" ht="21" customHeight="1">
      <c r="A4694" s="2" t="s">
        <v>5693</v>
      </c>
      <c r="B4694" s="2" t="s">
        <v>43</v>
      </c>
      <c r="C4694" s="4">
        <v>45970.25</v>
      </c>
      <c r="D4694" s="4">
        <v>45970.250450543987</v>
      </c>
      <c r="E4694" s="2">
        <v>0</v>
      </c>
      <c r="F4694" s="2">
        <v>63.9</v>
      </c>
      <c r="G4694" s="2" t="s">
        <v>1175</v>
      </c>
      <c r="H4694" s="2" t="s">
        <v>984</v>
      </c>
      <c r="I4694" s="2"/>
      <c r="J4694" s="2" t="s">
        <v>43</v>
      </c>
    </row>
    <row r="4695" spans="1:10" ht="21" customHeight="1">
      <c r="A4695" s="2" t="s">
        <v>5694</v>
      </c>
      <c r="B4695" s="2" t="s">
        <v>43</v>
      </c>
      <c r="C4695" s="4">
        <v>45971.25</v>
      </c>
      <c r="D4695" s="4">
        <v>45971.25025582176</v>
      </c>
      <c r="E4695" s="2">
        <v>2.6</v>
      </c>
      <c r="F4695" s="2">
        <v>59.8</v>
      </c>
      <c r="G4695" s="2" t="s">
        <v>983</v>
      </c>
      <c r="H4695" s="2" t="s">
        <v>984</v>
      </c>
      <c r="I4695" s="2"/>
      <c r="J4695" s="2" t="s">
        <v>43</v>
      </c>
    </row>
    <row r="4696" spans="1:10" ht="21" customHeight="1">
      <c r="A4696" s="2" t="s">
        <v>5695</v>
      </c>
      <c r="B4696" s="2" t="s">
        <v>43</v>
      </c>
      <c r="C4696" s="4">
        <v>45972.25</v>
      </c>
      <c r="D4696" s="4">
        <v>45972.250518043977</v>
      </c>
      <c r="E4696" s="2">
        <v>2.65</v>
      </c>
      <c r="F4696" s="2">
        <v>58</v>
      </c>
      <c r="G4696" s="2" t="s">
        <v>983</v>
      </c>
      <c r="H4696" s="2" t="s">
        <v>984</v>
      </c>
      <c r="I4696" s="2"/>
      <c r="J4696" s="2" t="s">
        <v>43</v>
      </c>
    </row>
    <row r="4697" spans="1:10" ht="21" customHeight="1">
      <c r="A4697" s="2" t="s">
        <v>5696</v>
      </c>
      <c r="B4697" s="2" t="s">
        <v>43</v>
      </c>
      <c r="C4697" s="4">
        <v>45973.25</v>
      </c>
      <c r="D4697" s="4">
        <v>45973.250638483798</v>
      </c>
      <c r="E4697" s="2">
        <v>3.17</v>
      </c>
      <c r="F4697" s="2">
        <v>58.1</v>
      </c>
      <c r="G4697" s="2" t="s">
        <v>983</v>
      </c>
      <c r="H4697" s="2" t="s">
        <v>984</v>
      </c>
      <c r="I4697" s="2"/>
      <c r="J4697" s="2" t="s">
        <v>43</v>
      </c>
    </row>
    <row r="4698" spans="1:10" ht="21" customHeight="1">
      <c r="A4698" s="2" t="s">
        <v>5697</v>
      </c>
      <c r="B4698" s="2" t="s">
        <v>43</v>
      </c>
      <c r="C4698" s="4">
        <v>45974.25</v>
      </c>
      <c r="D4698" s="4">
        <v>45974.250226886579</v>
      </c>
      <c r="E4698" s="2">
        <v>2.2799999999999998</v>
      </c>
      <c r="F4698" s="2">
        <v>64</v>
      </c>
      <c r="G4698" s="2" t="s">
        <v>983</v>
      </c>
      <c r="H4698" s="2" t="s">
        <v>984</v>
      </c>
      <c r="I4698" s="2"/>
      <c r="J4698" s="2" t="s">
        <v>43</v>
      </c>
    </row>
    <row r="4699" spans="1:10" ht="21" customHeight="1">
      <c r="A4699" s="2" t="s">
        <v>5698</v>
      </c>
      <c r="B4699" s="2" t="s">
        <v>43</v>
      </c>
      <c r="C4699" s="4">
        <v>45975.25</v>
      </c>
      <c r="D4699" s="4">
        <v>45975.250379907404</v>
      </c>
      <c r="E4699" s="2">
        <v>3.2</v>
      </c>
      <c r="F4699" s="2">
        <v>59</v>
      </c>
      <c r="G4699" s="2" t="s">
        <v>983</v>
      </c>
      <c r="H4699" s="2" t="s">
        <v>984</v>
      </c>
      <c r="I4699" s="2"/>
      <c r="J4699" s="2" t="s">
        <v>43</v>
      </c>
    </row>
    <row r="4700" spans="1:10" ht="21" customHeight="1">
      <c r="A4700" s="2" t="s">
        <v>5699</v>
      </c>
      <c r="B4700" s="2" t="s">
        <v>43</v>
      </c>
      <c r="C4700" s="4">
        <v>45976.25</v>
      </c>
      <c r="D4700" s="4">
        <v>45976.250330682873</v>
      </c>
      <c r="E4700" s="2">
        <v>2.6</v>
      </c>
      <c r="F4700" s="2">
        <v>62.8</v>
      </c>
      <c r="G4700" s="2" t="s">
        <v>983</v>
      </c>
      <c r="H4700" s="2" t="s">
        <v>984</v>
      </c>
      <c r="I4700" s="2"/>
      <c r="J4700" s="2" t="s">
        <v>43</v>
      </c>
    </row>
    <row r="4701" spans="1:10" ht="21" customHeight="1">
      <c r="A4701" s="2" t="s">
        <v>5700</v>
      </c>
      <c r="B4701" s="2" t="s">
        <v>43</v>
      </c>
      <c r="C4701" s="4">
        <v>45977.25</v>
      </c>
      <c r="D4701" s="4">
        <v>45977.25067415509</v>
      </c>
      <c r="E4701" s="2">
        <v>2.66</v>
      </c>
      <c r="F4701" s="2">
        <v>64.7</v>
      </c>
      <c r="G4701" s="2" t="s">
        <v>983</v>
      </c>
      <c r="H4701" s="2" t="s">
        <v>984</v>
      </c>
      <c r="I4701" s="2"/>
      <c r="J4701" s="2" t="s">
        <v>43</v>
      </c>
    </row>
    <row r="4702" spans="1:10" ht="21" customHeight="1">
      <c r="A4702" s="2" t="s">
        <v>5701</v>
      </c>
      <c r="B4702" s="2" t="s">
        <v>43</v>
      </c>
      <c r="C4702" s="4">
        <v>45978.25</v>
      </c>
      <c r="D4702" s="4">
        <v>45978.250282754627</v>
      </c>
      <c r="E4702" s="2">
        <v>2.66</v>
      </c>
      <c r="F4702" s="2">
        <v>64.599999999999994</v>
      </c>
      <c r="G4702" s="2" t="s">
        <v>983</v>
      </c>
      <c r="H4702" s="2" t="s">
        <v>984</v>
      </c>
      <c r="I4702" s="2"/>
      <c r="J4702" s="2" t="s">
        <v>43</v>
      </c>
    </row>
    <row r="4703" spans="1:10" ht="21" customHeight="1">
      <c r="A4703" s="2" t="s">
        <v>5702</v>
      </c>
      <c r="B4703" s="2" t="s">
        <v>43</v>
      </c>
      <c r="C4703" s="4">
        <v>45979.25</v>
      </c>
      <c r="D4703" s="4">
        <v>45979.250560625005</v>
      </c>
      <c r="E4703" s="2">
        <v>3.16</v>
      </c>
      <c r="F4703" s="2">
        <v>65.3</v>
      </c>
      <c r="G4703" s="2" t="s">
        <v>983</v>
      </c>
      <c r="H4703" s="2" t="s">
        <v>984</v>
      </c>
      <c r="I4703" s="2"/>
      <c r="J4703" s="2" t="s">
        <v>43</v>
      </c>
    </row>
    <row r="4704" spans="1:10" ht="21" customHeight="1">
      <c r="A4704" s="2" t="s">
        <v>5703</v>
      </c>
      <c r="B4704" s="2" t="s">
        <v>43</v>
      </c>
      <c r="C4704" s="4">
        <v>45980.25</v>
      </c>
      <c r="D4704" s="4">
        <v>45980.250198587964</v>
      </c>
      <c r="E4704" s="2">
        <v>2.4900000000000002</v>
      </c>
      <c r="F4704" s="2">
        <v>65.900000000000006</v>
      </c>
      <c r="G4704" s="2" t="s">
        <v>983</v>
      </c>
      <c r="H4704" s="2" t="s">
        <v>984</v>
      </c>
      <c r="I4704" s="2"/>
      <c r="J4704" s="2" t="s">
        <v>43</v>
      </c>
    </row>
    <row r="4705" spans="1:10" ht="21" customHeight="1">
      <c r="A4705" s="2" t="s">
        <v>5704</v>
      </c>
      <c r="B4705" s="2" t="s">
        <v>43</v>
      </c>
      <c r="C4705" s="4">
        <v>45981.25</v>
      </c>
      <c r="D4705" s="4">
        <v>45981.250372256945</v>
      </c>
      <c r="E4705" s="2">
        <v>2.29</v>
      </c>
      <c r="F4705" s="2">
        <v>58.2</v>
      </c>
      <c r="G4705" s="2" t="s">
        <v>983</v>
      </c>
      <c r="H4705" s="2" t="s">
        <v>984</v>
      </c>
      <c r="I4705" s="2" t="s">
        <v>985</v>
      </c>
      <c r="J4705" s="2" t="s">
        <v>43</v>
      </c>
    </row>
    <row r="4706" spans="1:10" ht="21" customHeight="1">
      <c r="A4706" s="2" t="s">
        <v>5705</v>
      </c>
      <c r="B4706" s="2" t="s">
        <v>43</v>
      </c>
      <c r="C4706" s="4">
        <v>45982.25</v>
      </c>
      <c r="D4706" s="4">
        <v>45982.25030457176</v>
      </c>
      <c r="E4706" s="2">
        <v>2.78</v>
      </c>
      <c r="F4706" s="2">
        <v>64.599999999999994</v>
      </c>
      <c r="G4706" s="2" t="s">
        <v>983</v>
      </c>
      <c r="H4706" s="2" t="s">
        <v>984</v>
      </c>
      <c r="I4706" s="2"/>
      <c r="J4706" s="2" t="s">
        <v>43</v>
      </c>
    </row>
    <row r="4707" spans="1:10" ht="21" customHeight="1">
      <c r="A4707" s="2" t="s">
        <v>5706</v>
      </c>
      <c r="B4707" s="2" t="s">
        <v>43</v>
      </c>
      <c r="C4707" s="4">
        <v>45983.25</v>
      </c>
      <c r="D4707" s="4">
        <v>45983.250498611116</v>
      </c>
      <c r="E4707" s="2"/>
      <c r="F4707" s="2"/>
      <c r="G4707" s="2" t="s">
        <v>983</v>
      </c>
      <c r="H4707" s="2" t="s">
        <v>1066</v>
      </c>
      <c r="I4707" s="2"/>
      <c r="J4707" s="2" t="s">
        <v>43</v>
      </c>
    </row>
    <row r="4708" spans="1:10" ht="21" customHeight="1">
      <c r="A4708" s="2" t="s">
        <v>5707</v>
      </c>
      <c r="B4708" s="2" t="s">
        <v>43</v>
      </c>
      <c r="C4708" s="4">
        <v>45984.25</v>
      </c>
      <c r="D4708" s="4">
        <v>45984.250306493057</v>
      </c>
      <c r="E4708" s="2">
        <v>2.74</v>
      </c>
      <c r="F4708" s="2">
        <v>63.3</v>
      </c>
      <c r="G4708" s="2" t="s">
        <v>983</v>
      </c>
      <c r="H4708" s="2" t="s">
        <v>984</v>
      </c>
      <c r="I4708" s="2"/>
      <c r="J4708" s="2" t="s">
        <v>43</v>
      </c>
    </row>
    <row r="4709" spans="1:10" ht="21" customHeight="1">
      <c r="A4709" s="2" t="s">
        <v>5708</v>
      </c>
      <c r="B4709" s="2" t="s">
        <v>43</v>
      </c>
      <c r="C4709" s="4">
        <v>45985.25</v>
      </c>
      <c r="D4709" s="4">
        <v>45985.250443483797</v>
      </c>
      <c r="E4709" s="2">
        <v>2.77</v>
      </c>
      <c r="F4709" s="2">
        <v>63.6</v>
      </c>
      <c r="G4709" s="2" t="s">
        <v>983</v>
      </c>
      <c r="H4709" s="2" t="s">
        <v>984</v>
      </c>
      <c r="I4709" s="2"/>
      <c r="J4709" s="2" t="s">
        <v>43</v>
      </c>
    </row>
    <row r="4710" spans="1:10" ht="21" customHeight="1">
      <c r="A4710" s="2" t="s">
        <v>5709</v>
      </c>
      <c r="B4710" s="2" t="s">
        <v>43</v>
      </c>
      <c r="C4710" s="4">
        <v>45986.25</v>
      </c>
      <c r="D4710" s="4">
        <v>45986.250111388887</v>
      </c>
      <c r="E4710" s="2">
        <v>2.65</v>
      </c>
      <c r="F4710" s="2">
        <v>58.4</v>
      </c>
      <c r="G4710" s="2" t="s">
        <v>983</v>
      </c>
      <c r="H4710" s="2" t="s">
        <v>984</v>
      </c>
      <c r="I4710" s="2"/>
      <c r="J4710" s="2" t="s">
        <v>43</v>
      </c>
    </row>
    <row r="4711" spans="1:10" ht="21" customHeight="1">
      <c r="A4711" s="2" t="s">
        <v>5710</v>
      </c>
      <c r="B4711" s="2" t="s">
        <v>43</v>
      </c>
      <c r="C4711" s="4">
        <v>45987.25</v>
      </c>
      <c r="D4711" s="4">
        <v>45987.250405972227</v>
      </c>
      <c r="E4711" s="2">
        <v>3.14</v>
      </c>
      <c r="F4711" s="2">
        <v>60.1</v>
      </c>
      <c r="G4711" s="2" t="s">
        <v>983</v>
      </c>
      <c r="H4711" s="2" t="s">
        <v>984</v>
      </c>
      <c r="I4711" s="2"/>
      <c r="J4711" s="2" t="s">
        <v>43</v>
      </c>
    </row>
    <row r="4712" spans="1:10" ht="21" customHeight="1">
      <c r="A4712" s="2" t="s">
        <v>5711</v>
      </c>
      <c r="B4712" s="2" t="s">
        <v>43</v>
      </c>
      <c r="C4712" s="4">
        <v>45988.25</v>
      </c>
      <c r="D4712" s="4">
        <v>45988.250366238426</v>
      </c>
      <c r="E4712" s="2">
        <v>3.3</v>
      </c>
      <c r="F4712" s="2">
        <v>63.3</v>
      </c>
      <c r="G4712" s="2" t="s">
        <v>983</v>
      </c>
      <c r="H4712" s="2" t="s">
        <v>984</v>
      </c>
      <c r="I4712" s="2"/>
      <c r="J4712" s="2" t="s">
        <v>43</v>
      </c>
    </row>
    <row r="4713" spans="1:10" ht="21" customHeight="1">
      <c r="A4713" s="2" t="s">
        <v>5712</v>
      </c>
      <c r="B4713" s="2" t="s">
        <v>43</v>
      </c>
      <c r="C4713" s="4">
        <v>45989.25</v>
      </c>
      <c r="D4713" s="4">
        <v>45989.250182326388</v>
      </c>
      <c r="E4713" s="2">
        <v>2.64</v>
      </c>
      <c r="F4713" s="2">
        <v>62</v>
      </c>
      <c r="G4713" s="2" t="s">
        <v>983</v>
      </c>
      <c r="H4713" s="2" t="s">
        <v>984</v>
      </c>
      <c r="I4713" s="2"/>
      <c r="J4713" s="2" t="s">
        <v>43</v>
      </c>
    </row>
    <row r="4714" spans="1:10" ht="21" customHeight="1">
      <c r="A4714" s="2" t="s">
        <v>5713</v>
      </c>
      <c r="B4714" s="2" t="s">
        <v>43</v>
      </c>
      <c r="C4714" s="4">
        <v>45990.25</v>
      </c>
      <c r="D4714" s="4">
        <v>45990.250374768519</v>
      </c>
      <c r="E4714" s="2">
        <v>3.11</v>
      </c>
      <c r="F4714" s="2">
        <v>62.5</v>
      </c>
      <c r="G4714" s="2" t="s">
        <v>983</v>
      </c>
      <c r="H4714" s="2" t="s">
        <v>984</v>
      </c>
      <c r="I4714" s="2"/>
      <c r="J4714" s="2" t="s">
        <v>43</v>
      </c>
    </row>
    <row r="4715" spans="1:10" ht="21" customHeight="1">
      <c r="A4715" s="2" t="s">
        <v>5714</v>
      </c>
      <c r="B4715" s="2" t="s">
        <v>43</v>
      </c>
      <c r="C4715" s="4">
        <v>45991.25</v>
      </c>
      <c r="D4715" s="4">
        <v>45991.250684398146</v>
      </c>
      <c r="E4715" s="2">
        <v>2.3199999999999998</v>
      </c>
      <c r="F4715" s="2">
        <v>59.9</v>
      </c>
      <c r="G4715" s="2" t="s">
        <v>983</v>
      </c>
      <c r="H4715" s="2" t="s">
        <v>984</v>
      </c>
      <c r="I4715" s="2"/>
      <c r="J4715" s="2" t="s">
        <v>43</v>
      </c>
    </row>
    <row r="4716" spans="1:10" ht="21" customHeight="1">
      <c r="A4716" s="2" t="s">
        <v>5715</v>
      </c>
      <c r="B4716" s="2" t="s">
        <v>43</v>
      </c>
      <c r="C4716" s="4">
        <v>45992.25</v>
      </c>
      <c r="D4716" s="4">
        <v>45992.250667974542</v>
      </c>
      <c r="E4716" s="2">
        <v>2.2200000000000002</v>
      </c>
      <c r="F4716" s="2">
        <v>64.400000000000006</v>
      </c>
      <c r="G4716" s="2" t="s">
        <v>983</v>
      </c>
      <c r="H4716" s="2" t="s">
        <v>984</v>
      </c>
      <c r="I4716" s="2"/>
      <c r="J4716" s="2" t="s">
        <v>43</v>
      </c>
    </row>
    <row r="4717" spans="1:10" ht="21" customHeight="1">
      <c r="A4717" s="2" t="s">
        <v>5716</v>
      </c>
      <c r="B4717" s="2" t="s">
        <v>5388</v>
      </c>
      <c r="C4717" s="4">
        <v>45993.25</v>
      </c>
      <c r="D4717" s="4">
        <v>45993.250176932866</v>
      </c>
      <c r="E4717" s="2">
        <v>2.16</v>
      </c>
      <c r="F4717" s="2">
        <v>60.8</v>
      </c>
      <c r="G4717" s="2" t="s">
        <v>983</v>
      </c>
      <c r="H4717" s="2" t="s">
        <v>984</v>
      </c>
      <c r="I4717" s="2"/>
      <c r="J4717" s="2" t="s">
        <v>43</v>
      </c>
    </row>
    <row r="4718" spans="1:10" ht="21" customHeight="1">
      <c r="A4718" s="2" t="s">
        <v>5717</v>
      </c>
      <c r="B4718" s="2" t="s">
        <v>43</v>
      </c>
      <c r="C4718" s="4">
        <v>45994.25</v>
      </c>
      <c r="D4718" s="4">
        <v>45994.25020628472</v>
      </c>
      <c r="E4718" s="2">
        <v>2.44</v>
      </c>
      <c r="F4718" s="2">
        <v>59.5</v>
      </c>
      <c r="G4718" s="2" t="s">
        <v>983</v>
      </c>
      <c r="H4718" s="2" t="s">
        <v>984</v>
      </c>
      <c r="I4718" s="2"/>
      <c r="J4718" s="2" t="s">
        <v>43</v>
      </c>
    </row>
    <row r="4719" spans="1:10" ht="21" customHeight="1">
      <c r="A4719" s="2" t="s">
        <v>5718</v>
      </c>
      <c r="B4719" s="2" t="s">
        <v>43</v>
      </c>
      <c r="C4719" s="4">
        <v>45995.25</v>
      </c>
      <c r="D4719" s="4">
        <v>45995.250562256944</v>
      </c>
      <c r="E4719" s="2">
        <v>2.75</v>
      </c>
      <c r="F4719" s="2">
        <v>58.4</v>
      </c>
      <c r="G4719" s="2" t="s">
        <v>983</v>
      </c>
      <c r="H4719" s="2" t="s">
        <v>984</v>
      </c>
      <c r="I4719" s="2"/>
      <c r="J4719" s="2" t="s">
        <v>43</v>
      </c>
    </row>
    <row r="4720" spans="1:10" ht="21" customHeight="1">
      <c r="A4720" s="2" t="s">
        <v>5719</v>
      </c>
      <c r="B4720" s="2" t="s">
        <v>43</v>
      </c>
      <c r="C4720" s="4">
        <v>45996.25</v>
      </c>
      <c r="D4720" s="4">
        <v>45996.250069456015</v>
      </c>
      <c r="E4720" s="2"/>
      <c r="F4720" s="2"/>
      <c r="G4720" s="2" t="s">
        <v>1175</v>
      </c>
      <c r="H4720" s="2" t="s">
        <v>1066</v>
      </c>
      <c r="I4720" s="2"/>
      <c r="J4720" s="2" t="s">
        <v>43</v>
      </c>
    </row>
    <row r="4721" spans="1:10" ht="21" customHeight="1">
      <c r="A4721" s="2" t="s">
        <v>5720</v>
      </c>
      <c r="B4721" s="2" t="s">
        <v>43</v>
      </c>
      <c r="C4721" s="4">
        <v>45997.25</v>
      </c>
      <c r="D4721" s="4">
        <v>45997.250120532408</v>
      </c>
      <c r="E4721" s="2">
        <v>2.23</v>
      </c>
      <c r="F4721" s="2">
        <v>63.3</v>
      </c>
      <c r="G4721" s="2" t="s">
        <v>983</v>
      </c>
      <c r="H4721" s="2" t="s">
        <v>984</v>
      </c>
      <c r="I4721" s="2"/>
      <c r="J4721" s="2" t="s">
        <v>43</v>
      </c>
    </row>
    <row r="4722" spans="1:10" ht="21" customHeight="1">
      <c r="A4722" s="2" t="s">
        <v>5721</v>
      </c>
      <c r="B4722" s="2" t="s">
        <v>43</v>
      </c>
      <c r="C4722" s="4">
        <v>45998.25</v>
      </c>
      <c r="D4722" s="4">
        <v>45998.250303900466</v>
      </c>
      <c r="E4722" s="2">
        <v>2.41</v>
      </c>
      <c r="F4722" s="2">
        <v>65.099999999999994</v>
      </c>
      <c r="G4722" s="2" t="s">
        <v>983</v>
      </c>
      <c r="H4722" s="2" t="s">
        <v>984</v>
      </c>
      <c r="I4722" s="2" t="s">
        <v>985</v>
      </c>
      <c r="J4722" s="2" t="s">
        <v>43</v>
      </c>
    </row>
    <row r="4723" spans="1:10" ht="21" customHeight="1">
      <c r="A4723" s="2" t="s">
        <v>5722</v>
      </c>
      <c r="B4723" s="2" t="s">
        <v>43</v>
      </c>
      <c r="C4723" s="4">
        <v>45999.25</v>
      </c>
      <c r="D4723" s="4">
        <v>45999.250519212961</v>
      </c>
      <c r="E4723" s="2">
        <v>2.21</v>
      </c>
      <c r="F4723" s="2">
        <v>64.400000000000006</v>
      </c>
      <c r="G4723" s="2" t="s">
        <v>983</v>
      </c>
      <c r="H4723" s="2" t="s">
        <v>984</v>
      </c>
      <c r="I4723" s="2"/>
      <c r="J4723" s="2" t="s">
        <v>43</v>
      </c>
    </row>
    <row r="4724" spans="1:10" ht="21" customHeight="1">
      <c r="A4724" s="2" t="s">
        <v>5723</v>
      </c>
      <c r="B4724" s="2" t="s">
        <v>43</v>
      </c>
      <c r="C4724" s="4">
        <v>46000.25</v>
      </c>
      <c r="D4724" s="4">
        <v>46000.250396041665</v>
      </c>
      <c r="E4724" s="2">
        <v>3.1</v>
      </c>
      <c r="F4724" s="2">
        <v>64.3</v>
      </c>
      <c r="G4724" s="2" t="s">
        <v>983</v>
      </c>
      <c r="H4724" s="2" t="s">
        <v>984</v>
      </c>
      <c r="I4724" s="2"/>
      <c r="J4724" s="2" t="s">
        <v>43</v>
      </c>
    </row>
    <row r="4725" spans="1:10" ht="21" customHeight="1">
      <c r="A4725" s="2" t="s">
        <v>5724</v>
      </c>
      <c r="B4725" s="2" t="s">
        <v>43</v>
      </c>
      <c r="C4725" s="4">
        <v>46001.25</v>
      </c>
      <c r="D4725" s="4">
        <v>46001.250459247683</v>
      </c>
      <c r="E4725" s="2">
        <v>2.2999999999999998</v>
      </c>
      <c r="F4725" s="2">
        <v>62.4</v>
      </c>
      <c r="G4725" s="2" t="s">
        <v>983</v>
      </c>
      <c r="H4725" s="2" t="s">
        <v>984</v>
      </c>
      <c r="I4725" s="2"/>
      <c r="J4725" s="2" t="s">
        <v>43</v>
      </c>
    </row>
    <row r="4726" spans="1:10" ht="21" customHeight="1">
      <c r="A4726" s="2" t="s">
        <v>5725</v>
      </c>
      <c r="B4726" s="2" t="s">
        <v>43</v>
      </c>
      <c r="C4726" s="4">
        <v>46002.25</v>
      </c>
      <c r="D4726" s="4">
        <v>46002.250383460647</v>
      </c>
      <c r="E4726" s="2">
        <v>3.14</v>
      </c>
      <c r="F4726" s="2">
        <v>65.400000000000006</v>
      </c>
      <c r="G4726" s="2" t="s">
        <v>983</v>
      </c>
      <c r="H4726" s="2" t="s">
        <v>984</v>
      </c>
      <c r="I4726" s="2"/>
      <c r="J4726" s="2" t="s">
        <v>43</v>
      </c>
    </row>
    <row r="4727" spans="1:10" ht="21" customHeight="1">
      <c r="A4727" s="2" t="s">
        <v>5726</v>
      </c>
      <c r="B4727" s="2" t="s">
        <v>43</v>
      </c>
      <c r="C4727" s="4">
        <v>46003.25</v>
      </c>
      <c r="D4727" s="4">
        <v>46003.250306261572</v>
      </c>
      <c r="E4727" s="2">
        <v>2.5499999999999998</v>
      </c>
      <c r="F4727" s="2">
        <v>63.3</v>
      </c>
      <c r="G4727" s="2" t="s">
        <v>983</v>
      </c>
      <c r="H4727" s="2" t="s">
        <v>984</v>
      </c>
      <c r="I4727" s="2"/>
      <c r="J4727" s="2" t="s">
        <v>43</v>
      </c>
    </row>
    <row r="4728" spans="1:10" ht="21" customHeight="1">
      <c r="A4728" s="2" t="s">
        <v>5727</v>
      </c>
      <c r="B4728" s="2" t="s">
        <v>43</v>
      </c>
      <c r="C4728" s="4">
        <v>46004.25</v>
      </c>
      <c r="D4728" s="4">
        <v>46004.250508761572</v>
      </c>
      <c r="E4728" s="2">
        <v>2.2000000000000002</v>
      </c>
      <c r="F4728" s="2">
        <v>60.7</v>
      </c>
      <c r="G4728" s="2" t="s">
        <v>983</v>
      </c>
      <c r="H4728" s="2" t="s">
        <v>984</v>
      </c>
      <c r="I4728" s="2"/>
      <c r="J4728" s="2" t="s">
        <v>43</v>
      </c>
    </row>
    <row r="4729" spans="1:10" ht="21" customHeight="1">
      <c r="A4729" s="2" t="s">
        <v>5728</v>
      </c>
      <c r="B4729" s="2" t="s">
        <v>43</v>
      </c>
      <c r="C4729" s="4">
        <v>46005.25</v>
      </c>
      <c r="D4729" s="4">
        <v>46005.250118067124</v>
      </c>
      <c r="E4729" s="2">
        <v>2.5299999999999998</v>
      </c>
      <c r="F4729" s="2">
        <v>64.099999999999994</v>
      </c>
      <c r="G4729" s="2" t="s">
        <v>983</v>
      </c>
      <c r="H4729" s="2" t="s">
        <v>984</v>
      </c>
      <c r="I4729" s="2"/>
      <c r="J4729" s="2" t="s">
        <v>43</v>
      </c>
    </row>
    <row r="4730" spans="1:10" ht="21" customHeight="1">
      <c r="A4730" s="2" t="s">
        <v>5729</v>
      </c>
      <c r="B4730" s="2" t="s">
        <v>43</v>
      </c>
      <c r="C4730" s="4">
        <v>46006.25</v>
      </c>
      <c r="D4730" s="4">
        <v>46006.250628310183</v>
      </c>
      <c r="E4730" s="2">
        <v>2.27</v>
      </c>
      <c r="F4730" s="2">
        <v>65.599999999999994</v>
      </c>
      <c r="G4730" s="2" t="s">
        <v>983</v>
      </c>
      <c r="H4730" s="2" t="s">
        <v>984</v>
      </c>
      <c r="I4730" s="2"/>
      <c r="J4730" s="2" t="s">
        <v>43</v>
      </c>
    </row>
    <row r="4731" spans="1:10" ht="21" customHeight="1">
      <c r="A4731" s="2" t="s">
        <v>5730</v>
      </c>
      <c r="B4731" s="2" t="s">
        <v>43</v>
      </c>
      <c r="C4731" s="4">
        <v>46007.25</v>
      </c>
      <c r="D4731" s="4">
        <v>46007.250514467596</v>
      </c>
      <c r="E4731" s="2">
        <v>2.1800000000000002</v>
      </c>
      <c r="F4731" s="2">
        <v>64</v>
      </c>
      <c r="G4731" s="2" t="s">
        <v>983</v>
      </c>
      <c r="H4731" s="2" t="s">
        <v>984</v>
      </c>
      <c r="I4731" s="2"/>
      <c r="J4731" s="2" t="s">
        <v>43</v>
      </c>
    </row>
    <row r="4732" spans="1:10" ht="21" customHeight="1">
      <c r="A4732" s="2" t="s">
        <v>5731</v>
      </c>
      <c r="B4732" s="2" t="s">
        <v>43</v>
      </c>
      <c r="C4732" s="4">
        <v>46008.25</v>
      </c>
      <c r="D4732" s="4">
        <v>46008.250277118059</v>
      </c>
      <c r="E4732" s="2">
        <v>2.76</v>
      </c>
      <c r="F4732" s="2">
        <v>59.8</v>
      </c>
      <c r="G4732" s="2" t="s">
        <v>983</v>
      </c>
      <c r="H4732" s="2" t="s">
        <v>984</v>
      </c>
      <c r="I4732" s="2"/>
      <c r="J4732" s="2" t="s">
        <v>43</v>
      </c>
    </row>
    <row r="4733" spans="1:10" ht="21" customHeight="1">
      <c r="A4733" s="2" t="s">
        <v>5732</v>
      </c>
      <c r="B4733" s="2" t="s">
        <v>43</v>
      </c>
      <c r="C4733" s="4">
        <v>46009.25</v>
      </c>
      <c r="D4733" s="4">
        <v>46009.250081458333</v>
      </c>
      <c r="E4733" s="2">
        <v>2.95</v>
      </c>
      <c r="F4733" s="2">
        <v>59.8</v>
      </c>
      <c r="G4733" s="2" t="s">
        <v>983</v>
      </c>
      <c r="H4733" s="2" t="s">
        <v>984</v>
      </c>
      <c r="I4733" s="2"/>
      <c r="J4733" s="2" t="s">
        <v>43</v>
      </c>
    </row>
    <row r="4734" spans="1:10" ht="21" customHeight="1">
      <c r="A4734" s="2" t="s">
        <v>5733</v>
      </c>
      <c r="B4734" s="2" t="s">
        <v>43</v>
      </c>
      <c r="C4734" s="4">
        <v>46010.25</v>
      </c>
      <c r="D4734" s="4">
        <v>46010.250397094904</v>
      </c>
      <c r="E4734" s="2">
        <v>2.16</v>
      </c>
      <c r="F4734" s="2">
        <v>64.2</v>
      </c>
      <c r="G4734" s="2" t="s">
        <v>983</v>
      </c>
      <c r="H4734" s="2" t="s">
        <v>984</v>
      </c>
      <c r="I4734" s="2"/>
      <c r="J4734" s="2" t="s">
        <v>43</v>
      </c>
    </row>
    <row r="4735" spans="1:10" ht="21" customHeight="1">
      <c r="A4735" s="2" t="s">
        <v>5734</v>
      </c>
      <c r="B4735" s="2" t="s">
        <v>43</v>
      </c>
      <c r="C4735" s="4">
        <v>46011.25</v>
      </c>
      <c r="D4735" s="4">
        <v>46011.250542094909</v>
      </c>
      <c r="E4735" s="2">
        <v>2.63</v>
      </c>
      <c r="F4735" s="2">
        <v>60.3</v>
      </c>
      <c r="G4735" s="2" t="s">
        <v>983</v>
      </c>
      <c r="H4735" s="2" t="s">
        <v>984</v>
      </c>
      <c r="I4735" s="2"/>
      <c r="J4735" s="2" t="s">
        <v>43</v>
      </c>
    </row>
    <row r="4736" spans="1:10" ht="21" customHeight="1">
      <c r="A4736" s="2" t="s">
        <v>5735</v>
      </c>
      <c r="B4736" s="2" t="s">
        <v>43</v>
      </c>
      <c r="C4736" s="4">
        <v>46012.25</v>
      </c>
      <c r="D4736" s="4">
        <v>46012.250144386577</v>
      </c>
      <c r="E4736" s="2">
        <v>3.03</v>
      </c>
      <c r="F4736" s="2">
        <v>59.1</v>
      </c>
      <c r="G4736" s="2" t="s">
        <v>983</v>
      </c>
      <c r="H4736" s="2" t="s">
        <v>984</v>
      </c>
      <c r="I4736" s="2"/>
      <c r="J4736" s="2" t="s">
        <v>43</v>
      </c>
    </row>
    <row r="4737" spans="1:10" ht="21" customHeight="1">
      <c r="A4737" s="2" t="s">
        <v>5736</v>
      </c>
      <c r="B4737" s="2" t="s">
        <v>43</v>
      </c>
      <c r="C4737" s="4">
        <v>46013.25</v>
      </c>
      <c r="D4737" s="4">
        <v>46013.250556458333</v>
      </c>
      <c r="E4737" s="2">
        <v>3</v>
      </c>
      <c r="F4737" s="2">
        <v>61.2</v>
      </c>
      <c r="G4737" s="2" t="s">
        <v>983</v>
      </c>
      <c r="H4737" s="2" t="s">
        <v>984</v>
      </c>
      <c r="I4737" s="2"/>
      <c r="J4737" s="2" t="s">
        <v>43</v>
      </c>
    </row>
    <row r="4738" spans="1:10" ht="21" customHeight="1">
      <c r="A4738" s="2" t="s">
        <v>5737</v>
      </c>
      <c r="B4738" s="2" t="s">
        <v>43</v>
      </c>
      <c r="C4738" s="4">
        <v>46014.25</v>
      </c>
      <c r="D4738" s="4">
        <v>46014.250103344908</v>
      </c>
      <c r="E4738" s="2"/>
      <c r="F4738" s="2"/>
      <c r="G4738" s="2" t="s">
        <v>983</v>
      </c>
      <c r="H4738" s="2" t="s">
        <v>1066</v>
      </c>
      <c r="I4738" s="2"/>
      <c r="J4738" s="2" t="s">
        <v>43</v>
      </c>
    </row>
    <row r="4739" spans="1:10" ht="21" customHeight="1">
      <c r="A4739" s="2" t="s">
        <v>5738</v>
      </c>
      <c r="B4739" s="2" t="s">
        <v>43</v>
      </c>
      <c r="C4739" s="4">
        <v>46015.25</v>
      </c>
      <c r="D4739" s="4">
        <v>46015.250566180555</v>
      </c>
      <c r="E4739" s="2">
        <v>2.94</v>
      </c>
      <c r="F4739" s="2">
        <v>64.7</v>
      </c>
      <c r="G4739" s="2" t="s">
        <v>983</v>
      </c>
      <c r="H4739" s="2" t="s">
        <v>984</v>
      </c>
      <c r="I4739" s="2" t="s">
        <v>985</v>
      </c>
      <c r="J4739" s="2" t="s">
        <v>43</v>
      </c>
    </row>
    <row r="4740" spans="1:10" ht="21" customHeight="1">
      <c r="A4740" s="2" t="s">
        <v>5739</v>
      </c>
      <c r="B4740" s="2" t="s">
        <v>43</v>
      </c>
      <c r="C4740" s="4">
        <v>46016.25</v>
      </c>
      <c r="D4740" s="4">
        <v>46016.250202662035</v>
      </c>
      <c r="E4740" s="2">
        <v>2.44</v>
      </c>
      <c r="F4740" s="2">
        <v>58.9</v>
      </c>
      <c r="G4740" s="2" t="s">
        <v>983</v>
      </c>
      <c r="H4740" s="2" t="s">
        <v>984</v>
      </c>
      <c r="I4740" s="2"/>
      <c r="J4740" s="2" t="s">
        <v>43</v>
      </c>
    </row>
    <row r="4741" spans="1:10" ht="21" customHeight="1">
      <c r="A4741" s="2" t="s">
        <v>5740</v>
      </c>
      <c r="B4741" s="2" t="s">
        <v>43</v>
      </c>
      <c r="C4741" s="4">
        <v>46017.25</v>
      </c>
      <c r="D4741" s="4">
        <v>46017.25045305556</v>
      </c>
      <c r="E4741" s="2">
        <v>3.15</v>
      </c>
      <c r="F4741" s="2">
        <v>58.4</v>
      </c>
      <c r="G4741" s="2" t="s">
        <v>983</v>
      </c>
      <c r="H4741" s="2" t="s">
        <v>984</v>
      </c>
      <c r="I4741" s="2"/>
      <c r="J4741" s="2" t="s">
        <v>43</v>
      </c>
    </row>
    <row r="4742" spans="1:10" ht="21" customHeight="1">
      <c r="A4742" s="2" t="s">
        <v>5741</v>
      </c>
      <c r="B4742" s="2" t="s">
        <v>43</v>
      </c>
      <c r="C4742" s="4">
        <v>46018.25</v>
      </c>
      <c r="D4742" s="4">
        <v>46018.250548518517</v>
      </c>
      <c r="E4742" s="2">
        <v>2.5</v>
      </c>
      <c r="F4742" s="2">
        <v>63.5</v>
      </c>
      <c r="G4742" s="2" t="s">
        <v>983</v>
      </c>
      <c r="H4742" s="2" t="s">
        <v>984</v>
      </c>
      <c r="I4742" s="2"/>
      <c r="J4742" s="2" t="s">
        <v>43</v>
      </c>
    </row>
    <row r="4743" spans="1:10" ht="21" customHeight="1">
      <c r="A4743" s="2" t="s">
        <v>5742</v>
      </c>
      <c r="B4743" s="2" t="s">
        <v>43</v>
      </c>
      <c r="C4743" s="4">
        <v>46019.25</v>
      </c>
      <c r="D4743" s="4">
        <v>46019.250021018517</v>
      </c>
      <c r="E4743" s="2">
        <v>2.88</v>
      </c>
      <c r="F4743" s="2">
        <v>62.3</v>
      </c>
      <c r="G4743" s="2" t="s">
        <v>983</v>
      </c>
      <c r="H4743" s="2" t="s">
        <v>984</v>
      </c>
      <c r="I4743" s="2"/>
      <c r="J4743" s="2" t="s">
        <v>43</v>
      </c>
    </row>
    <row r="4744" spans="1:10" ht="21" customHeight="1">
      <c r="A4744" s="2" t="s">
        <v>5743</v>
      </c>
      <c r="B4744" s="2" t="s">
        <v>43</v>
      </c>
      <c r="C4744" s="4">
        <v>46020.25</v>
      </c>
      <c r="D4744" s="4">
        <v>46020.250090462963</v>
      </c>
      <c r="E4744" s="2">
        <v>2.61</v>
      </c>
      <c r="F4744" s="2">
        <v>64.900000000000006</v>
      </c>
      <c r="G4744" s="2" t="s">
        <v>983</v>
      </c>
      <c r="H4744" s="2" t="s">
        <v>984</v>
      </c>
      <c r="I4744" s="2"/>
      <c r="J4744" s="2" t="s">
        <v>43</v>
      </c>
    </row>
    <row r="4745" spans="1:10" ht="21" customHeight="1">
      <c r="A4745" s="2" t="s">
        <v>5744</v>
      </c>
      <c r="B4745" s="2" t="s">
        <v>43</v>
      </c>
      <c r="C4745" s="4">
        <v>46021.25</v>
      </c>
      <c r="D4745" s="4">
        <v>46021.250451446758</v>
      </c>
      <c r="E4745" s="2">
        <v>3.13</v>
      </c>
      <c r="F4745" s="2">
        <v>64.8</v>
      </c>
      <c r="G4745" s="2" t="s">
        <v>983</v>
      </c>
      <c r="H4745" s="2" t="s">
        <v>984</v>
      </c>
      <c r="I4745" s="2"/>
      <c r="J4745" s="2" t="s">
        <v>43</v>
      </c>
    </row>
    <row r="4746" spans="1:10" ht="21" customHeight="1">
      <c r="A4746" s="2" t="s">
        <v>5745</v>
      </c>
      <c r="B4746" s="2" t="s">
        <v>43</v>
      </c>
      <c r="C4746" s="4">
        <v>46022.25</v>
      </c>
      <c r="D4746" s="4">
        <v>46022.250413888891</v>
      </c>
      <c r="E4746" s="2">
        <v>3.13</v>
      </c>
      <c r="F4746" s="2">
        <v>60.1</v>
      </c>
      <c r="G4746" s="2" t="s">
        <v>983</v>
      </c>
      <c r="H4746" s="2" t="s">
        <v>984</v>
      </c>
      <c r="I4746" s="2"/>
      <c r="J4746" s="2" t="s">
        <v>43</v>
      </c>
    </row>
    <row r="4747" spans="1:10" ht="21" customHeight="1">
      <c r="A4747" s="2" t="s">
        <v>5746</v>
      </c>
      <c r="B4747" s="2" t="s">
        <v>46</v>
      </c>
      <c r="C4747" s="4">
        <v>45658.25</v>
      </c>
      <c r="D4747" s="4">
        <v>45658.250536828702</v>
      </c>
      <c r="E4747" s="2">
        <v>2.36</v>
      </c>
      <c r="F4747" s="2">
        <v>65.3</v>
      </c>
      <c r="G4747" s="2" t="s">
        <v>983</v>
      </c>
      <c r="H4747" s="2" t="s">
        <v>984</v>
      </c>
      <c r="I4747" s="2" t="s">
        <v>985</v>
      </c>
      <c r="J4747" s="2" t="s">
        <v>46</v>
      </c>
    </row>
    <row r="4748" spans="1:10" ht="21" customHeight="1">
      <c r="A4748" s="2" t="s">
        <v>5747</v>
      </c>
      <c r="B4748" s="2" t="s">
        <v>46</v>
      </c>
      <c r="C4748" s="4">
        <v>45659.25</v>
      </c>
      <c r="D4748" s="4">
        <v>45659.250505127318</v>
      </c>
      <c r="E4748" s="2">
        <v>3.06</v>
      </c>
      <c r="F4748" s="2">
        <v>63</v>
      </c>
      <c r="G4748" s="2" t="s">
        <v>983</v>
      </c>
      <c r="H4748" s="2" t="s">
        <v>984</v>
      </c>
      <c r="I4748" s="2"/>
      <c r="J4748" s="2" t="s">
        <v>46</v>
      </c>
    </row>
    <row r="4749" spans="1:10" ht="21" customHeight="1">
      <c r="A4749" s="2" t="s">
        <v>5748</v>
      </c>
      <c r="B4749" s="2" t="s">
        <v>46</v>
      </c>
      <c r="C4749" s="4">
        <v>45660.25</v>
      </c>
      <c r="D4749" s="4">
        <v>45660.250682546292</v>
      </c>
      <c r="E4749" s="2">
        <v>2.54</v>
      </c>
      <c r="F4749" s="2">
        <v>58.9</v>
      </c>
      <c r="G4749" s="2" t="s">
        <v>983</v>
      </c>
      <c r="H4749" s="2" t="s">
        <v>984</v>
      </c>
      <c r="I4749" s="2"/>
      <c r="J4749" s="2" t="s">
        <v>46</v>
      </c>
    </row>
    <row r="4750" spans="1:10" ht="21" customHeight="1">
      <c r="A4750" s="2" t="s">
        <v>5749</v>
      </c>
      <c r="B4750" s="2" t="s">
        <v>46</v>
      </c>
      <c r="C4750" s="4">
        <v>45661.25</v>
      </c>
      <c r="D4750" s="4">
        <v>45661.250428888889</v>
      </c>
      <c r="E4750" s="2">
        <v>2.92</v>
      </c>
      <c r="F4750" s="2">
        <v>62.8</v>
      </c>
      <c r="G4750" s="2" t="s">
        <v>983</v>
      </c>
      <c r="H4750" s="2" t="s">
        <v>984</v>
      </c>
      <c r="I4750" s="2"/>
      <c r="J4750" s="2" t="s">
        <v>46</v>
      </c>
    </row>
    <row r="4751" spans="1:10" ht="21" customHeight="1">
      <c r="A4751" s="2" t="s">
        <v>5750</v>
      </c>
      <c r="B4751" s="2" t="s">
        <v>46</v>
      </c>
      <c r="C4751" s="4">
        <v>45662.25</v>
      </c>
      <c r="D4751" s="4">
        <v>45662.250632604162</v>
      </c>
      <c r="E4751" s="2">
        <v>3.07</v>
      </c>
      <c r="F4751" s="2">
        <v>63.2</v>
      </c>
      <c r="G4751" s="2" t="s">
        <v>983</v>
      </c>
      <c r="H4751" s="2" t="s">
        <v>984</v>
      </c>
      <c r="I4751" s="2"/>
      <c r="J4751" s="2" t="s">
        <v>46</v>
      </c>
    </row>
    <row r="4752" spans="1:10" ht="21" customHeight="1">
      <c r="A4752" s="2" t="s">
        <v>5751</v>
      </c>
      <c r="B4752" s="2" t="s">
        <v>46</v>
      </c>
      <c r="C4752" s="4">
        <v>45663.25</v>
      </c>
      <c r="D4752" s="4">
        <v>45663.250351157403</v>
      </c>
      <c r="E4752" s="2"/>
      <c r="F4752" s="2"/>
      <c r="G4752" s="2" t="s">
        <v>983</v>
      </c>
      <c r="H4752" s="2" t="s">
        <v>1066</v>
      </c>
      <c r="I4752" s="2"/>
      <c r="J4752" s="2" t="s">
        <v>46</v>
      </c>
    </row>
    <row r="4753" spans="1:10" ht="21" customHeight="1">
      <c r="A4753" s="2" t="s">
        <v>5752</v>
      </c>
      <c r="B4753" s="2" t="s">
        <v>46</v>
      </c>
      <c r="C4753" s="4">
        <v>45664.25</v>
      </c>
      <c r="D4753" s="4">
        <v>45664.250194143518</v>
      </c>
      <c r="E4753" s="2">
        <v>2.5299999999999998</v>
      </c>
      <c r="F4753" s="2">
        <v>62.3</v>
      </c>
      <c r="G4753" s="2" t="s">
        <v>983</v>
      </c>
      <c r="H4753" s="2" t="s">
        <v>984</v>
      </c>
      <c r="I4753" s="2"/>
      <c r="J4753" s="2" t="s">
        <v>46</v>
      </c>
    </row>
    <row r="4754" spans="1:10" ht="21" customHeight="1">
      <c r="A4754" s="2" t="s">
        <v>5753</v>
      </c>
      <c r="B4754" s="2" t="s">
        <v>46</v>
      </c>
      <c r="C4754" s="4">
        <v>45665.25</v>
      </c>
      <c r="D4754" s="4">
        <v>45665.250685312501</v>
      </c>
      <c r="E4754" s="2">
        <v>2.93</v>
      </c>
      <c r="F4754" s="2">
        <v>65.3</v>
      </c>
      <c r="G4754" s="2" t="s">
        <v>983</v>
      </c>
      <c r="H4754" s="2" t="s">
        <v>984</v>
      </c>
      <c r="I4754" s="2"/>
      <c r="J4754" s="2" t="s">
        <v>46</v>
      </c>
    </row>
    <row r="4755" spans="1:10" ht="21" customHeight="1">
      <c r="A4755" s="2" t="s">
        <v>5754</v>
      </c>
      <c r="B4755" s="2" t="s">
        <v>46</v>
      </c>
      <c r="C4755" s="4">
        <v>45666.25</v>
      </c>
      <c r="D4755" s="4">
        <v>45666.250186203702</v>
      </c>
      <c r="E4755" s="2">
        <v>2.86</v>
      </c>
      <c r="F4755" s="2">
        <v>59.6</v>
      </c>
      <c r="G4755" s="2" t="s">
        <v>983</v>
      </c>
      <c r="H4755" s="2" t="s">
        <v>984</v>
      </c>
      <c r="I4755" s="2"/>
      <c r="J4755" s="2" t="s">
        <v>46</v>
      </c>
    </row>
    <row r="4756" spans="1:10" ht="21" customHeight="1">
      <c r="A4756" s="2" t="s">
        <v>5755</v>
      </c>
      <c r="B4756" s="2" t="s">
        <v>46</v>
      </c>
      <c r="C4756" s="4">
        <v>45667.25</v>
      </c>
      <c r="D4756" s="4">
        <v>45667.250386041662</v>
      </c>
      <c r="E4756" s="2">
        <v>3.13</v>
      </c>
      <c r="F4756" s="2">
        <v>60.6</v>
      </c>
      <c r="G4756" s="2" t="s">
        <v>983</v>
      </c>
      <c r="H4756" s="2" t="s">
        <v>984</v>
      </c>
      <c r="I4756" s="2"/>
      <c r="J4756" s="2" t="s">
        <v>46</v>
      </c>
    </row>
    <row r="4757" spans="1:10" ht="21" customHeight="1">
      <c r="A4757" s="2" t="s">
        <v>5756</v>
      </c>
      <c r="B4757" s="2" t="s">
        <v>46</v>
      </c>
      <c r="C4757" s="4">
        <v>45668.25</v>
      </c>
      <c r="D4757" s="4">
        <v>45668.250687511572</v>
      </c>
      <c r="E4757" s="2">
        <v>3.11</v>
      </c>
      <c r="F4757" s="2">
        <v>63.1</v>
      </c>
      <c r="G4757" s="2" t="s">
        <v>983</v>
      </c>
      <c r="H4757" s="2" t="s">
        <v>984</v>
      </c>
      <c r="I4757" s="2"/>
      <c r="J4757" s="2" t="s">
        <v>46</v>
      </c>
    </row>
    <row r="4758" spans="1:10" ht="21" customHeight="1">
      <c r="A4758" s="2" t="s">
        <v>5757</v>
      </c>
      <c r="B4758" s="2" t="s">
        <v>5758</v>
      </c>
      <c r="C4758" s="4">
        <v>45669.25</v>
      </c>
      <c r="D4758" s="4">
        <v>45669.250656666671</v>
      </c>
      <c r="E4758" s="2">
        <v>2.6</v>
      </c>
      <c r="F4758" s="2">
        <v>63.5</v>
      </c>
      <c r="G4758" s="2" t="s">
        <v>983</v>
      </c>
      <c r="H4758" s="2" t="s">
        <v>984</v>
      </c>
      <c r="I4758" s="2"/>
      <c r="J4758" s="2" t="s">
        <v>46</v>
      </c>
    </row>
    <row r="4759" spans="1:10" ht="21" customHeight="1">
      <c r="A4759" s="2" t="s">
        <v>5759</v>
      </c>
      <c r="B4759" s="2" t="s">
        <v>46</v>
      </c>
      <c r="C4759" s="4">
        <v>45670.25</v>
      </c>
      <c r="D4759" s="4">
        <v>45670.250239143519</v>
      </c>
      <c r="E4759" s="2">
        <v>2.54</v>
      </c>
      <c r="F4759" s="2">
        <v>60.8</v>
      </c>
      <c r="G4759" s="2" t="s">
        <v>983</v>
      </c>
      <c r="H4759" s="2" t="s">
        <v>984</v>
      </c>
      <c r="I4759" s="2"/>
      <c r="J4759" s="2" t="s">
        <v>46</v>
      </c>
    </row>
    <row r="4760" spans="1:10" ht="21" customHeight="1">
      <c r="A4760" s="2" t="s">
        <v>5760</v>
      </c>
      <c r="B4760" s="2" t="s">
        <v>46</v>
      </c>
      <c r="C4760" s="4">
        <v>45671.25</v>
      </c>
      <c r="D4760" s="4">
        <v>45671.250093333336</v>
      </c>
      <c r="E4760" s="2">
        <v>2.96</v>
      </c>
      <c r="F4760" s="2">
        <v>63.2</v>
      </c>
      <c r="G4760" s="2" t="s">
        <v>983</v>
      </c>
      <c r="H4760" s="2" t="s">
        <v>984</v>
      </c>
      <c r="I4760" s="2"/>
      <c r="J4760" s="2" t="s">
        <v>46</v>
      </c>
    </row>
    <row r="4761" spans="1:10" ht="21" customHeight="1">
      <c r="A4761" s="2" t="s">
        <v>5761</v>
      </c>
      <c r="B4761" s="2" t="s">
        <v>46</v>
      </c>
      <c r="C4761" s="4">
        <v>45672.25</v>
      </c>
      <c r="D4761" s="4">
        <v>45672.250516134256</v>
      </c>
      <c r="E4761" s="2">
        <v>2.46</v>
      </c>
      <c r="F4761" s="2">
        <v>62</v>
      </c>
      <c r="G4761" s="2" t="s">
        <v>983</v>
      </c>
      <c r="H4761" s="2" t="s">
        <v>984</v>
      </c>
      <c r="I4761" s="2"/>
      <c r="J4761" s="2" t="s">
        <v>46</v>
      </c>
    </row>
    <row r="4762" spans="1:10" ht="21" customHeight="1">
      <c r="A4762" s="2" t="s">
        <v>5762</v>
      </c>
      <c r="B4762" s="2" t="s">
        <v>46</v>
      </c>
      <c r="C4762" s="4">
        <v>45673.25</v>
      </c>
      <c r="D4762" s="4">
        <v>45673.250544710652</v>
      </c>
      <c r="E4762" s="2">
        <v>2.41</v>
      </c>
      <c r="F4762" s="2">
        <v>59.4</v>
      </c>
      <c r="G4762" s="2" t="s">
        <v>983</v>
      </c>
      <c r="H4762" s="2" t="s">
        <v>984</v>
      </c>
      <c r="I4762" s="2"/>
      <c r="J4762" s="2" t="s">
        <v>46</v>
      </c>
    </row>
    <row r="4763" spans="1:10" ht="21" customHeight="1">
      <c r="A4763" s="2" t="s">
        <v>5763</v>
      </c>
      <c r="B4763" s="2" t="s">
        <v>46</v>
      </c>
      <c r="C4763" s="4">
        <v>45674.25</v>
      </c>
      <c r="D4763" s="4">
        <v>45674.250534502316</v>
      </c>
      <c r="E4763" s="2">
        <v>3.01</v>
      </c>
      <c r="F4763" s="2">
        <v>58.6</v>
      </c>
      <c r="G4763" s="2" t="s">
        <v>983</v>
      </c>
      <c r="H4763" s="2" t="s">
        <v>984</v>
      </c>
      <c r="I4763" s="2"/>
      <c r="J4763" s="2" t="s">
        <v>46</v>
      </c>
    </row>
    <row r="4764" spans="1:10" ht="21" customHeight="1">
      <c r="A4764" s="2" t="s">
        <v>5764</v>
      </c>
      <c r="B4764" s="2" t="s">
        <v>46</v>
      </c>
      <c r="C4764" s="4">
        <v>45675.25</v>
      </c>
      <c r="D4764" s="4">
        <v>45675.250380381942</v>
      </c>
      <c r="E4764" s="2">
        <v>3.13</v>
      </c>
      <c r="F4764" s="2">
        <v>63</v>
      </c>
      <c r="G4764" s="2" t="s">
        <v>983</v>
      </c>
      <c r="H4764" s="2" t="s">
        <v>984</v>
      </c>
      <c r="I4764" s="2" t="s">
        <v>985</v>
      </c>
      <c r="J4764" s="2" t="s">
        <v>46</v>
      </c>
    </row>
    <row r="4765" spans="1:10" ht="21" customHeight="1">
      <c r="A4765" s="2" t="s">
        <v>5765</v>
      </c>
      <c r="B4765" s="2" t="s">
        <v>46</v>
      </c>
      <c r="C4765" s="4">
        <v>45676.25</v>
      </c>
      <c r="D4765" s="4">
        <v>45676.25052869213</v>
      </c>
      <c r="E4765" s="2">
        <v>2.9</v>
      </c>
      <c r="F4765" s="2">
        <v>63.8</v>
      </c>
      <c r="G4765" s="2" t="s">
        <v>983</v>
      </c>
      <c r="H4765" s="2" t="s">
        <v>984</v>
      </c>
      <c r="I4765" s="2"/>
      <c r="J4765" s="2" t="s">
        <v>46</v>
      </c>
    </row>
    <row r="4766" spans="1:10" ht="21" customHeight="1">
      <c r="A4766" s="2" t="s">
        <v>5766</v>
      </c>
      <c r="B4766" s="2" t="s">
        <v>46</v>
      </c>
      <c r="C4766" s="4">
        <v>45677.25</v>
      </c>
      <c r="D4766" s="4">
        <v>45677.250665428241</v>
      </c>
      <c r="E4766" s="2">
        <v>2.2400000000000002</v>
      </c>
      <c r="F4766" s="2">
        <v>62</v>
      </c>
      <c r="G4766" s="2" t="s">
        <v>983</v>
      </c>
      <c r="H4766" s="2" t="s">
        <v>984</v>
      </c>
      <c r="I4766" s="2"/>
      <c r="J4766" s="2" t="s">
        <v>46</v>
      </c>
    </row>
    <row r="4767" spans="1:10" ht="21" customHeight="1">
      <c r="A4767" s="2" t="s">
        <v>5767</v>
      </c>
      <c r="B4767" s="2" t="s">
        <v>46</v>
      </c>
      <c r="C4767" s="4">
        <v>45678.25</v>
      </c>
      <c r="D4767" s="4">
        <v>45678.250136875002</v>
      </c>
      <c r="E4767" s="2">
        <v>2.2799999999999998</v>
      </c>
      <c r="F4767" s="2">
        <v>59.2</v>
      </c>
      <c r="G4767" s="2" t="s">
        <v>983</v>
      </c>
      <c r="H4767" s="2" t="s">
        <v>984</v>
      </c>
      <c r="I4767" s="2"/>
      <c r="J4767" s="2" t="s">
        <v>46</v>
      </c>
    </row>
    <row r="4768" spans="1:10" ht="21" customHeight="1">
      <c r="A4768" s="2" t="s">
        <v>5768</v>
      </c>
      <c r="B4768" s="2" t="s">
        <v>46</v>
      </c>
      <c r="C4768" s="4">
        <v>45679.25</v>
      </c>
      <c r="D4768" s="4">
        <v>45679.25056670139</v>
      </c>
      <c r="E4768" s="2">
        <v>2.5099999999999998</v>
      </c>
      <c r="F4768" s="2">
        <v>61.4</v>
      </c>
      <c r="G4768" s="2" t="s">
        <v>983</v>
      </c>
      <c r="H4768" s="2" t="s">
        <v>984</v>
      </c>
      <c r="I4768" s="2"/>
      <c r="J4768" s="2" t="s">
        <v>46</v>
      </c>
    </row>
    <row r="4769" spans="1:10" ht="21" customHeight="1">
      <c r="A4769" s="2" t="s">
        <v>5769</v>
      </c>
      <c r="B4769" s="2" t="s">
        <v>46</v>
      </c>
      <c r="C4769" s="4">
        <v>45680.25</v>
      </c>
      <c r="D4769" s="4">
        <v>45680.25045634259</v>
      </c>
      <c r="E4769" s="2">
        <v>3.1</v>
      </c>
      <c r="F4769" s="2">
        <v>65.7</v>
      </c>
      <c r="G4769" s="2" t="s">
        <v>983</v>
      </c>
      <c r="H4769" s="2" t="s">
        <v>984</v>
      </c>
      <c r="I4769" s="2"/>
      <c r="J4769" s="2" t="s">
        <v>46</v>
      </c>
    </row>
    <row r="4770" spans="1:10" ht="21" customHeight="1">
      <c r="A4770" s="2" t="s">
        <v>5770</v>
      </c>
      <c r="B4770" s="2" t="s">
        <v>46</v>
      </c>
      <c r="C4770" s="4">
        <v>45681.25</v>
      </c>
      <c r="D4770" s="4">
        <v>45681.250621354164</v>
      </c>
      <c r="E4770" s="2">
        <v>3.2</v>
      </c>
      <c r="F4770" s="2">
        <v>62.7</v>
      </c>
      <c r="G4770" s="2" t="s">
        <v>983</v>
      </c>
      <c r="H4770" s="2" t="s">
        <v>984</v>
      </c>
      <c r="I4770" s="2"/>
      <c r="J4770" s="2" t="s">
        <v>46</v>
      </c>
    </row>
    <row r="4771" spans="1:10" ht="21" customHeight="1">
      <c r="A4771" s="2" t="s">
        <v>5771</v>
      </c>
      <c r="B4771" s="2" t="s">
        <v>46</v>
      </c>
      <c r="C4771" s="4">
        <v>45682.25</v>
      </c>
      <c r="D4771" s="4">
        <v>45682.250407766202</v>
      </c>
      <c r="E4771" s="2">
        <v>3.29</v>
      </c>
      <c r="F4771" s="2">
        <v>62</v>
      </c>
      <c r="G4771" s="2" t="s">
        <v>983</v>
      </c>
      <c r="H4771" s="2" t="s">
        <v>984</v>
      </c>
      <c r="I4771" s="2"/>
      <c r="J4771" s="2" t="s">
        <v>46</v>
      </c>
    </row>
    <row r="4772" spans="1:10" ht="21" customHeight="1">
      <c r="A4772" s="2" t="s">
        <v>5772</v>
      </c>
      <c r="B4772" s="2" t="s">
        <v>46</v>
      </c>
      <c r="C4772" s="4">
        <v>45683.25</v>
      </c>
      <c r="D4772" s="4">
        <v>45683.250524224539</v>
      </c>
      <c r="E4772" s="2">
        <v>2.29</v>
      </c>
      <c r="F4772" s="2">
        <v>62.4</v>
      </c>
      <c r="G4772" s="2" t="s">
        <v>983</v>
      </c>
      <c r="H4772" s="2" t="s">
        <v>984</v>
      </c>
      <c r="I4772" s="2"/>
      <c r="J4772" s="2" t="s">
        <v>46</v>
      </c>
    </row>
    <row r="4773" spans="1:10" ht="21" customHeight="1">
      <c r="A4773" s="2" t="s">
        <v>5773</v>
      </c>
      <c r="B4773" s="2" t="s">
        <v>46</v>
      </c>
      <c r="C4773" s="4">
        <v>45684.25</v>
      </c>
      <c r="D4773" s="4">
        <v>45684.250134629634</v>
      </c>
      <c r="E4773" s="2">
        <v>3.27</v>
      </c>
      <c r="F4773" s="2">
        <v>59.7</v>
      </c>
      <c r="G4773" s="2" t="s">
        <v>983</v>
      </c>
      <c r="H4773" s="2" t="s">
        <v>984</v>
      </c>
      <c r="I4773" s="2"/>
      <c r="J4773" s="2" t="s">
        <v>46</v>
      </c>
    </row>
    <row r="4774" spans="1:10" ht="21" customHeight="1">
      <c r="A4774" s="2" t="s">
        <v>5774</v>
      </c>
      <c r="B4774" s="2" t="s">
        <v>46</v>
      </c>
      <c r="C4774" s="4">
        <v>45685.25</v>
      </c>
      <c r="D4774" s="4">
        <v>45685.250180891206</v>
      </c>
      <c r="E4774" s="2">
        <v>2.86</v>
      </c>
      <c r="F4774" s="2">
        <v>64.900000000000006</v>
      </c>
      <c r="G4774" s="2" t="s">
        <v>983</v>
      </c>
      <c r="H4774" s="2" t="s">
        <v>984</v>
      </c>
      <c r="I4774" s="2"/>
      <c r="J4774" s="2" t="s">
        <v>46</v>
      </c>
    </row>
    <row r="4775" spans="1:10" ht="21" customHeight="1">
      <c r="A4775" s="2" t="s">
        <v>5775</v>
      </c>
      <c r="B4775" s="2" t="s">
        <v>46</v>
      </c>
      <c r="C4775" s="4">
        <v>45686.25</v>
      </c>
      <c r="D4775" s="4">
        <v>45686.250060590275</v>
      </c>
      <c r="E4775" s="2">
        <v>3.01</v>
      </c>
      <c r="F4775" s="2">
        <v>60.2</v>
      </c>
      <c r="G4775" s="2" t="s">
        <v>983</v>
      </c>
      <c r="H4775" s="2" t="s">
        <v>984</v>
      </c>
      <c r="I4775" s="2"/>
      <c r="J4775" s="2" t="s">
        <v>46</v>
      </c>
    </row>
    <row r="4776" spans="1:10" ht="21" customHeight="1">
      <c r="A4776" s="2" t="s">
        <v>5776</v>
      </c>
      <c r="B4776" s="2" t="s">
        <v>46</v>
      </c>
      <c r="C4776" s="4">
        <v>45687.25</v>
      </c>
      <c r="D4776" s="4">
        <v>45687.250254942133</v>
      </c>
      <c r="E4776" s="2">
        <v>3.27</v>
      </c>
      <c r="F4776" s="2">
        <v>63.1</v>
      </c>
      <c r="G4776" s="2" t="s">
        <v>983</v>
      </c>
      <c r="H4776" s="2" t="s">
        <v>984</v>
      </c>
      <c r="I4776" s="2"/>
      <c r="J4776" s="2" t="s">
        <v>46</v>
      </c>
    </row>
    <row r="4777" spans="1:10" ht="21" customHeight="1">
      <c r="A4777" s="2" t="s">
        <v>5777</v>
      </c>
      <c r="B4777" s="2" t="s">
        <v>46</v>
      </c>
      <c r="C4777" s="4">
        <v>45688.25</v>
      </c>
      <c r="D4777" s="4">
        <v>45688.250579629632</v>
      </c>
      <c r="E4777" s="2">
        <v>2.29</v>
      </c>
      <c r="F4777" s="2">
        <v>65.5</v>
      </c>
      <c r="G4777" s="2" t="s">
        <v>983</v>
      </c>
      <c r="H4777" s="2" t="s">
        <v>984</v>
      </c>
      <c r="I4777" s="2"/>
      <c r="J4777" s="2" t="s">
        <v>46</v>
      </c>
    </row>
    <row r="4778" spans="1:10" ht="21" customHeight="1">
      <c r="A4778" s="2" t="s">
        <v>5778</v>
      </c>
      <c r="B4778" s="2" t="s">
        <v>46</v>
      </c>
      <c r="C4778" s="4">
        <v>45689.25</v>
      </c>
      <c r="D4778" s="4">
        <v>45689.250486481484</v>
      </c>
      <c r="E4778" s="2">
        <v>3.13</v>
      </c>
      <c r="F4778" s="2">
        <v>59.6</v>
      </c>
      <c r="G4778" s="2" t="s">
        <v>983</v>
      </c>
      <c r="H4778" s="2" t="s">
        <v>984</v>
      </c>
      <c r="I4778" s="2"/>
      <c r="J4778" s="2" t="s">
        <v>46</v>
      </c>
    </row>
    <row r="4779" spans="1:10" ht="21" customHeight="1">
      <c r="A4779" s="2" t="s">
        <v>5779</v>
      </c>
      <c r="B4779" s="2" t="s">
        <v>46</v>
      </c>
      <c r="C4779" s="4">
        <v>45690.25</v>
      </c>
      <c r="D4779" s="4">
        <v>45690.250673842587</v>
      </c>
      <c r="E4779" s="2">
        <v>6.98</v>
      </c>
      <c r="F4779" s="2">
        <v>73.400000000000006</v>
      </c>
      <c r="G4779" s="2" t="s">
        <v>983</v>
      </c>
      <c r="H4779" s="2" t="s">
        <v>984</v>
      </c>
      <c r="I4779" s="2" t="s">
        <v>1053</v>
      </c>
      <c r="J4779" s="2" t="s">
        <v>46</v>
      </c>
    </row>
    <row r="4780" spans="1:10" ht="21" customHeight="1">
      <c r="A4780" s="2" t="s">
        <v>5780</v>
      </c>
      <c r="B4780" s="2" t="s">
        <v>46</v>
      </c>
      <c r="C4780" s="4">
        <v>45691.25</v>
      </c>
      <c r="D4780" s="4">
        <v>45691.250310821764</v>
      </c>
      <c r="E4780" s="2">
        <v>6.11</v>
      </c>
      <c r="F4780" s="2">
        <v>69.7</v>
      </c>
      <c r="G4780" s="2" t="s">
        <v>983</v>
      </c>
      <c r="H4780" s="2" t="s">
        <v>984</v>
      </c>
      <c r="I4780" s="2"/>
      <c r="J4780" s="2" t="s">
        <v>46</v>
      </c>
    </row>
    <row r="4781" spans="1:10" ht="21" customHeight="1">
      <c r="A4781" s="2" t="s">
        <v>5781</v>
      </c>
      <c r="B4781" s="2" t="s">
        <v>46</v>
      </c>
      <c r="C4781" s="4">
        <v>45692.25</v>
      </c>
      <c r="D4781" s="4">
        <v>45692.250237812499</v>
      </c>
      <c r="E4781" s="2">
        <v>4.88</v>
      </c>
      <c r="F4781" s="2">
        <v>71.8</v>
      </c>
      <c r="G4781" s="2" t="s">
        <v>983</v>
      </c>
      <c r="H4781" s="2" t="s">
        <v>984</v>
      </c>
      <c r="I4781" s="2" t="s">
        <v>1053</v>
      </c>
      <c r="J4781" s="2" t="s">
        <v>46</v>
      </c>
    </row>
    <row r="4782" spans="1:10" ht="21" customHeight="1">
      <c r="A4782" s="2" t="s">
        <v>5782</v>
      </c>
      <c r="B4782" s="2" t="s">
        <v>46</v>
      </c>
      <c r="C4782" s="4">
        <v>45693.25</v>
      </c>
      <c r="D4782" s="4">
        <v>45693.250281851855</v>
      </c>
      <c r="E4782" s="2">
        <v>0</v>
      </c>
      <c r="F4782" s="2">
        <v>59.3</v>
      </c>
      <c r="G4782" s="2" t="s">
        <v>1175</v>
      </c>
      <c r="H4782" s="2" t="s">
        <v>984</v>
      </c>
      <c r="I4782" s="2"/>
      <c r="J4782" s="2" t="s">
        <v>46</v>
      </c>
    </row>
    <row r="4783" spans="1:10" ht="21" customHeight="1">
      <c r="A4783" s="2" t="s">
        <v>5783</v>
      </c>
      <c r="B4783" s="2" t="s">
        <v>46</v>
      </c>
      <c r="C4783" s="4">
        <v>45694.25</v>
      </c>
      <c r="D4783" s="4">
        <v>45694.250258287037</v>
      </c>
      <c r="E4783" s="2">
        <v>2.99</v>
      </c>
      <c r="F4783" s="2">
        <v>62.1</v>
      </c>
      <c r="G4783" s="2" t="s">
        <v>983</v>
      </c>
      <c r="H4783" s="2" t="s">
        <v>984</v>
      </c>
      <c r="I4783" s="2"/>
      <c r="J4783" s="2" t="s">
        <v>46</v>
      </c>
    </row>
    <row r="4784" spans="1:10" ht="21" customHeight="1">
      <c r="A4784" s="2" t="s">
        <v>5784</v>
      </c>
      <c r="B4784" s="2" t="s">
        <v>46</v>
      </c>
      <c r="C4784" s="4">
        <v>45695.25</v>
      </c>
      <c r="D4784" s="4">
        <v>45695.250096956021</v>
      </c>
      <c r="E4784" s="2">
        <v>3.23</v>
      </c>
      <c r="F4784" s="2">
        <v>58.4</v>
      </c>
      <c r="G4784" s="2" t="s">
        <v>983</v>
      </c>
      <c r="H4784" s="2" t="s">
        <v>984</v>
      </c>
      <c r="I4784" s="2"/>
      <c r="J4784" s="2" t="s">
        <v>46</v>
      </c>
    </row>
    <row r="4785" spans="1:10" ht="21" customHeight="1">
      <c r="A4785" s="2" t="s">
        <v>5785</v>
      </c>
      <c r="B4785" s="2" t="s">
        <v>46</v>
      </c>
      <c r="C4785" s="4">
        <v>45696.25</v>
      </c>
      <c r="D4785" s="4">
        <v>45696.25021677083</v>
      </c>
      <c r="E4785" s="2">
        <v>2.16</v>
      </c>
      <c r="F4785" s="2">
        <v>61.3</v>
      </c>
      <c r="G4785" s="2" t="s">
        <v>983</v>
      </c>
      <c r="H4785" s="2" t="s">
        <v>984</v>
      </c>
      <c r="I4785" s="2"/>
      <c r="J4785" s="2" t="s">
        <v>46</v>
      </c>
    </row>
    <row r="4786" spans="1:10" ht="21" customHeight="1">
      <c r="A4786" s="2" t="s">
        <v>5786</v>
      </c>
      <c r="B4786" s="2" t="s">
        <v>46</v>
      </c>
      <c r="C4786" s="4">
        <v>45697.25</v>
      </c>
      <c r="D4786" s="4">
        <v>45697.250296770835</v>
      </c>
      <c r="E4786" s="2">
        <v>3.18</v>
      </c>
      <c r="F4786" s="2">
        <v>58.7</v>
      </c>
      <c r="G4786" s="2" t="s">
        <v>983</v>
      </c>
      <c r="H4786" s="2" t="s">
        <v>984</v>
      </c>
      <c r="I4786" s="2"/>
      <c r="J4786" s="2" t="s">
        <v>46</v>
      </c>
    </row>
    <row r="4787" spans="1:10" ht="21" customHeight="1">
      <c r="A4787" s="2" t="s">
        <v>5787</v>
      </c>
      <c r="B4787" s="2" t="s">
        <v>46</v>
      </c>
      <c r="C4787" s="4">
        <v>45698.25</v>
      </c>
      <c r="D4787" s="4">
        <v>45698.250402662037</v>
      </c>
      <c r="E4787" s="2">
        <v>2.58</v>
      </c>
      <c r="F4787" s="2">
        <v>59.6</v>
      </c>
      <c r="G4787" s="2" t="s">
        <v>983</v>
      </c>
      <c r="H4787" s="2" t="s">
        <v>984</v>
      </c>
      <c r="I4787" s="2"/>
      <c r="J4787" s="2" t="s">
        <v>46</v>
      </c>
    </row>
    <row r="4788" spans="1:10" ht="21" customHeight="1">
      <c r="A4788" s="2" t="s">
        <v>5788</v>
      </c>
      <c r="B4788" s="2" t="s">
        <v>46</v>
      </c>
      <c r="C4788" s="4">
        <v>45699.25</v>
      </c>
      <c r="D4788" s="4">
        <v>45699.250258101849</v>
      </c>
      <c r="E4788" s="2"/>
      <c r="F4788" s="2"/>
      <c r="G4788" s="2" t="s">
        <v>983</v>
      </c>
      <c r="H4788" s="2" t="s">
        <v>1066</v>
      </c>
      <c r="I4788" s="2"/>
      <c r="J4788" s="2" t="s">
        <v>46</v>
      </c>
    </row>
    <row r="4789" spans="1:10" ht="21" customHeight="1">
      <c r="A4789" s="2" t="s">
        <v>5789</v>
      </c>
      <c r="B4789" s="2" t="s">
        <v>46</v>
      </c>
      <c r="C4789" s="4">
        <v>45700.25</v>
      </c>
      <c r="D4789" s="4">
        <v>45700.250631504634</v>
      </c>
      <c r="E4789" s="2">
        <v>2.5</v>
      </c>
      <c r="F4789" s="2">
        <v>62.5</v>
      </c>
      <c r="G4789" s="2" t="s">
        <v>983</v>
      </c>
      <c r="H4789" s="2" t="s">
        <v>984</v>
      </c>
      <c r="I4789" s="2"/>
      <c r="J4789" s="2" t="s">
        <v>46</v>
      </c>
    </row>
    <row r="4790" spans="1:10" ht="21" customHeight="1">
      <c r="A4790" s="2" t="s">
        <v>5790</v>
      </c>
      <c r="B4790" s="2" t="s">
        <v>46</v>
      </c>
      <c r="C4790" s="4">
        <v>45701.25</v>
      </c>
      <c r="D4790" s="4">
        <v>45701.250406516207</v>
      </c>
      <c r="E4790" s="2">
        <v>2.62</v>
      </c>
      <c r="F4790" s="2">
        <v>63.9</v>
      </c>
      <c r="G4790" s="2" t="s">
        <v>983</v>
      </c>
      <c r="H4790" s="2" t="s">
        <v>984</v>
      </c>
      <c r="I4790" s="2"/>
      <c r="J4790" s="2" t="s">
        <v>46</v>
      </c>
    </row>
    <row r="4791" spans="1:10" ht="21" customHeight="1">
      <c r="A4791" s="2" t="s">
        <v>5791</v>
      </c>
      <c r="B4791" s="2" t="s">
        <v>46</v>
      </c>
      <c r="C4791" s="4">
        <v>45702.25</v>
      </c>
      <c r="D4791" s="4">
        <v>45702.25068268519</v>
      </c>
      <c r="E4791" s="2">
        <v>2.61</v>
      </c>
      <c r="F4791" s="2">
        <v>59.7</v>
      </c>
      <c r="G4791" s="2" t="s">
        <v>983</v>
      </c>
      <c r="H4791" s="2" t="s">
        <v>984</v>
      </c>
      <c r="I4791" s="2"/>
      <c r="J4791" s="2" t="s">
        <v>46</v>
      </c>
    </row>
    <row r="4792" spans="1:10" ht="21" customHeight="1">
      <c r="A4792" s="2" t="s">
        <v>5792</v>
      </c>
      <c r="B4792" s="2" t="s">
        <v>46</v>
      </c>
      <c r="C4792" s="4">
        <v>45703.25</v>
      </c>
      <c r="D4792" s="4">
        <v>45703.250397835647</v>
      </c>
      <c r="E4792" s="2">
        <v>2.94</v>
      </c>
      <c r="F4792" s="2">
        <v>62.5</v>
      </c>
      <c r="G4792" s="2" t="s">
        <v>983</v>
      </c>
      <c r="H4792" s="2" t="s">
        <v>984</v>
      </c>
      <c r="I4792" s="2"/>
      <c r="J4792" s="2" t="s">
        <v>46</v>
      </c>
    </row>
    <row r="4793" spans="1:10" ht="21" customHeight="1">
      <c r="A4793" s="2" t="s">
        <v>5793</v>
      </c>
      <c r="B4793" s="2" t="s">
        <v>46</v>
      </c>
      <c r="C4793" s="4">
        <v>45704.25</v>
      </c>
      <c r="D4793" s="4">
        <v>45704.250012442135</v>
      </c>
      <c r="E4793" s="2">
        <v>2.4700000000000002</v>
      </c>
      <c r="F4793" s="2">
        <v>64.3</v>
      </c>
      <c r="G4793" s="2" t="s">
        <v>983</v>
      </c>
      <c r="H4793" s="2" t="s">
        <v>984</v>
      </c>
      <c r="I4793" s="2"/>
      <c r="J4793" s="2" t="s">
        <v>46</v>
      </c>
    </row>
    <row r="4794" spans="1:10" ht="21" customHeight="1">
      <c r="A4794" s="2" t="s">
        <v>5794</v>
      </c>
      <c r="B4794" s="2" t="s">
        <v>46</v>
      </c>
      <c r="C4794" s="4">
        <v>45705.25</v>
      </c>
      <c r="D4794" s="4">
        <v>45705.250568541669</v>
      </c>
      <c r="E4794" s="2">
        <v>3.22</v>
      </c>
      <c r="F4794" s="2">
        <v>58.3</v>
      </c>
      <c r="G4794" s="2" t="s">
        <v>983</v>
      </c>
      <c r="H4794" s="2" t="s">
        <v>984</v>
      </c>
      <c r="I4794" s="2"/>
      <c r="J4794" s="2" t="s">
        <v>46</v>
      </c>
    </row>
    <row r="4795" spans="1:10" ht="21" customHeight="1">
      <c r="A4795" s="2" t="s">
        <v>5795</v>
      </c>
      <c r="B4795" s="2" t="s">
        <v>46</v>
      </c>
      <c r="C4795" s="4">
        <v>45706.25</v>
      </c>
      <c r="D4795" s="4">
        <v>45706.250534259263</v>
      </c>
      <c r="E4795" s="2">
        <v>3.22</v>
      </c>
      <c r="F4795" s="2">
        <v>60.6</v>
      </c>
      <c r="G4795" s="2" t="s">
        <v>983</v>
      </c>
      <c r="H4795" s="2" t="s">
        <v>984</v>
      </c>
      <c r="I4795" s="2"/>
      <c r="J4795" s="2" t="s">
        <v>46</v>
      </c>
    </row>
    <row r="4796" spans="1:10" ht="21" customHeight="1">
      <c r="A4796" s="2" t="s">
        <v>5796</v>
      </c>
      <c r="B4796" s="2" t="s">
        <v>46</v>
      </c>
      <c r="C4796" s="4">
        <v>45707.25</v>
      </c>
      <c r="D4796" s="4">
        <v>45707.250494236112</v>
      </c>
      <c r="E4796" s="2">
        <v>3.05</v>
      </c>
      <c r="F4796" s="2">
        <v>63.8</v>
      </c>
      <c r="G4796" s="2" t="s">
        <v>983</v>
      </c>
      <c r="H4796" s="2" t="s">
        <v>984</v>
      </c>
      <c r="I4796" s="2"/>
      <c r="J4796" s="2" t="s">
        <v>46</v>
      </c>
    </row>
    <row r="4797" spans="1:10" ht="21" customHeight="1">
      <c r="A4797" s="2" t="s">
        <v>5797</v>
      </c>
      <c r="B4797" s="2" t="s">
        <v>46</v>
      </c>
      <c r="C4797" s="4">
        <v>45708.25</v>
      </c>
      <c r="D4797" s="4">
        <v>45708.250108668981</v>
      </c>
      <c r="E4797" s="2">
        <v>2.4</v>
      </c>
      <c r="F4797" s="2">
        <v>62.1</v>
      </c>
      <c r="G4797" s="2" t="s">
        <v>983</v>
      </c>
      <c r="H4797" s="2" t="s">
        <v>984</v>
      </c>
      <c r="I4797" s="2"/>
      <c r="J4797" s="2" t="s">
        <v>46</v>
      </c>
    </row>
    <row r="4798" spans="1:10" ht="21" customHeight="1">
      <c r="A4798" s="2" t="s">
        <v>5798</v>
      </c>
      <c r="B4798" s="2" t="s">
        <v>46</v>
      </c>
      <c r="C4798" s="4">
        <v>45709.25</v>
      </c>
      <c r="D4798" s="4">
        <v>45709.250380370373</v>
      </c>
      <c r="E4798" s="2">
        <v>2.87</v>
      </c>
      <c r="F4798" s="2">
        <v>64.7</v>
      </c>
      <c r="G4798" s="2" t="s">
        <v>983</v>
      </c>
      <c r="H4798" s="2" t="s">
        <v>984</v>
      </c>
      <c r="I4798" s="2" t="s">
        <v>985</v>
      </c>
      <c r="J4798" s="2" t="s">
        <v>46</v>
      </c>
    </row>
    <row r="4799" spans="1:10" ht="21" customHeight="1">
      <c r="A4799" s="2" t="s">
        <v>5799</v>
      </c>
      <c r="B4799" s="2" t="s">
        <v>5758</v>
      </c>
      <c r="C4799" s="4">
        <v>45710.25</v>
      </c>
      <c r="D4799" s="4">
        <v>45710.250235636573</v>
      </c>
      <c r="E4799" s="2">
        <v>2.92</v>
      </c>
      <c r="F4799" s="2">
        <v>61.7</v>
      </c>
      <c r="G4799" s="2" t="s">
        <v>983</v>
      </c>
      <c r="H4799" s="2" t="s">
        <v>984</v>
      </c>
      <c r="I4799" s="2"/>
      <c r="J4799" s="2" t="s">
        <v>46</v>
      </c>
    </row>
    <row r="4800" spans="1:10" ht="21" customHeight="1">
      <c r="A4800" s="2" t="s">
        <v>5800</v>
      </c>
      <c r="B4800" s="2" t="s">
        <v>46</v>
      </c>
      <c r="C4800" s="4">
        <v>45711.25</v>
      </c>
      <c r="D4800" s="4">
        <v>45711.250048090282</v>
      </c>
      <c r="E4800" s="2">
        <v>3.28</v>
      </c>
      <c r="F4800" s="2">
        <v>65.8</v>
      </c>
      <c r="G4800" s="2" t="s">
        <v>983</v>
      </c>
      <c r="H4800" s="2" t="s">
        <v>984</v>
      </c>
      <c r="I4800" s="2"/>
      <c r="J4800" s="2" t="s">
        <v>46</v>
      </c>
    </row>
    <row r="4801" spans="1:10" ht="21" customHeight="1">
      <c r="A4801" s="2" t="s">
        <v>5801</v>
      </c>
      <c r="B4801" s="2" t="s">
        <v>46</v>
      </c>
      <c r="C4801" s="4">
        <v>45712.25</v>
      </c>
      <c r="D4801" s="4">
        <v>45712.250103275466</v>
      </c>
      <c r="E4801" s="2">
        <v>2.48</v>
      </c>
      <c r="F4801" s="2">
        <v>61.1</v>
      </c>
      <c r="G4801" s="2" t="s">
        <v>983</v>
      </c>
      <c r="H4801" s="2" t="s">
        <v>984</v>
      </c>
      <c r="I4801" s="2"/>
      <c r="J4801" s="2" t="s">
        <v>46</v>
      </c>
    </row>
    <row r="4802" spans="1:10" ht="21" customHeight="1">
      <c r="A4802" s="2" t="s">
        <v>5802</v>
      </c>
      <c r="B4802" s="2" t="s">
        <v>46</v>
      </c>
      <c r="C4802" s="4">
        <v>45713.25</v>
      </c>
      <c r="D4802" s="4">
        <v>45713.250437997689</v>
      </c>
      <c r="E4802" s="2">
        <v>2.5299999999999998</v>
      </c>
      <c r="F4802" s="2">
        <v>62.5</v>
      </c>
      <c r="G4802" s="2" t="s">
        <v>983</v>
      </c>
      <c r="H4802" s="2" t="s">
        <v>984</v>
      </c>
      <c r="I4802" s="2"/>
      <c r="J4802" s="2" t="s">
        <v>46</v>
      </c>
    </row>
    <row r="4803" spans="1:10" ht="21" customHeight="1">
      <c r="A4803" s="2" t="s">
        <v>5803</v>
      </c>
      <c r="B4803" s="2" t="s">
        <v>46</v>
      </c>
      <c r="C4803" s="4">
        <v>45714.25</v>
      </c>
      <c r="D4803" s="4">
        <v>45714.250243344912</v>
      </c>
      <c r="E4803" s="2">
        <v>2.16</v>
      </c>
      <c r="F4803" s="2">
        <v>65.099999999999994</v>
      </c>
      <c r="G4803" s="2" t="s">
        <v>983</v>
      </c>
      <c r="H4803" s="2" t="s">
        <v>984</v>
      </c>
      <c r="I4803" s="2"/>
      <c r="J4803" s="2" t="s">
        <v>46</v>
      </c>
    </row>
    <row r="4804" spans="1:10" ht="21" customHeight="1">
      <c r="A4804" s="2" t="s">
        <v>5804</v>
      </c>
      <c r="B4804" s="2" t="s">
        <v>46</v>
      </c>
      <c r="C4804" s="4">
        <v>45715.25</v>
      </c>
      <c r="D4804" s="4">
        <v>45715.25064875</v>
      </c>
      <c r="E4804" s="2">
        <v>2.98</v>
      </c>
      <c r="F4804" s="2">
        <v>65.2</v>
      </c>
      <c r="G4804" s="2" t="s">
        <v>983</v>
      </c>
      <c r="H4804" s="2" t="s">
        <v>984</v>
      </c>
      <c r="I4804" s="2"/>
      <c r="J4804" s="2" t="s">
        <v>46</v>
      </c>
    </row>
    <row r="4805" spans="1:10" ht="21" customHeight="1">
      <c r="A4805" s="2" t="s">
        <v>5805</v>
      </c>
      <c r="B4805" s="2" t="s">
        <v>46</v>
      </c>
      <c r="C4805" s="4">
        <v>45716.25</v>
      </c>
      <c r="D4805" s="4">
        <v>45716.250606018519</v>
      </c>
      <c r="E4805" s="2"/>
      <c r="F4805" s="2"/>
      <c r="G4805" s="2" t="s">
        <v>983</v>
      </c>
      <c r="H4805" s="2" t="s">
        <v>1066</v>
      </c>
      <c r="I4805" s="2"/>
      <c r="J4805" s="2" t="s">
        <v>46</v>
      </c>
    </row>
    <row r="4806" spans="1:10" ht="21" customHeight="1">
      <c r="A4806" s="2" t="s">
        <v>5806</v>
      </c>
      <c r="B4806" s="2" t="s">
        <v>46</v>
      </c>
      <c r="C4806" s="4">
        <v>45717.25</v>
      </c>
      <c r="D4806" s="4">
        <v>45717.250469641207</v>
      </c>
      <c r="E4806" s="2">
        <v>2.42</v>
      </c>
      <c r="F4806" s="2">
        <v>58.9</v>
      </c>
      <c r="G4806" s="2" t="s">
        <v>983</v>
      </c>
      <c r="H4806" s="2" t="s">
        <v>984</v>
      </c>
      <c r="I4806" s="2"/>
      <c r="J4806" s="2" t="s">
        <v>46</v>
      </c>
    </row>
    <row r="4807" spans="1:10" ht="21" customHeight="1">
      <c r="A4807" s="2" t="s">
        <v>5807</v>
      </c>
      <c r="B4807" s="2" t="s">
        <v>46</v>
      </c>
      <c r="C4807" s="4">
        <v>45718.25</v>
      </c>
      <c r="D4807" s="4">
        <v>45718.250631898147</v>
      </c>
      <c r="E4807" s="2">
        <v>2.46</v>
      </c>
      <c r="F4807" s="2">
        <v>65.3</v>
      </c>
      <c r="G4807" s="2" t="s">
        <v>983</v>
      </c>
      <c r="H4807" s="2" t="s">
        <v>984</v>
      </c>
      <c r="I4807" s="2"/>
      <c r="J4807" s="2" t="s">
        <v>46</v>
      </c>
    </row>
    <row r="4808" spans="1:10" ht="21" customHeight="1">
      <c r="A4808" s="2" t="s">
        <v>5808</v>
      </c>
      <c r="B4808" s="2" t="s">
        <v>46</v>
      </c>
      <c r="C4808" s="4">
        <v>45719.25</v>
      </c>
      <c r="D4808" s="4">
        <v>45719.250134131944</v>
      </c>
      <c r="E4808" s="2">
        <v>2.64</v>
      </c>
      <c r="F4808" s="2">
        <v>58.7</v>
      </c>
      <c r="G4808" s="2" t="s">
        <v>983</v>
      </c>
      <c r="H4808" s="2" t="s">
        <v>984</v>
      </c>
      <c r="I4808" s="2"/>
      <c r="J4808" s="2" t="s">
        <v>46</v>
      </c>
    </row>
    <row r="4809" spans="1:10" ht="21" customHeight="1">
      <c r="A4809" s="2" t="s">
        <v>5809</v>
      </c>
      <c r="B4809" s="2" t="s">
        <v>46</v>
      </c>
      <c r="C4809" s="4">
        <v>45720.25</v>
      </c>
      <c r="D4809" s="4">
        <v>45720.250202962961</v>
      </c>
      <c r="E4809" s="2">
        <v>2.62</v>
      </c>
      <c r="F4809" s="2">
        <v>60.5</v>
      </c>
      <c r="G4809" s="2" t="s">
        <v>983</v>
      </c>
      <c r="H4809" s="2" t="s">
        <v>984</v>
      </c>
      <c r="I4809" s="2"/>
      <c r="J4809" s="2" t="s">
        <v>46</v>
      </c>
    </row>
    <row r="4810" spans="1:10" ht="21" customHeight="1">
      <c r="A4810" s="2" t="s">
        <v>5810</v>
      </c>
      <c r="B4810" s="2" t="s">
        <v>46</v>
      </c>
      <c r="C4810" s="4">
        <v>45721.25</v>
      </c>
      <c r="D4810" s="4">
        <v>45721.250418807875</v>
      </c>
      <c r="E4810" s="2">
        <v>2.61</v>
      </c>
      <c r="F4810" s="2">
        <v>61.2</v>
      </c>
      <c r="G4810" s="2" t="s">
        <v>983</v>
      </c>
      <c r="H4810" s="2" t="s">
        <v>984</v>
      </c>
      <c r="I4810" s="2"/>
      <c r="J4810" s="2" t="s">
        <v>46</v>
      </c>
    </row>
    <row r="4811" spans="1:10" ht="21" customHeight="1">
      <c r="A4811" s="2" t="s">
        <v>5811</v>
      </c>
      <c r="B4811" s="2" t="s">
        <v>46</v>
      </c>
      <c r="C4811" s="4">
        <v>45722.25</v>
      </c>
      <c r="D4811" s="4">
        <v>45722.250517870372</v>
      </c>
      <c r="E4811" s="2">
        <v>0</v>
      </c>
      <c r="F4811" s="2">
        <v>65.3</v>
      </c>
      <c r="G4811" s="2" t="s">
        <v>1175</v>
      </c>
      <c r="H4811" s="2" t="s">
        <v>984</v>
      </c>
      <c r="I4811" s="2"/>
      <c r="J4811" s="2" t="s">
        <v>46</v>
      </c>
    </row>
    <row r="4812" spans="1:10" ht="21" customHeight="1">
      <c r="A4812" s="2" t="s">
        <v>5812</v>
      </c>
      <c r="B4812" s="2" t="s">
        <v>46</v>
      </c>
      <c r="C4812" s="4">
        <v>45723.25</v>
      </c>
      <c r="D4812" s="4">
        <v>45723.250577928236</v>
      </c>
      <c r="E4812" s="2">
        <v>3.27</v>
      </c>
      <c r="F4812" s="2">
        <v>63</v>
      </c>
      <c r="G4812" s="2" t="s">
        <v>983</v>
      </c>
      <c r="H4812" s="2" t="s">
        <v>984</v>
      </c>
      <c r="I4812" s="2"/>
      <c r="J4812" s="2" t="s">
        <v>46</v>
      </c>
    </row>
    <row r="4813" spans="1:10" ht="21" customHeight="1">
      <c r="A4813" s="2" t="s">
        <v>5813</v>
      </c>
      <c r="B4813" s="2" t="s">
        <v>46</v>
      </c>
      <c r="C4813" s="4">
        <v>45724.25</v>
      </c>
      <c r="D4813" s="4">
        <v>45724.250155752314</v>
      </c>
      <c r="E4813" s="2">
        <v>3.2</v>
      </c>
      <c r="F4813" s="2">
        <v>58.6</v>
      </c>
      <c r="G4813" s="2" t="s">
        <v>983</v>
      </c>
      <c r="H4813" s="2" t="s">
        <v>984</v>
      </c>
      <c r="I4813" s="2"/>
      <c r="J4813" s="2" t="s">
        <v>46</v>
      </c>
    </row>
    <row r="4814" spans="1:10" ht="21" customHeight="1">
      <c r="A4814" s="2" t="s">
        <v>5814</v>
      </c>
      <c r="B4814" s="2" t="s">
        <v>46</v>
      </c>
      <c r="C4814" s="4">
        <v>45725.25</v>
      </c>
      <c r="D4814" s="4">
        <v>45725.250407719912</v>
      </c>
      <c r="E4814" s="2">
        <v>2.78</v>
      </c>
      <c r="F4814" s="2">
        <v>64.8</v>
      </c>
      <c r="G4814" s="2" t="s">
        <v>983</v>
      </c>
      <c r="H4814" s="2" t="s">
        <v>984</v>
      </c>
      <c r="I4814" s="2"/>
      <c r="J4814" s="2" t="s">
        <v>46</v>
      </c>
    </row>
    <row r="4815" spans="1:10" ht="21" customHeight="1">
      <c r="A4815" s="2" t="s">
        <v>5815</v>
      </c>
      <c r="B4815" s="2" t="s">
        <v>46</v>
      </c>
      <c r="C4815" s="4">
        <v>45726.25</v>
      </c>
      <c r="D4815" s="4">
        <v>45726.250300509259</v>
      </c>
      <c r="E4815" s="2">
        <v>2.77</v>
      </c>
      <c r="F4815" s="2">
        <v>63.4</v>
      </c>
      <c r="G4815" s="2" t="s">
        <v>983</v>
      </c>
      <c r="H4815" s="2" t="s">
        <v>984</v>
      </c>
      <c r="I4815" s="2" t="s">
        <v>985</v>
      </c>
      <c r="J4815" s="2" t="s">
        <v>46</v>
      </c>
    </row>
    <row r="4816" spans="1:10" ht="21" customHeight="1">
      <c r="A4816" s="2" t="s">
        <v>5816</v>
      </c>
      <c r="B4816" s="2" t="s">
        <v>46</v>
      </c>
      <c r="C4816" s="4">
        <v>45727.25</v>
      </c>
      <c r="D4816" s="4">
        <v>45727.250427256949</v>
      </c>
      <c r="E4816" s="2">
        <v>2.81</v>
      </c>
      <c r="F4816" s="2">
        <v>60.8</v>
      </c>
      <c r="G4816" s="2" t="s">
        <v>983</v>
      </c>
      <c r="H4816" s="2" t="s">
        <v>984</v>
      </c>
      <c r="I4816" s="2"/>
      <c r="J4816" s="2" t="s">
        <v>46</v>
      </c>
    </row>
    <row r="4817" spans="1:10" ht="21" customHeight="1">
      <c r="A4817" s="2" t="s">
        <v>5817</v>
      </c>
      <c r="B4817" s="2" t="s">
        <v>46</v>
      </c>
      <c r="C4817" s="4">
        <v>45728.25</v>
      </c>
      <c r="D4817" s="4">
        <v>45728.250377557866</v>
      </c>
      <c r="E4817" s="2">
        <v>2.88</v>
      </c>
      <c r="F4817" s="2">
        <v>62.2</v>
      </c>
      <c r="G4817" s="2" t="s">
        <v>983</v>
      </c>
      <c r="H4817" s="2" t="s">
        <v>984</v>
      </c>
      <c r="I4817" s="2"/>
      <c r="J4817" s="2" t="s">
        <v>46</v>
      </c>
    </row>
    <row r="4818" spans="1:10" ht="21" customHeight="1">
      <c r="A4818" s="2" t="s">
        <v>5818</v>
      </c>
      <c r="B4818" s="2" t="s">
        <v>46</v>
      </c>
      <c r="C4818" s="4">
        <v>45729.25</v>
      </c>
      <c r="D4818" s="4">
        <v>45729.250546782408</v>
      </c>
      <c r="E4818" s="2">
        <v>2.15</v>
      </c>
      <c r="F4818" s="2">
        <v>64.599999999999994</v>
      </c>
      <c r="G4818" s="2" t="s">
        <v>983</v>
      </c>
      <c r="H4818" s="2" t="s">
        <v>984</v>
      </c>
      <c r="I4818" s="2"/>
      <c r="J4818" s="2" t="s">
        <v>46</v>
      </c>
    </row>
    <row r="4819" spans="1:10" ht="21" customHeight="1">
      <c r="A4819" s="2" t="s">
        <v>5819</v>
      </c>
      <c r="B4819" s="2" t="s">
        <v>46</v>
      </c>
      <c r="C4819" s="4">
        <v>45730.25</v>
      </c>
      <c r="D4819" s="4">
        <v>45730.250002071756</v>
      </c>
      <c r="E4819" s="2"/>
      <c r="F4819" s="2"/>
      <c r="G4819" s="2" t="s">
        <v>983</v>
      </c>
      <c r="H4819" s="2" t="s">
        <v>1066</v>
      </c>
      <c r="I4819" s="2"/>
      <c r="J4819" s="2" t="s">
        <v>46</v>
      </c>
    </row>
    <row r="4820" spans="1:10" ht="21" customHeight="1">
      <c r="A4820" s="2" t="s">
        <v>5820</v>
      </c>
      <c r="B4820" s="2" t="s">
        <v>46</v>
      </c>
      <c r="C4820" s="4">
        <v>45731.25</v>
      </c>
      <c r="D4820" s="4">
        <v>45731.250315648147</v>
      </c>
      <c r="E4820" s="2">
        <v>3.09</v>
      </c>
      <c r="F4820" s="2">
        <v>64</v>
      </c>
      <c r="G4820" s="2" t="s">
        <v>983</v>
      </c>
      <c r="H4820" s="2" t="s">
        <v>984</v>
      </c>
      <c r="I4820" s="2"/>
      <c r="J4820" s="2" t="s">
        <v>46</v>
      </c>
    </row>
    <row r="4821" spans="1:10" ht="21" customHeight="1">
      <c r="A4821" s="2" t="s">
        <v>5821</v>
      </c>
      <c r="B4821" s="2" t="s">
        <v>46</v>
      </c>
      <c r="C4821" s="4">
        <v>45732.25</v>
      </c>
      <c r="D4821" s="4">
        <v>45732.250542071764</v>
      </c>
      <c r="E4821" s="2">
        <v>2.99</v>
      </c>
      <c r="F4821" s="2">
        <v>61.6</v>
      </c>
      <c r="G4821" s="2" t="s">
        <v>983</v>
      </c>
      <c r="H4821" s="2" t="s">
        <v>984</v>
      </c>
      <c r="I4821" s="2"/>
      <c r="J4821" s="2" t="s">
        <v>46</v>
      </c>
    </row>
    <row r="4822" spans="1:10" ht="21" customHeight="1">
      <c r="A4822" s="2" t="s">
        <v>5822</v>
      </c>
      <c r="B4822" s="2" t="s">
        <v>46</v>
      </c>
      <c r="C4822" s="4">
        <v>45733.25</v>
      </c>
      <c r="D4822" s="4">
        <v>45733.250340555554</v>
      </c>
      <c r="E4822" s="2">
        <v>3.08</v>
      </c>
      <c r="F4822" s="2">
        <v>64.400000000000006</v>
      </c>
      <c r="G4822" s="2" t="s">
        <v>983</v>
      </c>
      <c r="H4822" s="2" t="s">
        <v>984</v>
      </c>
      <c r="I4822" s="2"/>
      <c r="J4822" s="2" t="s">
        <v>46</v>
      </c>
    </row>
    <row r="4823" spans="1:10" ht="21" customHeight="1">
      <c r="A4823" s="2" t="s">
        <v>5823</v>
      </c>
      <c r="B4823" s="2" t="s">
        <v>46</v>
      </c>
      <c r="C4823" s="4">
        <v>45734.25</v>
      </c>
      <c r="D4823" s="4">
        <v>45734.250359537036</v>
      </c>
      <c r="E4823" s="2">
        <v>2.5</v>
      </c>
      <c r="F4823" s="2">
        <v>59.3</v>
      </c>
      <c r="G4823" s="2" t="s">
        <v>983</v>
      </c>
      <c r="H4823" s="2" t="s">
        <v>984</v>
      </c>
      <c r="I4823" s="2"/>
      <c r="J4823" s="2" t="s">
        <v>46</v>
      </c>
    </row>
    <row r="4824" spans="1:10" ht="21" customHeight="1">
      <c r="A4824" s="2" t="s">
        <v>5824</v>
      </c>
      <c r="B4824" s="2" t="s">
        <v>46</v>
      </c>
      <c r="C4824" s="4">
        <v>45735.25</v>
      </c>
      <c r="D4824" s="4">
        <v>45735.250052650459</v>
      </c>
      <c r="E4824" s="2">
        <v>6.49</v>
      </c>
      <c r="F4824" s="2">
        <v>69.099999999999994</v>
      </c>
      <c r="G4824" s="2" t="s">
        <v>983</v>
      </c>
      <c r="H4824" s="2" t="s">
        <v>984</v>
      </c>
      <c r="I4824" s="2"/>
      <c r="J4824" s="2" t="s">
        <v>46</v>
      </c>
    </row>
    <row r="4825" spans="1:10" ht="21" customHeight="1">
      <c r="A4825" s="2" t="s">
        <v>5825</v>
      </c>
      <c r="B4825" s="2" t="s">
        <v>46</v>
      </c>
      <c r="C4825" s="4">
        <v>45736.25</v>
      </c>
      <c r="D4825" s="4">
        <v>45736.250080729165</v>
      </c>
      <c r="E4825" s="2">
        <v>4.88</v>
      </c>
      <c r="F4825" s="2">
        <v>70.099999999999994</v>
      </c>
      <c r="G4825" s="2" t="s">
        <v>983</v>
      </c>
      <c r="H4825" s="2" t="s">
        <v>984</v>
      </c>
      <c r="I4825" s="2" t="s">
        <v>1053</v>
      </c>
      <c r="J4825" s="2" t="s">
        <v>46</v>
      </c>
    </row>
    <row r="4826" spans="1:10" ht="21" customHeight="1">
      <c r="A4826" s="2" t="s">
        <v>5826</v>
      </c>
      <c r="B4826" s="2" t="s">
        <v>46</v>
      </c>
      <c r="C4826" s="4">
        <v>45737.25</v>
      </c>
      <c r="D4826" s="4">
        <v>45737.250332291667</v>
      </c>
      <c r="E4826" s="2">
        <v>6.5</v>
      </c>
      <c r="F4826" s="2">
        <v>70.7</v>
      </c>
      <c r="G4826" s="2" t="s">
        <v>983</v>
      </c>
      <c r="H4826" s="2" t="s">
        <v>984</v>
      </c>
      <c r="I4826" s="2"/>
      <c r="J4826" s="2" t="s">
        <v>46</v>
      </c>
    </row>
    <row r="4827" spans="1:10" ht="21" customHeight="1">
      <c r="A4827" s="2" t="s">
        <v>5827</v>
      </c>
      <c r="B4827" s="2" t="s">
        <v>46</v>
      </c>
      <c r="C4827" s="4">
        <v>45738.25</v>
      </c>
      <c r="D4827" s="4">
        <v>45738.250022222222</v>
      </c>
      <c r="E4827" s="2">
        <v>3.25</v>
      </c>
      <c r="F4827" s="2">
        <v>63.5</v>
      </c>
      <c r="G4827" s="2" t="s">
        <v>983</v>
      </c>
      <c r="H4827" s="2" t="s">
        <v>984</v>
      </c>
      <c r="I4827" s="2"/>
      <c r="J4827" s="2" t="s">
        <v>46</v>
      </c>
    </row>
    <row r="4828" spans="1:10" ht="21" customHeight="1">
      <c r="A4828" s="2" t="s">
        <v>5828</v>
      </c>
      <c r="B4828" s="2" t="s">
        <v>46</v>
      </c>
      <c r="C4828" s="4">
        <v>45739.25</v>
      </c>
      <c r="D4828" s="4">
        <v>45739.250375023148</v>
      </c>
      <c r="E4828" s="2">
        <v>2.99</v>
      </c>
      <c r="F4828" s="2">
        <v>58.5</v>
      </c>
      <c r="G4828" s="2" t="s">
        <v>983</v>
      </c>
      <c r="H4828" s="2" t="s">
        <v>984</v>
      </c>
      <c r="I4828" s="2"/>
      <c r="J4828" s="2" t="s">
        <v>46</v>
      </c>
    </row>
    <row r="4829" spans="1:10" ht="21" customHeight="1">
      <c r="A4829" s="2" t="s">
        <v>5829</v>
      </c>
      <c r="B4829" s="2" t="s">
        <v>46</v>
      </c>
      <c r="C4829" s="4">
        <v>45740.25</v>
      </c>
      <c r="D4829" s="4">
        <v>45740.250300405096</v>
      </c>
      <c r="E4829" s="2">
        <v>2.35</v>
      </c>
      <c r="F4829" s="2">
        <v>62.2</v>
      </c>
      <c r="G4829" s="2" t="s">
        <v>983</v>
      </c>
      <c r="H4829" s="2" t="s">
        <v>984</v>
      </c>
      <c r="I4829" s="2"/>
      <c r="J4829" s="2" t="s">
        <v>46</v>
      </c>
    </row>
    <row r="4830" spans="1:10" ht="21" customHeight="1">
      <c r="A4830" s="2" t="s">
        <v>5830</v>
      </c>
      <c r="B4830" s="2" t="s">
        <v>46</v>
      </c>
      <c r="C4830" s="4">
        <v>45741.25</v>
      </c>
      <c r="D4830" s="4">
        <v>45741.25064002315</v>
      </c>
      <c r="E4830" s="2">
        <v>3.29</v>
      </c>
      <c r="F4830" s="2">
        <v>62.6</v>
      </c>
      <c r="G4830" s="2" t="s">
        <v>983</v>
      </c>
      <c r="H4830" s="2" t="s">
        <v>984</v>
      </c>
      <c r="I4830" s="2"/>
      <c r="J4830" s="2" t="s">
        <v>46</v>
      </c>
    </row>
    <row r="4831" spans="1:10" ht="21" customHeight="1">
      <c r="A4831" s="2" t="s">
        <v>5831</v>
      </c>
      <c r="B4831" s="2" t="s">
        <v>46</v>
      </c>
      <c r="C4831" s="4">
        <v>45742.25</v>
      </c>
      <c r="D4831" s="4">
        <v>45742.250287719908</v>
      </c>
      <c r="E4831" s="2">
        <v>3.17</v>
      </c>
      <c r="F4831" s="2">
        <v>59.9</v>
      </c>
      <c r="G4831" s="2" t="s">
        <v>983</v>
      </c>
      <c r="H4831" s="2" t="s">
        <v>984</v>
      </c>
      <c r="I4831" s="2"/>
      <c r="J4831" s="2" t="s">
        <v>46</v>
      </c>
    </row>
    <row r="4832" spans="1:10" ht="21" customHeight="1">
      <c r="A4832" s="2" t="s">
        <v>5832</v>
      </c>
      <c r="B4832" s="2" t="s">
        <v>46</v>
      </c>
      <c r="C4832" s="4">
        <v>45743.25</v>
      </c>
      <c r="D4832" s="4">
        <v>45743.250189826387</v>
      </c>
      <c r="E4832" s="2">
        <v>2.29</v>
      </c>
      <c r="F4832" s="2">
        <v>58.6</v>
      </c>
      <c r="G4832" s="2" t="s">
        <v>983</v>
      </c>
      <c r="H4832" s="2" t="s">
        <v>984</v>
      </c>
      <c r="I4832" s="2" t="s">
        <v>985</v>
      </c>
      <c r="J4832" s="2" t="s">
        <v>46</v>
      </c>
    </row>
    <row r="4833" spans="1:10" ht="21" customHeight="1">
      <c r="A4833" s="2" t="s">
        <v>5833</v>
      </c>
      <c r="B4833" s="2" t="s">
        <v>46</v>
      </c>
      <c r="C4833" s="4">
        <v>45744.25</v>
      </c>
      <c r="D4833" s="4">
        <v>45744.250203229167</v>
      </c>
      <c r="E4833" s="2">
        <v>2.59</v>
      </c>
      <c r="F4833" s="2">
        <v>60.6</v>
      </c>
      <c r="G4833" s="2" t="s">
        <v>983</v>
      </c>
      <c r="H4833" s="2" t="s">
        <v>984</v>
      </c>
      <c r="I4833" s="2"/>
      <c r="J4833" s="2" t="s">
        <v>46</v>
      </c>
    </row>
    <row r="4834" spans="1:10" ht="21" customHeight="1">
      <c r="A4834" s="2" t="s">
        <v>5834</v>
      </c>
      <c r="B4834" s="2" t="s">
        <v>46</v>
      </c>
      <c r="C4834" s="4">
        <v>45745.25</v>
      </c>
      <c r="D4834" s="4">
        <v>45745.250539965273</v>
      </c>
      <c r="E4834" s="2">
        <v>3.11</v>
      </c>
      <c r="F4834" s="2">
        <v>63.8</v>
      </c>
      <c r="G4834" s="2" t="s">
        <v>983</v>
      </c>
      <c r="H4834" s="2" t="s">
        <v>984</v>
      </c>
      <c r="I4834" s="2"/>
      <c r="J4834" s="2" t="s">
        <v>46</v>
      </c>
    </row>
    <row r="4835" spans="1:10" ht="21" customHeight="1">
      <c r="A4835" s="2" t="s">
        <v>5835</v>
      </c>
      <c r="B4835" s="2" t="s">
        <v>46</v>
      </c>
      <c r="C4835" s="4">
        <v>45746.25</v>
      </c>
      <c r="D4835" s="4">
        <v>45746.250687997686</v>
      </c>
      <c r="E4835" s="2">
        <v>2.34</v>
      </c>
      <c r="F4835" s="2">
        <v>62.2</v>
      </c>
      <c r="G4835" s="2" t="s">
        <v>983</v>
      </c>
      <c r="H4835" s="2" t="s">
        <v>984</v>
      </c>
      <c r="I4835" s="2"/>
      <c r="J4835" s="2" t="s">
        <v>46</v>
      </c>
    </row>
    <row r="4836" spans="1:10" ht="21" customHeight="1">
      <c r="A4836" s="2" t="s">
        <v>5836</v>
      </c>
      <c r="B4836" s="2" t="s">
        <v>46</v>
      </c>
      <c r="C4836" s="4">
        <v>45747.25</v>
      </c>
      <c r="D4836" s="4">
        <v>45747.25030965278</v>
      </c>
      <c r="E4836" s="2">
        <v>3.06</v>
      </c>
      <c r="F4836" s="2">
        <v>60.8</v>
      </c>
      <c r="G4836" s="2" t="s">
        <v>983</v>
      </c>
      <c r="H4836" s="2" t="s">
        <v>984</v>
      </c>
      <c r="I4836" s="2"/>
      <c r="J4836" s="2" t="s">
        <v>46</v>
      </c>
    </row>
    <row r="4837" spans="1:10" ht="21" customHeight="1">
      <c r="A4837" s="2" t="s">
        <v>5837</v>
      </c>
      <c r="B4837" s="2" t="s">
        <v>46</v>
      </c>
      <c r="C4837" s="4">
        <v>45748.25</v>
      </c>
      <c r="D4837" s="4">
        <v>45748.250210266204</v>
      </c>
      <c r="E4837" s="2">
        <v>2.46</v>
      </c>
      <c r="F4837" s="2">
        <v>64.7</v>
      </c>
      <c r="G4837" s="2" t="s">
        <v>983</v>
      </c>
      <c r="H4837" s="2" t="s">
        <v>984</v>
      </c>
      <c r="I4837" s="2"/>
      <c r="J4837" s="2" t="s">
        <v>46</v>
      </c>
    </row>
    <row r="4838" spans="1:10" ht="21" customHeight="1">
      <c r="A4838" s="2" t="s">
        <v>5838</v>
      </c>
      <c r="B4838" s="2" t="s">
        <v>46</v>
      </c>
      <c r="C4838" s="4">
        <v>45749.25</v>
      </c>
      <c r="D4838" s="4">
        <v>45749.25038085648</v>
      </c>
      <c r="E4838" s="2">
        <v>3.19</v>
      </c>
      <c r="F4838" s="2">
        <v>64.400000000000006</v>
      </c>
      <c r="G4838" s="2" t="s">
        <v>983</v>
      </c>
      <c r="H4838" s="2" t="s">
        <v>984</v>
      </c>
      <c r="I4838" s="2"/>
      <c r="J4838" s="2" t="s">
        <v>46</v>
      </c>
    </row>
    <row r="4839" spans="1:10" ht="21" customHeight="1">
      <c r="A4839" s="2" t="s">
        <v>5839</v>
      </c>
      <c r="B4839" s="2" t="s">
        <v>46</v>
      </c>
      <c r="C4839" s="4">
        <v>45750.25</v>
      </c>
      <c r="D4839" s="4">
        <v>45750.250238078705</v>
      </c>
      <c r="E4839" s="2">
        <v>3.13</v>
      </c>
      <c r="F4839" s="2">
        <v>61.6</v>
      </c>
      <c r="G4839" s="2" t="s">
        <v>983</v>
      </c>
      <c r="H4839" s="2" t="s">
        <v>984</v>
      </c>
      <c r="I4839" s="2"/>
      <c r="J4839" s="2" t="s">
        <v>46</v>
      </c>
    </row>
    <row r="4840" spans="1:10" ht="21" customHeight="1">
      <c r="A4840" s="2" t="s">
        <v>5840</v>
      </c>
      <c r="B4840" s="2" t="s">
        <v>5758</v>
      </c>
      <c r="C4840" s="4">
        <v>45751.25</v>
      </c>
      <c r="D4840" s="4">
        <v>45751.250395601848</v>
      </c>
      <c r="E4840" s="2">
        <v>3.17</v>
      </c>
      <c r="F4840" s="2">
        <v>64.7</v>
      </c>
      <c r="G4840" s="2" t="s">
        <v>983</v>
      </c>
      <c r="H4840" s="2" t="s">
        <v>984</v>
      </c>
      <c r="I4840" s="2"/>
      <c r="J4840" s="2" t="s">
        <v>46</v>
      </c>
    </row>
    <row r="4841" spans="1:10" ht="21" customHeight="1">
      <c r="A4841" s="2" t="s">
        <v>5841</v>
      </c>
      <c r="B4841" s="2" t="s">
        <v>46</v>
      </c>
      <c r="C4841" s="4">
        <v>45752.25</v>
      </c>
      <c r="D4841" s="4">
        <v>45752.250122962963</v>
      </c>
      <c r="E4841" s="2">
        <v>3.17</v>
      </c>
      <c r="F4841" s="2">
        <v>62.7</v>
      </c>
      <c r="G4841" s="2" t="s">
        <v>983</v>
      </c>
      <c r="H4841" s="2" t="s">
        <v>984</v>
      </c>
      <c r="I4841" s="2"/>
      <c r="J4841" s="2" t="s">
        <v>46</v>
      </c>
    </row>
    <row r="4842" spans="1:10" ht="21" customHeight="1">
      <c r="A4842" s="2" t="s">
        <v>5842</v>
      </c>
      <c r="B4842" s="2" t="s">
        <v>46</v>
      </c>
      <c r="C4842" s="4">
        <v>45753.25</v>
      </c>
      <c r="D4842" s="4">
        <v>45753.250535925923</v>
      </c>
      <c r="E4842" s="2">
        <v>2.6</v>
      </c>
      <c r="F4842" s="2">
        <v>59.7</v>
      </c>
      <c r="G4842" s="2" t="s">
        <v>983</v>
      </c>
      <c r="H4842" s="2" t="s">
        <v>984</v>
      </c>
      <c r="I4842" s="2"/>
      <c r="J4842" s="2" t="s">
        <v>46</v>
      </c>
    </row>
    <row r="4843" spans="1:10" ht="21" customHeight="1">
      <c r="A4843" s="2" t="s">
        <v>5843</v>
      </c>
      <c r="B4843" s="2" t="s">
        <v>46</v>
      </c>
      <c r="C4843" s="4">
        <v>45754.25</v>
      </c>
      <c r="D4843" s="4">
        <v>45754.250210416663</v>
      </c>
      <c r="E4843" s="2">
        <v>3.21</v>
      </c>
      <c r="F4843" s="2">
        <v>62.3</v>
      </c>
      <c r="G4843" s="2" t="s">
        <v>983</v>
      </c>
      <c r="H4843" s="2" t="s">
        <v>984</v>
      </c>
      <c r="I4843" s="2"/>
      <c r="J4843" s="2" t="s">
        <v>46</v>
      </c>
    </row>
    <row r="4844" spans="1:10" ht="21" customHeight="1">
      <c r="A4844" s="2" t="s">
        <v>5844</v>
      </c>
      <c r="B4844" s="2" t="s">
        <v>46</v>
      </c>
      <c r="C4844" s="4">
        <v>45755.25</v>
      </c>
      <c r="D4844" s="4">
        <v>45755.250203194446</v>
      </c>
      <c r="E4844" s="2"/>
      <c r="F4844" s="2"/>
      <c r="G4844" s="2" t="s">
        <v>983</v>
      </c>
      <c r="H4844" s="2" t="s">
        <v>1066</v>
      </c>
      <c r="I4844" s="2"/>
      <c r="J4844" s="2" t="s">
        <v>46</v>
      </c>
    </row>
    <row r="4845" spans="1:10" ht="21" customHeight="1">
      <c r="A4845" s="2" t="s">
        <v>5845</v>
      </c>
      <c r="B4845" s="2" t="s">
        <v>46</v>
      </c>
      <c r="C4845" s="4">
        <v>45756.25</v>
      </c>
      <c r="D4845" s="4">
        <v>45756.250389930559</v>
      </c>
      <c r="E4845" s="2">
        <v>3.22</v>
      </c>
      <c r="F4845" s="2">
        <v>62.9</v>
      </c>
      <c r="G4845" s="2" t="s">
        <v>983</v>
      </c>
      <c r="H4845" s="2" t="s">
        <v>984</v>
      </c>
      <c r="I4845" s="2"/>
      <c r="J4845" s="2" t="s">
        <v>46</v>
      </c>
    </row>
    <row r="4846" spans="1:10" ht="21" customHeight="1">
      <c r="A4846" s="2" t="s">
        <v>5846</v>
      </c>
      <c r="B4846" s="2" t="s">
        <v>46</v>
      </c>
      <c r="C4846" s="4">
        <v>45757.25</v>
      </c>
      <c r="D4846" s="4">
        <v>45757.250370335649</v>
      </c>
      <c r="E4846" s="2">
        <v>3.16</v>
      </c>
      <c r="F4846" s="2">
        <v>58.8</v>
      </c>
      <c r="G4846" s="2" t="s">
        <v>983</v>
      </c>
      <c r="H4846" s="2" t="s">
        <v>984</v>
      </c>
      <c r="I4846" s="2"/>
      <c r="J4846" s="2" t="s">
        <v>46</v>
      </c>
    </row>
    <row r="4847" spans="1:10" ht="21" customHeight="1">
      <c r="A4847" s="2" t="s">
        <v>5847</v>
      </c>
      <c r="B4847" s="2" t="s">
        <v>46</v>
      </c>
      <c r="C4847" s="4">
        <v>45758.25</v>
      </c>
      <c r="D4847" s="4">
        <v>45758.250563194444</v>
      </c>
      <c r="E4847" s="2">
        <v>2.42</v>
      </c>
      <c r="F4847" s="2">
        <v>60.5</v>
      </c>
      <c r="G4847" s="2" t="s">
        <v>983</v>
      </c>
      <c r="H4847" s="2" t="s">
        <v>984</v>
      </c>
      <c r="I4847" s="2"/>
      <c r="J4847" s="2" t="s">
        <v>46</v>
      </c>
    </row>
    <row r="4848" spans="1:10" ht="21" customHeight="1">
      <c r="A4848" s="2" t="s">
        <v>5848</v>
      </c>
      <c r="B4848" s="2" t="s">
        <v>46</v>
      </c>
      <c r="C4848" s="4">
        <v>45759.25</v>
      </c>
      <c r="D4848" s="4">
        <v>45759.25048707176</v>
      </c>
      <c r="E4848" s="2">
        <v>2.36</v>
      </c>
      <c r="F4848" s="2">
        <v>60.8</v>
      </c>
      <c r="G4848" s="2" t="s">
        <v>983</v>
      </c>
      <c r="H4848" s="2" t="s">
        <v>984</v>
      </c>
      <c r="I4848" s="2"/>
      <c r="J4848" s="2" t="s">
        <v>46</v>
      </c>
    </row>
    <row r="4849" spans="1:10" ht="21" customHeight="1">
      <c r="A4849" s="2" t="s">
        <v>5849</v>
      </c>
      <c r="B4849" s="2" t="s">
        <v>46</v>
      </c>
      <c r="C4849" s="4">
        <v>45760.25</v>
      </c>
      <c r="D4849" s="4">
        <v>45760.25022144676</v>
      </c>
      <c r="E4849" s="2">
        <v>2.73</v>
      </c>
      <c r="F4849" s="2">
        <v>64</v>
      </c>
      <c r="G4849" s="2" t="s">
        <v>983</v>
      </c>
      <c r="H4849" s="2" t="s">
        <v>984</v>
      </c>
      <c r="I4849" s="2" t="s">
        <v>985</v>
      </c>
      <c r="J4849" s="2" t="s">
        <v>46</v>
      </c>
    </row>
    <row r="4850" spans="1:10" ht="21" customHeight="1">
      <c r="A4850" s="2" t="s">
        <v>5850</v>
      </c>
      <c r="B4850" s="2" t="s">
        <v>46</v>
      </c>
      <c r="C4850" s="4">
        <v>45761.25</v>
      </c>
      <c r="D4850" s="4">
        <v>45761.250413159723</v>
      </c>
      <c r="E4850" s="2">
        <v>2.13</v>
      </c>
      <c r="F4850" s="2">
        <v>60.8</v>
      </c>
      <c r="G4850" s="2" t="s">
        <v>983</v>
      </c>
      <c r="H4850" s="2" t="s">
        <v>984</v>
      </c>
      <c r="I4850" s="2"/>
      <c r="J4850" s="2" t="s">
        <v>46</v>
      </c>
    </row>
    <row r="4851" spans="1:10" ht="21" customHeight="1">
      <c r="A4851" s="2" t="s">
        <v>5851</v>
      </c>
      <c r="B4851" s="2" t="s">
        <v>46</v>
      </c>
      <c r="C4851" s="4">
        <v>45762.25</v>
      </c>
      <c r="D4851" s="4">
        <v>45762.250622777778</v>
      </c>
      <c r="E4851" s="2">
        <v>2.13</v>
      </c>
      <c r="F4851" s="2">
        <v>63.5</v>
      </c>
      <c r="G4851" s="2" t="s">
        <v>983</v>
      </c>
      <c r="H4851" s="2" t="s">
        <v>984</v>
      </c>
      <c r="I4851" s="2"/>
      <c r="J4851" s="2" t="s">
        <v>46</v>
      </c>
    </row>
    <row r="4852" spans="1:10" ht="21" customHeight="1">
      <c r="A4852" s="2" t="s">
        <v>5852</v>
      </c>
      <c r="B4852" s="2" t="s">
        <v>46</v>
      </c>
      <c r="C4852" s="4">
        <v>45763.25</v>
      </c>
      <c r="D4852" s="4">
        <v>45763.250236134263</v>
      </c>
      <c r="E4852" s="2">
        <v>2.16</v>
      </c>
      <c r="F4852" s="2">
        <v>60.9</v>
      </c>
      <c r="G4852" s="2" t="s">
        <v>983</v>
      </c>
      <c r="H4852" s="2" t="s">
        <v>984</v>
      </c>
      <c r="I4852" s="2"/>
      <c r="J4852" s="2" t="s">
        <v>46</v>
      </c>
    </row>
    <row r="4853" spans="1:10" ht="21" customHeight="1">
      <c r="A4853" s="2" t="s">
        <v>5853</v>
      </c>
      <c r="B4853" s="2" t="s">
        <v>46</v>
      </c>
      <c r="C4853" s="4">
        <v>45764.25</v>
      </c>
      <c r="D4853" s="4">
        <v>45764.2502675</v>
      </c>
      <c r="E4853" s="2">
        <v>2.92</v>
      </c>
      <c r="F4853" s="2">
        <v>58.6</v>
      </c>
      <c r="G4853" s="2" t="s">
        <v>983</v>
      </c>
      <c r="H4853" s="2" t="s">
        <v>984</v>
      </c>
      <c r="I4853" s="2"/>
      <c r="J4853" s="2" t="s">
        <v>46</v>
      </c>
    </row>
    <row r="4854" spans="1:10" ht="21" customHeight="1">
      <c r="A4854" s="2" t="s">
        <v>5854</v>
      </c>
      <c r="B4854" s="2" t="s">
        <v>46</v>
      </c>
      <c r="C4854" s="4">
        <v>45765.25</v>
      </c>
      <c r="D4854" s="4">
        <v>45765.250452685184</v>
      </c>
      <c r="E4854" s="2">
        <v>2.25</v>
      </c>
      <c r="F4854" s="2">
        <v>59.3</v>
      </c>
      <c r="G4854" s="2" t="s">
        <v>983</v>
      </c>
      <c r="H4854" s="2" t="s">
        <v>984</v>
      </c>
      <c r="I4854" s="2"/>
      <c r="J4854" s="2" t="s">
        <v>46</v>
      </c>
    </row>
    <row r="4855" spans="1:10" ht="21" customHeight="1">
      <c r="A4855" s="2" t="s">
        <v>5855</v>
      </c>
      <c r="B4855" s="2" t="s">
        <v>46</v>
      </c>
      <c r="C4855" s="4">
        <v>45766.25</v>
      </c>
      <c r="D4855" s="4">
        <v>45766.250515567124</v>
      </c>
      <c r="E4855" s="2">
        <v>2.1800000000000002</v>
      </c>
      <c r="F4855" s="2">
        <v>60</v>
      </c>
      <c r="G4855" s="2" t="s">
        <v>983</v>
      </c>
      <c r="H4855" s="2" t="s">
        <v>984</v>
      </c>
      <c r="I4855" s="2"/>
      <c r="J4855" s="2" t="s">
        <v>46</v>
      </c>
    </row>
    <row r="4856" spans="1:10" ht="21" customHeight="1">
      <c r="A4856" s="2" t="s">
        <v>5856</v>
      </c>
      <c r="B4856" s="2" t="s">
        <v>46</v>
      </c>
      <c r="C4856" s="4">
        <v>45767.25</v>
      </c>
      <c r="D4856" s="4">
        <v>45767.250406284722</v>
      </c>
      <c r="E4856" s="2"/>
      <c r="F4856" s="2"/>
      <c r="G4856" s="2" t="s">
        <v>983</v>
      </c>
      <c r="H4856" s="2" t="s">
        <v>1066</v>
      </c>
      <c r="I4856" s="2"/>
      <c r="J4856" s="2" t="s">
        <v>46</v>
      </c>
    </row>
    <row r="4857" spans="1:10" ht="21" customHeight="1">
      <c r="A4857" s="2" t="s">
        <v>5857</v>
      </c>
      <c r="B4857" s="2" t="s">
        <v>46</v>
      </c>
      <c r="C4857" s="4">
        <v>45768.25</v>
      </c>
      <c r="D4857" s="4">
        <v>45768.250538344902</v>
      </c>
      <c r="E4857" s="2">
        <v>2.33</v>
      </c>
      <c r="F4857" s="2">
        <v>65.400000000000006</v>
      </c>
      <c r="G4857" s="2" t="s">
        <v>983</v>
      </c>
      <c r="H4857" s="2" t="s">
        <v>984</v>
      </c>
      <c r="I4857" s="2"/>
      <c r="J4857" s="2" t="s">
        <v>46</v>
      </c>
    </row>
    <row r="4858" spans="1:10" ht="21" customHeight="1">
      <c r="A4858" s="2" t="s">
        <v>5858</v>
      </c>
      <c r="B4858" s="2" t="s">
        <v>46</v>
      </c>
      <c r="C4858" s="4">
        <v>45769.25</v>
      </c>
      <c r="D4858" s="4">
        <v>45769.250337118057</v>
      </c>
      <c r="E4858" s="2">
        <v>2.92</v>
      </c>
      <c r="F4858" s="2">
        <v>62</v>
      </c>
      <c r="G4858" s="2" t="s">
        <v>983</v>
      </c>
      <c r="H4858" s="2" t="s">
        <v>984</v>
      </c>
      <c r="I4858" s="2"/>
      <c r="J4858" s="2" t="s">
        <v>46</v>
      </c>
    </row>
    <row r="4859" spans="1:10" ht="21" customHeight="1">
      <c r="A4859" s="2" t="s">
        <v>5859</v>
      </c>
      <c r="B4859" s="2" t="s">
        <v>46</v>
      </c>
      <c r="C4859" s="4">
        <v>45770.25</v>
      </c>
      <c r="D4859" s="4">
        <v>45770.25001797454</v>
      </c>
      <c r="E4859" s="2">
        <v>2.99</v>
      </c>
      <c r="F4859" s="2">
        <v>61.7</v>
      </c>
      <c r="G4859" s="2" t="s">
        <v>983</v>
      </c>
      <c r="H4859" s="2" t="s">
        <v>984</v>
      </c>
      <c r="I4859" s="2"/>
      <c r="J4859" s="2" t="s">
        <v>46</v>
      </c>
    </row>
    <row r="4860" spans="1:10" ht="21" customHeight="1">
      <c r="A4860" s="2" t="s">
        <v>5860</v>
      </c>
      <c r="B4860" s="2" t="s">
        <v>46</v>
      </c>
      <c r="C4860" s="4">
        <v>45771.25</v>
      </c>
      <c r="D4860" s="4">
        <v>45771.250185682875</v>
      </c>
      <c r="E4860" s="2">
        <v>3.12</v>
      </c>
      <c r="F4860" s="2">
        <v>63</v>
      </c>
      <c r="G4860" s="2" t="s">
        <v>983</v>
      </c>
      <c r="H4860" s="2" t="s">
        <v>984</v>
      </c>
      <c r="I4860" s="2"/>
      <c r="J4860" s="2" t="s">
        <v>46</v>
      </c>
    </row>
    <row r="4861" spans="1:10" ht="21" customHeight="1">
      <c r="A4861" s="2" t="s">
        <v>5861</v>
      </c>
      <c r="B4861" s="2" t="s">
        <v>46</v>
      </c>
      <c r="C4861" s="4">
        <v>45772.25</v>
      </c>
      <c r="D4861" s="4">
        <v>45772.250392835645</v>
      </c>
      <c r="E4861" s="2">
        <v>2.2799999999999998</v>
      </c>
      <c r="F4861" s="2">
        <v>60</v>
      </c>
      <c r="G4861" s="2" t="s">
        <v>983</v>
      </c>
      <c r="H4861" s="2" t="s">
        <v>984</v>
      </c>
      <c r="I4861" s="2"/>
      <c r="J4861" s="2" t="s">
        <v>46</v>
      </c>
    </row>
    <row r="4862" spans="1:10" ht="21" customHeight="1">
      <c r="A4862" s="2" t="s">
        <v>5862</v>
      </c>
      <c r="B4862" s="2" t="s">
        <v>46</v>
      </c>
      <c r="C4862" s="4">
        <v>45773.25</v>
      </c>
      <c r="D4862" s="4">
        <v>45773.250018981482</v>
      </c>
      <c r="E4862" s="2">
        <v>2.4300000000000002</v>
      </c>
      <c r="F4862" s="2">
        <v>62.3</v>
      </c>
      <c r="G4862" s="2" t="s">
        <v>983</v>
      </c>
      <c r="H4862" s="2" t="s">
        <v>984</v>
      </c>
      <c r="I4862" s="2"/>
      <c r="J4862" s="2" t="s">
        <v>46</v>
      </c>
    </row>
    <row r="4863" spans="1:10" ht="21" customHeight="1">
      <c r="A4863" s="2" t="s">
        <v>5863</v>
      </c>
      <c r="B4863" s="2" t="s">
        <v>46</v>
      </c>
      <c r="C4863" s="4">
        <v>45774.25</v>
      </c>
      <c r="D4863" s="4">
        <v>45774.250000509259</v>
      </c>
      <c r="E4863" s="2">
        <v>2.88</v>
      </c>
      <c r="F4863" s="2">
        <v>58.3</v>
      </c>
      <c r="G4863" s="2" t="s">
        <v>983</v>
      </c>
      <c r="H4863" s="2" t="s">
        <v>984</v>
      </c>
      <c r="I4863" s="2"/>
      <c r="J4863" s="2" t="s">
        <v>46</v>
      </c>
    </row>
    <row r="4864" spans="1:10" ht="21" customHeight="1">
      <c r="A4864" s="2" t="s">
        <v>5864</v>
      </c>
      <c r="B4864" s="2" t="s">
        <v>46</v>
      </c>
      <c r="C4864" s="4">
        <v>45775.25</v>
      </c>
      <c r="D4864" s="4">
        <v>45775.25047392361</v>
      </c>
      <c r="E4864" s="2">
        <v>2.83</v>
      </c>
      <c r="F4864" s="2">
        <v>65.5</v>
      </c>
      <c r="G4864" s="2" t="s">
        <v>983</v>
      </c>
      <c r="H4864" s="2" t="s">
        <v>984</v>
      </c>
      <c r="I4864" s="2"/>
      <c r="J4864" s="2" t="s">
        <v>46</v>
      </c>
    </row>
    <row r="4865" spans="1:10" ht="21" customHeight="1">
      <c r="A4865" s="2" t="s">
        <v>5865</v>
      </c>
      <c r="B4865" s="2" t="s">
        <v>46</v>
      </c>
      <c r="C4865" s="4">
        <v>45776.25</v>
      </c>
      <c r="D4865" s="4">
        <v>45776.250648819449</v>
      </c>
      <c r="E4865" s="2">
        <v>2.2200000000000002</v>
      </c>
      <c r="F4865" s="2">
        <v>59.9</v>
      </c>
      <c r="G4865" s="2" t="s">
        <v>983</v>
      </c>
      <c r="H4865" s="2" t="s">
        <v>984</v>
      </c>
      <c r="I4865" s="2"/>
      <c r="J4865" s="2" t="s">
        <v>46</v>
      </c>
    </row>
    <row r="4866" spans="1:10" ht="21" customHeight="1">
      <c r="A4866" s="2" t="s">
        <v>5866</v>
      </c>
      <c r="B4866" s="2" t="s">
        <v>46</v>
      </c>
      <c r="C4866" s="4">
        <v>45777.25</v>
      </c>
      <c r="D4866" s="4">
        <v>45777.250416828705</v>
      </c>
      <c r="E4866" s="2">
        <v>3.06</v>
      </c>
      <c r="F4866" s="2">
        <v>58.3</v>
      </c>
      <c r="G4866" s="2" t="s">
        <v>983</v>
      </c>
      <c r="H4866" s="2" t="s">
        <v>984</v>
      </c>
      <c r="I4866" s="2" t="s">
        <v>985</v>
      </c>
      <c r="J4866" s="2" t="s">
        <v>46</v>
      </c>
    </row>
    <row r="4867" spans="1:10" ht="21" customHeight="1">
      <c r="A4867" s="2" t="s">
        <v>5867</v>
      </c>
      <c r="B4867" s="2" t="s">
        <v>46</v>
      </c>
      <c r="C4867" s="4">
        <v>45778.25</v>
      </c>
      <c r="D4867" s="4">
        <v>45778.250009618059</v>
      </c>
      <c r="E4867" s="2">
        <v>2.41</v>
      </c>
      <c r="F4867" s="2">
        <v>60.4</v>
      </c>
      <c r="G4867" s="2" t="s">
        <v>983</v>
      </c>
      <c r="H4867" s="2" t="s">
        <v>984</v>
      </c>
      <c r="I4867" s="2"/>
      <c r="J4867" s="2" t="s">
        <v>46</v>
      </c>
    </row>
    <row r="4868" spans="1:10" ht="21" customHeight="1">
      <c r="A4868" s="2" t="s">
        <v>5868</v>
      </c>
      <c r="B4868" s="2" t="s">
        <v>46</v>
      </c>
      <c r="C4868" s="4">
        <v>45779.25</v>
      </c>
      <c r="D4868" s="4">
        <v>45779.250262604168</v>
      </c>
      <c r="E4868" s="2">
        <v>2.77</v>
      </c>
      <c r="F4868" s="2">
        <v>58.2</v>
      </c>
      <c r="G4868" s="2" t="s">
        <v>983</v>
      </c>
      <c r="H4868" s="2" t="s">
        <v>984</v>
      </c>
      <c r="I4868" s="2"/>
      <c r="J4868" s="2" t="s">
        <v>46</v>
      </c>
    </row>
    <row r="4869" spans="1:10" ht="21" customHeight="1">
      <c r="A4869" s="2" t="s">
        <v>5869</v>
      </c>
      <c r="B4869" s="2" t="s">
        <v>46</v>
      </c>
      <c r="C4869" s="4">
        <v>45780.25</v>
      </c>
      <c r="D4869" s="4">
        <v>45780.250404363425</v>
      </c>
      <c r="E4869" s="2">
        <v>2.87</v>
      </c>
      <c r="F4869" s="2">
        <v>61.4</v>
      </c>
      <c r="G4869" s="2" t="s">
        <v>983</v>
      </c>
      <c r="H4869" s="2" t="s">
        <v>984</v>
      </c>
      <c r="I4869" s="2"/>
      <c r="J4869" s="2" t="s">
        <v>46</v>
      </c>
    </row>
    <row r="4870" spans="1:10" ht="21" customHeight="1">
      <c r="A4870" s="2" t="s">
        <v>5870</v>
      </c>
      <c r="B4870" s="2" t="s">
        <v>46</v>
      </c>
      <c r="C4870" s="4">
        <v>45781.25</v>
      </c>
      <c r="D4870" s="4">
        <v>45781.250590995369</v>
      </c>
      <c r="E4870" s="2">
        <v>2.84</v>
      </c>
      <c r="F4870" s="2">
        <v>60.9</v>
      </c>
      <c r="G4870" s="2" t="s">
        <v>983</v>
      </c>
      <c r="H4870" s="2" t="s">
        <v>984</v>
      </c>
      <c r="I4870" s="2"/>
      <c r="J4870" s="2" t="s">
        <v>46</v>
      </c>
    </row>
    <row r="4871" spans="1:10" ht="21" customHeight="1">
      <c r="A4871" s="2" t="s">
        <v>5871</v>
      </c>
      <c r="B4871" s="2" t="s">
        <v>46</v>
      </c>
      <c r="C4871" s="4">
        <v>45782.25</v>
      </c>
      <c r="D4871" s="4">
        <v>45782.250648923611</v>
      </c>
      <c r="E4871" s="2">
        <v>4.7300000000000004</v>
      </c>
      <c r="F4871" s="2">
        <v>69.7</v>
      </c>
      <c r="G4871" s="2" t="s">
        <v>983</v>
      </c>
      <c r="H4871" s="2" t="s">
        <v>984</v>
      </c>
      <c r="I4871" s="2" t="s">
        <v>1053</v>
      </c>
      <c r="J4871" s="2" t="s">
        <v>46</v>
      </c>
    </row>
    <row r="4872" spans="1:10" ht="21" customHeight="1">
      <c r="A4872" s="2" t="s">
        <v>5872</v>
      </c>
      <c r="B4872" s="2" t="s">
        <v>46</v>
      </c>
      <c r="C4872" s="4">
        <v>45783.25</v>
      </c>
      <c r="D4872" s="4">
        <v>45783.250222893519</v>
      </c>
      <c r="E4872" s="2">
        <v>5.08</v>
      </c>
      <c r="F4872" s="2">
        <v>68.5</v>
      </c>
      <c r="G4872" s="2" t="s">
        <v>983</v>
      </c>
      <c r="H4872" s="2" t="s">
        <v>984</v>
      </c>
      <c r="I4872" s="2"/>
      <c r="J4872" s="2" t="s">
        <v>46</v>
      </c>
    </row>
    <row r="4873" spans="1:10" ht="21" customHeight="1">
      <c r="A4873" s="2" t="s">
        <v>5873</v>
      </c>
      <c r="B4873" s="2" t="s">
        <v>46</v>
      </c>
      <c r="C4873" s="4">
        <v>45784.25</v>
      </c>
      <c r="D4873" s="4">
        <v>45784.250210092592</v>
      </c>
      <c r="E4873" s="2">
        <v>4.7</v>
      </c>
      <c r="F4873" s="2">
        <v>66.400000000000006</v>
      </c>
      <c r="G4873" s="2" t="s">
        <v>983</v>
      </c>
      <c r="H4873" s="2" t="s">
        <v>984</v>
      </c>
      <c r="I4873" s="2" t="s">
        <v>1053</v>
      </c>
      <c r="J4873" s="2" t="s">
        <v>46</v>
      </c>
    </row>
    <row r="4874" spans="1:10" ht="21" customHeight="1">
      <c r="A4874" s="2" t="s">
        <v>5874</v>
      </c>
      <c r="B4874" s="2" t="s">
        <v>46</v>
      </c>
      <c r="C4874" s="4">
        <v>45785.25</v>
      </c>
      <c r="D4874" s="4">
        <v>45785.250437754628</v>
      </c>
      <c r="E4874" s="2">
        <v>2.7</v>
      </c>
      <c r="F4874" s="2">
        <v>62.7</v>
      </c>
      <c r="G4874" s="2" t="s">
        <v>983</v>
      </c>
      <c r="H4874" s="2" t="s">
        <v>984</v>
      </c>
      <c r="I4874" s="2"/>
      <c r="J4874" s="2" t="s">
        <v>46</v>
      </c>
    </row>
    <row r="4875" spans="1:10" ht="21" customHeight="1">
      <c r="A4875" s="2" t="s">
        <v>5875</v>
      </c>
      <c r="B4875" s="2" t="s">
        <v>46</v>
      </c>
      <c r="C4875" s="4">
        <v>45786.25</v>
      </c>
      <c r="D4875" s="4">
        <v>45786.250435208334</v>
      </c>
      <c r="E4875" s="2">
        <v>2.57</v>
      </c>
      <c r="F4875" s="2">
        <v>60.5</v>
      </c>
      <c r="G4875" s="2" t="s">
        <v>983</v>
      </c>
      <c r="H4875" s="2" t="s">
        <v>984</v>
      </c>
      <c r="I4875" s="2"/>
      <c r="J4875" s="2" t="s">
        <v>46</v>
      </c>
    </row>
    <row r="4876" spans="1:10" ht="21" customHeight="1">
      <c r="A4876" s="2" t="s">
        <v>5876</v>
      </c>
      <c r="B4876" s="2" t="s">
        <v>46</v>
      </c>
      <c r="C4876" s="4">
        <v>45787.25</v>
      </c>
      <c r="D4876" s="4">
        <v>45787.250214953703</v>
      </c>
      <c r="E4876" s="2">
        <v>3.09</v>
      </c>
      <c r="F4876" s="2">
        <v>63.5</v>
      </c>
      <c r="G4876" s="2" t="s">
        <v>983</v>
      </c>
      <c r="H4876" s="2" t="s">
        <v>984</v>
      </c>
      <c r="I4876" s="2"/>
      <c r="J4876" s="2" t="s">
        <v>46</v>
      </c>
    </row>
    <row r="4877" spans="1:10" ht="21" customHeight="1">
      <c r="A4877" s="2" t="s">
        <v>5877</v>
      </c>
      <c r="B4877" s="2" t="s">
        <v>46</v>
      </c>
      <c r="C4877" s="4">
        <v>45788.25</v>
      </c>
      <c r="D4877" s="4">
        <v>45788.250332442127</v>
      </c>
      <c r="E4877" s="2">
        <v>3.24</v>
      </c>
      <c r="F4877" s="2">
        <v>64.5</v>
      </c>
      <c r="G4877" s="2" t="s">
        <v>983</v>
      </c>
      <c r="H4877" s="2" t="s">
        <v>984</v>
      </c>
      <c r="I4877" s="2"/>
      <c r="J4877" s="2" t="s">
        <v>46</v>
      </c>
    </row>
    <row r="4878" spans="1:10" ht="21" customHeight="1">
      <c r="A4878" s="2" t="s">
        <v>5878</v>
      </c>
      <c r="B4878" s="2" t="s">
        <v>46</v>
      </c>
      <c r="C4878" s="4">
        <v>45789.25</v>
      </c>
      <c r="D4878" s="4">
        <v>45789.250134861111</v>
      </c>
      <c r="E4878" s="2">
        <v>2.74</v>
      </c>
      <c r="F4878" s="2">
        <v>62.6</v>
      </c>
      <c r="G4878" s="2" t="s">
        <v>983</v>
      </c>
      <c r="H4878" s="2" t="s">
        <v>984</v>
      </c>
      <c r="I4878" s="2"/>
      <c r="J4878" s="2" t="s">
        <v>46</v>
      </c>
    </row>
    <row r="4879" spans="1:10" ht="21" customHeight="1">
      <c r="A4879" s="2" t="s">
        <v>5879</v>
      </c>
      <c r="B4879" s="2" t="s">
        <v>46</v>
      </c>
      <c r="C4879" s="4">
        <v>45790.25</v>
      </c>
      <c r="D4879" s="4">
        <v>45790.250551354169</v>
      </c>
      <c r="E4879" s="2">
        <v>2.39</v>
      </c>
      <c r="F4879" s="2">
        <v>65.2</v>
      </c>
      <c r="G4879" s="2" t="s">
        <v>983</v>
      </c>
      <c r="H4879" s="2" t="s">
        <v>984</v>
      </c>
      <c r="I4879" s="2"/>
      <c r="J4879" s="2" t="s">
        <v>46</v>
      </c>
    </row>
    <row r="4880" spans="1:10" ht="21" customHeight="1">
      <c r="A4880" s="2" t="s">
        <v>5880</v>
      </c>
      <c r="B4880" s="2" t="s">
        <v>46</v>
      </c>
      <c r="C4880" s="4">
        <v>45791.25</v>
      </c>
      <c r="D4880" s="4">
        <v>45791.250357129626</v>
      </c>
      <c r="E4880" s="2">
        <v>3.24</v>
      </c>
      <c r="F4880" s="2">
        <v>63.2</v>
      </c>
      <c r="G4880" s="2" t="s">
        <v>983</v>
      </c>
      <c r="H4880" s="2" t="s">
        <v>984</v>
      </c>
      <c r="I4880" s="2"/>
      <c r="J4880" s="2" t="s">
        <v>46</v>
      </c>
    </row>
    <row r="4881" spans="1:10" ht="21" customHeight="1">
      <c r="A4881" s="2" t="s">
        <v>5881</v>
      </c>
      <c r="B4881" s="2" t="s">
        <v>5758</v>
      </c>
      <c r="C4881" s="4">
        <v>45792.25</v>
      </c>
      <c r="D4881" s="4">
        <v>45792.250360405094</v>
      </c>
      <c r="E4881" s="2">
        <v>2.17</v>
      </c>
      <c r="F4881" s="2">
        <v>62.5</v>
      </c>
      <c r="G4881" s="2" t="s">
        <v>983</v>
      </c>
      <c r="H4881" s="2" t="s">
        <v>984</v>
      </c>
      <c r="I4881" s="2"/>
      <c r="J4881" s="2" t="s">
        <v>46</v>
      </c>
    </row>
    <row r="4882" spans="1:10" ht="21" customHeight="1">
      <c r="A4882" s="2" t="s">
        <v>5882</v>
      </c>
      <c r="B4882" s="2" t="s">
        <v>46</v>
      </c>
      <c r="C4882" s="4">
        <v>45793.25</v>
      </c>
      <c r="D4882" s="4">
        <v>45793.25021805556</v>
      </c>
      <c r="E4882" s="2">
        <v>2.87</v>
      </c>
      <c r="F4882" s="2">
        <v>64.2</v>
      </c>
      <c r="G4882" s="2" t="s">
        <v>983</v>
      </c>
      <c r="H4882" s="2" t="s">
        <v>984</v>
      </c>
      <c r="I4882" s="2"/>
      <c r="J4882" s="2" t="s">
        <v>46</v>
      </c>
    </row>
    <row r="4883" spans="1:10" ht="21" customHeight="1">
      <c r="A4883" s="2" t="s">
        <v>5883</v>
      </c>
      <c r="B4883" s="2" t="s">
        <v>46</v>
      </c>
      <c r="C4883" s="4">
        <v>45794.25</v>
      </c>
      <c r="D4883" s="4">
        <v>45794.250654120369</v>
      </c>
      <c r="E4883" s="2">
        <v>2.73</v>
      </c>
      <c r="F4883" s="2">
        <v>59.8</v>
      </c>
      <c r="G4883" s="2" t="s">
        <v>983</v>
      </c>
      <c r="H4883" s="2" t="s">
        <v>984</v>
      </c>
      <c r="I4883" s="2" t="s">
        <v>985</v>
      </c>
      <c r="J4883" s="2" t="s">
        <v>46</v>
      </c>
    </row>
    <row r="4884" spans="1:10" ht="21" customHeight="1">
      <c r="A4884" s="2" t="s">
        <v>5884</v>
      </c>
      <c r="B4884" s="2" t="s">
        <v>46</v>
      </c>
      <c r="C4884" s="4">
        <v>45795.25</v>
      </c>
      <c r="D4884" s="4">
        <v>45795.250207025463</v>
      </c>
      <c r="E4884" s="2">
        <v>2.46</v>
      </c>
      <c r="F4884" s="2">
        <v>59</v>
      </c>
      <c r="G4884" s="2" t="s">
        <v>983</v>
      </c>
      <c r="H4884" s="2" t="s">
        <v>984</v>
      </c>
      <c r="I4884" s="2"/>
      <c r="J4884" s="2" t="s">
        <v>46</v>
      </c>
    </row>
    <row r="4885" spans="1:10" ht="21" customHeight="1">
      <c r="A4885" s="2" t="s">
        <v>5885</v>
      </c>
      <c r="B4885" s="2" t="s">
        <v>46</v>
      </c>
      <c r="C4885" s="4">
        <v>45796.25</v>
      </c>
      <c r="D4885" s="4">
        <v>45796.250263078706</v>
      </c>
      <c r="E4885" s="2">
        <v>2.35</v>
      </c>
      <c r="F4885" s="2">
        <v>63.4</v>
      </c>
      <c r="G4885" s="2" t="s">
        <v>983</v>
      </c>
      <c r="H4885" s="2" t="s">
        <v>984</v>
      </c>
      <c r="I4885" s="2"/>
      <c r="J4885" s="2" t="s">
        <v>46</v>
      </c>
    </row>
    <row r="4886" spans="1:10" ht="21" customHeight="1">
      <c r="A4886" s="2" t="s">
        <v>5886</v>
      </c>
      <c r="B4886" s="2" t="s">
        <v>46</v>
      </c>
      <c r="C4886" s="4">
        <v>45797.25</v>
      </c>
      <c r="D4886" s="4">
        <v>45797.250400069446</v>
      </c>
      <c r="E4886" s="2">
        <v>2.76</v>
      </c>
      <c r="F4886" s="2">
        <v>63.9</v>
      </c>
      <c r="G4886" s="2" t="s">
        <v>983</v>
      </c>
      <c r="H4886" s="2" t="s">
        <v>984</v>
      </c>
      <c r="I4886" s="2"/>
      <c r="J4886" s="2" t="s">
        <v>46</v>
      </c>
    </row>
    <row r="4887" spans="1:10" ht="21" customHeight="1">
      <c r="A4887" s="2" t="s">
        <v>5887</v>
      </c>
      <c r="B4887" s="2" t="s">
        <v>46</v>
      </c>
      <c r="C4887" s="4">
        <v>45798.25</v>
      </c>
      <c r="D4887" s="4">
        <v>45798.250022650464</v>
      </c>
      <c r="E4887" s="2">
        <v>2.4</v>
      </c>
      <c r="F4887" s="2">
        <v>65.2</v>
      </c>
      <c r="G4887" s="2" t="s">
        <v>983</v>
      </c>
      <c r="H4887" s="2" t="s">
        <v>984</v>
      </c>
      <c r="I4887" s="2"/>
      <c r="J4887" s="2" t="s">
        <v>46</v>
      </c>
    </row>
    <row r="4888" spans="1:10" ht="21" customHeight="1">
      <c r="A4888" s="2" t="s">
        <v>5888</v>
      </c>
      <c r="B4888" s="2" t="s">
        <v>46</v>
      </c>
      <c r="C4888" s="4">
        <v>45799.25</v>
      </c>
      <c r="D4888" s="4">
        <v>45799.250341412037</v>
      </c>
      <c r="E4888" s="2">
        <v>2.77</v>
      </c>
      <c r="F4888" s="2">
        <v>63.7</v>
      </c>
      <c r="G4888" s="2" t="s">
        <v>983</v>
      </c>
      <c r="H4888" s="2" t="s">
        <v>984</v>
      </c>
      <c r="I4888" s="2"/>
      <c r="J4888" s="2" t="s">
        <v>46</v>
      </c>
    </row>
    <row r="4889" spans="1:10" ht="21" customHeight="1">
      <c r="A4889" s="2" t="s">
        <v>5889</v>
      </c>
      <c r="B4889" s="2" t="s">
        <v>46</v>
      </c>
      <c r="C4889" s="4">
        <v>45800.25</v>
      </c>
      <c r="D4889" s="4">
        <v>45800.250470995372</v>
      </c>
      <c r="E4889" s="2">
        <v>2.82</v>
      </c>
      <c r="F4889" s="2">
        <v>62.6</v>
      </c>
      <c r="G4889" s="2" t="s">
        <v>983</v>
      </c>
      <c r="H4889" s="2" t="s">
        <v>984</v>
      </c>
      <c r="I4889" s="2"/>
      <c r="J4889" s="2" t="s">
        <v>46</v>
      </c>
    </row>
    <row r="4890" spans="1:10" ht="21" customHeight="1">
      <c r="A4890" s="2" t="s">
        <v>5890</v>
      </c>
      <c r="B4890" s="2" t="s">
        <v>46</v>
      </c>
      <c r="C4890" s="4">
        <v>45801.25</v>
      </c>
      <c r="D4890" s="4">
        <v>45801.250386944448</v>
      </c>
      <c r="E4890" s="2">
        <v>2.94</v>
      </c>
      <c r="F4890" s="2">
        <v>59.9</v>
      </c>
      <c r="G4890" s="2" t="s">
        <v>983</v>
      </c>
      <c r="H4890" s="2" t="s">
        <v>984</v>
      </c>
      <c r="I4890" s="2"/>
      <c r="J4890" s="2" t="s">
        <v>46</v>
      </c>
    </row>
    <row r="4891" spans="1:10" ht="21" customHeight="1">
      <c r="A4891" s="2" t="s">
        <v>5891</v>
      </c>
      <c r="B4891" s="2" t="s">
        <v>46</v>
      </c>
      <c r="C4891" s="4">
        <v>45802.25</v>
      </c>
      <c r="D4891" s="4">
        <v>45802.250206192126</v>
      </c>
      <c r="E4891" s="2">
        <v>2.21</v>
      </c>
      <c r="F4891" s="2">
        <v>63.8</v>
      </c>
      <c r="G4891" s="2" t="s">
        <v>983</v>
      </c>
      <c r="H4891" s="2" t="s">
        <v>984</v>
      </c>
      <c r="I4891" s="2"/>
      <c r="J4891" s="2" t="s">
        <v>46</v>
      </c>
    </row>
    <row r="4892" spans="1:10" ht="21" customHeight="1">
      <c r="A4892" s="2" t="s">
        <v>5892</v>
      </c>
      <c r="B4892" s="2" t="s">
        <v>46</v>
      </c>
      <c r="C4892" s="4">
        <v>45803.25</v>
      </c>
      <c r="D4892" s="4">
        <v>45803.250138125004</v>
      </c>
      <c r="E4892" s="2">
        <v>2.14</v>
      </c>
      <c r="F4892" s="2">
        <v>65.8</v>
      </c>
      <c r="G4892" s="2" t="s">
        <v>983</v>
      </c>
      <c r="H4892" s="2" t="s">
        <v>984</v>
      </c>
      <c r="I4892" s="2"/>
      <c r="J4892" s="2" t="s">
        <v>46</v>
      </c>
    </row>
    <row r="4893" spans="1:10" ht="21" customHeight="1">
      <c r="A4893" s="2" t="s">
        <v>5893</v>
      </c>
      <c r="B4893" s="2" t="s">
        <v>46</v>
      </c>
      <c r="C4893" s="4">
        <v>45804.25</v>
      </c>
      <c r="D4893" s="4">
        <v>45804.250311111115</v>
      </c>
      <c r="E4893" s="2">
        <v>3.08</v>
      </c>
      <c r="F4893" s="2">
        <v>64.8</v>
      </c>
      <c r="G4893" s="2" t="s">
        <v>983</v>
      </c>
      <c r="H4893" s="2" t="s">
        <v>984</v>
      </c>
      <c r="I4893" s="2"/>
      <c r="J4893" s="2" t="s">
        <v>46</v>
      </c>
    </row>
    <row r="4894" spans="1:10" ht="21" customHeight="1">
      <c r="A4894" s="2" t="s">
        <v>5894</v>
      </c>
      <c r="B4894" s="2" t="s">
        <v>46</v>
      </c>
      <c r="C4894" s="4">
        <v>45805.25</v>
      </c>
      <c r="D4894" s="4">
        <v>45805.250600324071</v>
      </c>
      <c r="E4894" s="2"/>
      <c r="F4894" s="2"/>
      <c r="G4894" s="2" t="s">
        <v>983</v>
      </c>
      <c r="H4894" s="2" t="s">
        <v>1066</v>
      </c>
      <c r="I4894" s="2"/>
      <c r="J4894" s="2" t="s">
        <v>46</v>
      </c>
    </row>
    <row r="4895" spans="1:10" ht="21" customHeight="1">
      <c r="A4895" s="2" t="s">
        <v>5895</v>
      </c>
      <c r="B4895" s="2" t="s">
        <v>46</v>
      </c>
      <c r="C4895" s="4">
        <v>45806.25</v>
      </c>
      <c r="D4895" s="4">
        <v>45806.250061851853</v>
      </c>
      <c r="E4895" s="2">
        <v>2.92</v>
      </c>
      <c r="F4895" s="2">
        <v>60.2</v>
      </c>
      <c r="G4895" s="2" t="s">
        <v>983</v>
      </c>
      <c r="H4895" s="2" t="s">
        <v>984</v>
      </c>
      <c r="I4895" s="2"/>
      <c r="J4895" s="2" t="s">
        <v>46</v>
      </c>
    </row>
    <row r="4896" spans="1:10" ht="21" customHeight="1">
      <c r="A4896" s="2" t="s">
        <v>5896</v>
      </c>
      <c r="B4896" s="2" t="s">
        <v>46</v>
      </c>
      <c r="C4896" s="4">
        <v>45807.25</v>
      </c>
      <c r="D4896" s="4">
        <v>45807.250606412039</v>
      </c>
      <c r="E4896" s="2">
        <v>2.94</v>
      </c>
      <c r="F4896" s="2">
        <v>63.7</v>
      </c>
      <c r="G4896" s="2" t="s">
        <v>983</v>
      </c>
      <c r="H4896" s="2" t="s">
        <v>984</v>
      </c>
      <c r="I4896" s="2"/>
      <c r="J4896" s="2" t="s">
        <v>46</v>
      </c>
    </row>
    <row r="4897" spans="1:10" ht="21" customHeight="1">
      <c r="A4897" s="2" t="s">
        <v>5897</v>
      </c>
      <c r="B4897" s="2" t="s">
        <v>46</v>
      </c>
      <c r="C4897" s="4">
        <v>45808.25</v>
      </c>
      <c r="D4897" s="4">
        <v>45808.250207685182</v>
      </c>
      <c r="E4897" s="2">
        <v>2.79</v>
      </c>
      <c r="F4897" s="2">
        <v>61</v>
      </c>
      <c r="G4897" s="2" t="s">
        <v>983</v>
      </c>
      <c r="H4897" s="2" t="s">
        <v>984</v>
      </c>
      <c r="I4897" s="2"/>
      <c r="J4897" s="2" t="s">
        <v>46</v>
      </c>
    </row>
    <row r="4898" spans="1:10" ht="21" customHeight="1">
      <c r="A4898" s="2" t="s">
        <v>5898</v>
      </c>
      <c r="B4898" s="2" t="s">
        <v>46</v>
      </c>
      <c r="C4898" s="4">
        <v>45809.25</v>
      </c>
      <c r="D4898" s="4">
        <v>45809.2503478125</v>
      </c>
      <c r="E4898" s="2">
        <v>2.83</v>
      </c>
      <c r="F4898" s="2">
        <v>65.7</v>
      </c>
      <c r="G4898" s="2" t="s">
        <v>983</v>
      </c>
      <c r="H4898" s="2" t="s">
        <v>984</v>
      </c>
      <c r="I4898" s="2"/>
      <c r="J4898" s="2" t="s">
        <v>46</v>
      </c>
    </row>
    <row r="4899" spans="1:10" ht="21" customHeight="1">
      <c r="A4899" s="2" t="s">
        <v>5899</v>
      </c>
      <c r="B4899" s="2" t="s">
        <v>46</v>
      </c>
      <c r="C4899" s="4">
        <v>45810.25</v>
      </c>
      <c r="D4899" s="4">
        <v>45810.250683379629</v>
      </c>
      <c r="E4899" s="2">
        <v>2.93</v>
      </c>
      <c r="F4899" s="2">
        <v>62.4</v>
      </c>
      <c r="G4899" s="2" t="s">
        <v>983</v>
      </c>
      <c r="H4899" s="2" t="s">
        <v>984</v>
      </c>
      <c r="I4899" s="2"/>
      <c r="J4899" s="2" t="s">
        <v>46</v>
      </c>
    </row>
    <row r="4900" spans="1:10" ht="21" customHeight="1">
      <c r="A4900" s="2" t="s">
        <v>5900</v>
      </c>
      <c r="B4900" s="2" t="s">
        <v>46</v>
      </c>
      <c r="C4900" s="4">
        <v>45811.25</v>
      </c>
      <c r="D4900" s="4">
        <v>45811.250004976857</v>
      </c>
      <c r="E4900" s="2">
        <v>2.54</v>
      </c>
      <c r="F4900" s="2">
        <v>58.2</v>
      </c>
      <c r="G4900" s="2" t="s">
        <v>983</v>
      </c>
      <c r="H4900" s="2" t="s">
        <v>984</v>
      </c>
      <c r="I4900" s="2" t="s">
        <v>985</v>
      </c>
      <c r="J4900" s="2" t="s">
        <v>46</v>
      </c>
    </row>
    <row r="4901" spans="1:10" ht="21" customHeight="1">
      <c r="A4901" s="2" t="s">
        <v>5901</v>
      </c>
      <c r="B4901" s="2" t="s">
        <v>46</v>
      </c>
      <c r="C4901" s="4">
        <v>45812.25</v>
      </c>
      <c r="D4901" s="4">
        <v>45812.250498402776</v>
      </c>
      <c r="E4901" s="2">
        <v>2.4</v>
      </c>
      <c r="F4901" s="2">
        <v>62.9</v>
      </c>
      <c r="G4901" s="2" t="s">
        <v>983</v>
      </c>
      <c r="H4901" s="2" t="s">
        <v>984</v>
      </c>
      <c r="I4901" s="2"/>
      <c r="J4901" s="2" t="s">
        <v>46</v>
      </c>
    </row>
    <row r="4902" spans="1:10" ht="21" customHeight="1">
      <c r="A4902" s="2" t="s">
        <v>5902</v>
      </c>
      <c r="B4902" s="2" t="s">
        <v>46</v>
      </c>
      <c r="C4902" s="4">
        <v>45813.25</v>
      </c>
      <c r="D4902" s="4">
        <v>45813.250657060184</v>
      </c>
      <c r="E4902" s="2">
        <v>3.29</v>
      </c>
      <c r="F4902" s="2">
        <v>61.4</v>
      </c>
      <c r="G4902" s="2" t="s">
        <v>983</v>
      </c>
      <c r="H4902" s="2" t="s">
        <v>984</v>
      </c>
      <c r="I4902" s="2"/>
      <c r="J4902" s="2" t="s">
        <v>46</v>
      </c>
    </row>
    <row r="4903" spans="1:10" ht="21" customHeight="1">
      <c r="A4903" s="2" t="s">
        <v>5903</v>
      </c>
      <c r="B4903" s="2" t="s">
        <v>46</v>
      </c>
      <c r="C4903" s="4">
        <v>45814.25</v>
      </c>
      <c r="D4903" s="4">
        <v>45814.250310011572</v>
      </c>
      <c r="E4903" s="2">
        <v>2.17</v>
      </c>
      <c r="F4903" s="2">
        <v>63.4</v>
      </c>
      <c r="G4903" s="2" t="s">
        <v>983</v>
      </c>
      <c r="H4903" s="2" t="s">
        <v>984</v>
      </c>
      <c r="I4903" s="2"/>
      <c r="J4903" s="2" t="s">
        <v>46</v>
      </c>
    </row>
    <row r="4904" spans="1:10" ht="21" customHeight="1">
      <c r="A4904" s="2" t="s">
        <v>5904</v>
      </c>
      <c r="B4904" s="2" t="s">
        <v>46</v>
      </c>
      <c r="C4904" s="4">
        <v>45815.25</v>
      </c>
      <c r="D4904" s="4">
        <v>45815.250661365746</v>
      </c>
      <c r="E4904" s="2">
        <v>2.59</v>
      </c>
      <c r="F4904" s="2">
        <v>58.3</v>
      </c>
      <c r="G4904" s="2" t="s">
        <v>983</v>
      </c>
      <c r="H4904" s="2" t="s">
        <v>984</v>
      </c>
      <c r="I4904" s="2"/>
      <c r="J4904" s="2" t="s">
        <v>46</v>
      </c>
    </row>
    <row r="4905" spans="1:10" ht="21" customHeight="1">
      <c r="A4905" s="2" t="s">
        <v>5905</v>
      </c>
      <c r="B4905" s="2" t="s">
        <v>46</v>
      </c>
      <c r="C4905" s="4">
        <v>45816.25</v>
      </c>
      <c r="D4905" s="4">
        <v>45816.250305451387</v>
      </c>
      <c r="E4905" s="2">
        <v>2.59</v>
      </c>
      <c r="F4905" s="2">
        <v>62.5</v>
      </c>
      <c r="G4905" s="2" t="s">
        <v>983</v>
      </c>
      <c r="H4905" s="2" t="s">
        <v>984</v>
      </c>
      <c r="I4905" s="2"/>
      <c r="J4905" s="2" t="s">
        <v>46</v>
      </c>
    </row>
    <row r="4906" spans="1:10" ht="21" customHeight="1">
      <c r="A4906" s="2" t="s">
        <v>5906</v>
      </c>
      <c r="B4906" s="2" t="s">
        <v>46</v>
      </c>
      <c r="C4906" s="4">
        <v>45817.25</v>
      </c>
      <c r="D4906" s="4">
        <v>45817.250412986112</v>
      </c>
      <c r="E4906" s="2">
        <v>2.59</v>
      </c>
      <c r="F4906" s="2">
        <v>64</v>
      </c>
      <c r="G4906" s="2" t="s">
        <v>983</v>
      </c>
      <c r="H4906" s="2" t="s">
        <v>984</v>
      </c>
      <c r="I4906" s="2"/>
      <c r="J4906" s="2" t="s">
        <v>46</v>
      </c>
    </row>
    <row r="4907" spans="1:10" ht="21" customHeight="1">
      <c r="A4907" s="2" t="s">
        <v>5907</v>
      </c>
      <c r="B4907" s="2" t="s">
        <v>46</v>
      </c>
      <c r="C4907" s="4">
        <v>45818.25</v>
      </c>
      <c r="D4907" s="4">
        <v>45818.250450266205</v>
      </c>
      <c r="E4907" s="2"/>
      <c r="F4907" s="2"/>
      <c r="G4907" s="2" t="s">
        <v>983</v>
      </c>
      <c r="H4907" s="2" t="s">
        <v>1066</v>
      </c>
      <c r="I4907" s="2"/>
      <c r="J4907" s="2" t="s">
        <v>46</v>
      </c>
    </row>
    <row r="4908" spans="1:10" ht="21" customHeight="1">
      <c r="A4908" s="2" t="s">
        <v>5908</v>
      </c>
      <c r="B4908" s="2" t="s">
        <v>46</v>
      </c>
      <c r="C4908" s="4">
        <v>45819.25</v>
      </c>
      <c r="D4908" s="4">
        <v>45819.250440960648</v>
      </c>
      <c r="E4908" s="2">
        <v>2.92</v>
      </c>
      <c r="F4908" s="2">
        <v>60</v>
      </c>
      <c r="G4908" s="2" t="s">
        <v>983</v>
      </c>
      <c r="H4908" s="2" t="s">
        <v>984</v>
      </c>
      <c r="I4908" s="2"/>
      <c r="J4908" s="2" t="s">
        <v>46</v>
      </c>
    </row>
    <row r="4909" spans="1:10" ht="21" customHeight="1">
      <c r="A4909" s="2" t="s">
        <v>5909</v>
      </c>
      <c r="B4909" s="2" t="s">
        <v>46</v>
      </c>
      <c r="C4909" s="4">
        <v>45820.25</v>
      </c>
      <c r="D4909" s="4">
        <v>45820.250074791664</v>
      </c>
      <c r="E4909" s="2">
        <v>2.84</v>
      </c>
      <c r="F4909" s="2">
        <v>65</v>
      </c>
      <c r="G4909" s="2" t="s">
        <v>983</v>
      </c>
      <c r="H4909" s="2" t="s">
        <v>984</v>
      </c>
      <c r="I4909" s="2"/>
      <c r="J4909" s="2" t="s">
        <v>46</v>
      </c>
    </row>
    <row r="4910" spans="1:10" ht="21" customHeight="1">
      <c r="A4910" s="2" t="s">
        <v>5910</v>
      </c>
      <c r="B4910" s="2" t="s">
        <v>46</v>
      </c>
      <c r="C4910" s="4">
        <v>45821.25</v>
      </c>
      <c r="D4910" s="4">
        <v>45821.250305428242</v>
      </c>
      <c r="E4910" s="2">
        <v>2.17</v>
      </c>
      <c r="F4910" s="2">
        <v>59.1</v>
      </c>
      <c r="G4910" s="2" t="s">
        <v>983</v>
      </c>
      <c r="H4910" s="2" t="s">
        <v>984</v>
      </c>
      <c r="I4910" s="2"/>
      <c r="J4910" s="2" t="s">
        <v>46</v>
      </c>
    </row>
    <row r="4911" spans="1:10" ht="21" customHeight="1">
      <c r="A4911" s="2" t="s">
        <v>5911</v>
      </c>
      <c r="B4911" s="2" t="s">
        <v>46</v>
      </c>
      <c r="C4911" s="4">
        <v>45822.25</v>
      </c>
      <c r="D4911" s="4">
        <v>45822.250184432865</v>
      </c>
      <c r="E4911" s="2">
        <v>3.01</v>
      </c>
      <c r="F4911" s="2">
        <v>58.6</v>
      </c>
      <c r="G4911" s="2" t="s">
        <v>983</v>
      </c>
      <c r="H4911" s="2" t="s">
        <v>984</v>
      </c>
      <c r="I4911" s="2"/>
      <c r="J4911" s="2" t="s">
        <v>46</v>
      </c>
    </row>
    <row r="4912" spans="1:10" ht="21" customHeight="1">
      <c r="A4912" s="2" t="s">
        <v>5912</v>
      </c>
      <c r="B4912" s="2" t="s">
        <v>46</v>
      </c>
      <c r="C4912" s="4">
        <v>45823.25</v>
      </c>
      <c r="D4912" s="4">
        <v>45823.250126550927</v>
      </c>
      <c r="E4912" s="2">
        <v>2.97</v>
      </c>
      <c r="F4912" s="2">
        <v>59.7</v>
      </c>
      <c r="G4912" s="2" t="s">
        <v>983</v>
      </c>
      <c r="H4912" s="2" t="s">
        <v>984</v>
      </c>
      <c r="I4912" s="2"/>
      <c r="J4912" s="2" t="s">
        <v>46</v>
      </c>
    </row>
    <row r="4913" spans="1:10" ht="21" customHeight="1">
      <c r="A4913" s="2" t="s">
        <v>5913</v>
      </c>
      <c r="B4913" s="2" t="s">
        <v>46</v>
      </c>
      <c r="C4913" s="4">
        <v>45824.25</v>
      </c>
      <c r="D4913" s="4">
        <v>45824.250459386574</v>
      </c>
      <c r="E4913" s="2">
        <v>2.4300000000000002</v>
      </c>
      <c r="F4913" s="2">
        <v>58.4</v>
      </c>
      <c r="G4913" s="2" t="s">
        <v>983</v>
      </c>
      <c r="H4913" s="2" t="s">
        <v>984</v>
      </c>
      <c r="I4913" s="2"/>
      <c r="J4913" s="2" t="s">
        <v>46</v>
      </c>
    </row>
    <row r="4914" spans="1:10" ht="21" customHeight="1">
      <c r="A4914" s="2" t="s">
        <v>5914</v>
      </c>
      <c r="B4914" s="2" t="s">
        <v>46</v>
      </c>
      <c r="C4914" s="4">
        <v>45825.25</v>
      </c>
      <c r="D4914" s="4">
        <v>45825.250101574071</v>
      </c>
      <c r="E4914" s="2">
        <v>2.15</v>
      </c>
      <c r="F4914" s="2">
        <v>63.5</v>
      </c>
      <c r="G4914" s="2" t="s">
        <v>983</v>
      </c>
      <c r="H4914" s="2" t="s">
        <v>984</v>
      </c>
      <c r="I4914" s="2"/>
      <c r="J4914" s="2" t="s">
        <v>46</v>
      </c>
    </row>
    <row r="4915" spans="1:10" ht="21" customHeight="1">
      <c r="A4915" s="2" t="s">
        <v>5915</v>
      </c>
      <c r="B4915" s="2" t="s">
        <v>46</v>
      </c>
      <c r="C4915" s="4">
        <v>45826.25</v>
      </c>
      <c r="D4915" s="4">
        <v>45826.250228125005</v>
      </c>
      <c r="E4915" s="2">
        <v>2.2200000000000002</v>
      </c>
      <c r="F4915" s="2">
        <v>65.900000000000006</v>
      </c>
      <c r="G4915" s="2" t="s">
        <v>983</v>
      </c>
      <c r="H4915" s="2" t="s">
        <v>984</v>
      </c>
      <c r="I4915" s="2"/>
      <c r="J4915" s="2" t="s">
        <v>46</v>
      </c>
    </row>
    <row r="4916" spans="1:10" ht="21" customHeight="1">
      <c r="A4916" s="2" t="s">
        <v>5916</v>
      </c>
      <c r="B4916" s="2" t="s">
        <v>46</v>
      </c>
      <c r="C4916" s="4">
        <v>45827.25</v>
      </c>
      <c r="D4916" s="4">
        <v>45827.250503935182</v>
      </c>
      <c r="E4916" s="2">
        <v>2.46</v>
      </c>
      <c r="F4916" s="2">
        <v>65.2</v>
      </c>
      <c r="G4916" s="2" t="s">
        <v>983</v>
      </c>
      <c r="H4916" s="2" t="s">
        <v>984</v>
      </c>
      <c r="I4916" s="2"/>
      <c r="J4916" s="2" t="s">
        <v>46</v>
      </c>
    </row>
    <row r="4917" spans="1:10" ht="21" customHeight="1">
      <c r="A4917" s="2" t="s">
        <v>5917</v>
      </c>
      <c r="B4917" s="2" t="s">
        <v>46</v>
      </c>
      <c r="C4917" s="4">
        <v>45828.25</v>
      </c>
      <c r="D4917" s="4">
        <v>45828.250118136573</v>
      </c>
      <c r="E4917" s="2">
        <v>2.4500000000000002</v>
      </c>
      <c r="F4917" s="2">
        <v>62.3</v>
      </c>
      <c r="G4917" s="2" t="s">
        <v>983</v>
      </c>
      <c r="H4917" s="2" t="s">
        <v>984</v>
      </c>
      <c r="I4917" s="2" t="s">
        <v>985</v>
      </c>
      <c r="J4917" s="2" t="s">
        <v>46</v>
      </c>
    </row>
    <row r="4918" spans="1:10" ht="21" customHeight="1">
      <c r="A4918" s="2" t="s">
        <v>5918</v>
      </c>
      <c r="B4918" s="2" t="s">
        <v>46</v>
      </c>
      <c r="C4918" s="4">
        <v>45829.25</v>
      </c>
      <c r="D4918" s="4">
        <v>45829.250625601853</v>
      </c>
      <c r="E4918" s="2">
        <v>3.26</v>
      </c>
      <c r="F4918" s="2">
        <v>65</v>
      </c>
      <c r="G4918" s="2" t="s">
        <v>983</v>
      </c>
      <c r="H4918" s="2" t="s">
        <v>984</v>
      </c>
      <c r="I4918" s="2"/>
      <c r="J4918" s="2" t="s">
        <v>46</v>
      </c>
    </row>
    <row r="4919" spans="1:10" ht="21" customHeight="1">
      <c r="A4919" s="2" t="s">
        <v>5919</v>
      </c>
      <c r="B4919" s="2" t="s">
        <v>46</v>
      </c>
      <c r="C4919" s="4">
        <v>45830.25</v>
      </c>
      <c r="D4919" s="4">
        <v>45830.250317731479</v>
      </c>
      <c r="E4919" s="2">
        <v>2.9</v>
      </c>
      <c r="F4919" s="2">
        <v>60.7</v>
      </c>
      <c r="G4919" s="2" t="s">
        <v>983</v>
      </c>
      <c r="H4919" s="2" t="s">
        <v>984</v>
      </c>
      <c r="I4919" s="2"/>
      <c r="J4919" s="2" t="s">
        <v>46</v>
      </c>
    </row>
    <row r="4920" spans="1:10" ht="21" customHeight="1">
      <c r="A4920" s="2" t="s">
        <v>5920</v>
      </c>
      <c r="B4920" s="2" t="s">
        <v>46</v>
      </c>
      <c r="C4920" s="4">
        <v>45831.25</v>
      </c>
      <c r="D4920" s="4">
        <v>45831.250622754626</v>
      </c>
      <c r="E4920" s="2">
        <v>3.14</v>
      </c>
      <c r="F4920" s="2">
        <v>63.8</v>
      </c>
      <c r="G4920" s="2" t="s">
        <v>983</v>
      </c>
      <c r="H4920" s="2" t="s">
        <v>984</v>
      </c>
      <c r="I4920" s="2"/>
      <c r="J4920" s="2" t="s">
        <v>46</v>
      </c>
    </row>
    <row r="4921" spans="1:10" ht="21" customHeight="1">
      <c r="A4921" s="2" t="s">
        <v>5921</v>
      </c>
      <c r="B4921" s="2" t="s">
        <v>46</v>
      </c>
      <c r="C4921" s="4">
        <v>45832.25</v>
      </c>
      <c r="D4921" s="4">
        <v>45832.250036678241</v>
      </c>
      <c r="E4921" s="2">
        <v>3.1</v>
      </c>
      <c r="F4921" s="2">
        <v>62.2</v>
      </c>
      <c r="G4921" s="2" t="s">
        <v>983</v>
      </c>
      <c r="H4921" s="2" t="s">
        <v>984</v>
      </c>
      <c r="I4921" s="2"/>
      <c r="J4921" s="2" t="s">
        <v>46</v>
      </c>
    </row>
    <row r="4922" spans="1:10" ht="21" customHeight="1">
      <c r="A4922" s="2" t="s">
        <v>5922</v>
      </c>
      <c r="B4922" s="2" t="s">
        <v>5758</v>
      </c>
      <c r="C4922" s="4">
        <v>45833.25</v>
      </c>
      <c r="D4922" s="4">
        <v>45833.250473668981</v>
      </c>
      <c r="E4922" s="2">
        <v>2.79</v>
      </c>
      <c r="F4922" s="2">
        <v>65.400000000000006</v>
      </c>
      <c r="G4922" s="2" t="s">
        <v>983</v>
      </c>
      <c r="H4922" s="2" t="s">
        <v>984</v>
      </c>
      <c r="I4922" s="2"/>
      <c r="J4922" s="2" t="s">
        <v>46</v>
      </c>
    </row>
    <row r="4923" spans="1:10" ht="21" customHeight="1">
      <c r="A4923" s="2" t="s">
        <v>5923</v>
      </c>
      <c r="B4923" s="2" t="s">
        <v>46</v>
      </c>
      <c r="C4923" s="4">
        <v>45834.25</v>
      </c>
      <c r="D4923" s="4">
        <v>45834.250041793981</v>
      </c>
      <c r="E4923" s="2">
        <v>2.58</v>
      </c>
      <c r="F4923" s="2">
        <v>60.3</v>
      </c>
      <c r="G4923" s="2" t="s">
        <v>983</v>
      </c>
      <c r="H4923" s="2" t="s">
        <v>984</v>
      </c>
      <c r="I4923" s="2"/>
      <c r="J4923" s="2" t="s">
        <v>46</v>
      </c>
    </row>
    <row r="4924" spans="1:10" ht="21" customHeight="1">
      <c r="A4924" s="2" t="s">
        <v>5924</v>
      </c>
      <c r="B4924" s="2" t="s">
        <v>46</v>
      </c>
      <c r="C4924" s="4">
        <v>45835.25</v>
      </c>
      <c r="D4924" s="4">
        <v>45835.250542187496</v>
      </c>
      <c r="E4924" s="2">
        <v>2.72</v>
      </c>
      <c r="F4924" s="2">
        <v>61.9</v>
      </c>
      <c r="G4924" s="2" t="s">
        <v>983</v>
      </c>
      <c r="H4924" s="2" t="s">
        <v>984</v>
      </c>
      <c r="I4924" s="2"/>
      <c r="J4924" s="2" t="s">
        <v>46</v>
      </c>
    </row>
    <row r="4925" spans="1:10" ht="21" customHeight="1">
      <c r="A4925" s="2" t="s">
        <v>5925</v>
      </c>
      <c r="B4925" s="2" t="s">
        <v>46</v>
      </c>
      <c r="C4925" s="4">
        <v>45836.25</v>
      </c>
      <c r="D4925" s="4">
        <v>45836.250622314816</v>
      </c>
      <c r="E4925" s="2">
        <v>2.56</v>
      </c>
      <c r="F4925" s="2">
        <v>61.2</v>
      </c>
      <c r="G4925" s="2" t="s">
        <v>983</v>
      </c>
      <c r="H4925" s="2" t="s">
        <v>984</v>
      </c>
      <c r="I4925" s="2"/>
      <c r="J4925" s="2" t="s">
        <v>46</v>
      </c>
    </row>
    <row r="4926" spans="1:10" ht="21" customHeight="1">
      <c r="A4926" s="2" t="s">
        <v>5926</v>
      </c>
      <c r="B4926" s="2" t="s">
        <v>46</v>
      </c>
      <c r="C4926" s="4">
        <v>45837.25</v>
      </c>
      <c r="D4926" s="4">
        <v>45837.250582766203</v>
      </c>
      <c r="E4926" s="2">
        <v>2.12</v>
      </c>
      <c r="F4926" s="2">
        <v>60.4</v>
      </c>
      <c r="G4926" s="2" t="s">
        <v>983</v>
      </c>
      <c r="H4926" s="2" t="s">
        <v>984</v>
      </c>
      <c r="I4926" s="2"/>
      <c r="J4926" s="2" t="s">
        <v>46</v>
      </c>
    </row>
    <row r="4927" spans="1:10" ht="21" customHeight="1">
      <c r="A4927" s="2" t="s">
        <v>5927</v>
      </c>
      <c r="B4927" s="2" t="s">
        <v>46</v>
      </c>
      <c r="C4927" s="4">
        <v>45838.25</v>
      </c>
      <c r="D4927" s="4">
        <v>45838.250220879629</v>
      </c>
      <c r="E4927" s="2">
        <v>2.2799999999999998</v>
      </c>
      <c r="F4927" s="2">
        <v>64.099999999999994</v>
      </c>
      <c r="G4927" s="2" t="s">
        <v>983</v>
      </c>
      <c r="H4927" s="2" t="s">
        <v>984</v>
      </c>
      <c r="I4927" s="2"/>
      <c r="J4927" s="2" t="s">
        <v>46</v>
      </c>
    </row>
    <row r="4928" spans="1:10" ht="21" customHeight="1">
      <c r="A4928" s="2" t="s">
        <v>5928</v>
      </c>
      <c r="B4928" s="2" t="s">
        <v>46</v>
      </c>
      <c r="C4928" s="4">
        <v>45839.25</v>
      </c>
      <c r="D4928" s="4">
        <v>45839.250238715278</v>
      </c>
      <c r="E4928" s="2">
        <v>2.74</v>
      </c>
      <c r="F4928" s="2">
        <v>62</v>
      </c>
      <c r="G4928" s="2" t="s">
        <v>983</v>
      </c>
      <c r="H4928" s="2" t="s">
        <v>984</v>
      </c>
      <c r="I4928" s="2"/>
      <c r="J4928" s="2" t="s">
        <v>46</v>
      </c>
    </row>
    <row r="4929" spans="1:10" ht="21" customHeight="1">
      <c r="A4929" s="2" t="s">
        <v>5929</v>
      </c>
      <c r="B4929" s="2" t="s">
        <v>46</v>
      </c>
      <c r="C4929" s="4">
        <v>45840.25</v>
      </c>
      <c r="D4929" s="4">
        <v>45840.250060185186</v>
      </c>
      <c r="E4929" s="2">
        <v>5.73</v>
      </c>
      <c r="F4929" s="2">
        <v>71.599999999999994</v>
      </c>
      <c r="G4929" s="2" t="s">
        <v>983</v>
      </c>
      <c r="H4929" s="2" t="s">
        <v>984</v>
      </c>
      <c r="I4929" s="2" t="s">
        <v>1053</v>
      </c>
      <c r="J4929" s="2" t="s">
        <v>46</v>
      </c>
    </row>
    <row r="4930" spans="1:10" ht="21" customHeight="1">
      <c r="A4930" s="2" t="s">
        <v>5930</v>
      </c>
      <c r="B4930" s="2" t="s">
        <v>46</v>
      </c>
      <c r="C4930" s="4">
        <v>45841.25</v>
      </c>
      <c r="D4930" s="4">
        <v>45841.250685567131</v>
      </c>
      <c r="E4930" s="2">
        <v>4.4800000000000004</v>
      </c>
      <c r="F4930" s="2">
        <v>63.4</v>
      </c>
      <c r="G4930" s="2" t="s">
        <v>983</v>
      </c>
      <c r="H4930" s="2" t="s">
        <v>984</v>
      </c>
      <c r="I4930" s="2"/>
      <c r="J4930" s="2" t="s">
        <v>46</v>
      </c>
    </row>
    <row r="4931" spans="1:10" ht="21" customHeight="1">
      <c r="A4931" s="2" t="s">
        <v>5931</v>
      </c>
      <c r="B4931" s="2" t="s">
        <v>46</v>
      </c>
      <c r="C4931" s="4">
        <v>45842.25</v>
      </c>
      <c r="D4931" s="4">
        <v>45842.250152025459</v>
      </c>
      <c r="E4931" s="2">
        <v>5.43</v>
      </c>
      <c r="F4931" s="2">
        <v>70.900000000000006</v>
      </c>
      <c r="G4931" s="2" t="s">
        <v>983</v>
      </c>
      <c r="H4931" s="2" t="s">
        <v>984</v>
      </c>
      <c r="I4931" s="2" t="s">
        <v>1053</v>
      </c>
      <c r="J4931" s="2" t="s">
        <v>46</v>
      </c>
    </row>
    <row r="4932" spans="1:10" ht="21" customHeight="1">
      <c r="A4932" s="2" t="s">
        <v>5932</v>
      </c>
      <c r="B4932" s="2" t="s">
        <v>46</v>
      </c>
      <c r="C4932" s="4">
        <v>45843.25</v>
      </c>
      <c r="D4932" s="4">
        <v>45843.250583541667</v>
      </c>
      <c r="E4932" s="2">
        <v>2.9</v>
      </c>
      <c r="F4932" s="2">
        <v>58.7</v>
      </c>
      <c r="G4932" s="2" t="s">
        <v>983</v>
      </c>
      <c r="H4932" s="2" t="s">
        <v>984</v>
      </c>
      <c r="I4932" s="2"/>
      <c r="J4932" s="2" t="s">
        <v>46</v>
      </c>
    </row>
    <row r="4933" spans="1:10" ht="21" customHeight="1">
      <c r="A4933" s="2" t="s">
        <v>5933</v>
      </c>
      <c r="B4933" s="2" t="s">
        <v>46</v>
      </c>
      <c r="C4933" s="4">
        <v>45844.25</v>
      </c>
      <c r="D4933" s="4">
        <v>45844.250265486116</v>
      </c>
      <c r="E4933" s="2">
        <v>3.19</v>
      </c>
      <c r="F4933" s="2">
        <v>64.099999999999994</v>
      </c>
      <c r="G4933" s="2" t="s">
        <v>983</v>
      </c>
      <c r="H4933" s="2" t="s">
        <v>984</v>
      </c>
      <c r="I4933" s="2"/>
      <c r="J4933" s="2" t="s">
        <v>46</v>
      </c>
    </row>
    <row r="4934" spans="1:10" ht="21" customHeight="1">
      <c r="A4934" s="2" t="s">
        <v>5934</v>
      </c>
      <c r="B4934" s="2" t="s">
        <v>46</v>
      </c>
      <c r="C4934" s="4">
        <v>45845.25</v>
      </c>
      <c r="D4934" s="4">
        <v>45845.250356805554</v>
      </c>
      <c r="E4934" s="2">
        <v>3.17</v>
      </c>
      <c r="F4934" s="2">
        <v>62.3</v>
      </c>
      <c r="G4934" s="2" t="s">
        <v>983</v>
      </c>
      <c r="H4934" s="2" t="s">
        <v>984</v>
      </c>
      <c r="I4934" s="2" t="s">
        <v>985</v>
      </c>
      <c r="J4934" s="2" t="s">
        <v>46</v>
      </c>
    </row>
    <row r="4935" spans="1:10" ht="21" customHeight="1">
      <c r="A4935" s="2" t="s">
        <v>5935</v>
      </c>
      <c r="B4935" s="2" t="s">
        <v>46</v>
      </c>
      <c r="C4935" s="4">
        <v>45846.25</v>
      </c>
      <c r="D4935" s="4">
        <v>45846.250027060189</v>
      </c>
      <c r="E4935" s="2">
        <v>2.5499999999999998</v>
      </c>
      <c r="F4935" s="2">
        <v>65.400000000000006</v>
      </c>
      <c r="G4935" s="2" t="s">
        <v>983</v>
      </c>
      <c r="H4935" s="2" t="s">
        <v>984</v>
      </c>
      <c r="I4935" s="2"/>
      <c r="J4935" s="2" t="s">
        <v>46</v>
      </c>
    </row>
    <row r="4936" spans="1:10" ht="21" customHeight="1">
      <c r="A4936" s="2" t="s">
        <v>5936</v>
      </c>
      <c r="B4936" s="2" t="s">
        <v>46</v>
      </c>
      <c r="C4936" s="4">
        <v>45847.25</v>
      </c>
      <c r="D4936" s="4">
        <v>45847.250090578702</v>
      </c>
      <c r="E4936" s="2">
        <v>2.36</v>
      </c>
      <c r="F4936" s="2">
        <v>58.5</v>
      </c>
      <c r="G4936" s="2" t="s">
        <v>983</v>
      </c>
      <c r="H4936" s="2" t="s">
        <v>984</v>
      </c>
      <c r="I4936" s="2"/>
      <c r="J4936" s="2" t="s">
        <v>46</v>
      </c>
    </row>
    <row r="4937" spans="1:10" ht="21" customHeight="1">
      <c r="A4937" s="2" t="s">
        <v>5937</v>
      </c>
      <c r="B4937" s="2" t="s">
        <v>46</v>
      </c>
      <c r="C4937" s="4">
        <v>45848.25</v>
      </c>
      <c r="D4937" s="4">
        <v>45848.250577673607</v>
      </c>
      <c r="E4937" s="2">
        <v>2.17</v>
      </c>
      <c r="F4937" s="2">
        <v>65.5</v>
      </c>
      <c r="G4937" s="2" t="s">
        <v>983</v>
      </c>
      <c r="H4937" s="2" t="s">
        <v>984</v>
      </c>
      <c r="I4937" s="2"/>
      <c r="J4937" s="2" t="s">
        <v>46</v>
      </c>
    </row>
    <row r="4938" spans="1:10" ht="21" customHeight="1">
      <c r="A4938" s="2" t="s">
        <v>5938</v>
      </c>
      <c r="B4938" s="2" t="s">
        <v>46</v>
      </c>
      <c r="C4938" s="4">
        <v>45849.25</v>
      </c>
      <c r="D4938" s="4">
        <v>45849.250009537034</v>
      </c>
      <c r="E4938" s="2">
        <v>2.5499999999999998</v>
      </c>
      <c r="F4938" s="2">
        <v>63</v>
      </c>
      <c r="G4938" s="2" t="s">
        <v>983</v>
      </c>
      <c r="H4938" s="2" t="s">
        <v>984</v>
      </c>
      <c r="I4938" s="2"/>
      <c r="J4938" s="2" t="s">
        <v>46</v>
      </c>
    </row>
    <row r="4939" spans="1:10" ht="21" customHeight="1">
      <c r="A4939" s="2" t="s">
        <v>5939</v>
      </c>
      <c r="B4939" s="2" t="s">
        <v>46</v>
      </c>
      <c r="C4939" s="4">
        <v>45850.25</v>
      </c>
      <c r="D4939" s="4">
        <v>45850.250331967589</v>
      </c>
      <c r="E4939" s="2"/>
      <c r="F4939" s="2"/>
      <c r="G4939" s="2" t="s">
        <v>983</v>
      </c>
      <c r="H4939" s="2" t="s">
        <v>1066</v>
      </c>
      <c r="I4939" s="2"/>
      <c r="J4939" s="2" t="s">
        <v>46</v>
      </c>
    </row>
    <row r="4940" spans="1:10" ht="21" customHeight="1">
      <c r="A4940" s="2" t="s">
        <v>5940</v>
      </c>
      <c r="B4940" s="2" t="s">
        <v>46</v>
      </c>
      <c r="C4940" s="4">
        <v>45851.25</v>
      </c>
      <c r="D4940" s="4">
        <v>45851.250597546299</v>
      </c>
      <c r="E4940" s="2">
        <v>3.23</v>
      </c>
      <c r="F4940" s="2">
        <v>63.9</v>
      </c>
      <c r="G4940" s="2" t="s">
        <v>983</v>
      </c>
      <c r="H4940" s="2" t="s">
        <v>984</v>
      </c>
      <c r="I4940" s="2"/>
      <c r="J4940" s="2" t="s">
        <v>46</v>
      </c>
    </row>
    <row r="4941" spans="1:10" ht="21" customHeight="1">
      <c r="A4941" s="2" t="s">
        <v>5941</v>
      </c>
      <c r="B4941" s="2" t="s">
        <v>46</v>
      </c>
      <c r="C4941" s="4">
        <v>45852.25</v>
      </c>
      <c r="D4941" s="4">
        <v>45852.25028133102</v>
      </c>
      <c r="E4941" s="2">
        <v>3.11</v>
      </c>
      <c r="F4941" s="2">
        <v>59.5</v>
      </c>
      <c r="G4941" s="2" t="s">
        <v>983</v>
      </c>
      <c r="H4941" s="2" t="s">
        <v>984</v>
      </c>
      <c r="I4941" s="2"/>
      <c r="J4941" s="2" t="s">
        <v>46</v>
      </c>
    </row>
    <row r="4942" spans="1:10" ht="21" customHeight="1">
      <c r="A4942" s="2" t="s">
        <v>5942</v>
      </c>
      <c r="B4942" s="2" t="s">
        <v>46</v>
      </c>
      <c r="C4942" s="4">
        <v>45853.25</v>
      </c>
      <c r="D4942" s="4">
        <v>45853.250463136574</v>
      </c>
      <c r="E4942" s="2">
        <v>2.2400000000000002</v>
      </c>
      <c r="F4942" s="2">
        <v>59.3</v>
      </c>
      <c r="G4942" s="2" t="s">
        <v>983</v>
      </c>
      <c r="H4942" s="2" t="s">
        <v>984</v>
      </c>
      <c r="I4942" s="2"/>
      <c r="J4942" s="2" t="s">
        <v>46</v>
      </c>
    </row>
    <row r="4943" spans="1:10" ht="21" customHeight="1">
      <c r="A4943" s="2" t="s">
        <v>5943</v>
      </c>
      <c r="B4943" s="2" t="s">
        <v>46</v>
      </c>
      <c r="C4943" s="4">
        <v>45854.25</v>
      </c>
      <c r="D4943" s="4">
        <v>45854.250010706019</v>
      </c>
      <c r="E4943" s="2">
        <v>2.46</v>
      </c>
      <c r="F4943" s="2">
        <v>64.099999999999994</v>
      </c>
      <c r="G4943" s="2" t="s">
        <v>983</v>
      </c>
      <c r="H4943" s="2" t="s">
        <v>984</v>
      </c>
      <c r="I4943" s="2"/>
      <c r="J4943" s="2" t="s">
        <v>46</v>
      </c>
    </row>
    <row r="4944" spans="1:10" ht="21" customHeight="1">
      <c r="A4944" s="2" t="s">
        <v>5944</v>
      </c>
      <c r="B4944" s="2" t="s">
        <v>46</v>
      </c>
      <c r="C4944" s="4">
        <v>45855.25</v>
      </c>
      <c r="D4944" s="4">
        <v>45855.250588043986</v>
      </c>
      <c r="E4944" s="2">
        <v>3.18</v>
      </c>
      <c r="F4944" s="2">
        <v>59.1</v>
      </c>
      <c r="G4944" s="2" t="s">
        <v>983</v>
      </c>
      <c r="H4944" s="2" t="s">
        <v>984</v>
      </c>
      <c r="I4944" s="2"/>
      <c r="J4944" s="2" t="s">
        <v>46</v>
      </c>
    </row>
    <row r="4945" spans="1:10" ht="21" customHeight="1">
      <c r="A4945" s="2" t="s">
        <v>5945</v>
      </c>
      <c r="B4945" s="2" t="s">
        <v>46</v>
      </c>
      <c r="C4945" s="4">
        <v>45856.25</v>
      </c>
      <c r="D4945" s="4">
        <v>45856.250287881943</v>
      </c>
      <c r="E4945" s="2">
        <v>3.28</v>
      </c>
      <c r="F4945" s="2">
        <v>65</v>
      </c>
      <c r="G4945" s="2" t="s">
        <v>983</v>
      </c>
      <c r="H4945" s="2" t="s">
        <v>984</v>
      </c>
      <c r="I4945" s="2"/>
      <c r="J4945" s="2" t="s">
        <v>46</v>
      </c>
    </row>
    <row r="4946" spans="1:10" ht="21" customHeight="1">
      <c r="A4946" s="2" t="s">
        <v>5946</v>
      </c>
      <c r="B4946" s="2" t="s">
        <v>46</v>
      </c>
      <c r="C4946" s="4">
        <v>45857.25</v>
      </c>
      <c r="D4946" s="4">
        <v>45857.250377824079</v>
      </c>
      <c r="E4946" s="2">
        <v>3.06</v>
      </c>
      <c r="F4946" s="2">
        <v>64.900000000000006</v>
      </c>
      <c r="G4946" s="2" t="s">
        <v>983</v>
      </c>
      <c r="H4946" s="2" t="s">
        <v>984</v>
      </c>
      <c r="I4946" s="2"/>
      <c r="J4946" s="2" t="s">
        <v>46</v>
      </c>
    </row>
    <row r="4947" spans="1:10" ht="21" customHeight="1">
      <c r="A4947" s="2" t="s">
        <v>5947</v>
      </c>
      <c r="B4947" s="2" t="s">
        <v>46</v>
      </c>
      <c r="C4947" s="4">
        <v>45858.25</v>
      </c>
      <c r="D4947" s="4">
        <v>45858.250127210646</v>
      </c>
      <c r="E4947" s="2">
        <v>2.68</v>
      </c>
      <c r="F4947" s="2">
        <v>64.3</v>
      </c>
      <c r="G4947" s="2" t="s">
        <v>983</v>
      </c>
      <c r="H4947" s="2" t="s">
        <v>984</v>
      </c>
      <c r="I4947" s="2"/>
      <c r="J4947" s="2" t="s">
        <v>46</v>
      </c>
    </row>
    <row r="4948" spans="1:10" ht="21" customHeight="1">
      <c r="A4948" s="2" t="s">
        <v>5948</v>
      </c>
      <c r="B4948" s="2" t="s">
        <v>46</v>
      </c>
      <c r="C4948" s="4">
        <v>45859.25</v>
      </c>
      <c r="D4948" s="4">
        <v>45859.250179594907</v>
      </c>
      <c r="E4948" s="2">
        <v>3.14</v>
      </c>
      <c r="F4948" s="2">
        <v>61.9</v>
      </c>
      <c r="G4948" s="2" t="s">
        <v>983</v>
      </c>
      <c r="H4948" s="2" t="s">
        <v>984</v>
      </c>
      <c r="I4948" s="2"/>
      <c r="J4948" s="2" t="s">
        <v>46</v>
      </c>
    </row>
    <row r="4949" spans="1:10" ht="21" customHeight="1">
      <c r="A4949" s="2" t="s">
        <v>5949</v>
      </c>
      <c r="B4949" s="2" t="s">
        <v>46</v>
      </c>
      <c r="C4949" s="4">
        <v>45860.25</v>
      </c>
      <c r="D4949" s="4">
        <v>45860.250275937498</v>
      </c>
      <c r="E4949" s="2">
        <v>2.11</v>
      </c>
      <c r="F4949" s="2">
        <v>61.3</v>
      </c>
      <c r="G4949" s="2" t="s">
        <v>983</v>
      </c>
      <c r="H4949" s="2" t="s">
        <v>984</v>
      </c>
      <c r="I4949" s="2"/>
      <c r="J4949" s="2" t="s">
        <v>46</v>
      </c>
    </row>
    <row r="4950" spans="1:10" ht="21" customHeight="1">
      <c r="A4950" s="2" t="s">
        <v>5950</v>
      </c>
      <c r="B4950" s="2" t="s">
        <v>46</v>
      </c>
      <c r="C4950" s="4">
        <v>45861.25</v>
      </c>
      <c r="D4950" s="4">
        <v>45861.250082245373</v>
      </c>
      <c r="E4950" s="2">
        <v>2.8</v>
      </c>
      <c r="F4950" s="2">
        <v>60.7</v>
      </c>
      <c r="G4950" s="2" t="s">
        <v>983</v>
      </c>
      <c r="H4950" s="2" t="s">
        <v>984</v>
      </c>
      <c r="I4950" s="2"/>
      <c r="J4950" s="2" t="s">
        <v>46</v>
      </c>
    </row>
    <row r="4951" spans="1:10" ht="21" customHeight="1">
      <c r="A4951" s="2" t="s">
        <v>5951</v>
      </c>
      <c r="B4951" s="2" t="s">
        <v>46</v>
      </c>
      <c r="C4951" s="4">
        <v>45862.25</v>
      </c>
      <c r="D4951" s="4">
        <v>45862.250120775461</v>
      </c>
      <c r="E4951" s="2">
        <v>2.46</v>
      </c>
      <c r="F4951" s="2">
        <v>59.8</v>
      </c>
      <c r="G4951" s="2" t="s">
        <v>983</v>
      </c>
      <c r="H4951" s="2" t="s">
        <v>984</v>
      </c>
      <c r="I4951" s="2" t="s">
        <v>985</v>
      </c>
      <c r="J4951" s="2" t="s">
        <v>46</v>
      </c>
    </row>
    <row r="4952" spans="1:10" ht="21" customHeight="1">
      <c r="A4952" s="2" t="s">
        <v>5952</v>
      </c>
      <c r="B4952" s="2" t="s">
        <v>46</v>
      </c>
      <c r="C4952" s="4">
        <v>45863.25</v>
      </c>
      <c r="D4952" s="4">
        <v>45863.250528865741</v>
      </c>
      <c r="E4952" s="2">
        <v>2.38</v>
      </c>
      <c r="F4952" s="2">
        <v>62.4</v>
      </c>
      <c r="G4952" s="2" t="s">
        <v>983</v>
      </c>
      <c r="H4952" s="2" t="s">
        <v>984</v>
      </c>
      <c r="I4952" s="2"/>
      <c r="J4952" s="2" t="s">
        <v>46</v>
      </c>
    </row>
    <row r="4953" spans="1:10" ht="21" customHeight="1">
      <c r="A4953" s="2" t="s">
        <v>5953</v>
      </c>
      <c r="B4953" s="2" t="s">
        <v>46</v>
      </c>
      <c r="C4953" s="4">
        <v>45864.25</v>
      </c>
      <c r="D4953" s="4">
        <v>45864.250414282404</v>
      </c>
      <c r="E4953" s="2"/>
      <c r="F4953" s="2"/>
      <c r="G4953" s="2" t="s">
        <v>983</v>
      </c>
      <c r="H4953" s="2" t="s">
        <v>1066</v>
      </c>
      <c r="I4953" s="2"/>
      <c r="J4953" s="2" t="s">
        <v>46</v>
      </c>
    </row>
    <row r="4954" spans="1:10" ht="21" customHeight="1">
      <c r="A4954" s="2" t="s">
        <v>5954</v>
      </c>
      <c r="B4954" s="2" t="s">
        <v>46</v>
      </c>
      <c r="C4954" s="4">
        <v>45865.25</v>
      </c>
      <c r="D4954" s="4">
        <v>45865.250450127314</v>
      </c>
      <c r="E4954" s="2">
        <v>2.2999999999999998</v>
      </c>
      <c r="F4954" s="2">
        <v>64.400000000000006</v>
      </c>
      <c r="G4954" s="2" t="s">
        <v>983</v>
      </c>
      <c r="H4954" s="2" t="s">
        <v>984</v>
      </c>
      <c r="I4954" s="2"/>
      <c r="J4954" s="2" t="s">
        <v>46</v>
      </c>
    </row>
    <row r="4955" spans="1:10" ht="21" customHeight="1">
      <c r="A4955" s="2" t="s">
        <v>5955</v>
      </c>
      <c r="B4955" s="2" t="s">
        <v>46</v>
      </c>
      <c r="C4955" s="4">
        <v>45866.25</v>
      </c>
      <c r="D4955" s="4">
        <v>45866.250366319444</v>
      </c>
      <c r="E4955" s="2">
        <v>2.4</v>
      </c>
      <c r="F4955" s="2">
        <v>64.400000000000006</v>
      </c>
      <c r="G4955" s="2" t="s">
        <v>983</v>
      </c>
      <c r="H4955" s="2" t="s">
        <v>984</v>
      </c>
      <c r="I4955" s="2"/>
      <c r="J4955" s="2" t="s">
        <v>46</v>
      </c>
    </row>
    <row r="4956" spans="1:10" ht="21" customHeight="1">
      <c r="A4956" s="2" t="s">
        <v>5956</v>
      </c>
      <c r="B4956" s="2" t="s">
        <v>46</v>
      </c>
      <c r="C4956" s="4">
        <v>45867.25</v>
      </c>
      <c r="D4956" s="4">
        <v>45867.250012326389</v>
      </c>
      <c r="E4956" s="2"/>
      <c r="F4956" s="2"/>
      <c r="G4956" s="2" t="s">
        <v>983</v>
      </c>
      <c r="H4956" s="2" t="s">
        <v>1066</v>
      </c>
      <c r="I4956" s="2"/>
      <c r="J4956" s="2" t="s">
        <v>46</v>
      </c>
    </row>
    <row r="4957" spans="1:10" ht="21" customHeight="1">
      <c r="A4957" s="2" t="s">
        <v>5957</v>
      </c>
      <c r="B4957" s="2" t="s">
        <v>46</v>
      </c>
      <c r="C4957" s="4">
        <v>45868.25</v>
      </c>
      <c r="D4957" s="4">
        <v>45868.250411053239</v>
      </c>
      <c r="E4957" s="2">
        <v>2.69</v>
      </c>
      <c r="F4957" s="2">
        <v>61.7</v>
      </c>
      <c r="G4957" s="2" t="s">
        <v>983</v>
      </c>
      <c r="H4957" s="2" t="s">
        <v>984</v>
      </c>
      <c r="I4957" s="2"/>
      <c r="J4957" s="2" t="s">
        <v>46</v>
      </c>
    </row>
    <row r="4958" spans="1:10" ht="21" customHeight="1">
      <c r="A4958" s="2" t="s">
        <v>5958</v>
      </c>
      <c r="B4958" s="2" t="s">
        <v>46</v>
      </c>
      <c r="C4958" s="4">
        <v>45869.25</v>
      </c>
      <c r="D4958" s="4">
        <v>45869.250315451391</v>
      </c>
      <c r="E4958" s="2">
        <v>2.12</v>
      </c>
      <c r="F4958" s="2">
        <v>63.1</v>
      </c>
      <c r="G4958" s="2" t="s">
        <v>983</v>
      </c>
      <c r="H4958" s="2" t="s">
        <v>984</v>
      </c>
      <c r="I4958" s="2"/>
      <c r="J4958" s="2" t="s">
        <v>46</v>
      </c>
    </row>
    <row r="4959" spans="1:10" ht="21" customHeight="1">
      <c r="A4959" s="2" t="s">
        <v>5959</v>
      </c>
      <c r="B4959" s="2" t="s">
        <v>46</v>
      </c>
      <c r="C4959" s="4">
        <v>45870.25</v>
      </c>
      <c r="D4959" s="4">
        <v>45870.250069594906</v>
      </c>
      <c r="E4959" s="2">
        <v>2.54</v>
      </c>
      <c r="F4959" s="2">
        <v>62.8</v>
      </c>
      <c r="G4959" s="2" t="s">
        <v>983</v>
      </c>
      <c r="H4959" s="2" t="s">
        <v>984</v>
      </c>
      <c r="I4959" s="2"/>
      <c r="J4959" s="2" t="s">
        <v>46</v>
      </c>
    </row>
    <row r="4960" spans="1:10" ht="21" customHeight="1">
      <c r="A4960" s="2" t="s">
        <v>5960</v>
      </c>
      <c r="B4960" s="2" t="s">
        <v>46</v>
      </c>
      <c r="C4960" s="4">
        <v>45871.25</v>
      </c>
      <c r="D4960" s="4">
        <v>45871.250300590276</v>
      </c>
      <c r="E4960" s="2">
        <v>2.2400000000000002</v>
      </c>
      <c r="F4960" s="2">
        <v>64.099999999999994</v>
      </c>
      <c r="G4960" s="2" t="s">
        <v>983</v>
      </c>
      <c r="H4960" s="2" t="s">
        <v>984</v>
      </c>
      <c r="I4960" s="2"/>
      <c r="J4960" s="2" t="s">
        <v>46</v>
      </c>
    </row>
    <row r="4961" spans="1:10" ht="21" customHeight="1">
      <c r="A4961" s="2" t="s">
        <v>5961</v>
      </c>
      <c r="B4961" s="2" t="s">
        <v>46</v>
      </c>
      <c r="C4961" s="4">
        <v>45872.25</v>
      </c>
      <c r="D4961" s="4">
        <v>45872.250630509254</v>
      </c>
      <c r="E4961" s="2">
        <v>2.39</v>
      </c>
      <c r="F4961" s="2">
        <v>65.7</v>
      </c>
      <c r="G4961" s="2" t="s">
        <v>983</v>
      </c>
      <c r="H4961" s="2" t="s">
        <v>984</v>
      </c>
      <c r="I4961" s="2"/>
      <c r="J4961" s="2" t="s">
        <v>46</v>
      </c>
    </row>
    <row r="4962" spans="1:10" ht="21" customHeight="1">
      <c r="A4962" s="2" t="s">
        <v>5962</v>
      </c>
      <c r="B4962" s="2" t="s">
        <v>46</v>
      </c>
      <c r="C4962" s="4">
        <v>45873.25</v>
      </c>
      <c r="D4962" s="4">
        <v>45873.2500759838</v>
      </c>
      <c r="E4962" s="2">
        <v>3.16</v>
      </c>
      <c r="F4962" s="2">
        <v>65.8</v>
      </c>
      <c r="G4962" s="2" t="s">
        <v>983</v>
      </c>
      <c r="H4962" s="2" t="s">
        <v>984</v>
      </c>
      <c r="I4962" s="2"/>
      <c r="J4962" s="2" t="s">
        <v>46</v>
      </c>
    </row>
    <row r="4963" spans="1:10" ht="21" customHeight="1">
      <c r="A4963" s="2" t="s">
        <v>5963</v>
      </c>
      <c r="B4963" s="2" t="s">
        <v>5758</v>
      </c>
      <c r="C4963" s="4">
        <v>45874.25</v>
      </c>
      <c r="D4963" s="4">
        <v>45874.250534120365</v>
      </c>
      <c r="E4963" s="2">
        <v>2.21</v>
      </c>
      <c r="F4963" s="2">
        <v>59.2</v>
      </c>
      <c r="G4963" s="2" t="s">
        <v>983</v>
      </c>
      <c r="H4963" s="2" t="s">
        <v>984</v>
      </c>
      <c r="I4963" s="2"/>
      <c r="J4963" s="2" t="s">
        <v>46</v>
      </c>
    </row>
    <row r="4964" spans="1:10" ht="21" customHeight="1">
      <c r="A4964" s="2" t="s">
        <v>5964</v>
      </c>
      <c r="B4964" s="2" t="s">
        <v>46</v>
      </c>
      <c r="C4964" s="4">
        <v>45875.25</v>
      </c>
      <c r="D4964" s="4">
        <v>45875.250202106487</v>
      </c>
      <c r="E4964" s="2">
        <v>3.22</v>
      </c>
      <c r="F4964" s="2">
        <v>65.5</v>
      </c>
      <c r="G4964" s="2" t="s">
        <v>983</v>
      </c>
      <c r="H4964" s="2" t="s">
        <v>984</v>
      </c>
      <c r="I4964" s="2"/>
      <c r="J4964" s="2" t="s">
        <v>46</v>
      </c>
    </row>
    <row r="4965" spans="1:10" ht="21" customHeight="1">
      <c r="A4965" s="2" t="s">
        <v>5965</v>
      </c>
      <c r="B4965" s="2" t="s">
        <v>46</v>
      </c>
      <c r="C4965" s="4">
        <v>45876.25</v>
      </c>
      <c r="D4965" s="4">
        <v>45876.250470717598</v>
      </c>
      <c r="E4965" s="2">
        <v>2.5499999999999998</v>
      </c>
      <c r="F4965" s="2">
        <v>61.8</v>
      </c>
      <c r="G4965" s="2" t="s">
        <v>983</v>
      </c>
      <c r="H4965" s="2" t="s">
        <v>984</v>
      </c>
      <c r="I4965" s="2"/>
      <c r="J4965" s="2" t="s">
        <v>46</v>
      </c>
    </row>
    <row r="4966" spans="1:10" ht="21" customHeight="1">
      <c r="A4966" s="2" t="s">
        <v>5966</v>
      </c>
      <c r="B4966" s="2" t="s">
        <v>46</v>
      </c>
      <c r="C4966" s="4">
        <v>45877.25</v>
      </c>
      <c r="D4966" s="4">
        <v>45877.250558356478</v>
      </c>
      <c r="E4966" s="2">
        <v>2.89</v>
      </c>
      <c r="F4966" s="2">
        <v>59.8</v>
      </c>
      <c r="G4966" s="2" t="s">
        <v>983</v>
      </c>
      <c r="H4966" s="2" t="s">
        <v>984</v>
      </c>
      <c r="I4966" s="2"/>
      <c r="J4966" s="2" t="s">
        <v>46</v>
      </c>
    </row>
    <row r="4967" spans="1:10" ht="21" customHeight="1">
      <c r="A4967" s="2" t="s">
        <v>5967</v>
      </c>
      <c r="B4967" s="2" t="s">
        <v>46</v>
      </c>
      <c r="C4967" s="4">
        <v>45878.25</v>
      </c>
      <c r="D4967" s="4">
        <v>45878.250399305558</v>
      </c>
      <c r="E4967" s="2">
        <v>2.17</v>
      </c>
      <c r="F4967" s="2">
        <v>60.3</v>
      </c>
      <c r="G4967" s="2" t="s">
        <v>983</v>
      </c>
      <c r="H4967" s="2" t="s">
        <v>984</v>
      </c>
      <c r="I4967" s="2"/>
      <c r="J4967" s="2" t="s">
        <v>46</v>
      </c>
    </row>
    <row r="4968" spans="1:10" ht="21" customHeight="1">
      <c r="A4968" s="2" t="s">
        <v>5968</v>
      </c>
      <c r="B4968" s="2" t="s">
        <v>46</v>
      </c>
      <c r="C4968" s="4">
        <v>45879.25</v>
      </c>
      <c r="D4968" s="4">
        <v>45879.250463912038</v>
      </c>
      <c r="E4968" s="2">
        <v>2.4900000000000002</v>
      </c>
      <c r="F4968" s="2">
        <v>59.4</v>
      </c>
      <c r="G4968" s="2" t="s">
        <v>983</v>
      </c>
      <c r="H4968" s="2" t="s">
        <v>984</v>
      </c>
      <c r="I4968" s="2" t="s">
        <v>985</v>
      </c>
      <c r="J4968" s="2" t="s">
        <v>46</v>
      </c>
    </row>
    <row r="4969" spans="1:10" ht="21" customHeight="1">
      <c r="A4969" s="2" t="s">
        <v>5969</v>
      </c>
      <c r="B4969" s="2" t="s">
        <v>46</v>
      </c>
      <c r="C4969" s="4">
        <v>45880.25</v>
      </c>
      <c r="D4969" s="4">
        <v>45880.250480034723</v>
      </c>
      <c r="E4969" s="2"/>
      <c r="F4969" s="2"/>
      <c r="G4969" s="2" t="s">
        <v>983</v>
      </c>
      <c r="H4969" s="2" t="s">
        <v>1066</v>
      </c>
      <c r="I4969" s="2"/>
      <c r="J4969" s="2" t="s">
        <v>46</v>
      </c>
    </row>
    <row r="4970" spans="1:10" ht="21" customHeight="1">
      <c r="A4970" s="2" t="s">
        <v>5970</v>
      </c>
      <c r="B4970" s="2" t="s">
        <v>46</v>
      </c>
      <c r="C4970" s="4">
        <v>45881.25</v>
      </c>
      <c r="D4970" s="4">
        <v>45881.250280717592</v>
      </c>
      <c r="E4970" s="2">
        <v>2.25</v>
      </c>
      <c r="F4970" s="2">
        <v>59.2</v>
      </c>
      <c r="G4970" s="2" t="s">
        <v>983</v>
      </c>
      <c r="H4970" s="2" t="s">
        <v>984</v>
      </c>
      <c r="I4970" s="2"/>
      <c r="J4970" s="2" t="s">
        <v>46</v>
      </c>
    </row>
    <row r="4971" spans="1:10" ht="21" customHeight="1">
      <c r="A4971" s="2" t="s">
        <v>5971</v>
      </c>
      <c r="B4971" s="2" t="s">
        <v>46</v>
      </c>
      <c r="C4971" s="4">
        <v>45882.25</v>
      </c>
      <c r="D4971" s="4">
        <v>45882.250178240742</v>
      </c>
      <c r="E4971" s="2">
        <v>3.07</v>
      </c>
      <c r="F4971" s="2">
        <v>64.2</v>
      </c>
      <c r="G4971" s="2" t="s">
        <v>983</v>
      </c>
      <c r="H4971" s="2" t="s">
        <v>984</v>
      </c>
      <c r="I4971" s="2"/>
      <c r="J4971" s="2" t="s">
        <v>46</v>
      </c>
    </row>
    <row r="4972" spans="1:10" ht="21" customHeight="1">
      <c r="A4972" s="2" t="s">
        <v>5972</v>
      </c>
      <c r="B4972" s="2" t="s">
        <v>46</v>
      </c>
      <c r="C4972" s="4">
        <v>45883.25</v>
      </c>
      <c r="D4972" s="4">
        <v>45883.250530034726</v>
      </c>
      <c r="E4972" s="2">
        <v>3.07</v>
      </c>
      <c r="F4972" s="2">
        <v>61.6</v>
      </c>
      <c r="G4972" s="2" t="s">
        <v>983</v>
      </c>
      <c r="H4972" s="2" t="s">
        <v>984</v>
      </c>
      <c r="I4972" s="2"/>
      <c r="J4972" s="2" t="s">
        <v>46</v>
      </c>
    </row>
    <row r="4973" spans="1:10" ht="21" customHeight="1">
      <c r="A4973" s="2" t="s">
        <v>5973</v>
      </c>
      <c r="B4973" s="2" t="s">
        <v>46</v>
      </c>
      <c r="C4973" s="4">
        <v>45884.25</v>
      </c>
      <c r="D4973" s="4">
        <v>45884.250280381944</v>
      </c>
      <c r="E4973" s="2">
        <v>2.98</v>
      </c>
      <c r="F4973" s="2">
        <v>62.6</v>
      </c>
      <c r="G4973" s="2" t="s">
        <v>983</v>
      </c>
      <c r="H4973" s="2" t="s">
        <v>984</v>
      </c>
      <c r="I4973" s="2"/>
      <c r="J4973" s="2" t="s">
        <v>46</v>
      </c>
    </row>
    <row r="4974" spans="1:10" ht="21" customHeight="1">
      <c r="A4974" s="2" t="s">
        <v>5974</v>
      </c>
      <c r="B4974" s="2" t="s">
        <v>46</v>
      </c>
      <c r="C4974" s="4">
        <v>45885.25</v>
      </c>
      <c r="D4974" s="4">
        <v>45885.250672314811</v>
      </c>
      <c r="E4974" s="2">
        <v>2.4300000000000002</v>
      </c>
      <c r="F4974" s="2">
        <v>64.8</v>
      </c>
      <c r="G4974" s="2" t="s">
        <v>983</v>
      </c>
      <c r="H4974" s="2" t="s">
        <v>984</v>
      </c>
      <c r="I4974" s="2"/>
      <c r="J4974" s="2" t="s">
        <v>46</v>
      </c>
    </row>
    <row r="4975" spans="1:10" ht="21" customHeight="1">
      <c r="A4975" s="2" t="s">
        <v>5975</v>
      </c>
      <c r="B4975" s="2" t="s">
        <v>46</v>
      </c>
      <c r="C4975" s="4">
        <v>45886.25</v>
      </c>
      <c r="D4975" s="4">
        <v>45886.250264166665</v>
      </c>
      <c r="E4975" s="2">
        <v>3.29</v>
      </c>
      <c r="F4975" s="2">
        <v>62.7</v>
      </c>
      <c r="G4975" s="2" t="s">
        <v>983</v>
      </c>
      <c r="H4975" s="2" t="s">
        <v>984</v>
      </c>
      <c r="I4975" s="2"/>
      <c r="J4975" s="2" t="s">
        <v>46</v>
      </c>
    </row>
    <row r="4976" spans="1:10" ht="21" customHeight="1">
      <c r="A4976" s="2" t="s">
        <v>5976</v>
      </c>
      <c r="B4976" s="2" t="s">
        <v>46</v>
      </c>
      <c r="C4976" s="4">
        <v>45887.25</v>
      </c>
      <c r="D4976" s="4">
        <v>45887.250375995369</v>
      </c>
      <c r="E4976" s="2">
        <v>3.11</v>
      </c>
      <c r="F4976" s="2">
        <v>60.5</v>
      </c>
      <c r="G4976" s="2" t="s">
        <v>983</v>
      </c>
      <c r="H4976" s="2" t="s">
        <v>984</v>
      </c>
      <c r="I4976" s="2"/>
      <c r="J4976" s="2" t="s">
        <v>46</v>
      </c>
    </row>
    <row r="4977" spans="1:10" ht="21" customHeight="1">
      <c r="A4977" s="2" t="s">
        <v>5977</v>
      </c>
      <c r="B4977" s="2" t="s">
        <v>46</v>
      </c>
      <c r="C4977" s="4">
        <v>45888.25</v>
      </c>
      <c r="D4977" s="4">
        <v>45888.250511458333</v>
      </c>
      <c r="E4977" s="2">
        <v>2.83</v>
      </c>
      <c r="F4977" s="2">
        <v>59</v>
      </c>
      <c r="G4977" s="2" t="s">
        <v>983</v>
      </c>
      <c r="H4977" s="2" t="s">
        <v>984</v>
      </c>
      <c r="I4977" s="2"/>
      <c r="J4977" s="2" t="s">
        <v>46</v>
      </c>
    </row>
    <row r="4978" spans="1:10" ht="21" customHeight="1">
      <c r="A4978" s="2" t="s">
        <v>5978</v>
      </c>
      <c r="B4978" s="2" t="s">
        <v>46</v>
      </c>
      <c r="C4978" s="4">
        <v>45889.25</v>
      </c>
      <c r="D4978" s="4">
        <v>45889.250510787038</v>
      </c>
      <c r="E4978" s="2">
        <v>2.23</v>
      </c>
      <c r="F4978" s="2">
        <v>65.3</v>
      </c>
      <c r="G4978" s="2" t="s">
        <v>983</v>
      </c>
      <c r="H4978" s="2" t="s">
        <v>984</v>
      </c>
      <c r="I4978" s="2"/>
      <c r="J4978" s="2" t="s">
        <v>46</v>
      </c>
    </row>
    <row r="4979" spans="1:10" ht="21" customHeight="1">
      <c r="A4979" s="2" t="s">
        <v>5979</v>
      </c>
      <c r="B4979" s="2" t="s">
        <v>46</v>
      </c>
      <c r="C4979" s="4">
        <v>45890.25</v>
      </c>
      <c r="D4979" s="4">
        <v>45890.250358958336</v>
      </c>
      <c r="E4979" s="2">
        <v>2.81</v>
      </c>
      <c r="F4979" s="2">
        <v>60.8</v>
      </c>
      <c r="G4979" s="2" t="s">
        <v>983</v>
      </c>
      <c r="H4979" s="2" t="s">
        <v>984</v>
      </c>
      <c r="I4979" s="2"/>
      <c r="J4979" s="2" t="s">
        <v>46</v>
      </c>
    </row>
    <row r="4980" spans="1:10" ht="21" customHeight="1">
      <c r="A4980" s="2" t="s">
        <v>5980</v>
      </c>
      <c r="B4980" s="2" t="s">
        <v>46</v>
      </c>
      <c r="C4980" s="4">
        <v>45891.25</v>
      </c>
      <c r="D4980" s="4">
        <v>45891.250572581019</v>
      </c>
      <c r="E4980" s="2">
        <v>3.24</v>
      </c>
      <c r="F4980" s="2">
        <v>62.7</v>
      </c>
      <c r="G4980" s="2" t="s">
        <v>983</v>
      </c>
      <c r="H4980" s="2" t="s">
        <v>984</v>
      </c>
      <c r="I4980" s="2"/>
      <c r="J4980" s="2" t="s">
        <v>46</v>
      </c>
    </row>
    <row r="4981" spans="1:10" ht="21" customHeight="1">
      <c r="A4981" s="2" t="s">
        <v>5981</v>
      </c>
      <c r="B4981" s="2" t="s">
        <v>46</v>
      </c>
      <c r="C4981" s="4">
        <v>45892.25</v>
      </c>
      <c r="D4981" s="4">
        <v>45892.250516655091</v>
      </c>
      <c r="E4981" s="2">
        <v>2.14</v>
      </c>
      <c r="F4981" s="2">
        <v>64.099999999999994</v>
      </c>
      <c r="G4981" s="2" t="s">
        <v>983</v>
      </c>
      <c r="H4981" s="2" t="s">
        <v>984</v>
      </c>
      <c r="I4981" s="2"/>
      <c r="J4981" s="2" t="s">
        <v>46</v>
      </c>
    </row>
    <row r="4982" spans="1:10" ht="21" customHeight="1">
      <c r="A4982" s="2" t="s">
        <v>5982</v>
      </c>
      <c r="B4982" s="2" t="s">
        <v>46</v>
      </c>
      <c r="C4982" s="4">
        <v>45893.25</v>
      </c>
      <c r="D4982" s="4">
        <v>45893.25059520833</v>
      </c>
      <c r="E4982" s="2">
        <v>2.35</v>
      </c>
      <c r="F4982" s="2">
        <v>61.9</v>
      </c>
      <c r="G4982" s="2" t="s">
        <v>983</v>
      </c>
      <c r="H4982" s="2" t="s">
        <v>984</v>
      </c>
      <c r="I4982" s="2"/>
      <c r="J4982" s="2" t="s">
        <v>46</v>
      </c>
    </row>
    <row r="4983" spans="1:10" ht="21" customHeight="1">
      <c r="A4983" s="2" t="s">
        <v>5983</v>
      </c>
      <c r="B4983" s="2" t="s">
        <v>46</v>
      </c>
      <c r="C4983" s="4">
        <v>45894.25</v>
      </c>
      <c r="D4983" s="4">
        <v>45894.250117569449</v>
      </c>
      <c r="E4983" s="2">
        <v>2.1800000000000002</v>
      </c>
      <c r="F4983" s="2">
        <v>60.4</v>
      </c>
      <c r="G4983" s="2" t="s">
        <v>983</v>
      </c>
      <c r="H4983" s="2" t="s">
        <v>984</v>
      </c>
      <c r="I4983" s="2"/>
      <c r="J4983" s="2" t="s">
        <v>46</v>
      </c>
    </row>
    <row r="4984" spans="1:10" ht="21" customHeight="1">
      <c r="A4984" s="2" t="s">
        <v>5984</v>
      </c>
      <c r="B4984" s="2" t="s">
        <v>46</v>
      </c>
      <c r="C4984" s="4">
        <v>45895.25</v>
      </c>
      <c r="D4984" s="4">
        <v>45895.250155798611</v>
      </c>
      <c r="E4984" s="2">
        <v>2.96</v>
      </c>
      <c r="F4984" s="2">
        <v>61</v>
      </c>
      <c r="G4984" s="2" t="s">
        <v>983</v>
      </c>
      <c r="H4984" s="2" t="s">
        <v>984</v>
      </c>
      <c r="I4984" s="2"/>
      <c r="J4984" s="2" t="s">
        <v>46</v>
      </c>
    </row>
    <row r="4985" spans="1:10" ht="21" customHeight="1">
      <c r="A4985" s="2" t="s">
        <v>5985</v>
      </c>
      <c r="B4985" s="2" t="s">
        <v>46</v>
      </c>
      <c r="C4985" s="4">
        <v>45896.25</v>
      </c>
      <c r="D4985" s="4">
        <v>45896.250332071759</v>
      </c>
      <c r="E4985" s="2">
        <v>3.09</v>
      </c>
      <c r="F4985" s="2">
        <v>59.4</v>
      </c>
      <c r="G4985" s="2" t="s">
        <v>983</v>
      </c>
      <c r="H4985" s="2" t="s">
        <v>984</v>
      </c>
      <c r="I4985" s="2" t="s">
        <v>985</v>
      </c>
      <c r="J4985" s="2" t="s">
        <v>46</v>
      </c>
    </row>
    <row r="4986" spans="1:10" ht="21" customHeight="1">
      <c r="A4986" s="2" t="s">
        <v>5986</v>
      </c>
      <c r="B4986" s="2" t="s">
        <v>46</v>
      </c>
      <c r="C4986" s="4">
        <v>45897.25</v>
      </c>
      <c r="D4986" s="4">
        <v>45897.250262662041</v>
      </c>
      <c r="E4986" s="2">
        <v>2.6</v>
      </c>
      <c r="F4986" s="2">
        <v>58.2</v>
      </c>
      <c r="G4986" s="2" t="s">
        <v>983</v>
      </c>
      <c r="H4986" s="2" t="s">
        <v>984</v>
      </c>
      <c r="I4986" s="2"/>
      <c r="J4986" s="2" t="s">
        <v>46</v>
      </c>
    </row>
    <row r="4987" spans="1:10" ht="21" customHeight="1">
      <c r="A4987" s="2" t="s">
        <v>5987</v>
      </c>
      <c r="B4987" s="2" t="s">
        <v>46</v>
      </c>
      <c r="C4987" s="4">
        <v>45898.25</v>
      </c>
      <c r="D4987" s="4">
        <v>45898.250281493056</v>
      </c>
      <c r="E4987" s="2">
        <v>2.76</v>
      </c>
      <c r="F4987" s="2">
        <v>64.8</v>
      </c>
      <c r="G4987" s="2" t="s">
        <v>983</v>
      </c>
      <c r="H4987" s="2" t="s">
        <v>984</v>
      </c>
      <c r="I4987" s="2"/>
      <c r="J4987" s="2" t="s">
        <v>46</v>
      </c>
    </row>
    <row r="4988" spans="1:10" ht="21" customHeight="1">
      <c r="A4988" s="2" t="s">
        <v>5988</v>
      </c>
      <c r="B4988" s="2" t="s">
        <v>46</v>
      </c>
      <c r="C4988" s="4">
        <v>45899.25</v>
      </c>
      <c r="D4988" s="4">
        <v>45899.250386608794</v>
      </c>
      <c r="E4988" s="2">
        <v>3.14</v>
      </c>
      <c r="F4988" s="2">
        <v>62.4</v>
      </c>
      <c r="G4988" s="2" t="s">
        <v>983</v>
      </c>
      <c r="H4988" s="2" t="s">
        <v>984</v>
      </c>
      <c r="I4988" s="2"/>
      <c r="J4988" s="2" t="s">
        <v>46</v>
      </c>
    </row>
    <row r="4989" spans="1:10" ht="21" customHeight="1">
      <c r="A4989" s="2" t="s">
        <v>5989</v>
      </c>
      <c r="B4989" s="2" t="s">
        <v>46</v>
      </c>
      <c r="C4989" s="4">
        <v>45900.25</v>
      </c>
      <c r="D4989" s="4">
        <v>45900.250435393522</v>
      </c>
      <c r="E4989" s="2">
        <v>3.12</v>
      </c>
      <c r="F4989" s="2">
        <v>65.3</v>
      </c>
      <c r="G4989" s="2" t="s">
        <v>983</v>
      </c>
      <c r="H4989" s="2" t="s">
        <v>984</v>
      </c>
      <c r="I4989" s="2"/>
      <c r="J4989" s="2" t="s">
        <v>46</v>
      </c>
    </row>
    <row r="4990" spans="1:10" ht="21" customHeight="1">
      <c r="A4990" s="2" t="s">
        <v>5990</v>
      </c>
      <c r="B4990" s="2" t="s">
        <v>46</v>
      </c>
      <c r="C4990" s="4">
        <v>45901.25</v>
      </c>
      <c r="D4990" s="4">
        <v>45901.250169155093</v>
      </c>
      <c r="E4990" s="2">
        <v>2.66</v>
      </c>
      <c r="F4990" s="2">
        <v>65.7</v>
      </c>
      <c r="G4990" s="2" t="s">
        <v>983</v>
      </c>
      <c r="H4990" s="2" t="s">
        <v>984</v>
      </c>
      <c r="I4990" s="2"/>
      <c r="J4990" s="2" t="s">
        <v>46</v>
      </c>
    </row>
    <row r="4991" spans="1:10" ht="21" customHeight="1">
      <c r="A4991" s="2" t="s">
        <v>5991</v>
      </c>
      <c r="B4991" s="2" t="s">
        <v>46</v>
      </c>
      <c r="C4991" s="4">
        <v>45902.25</v>
      </c>
      <c r="D4991" s="4">
        <v>45902.25027556713</v>
      </c>
      <c r="E4991" s="2">
        <v>2.8</v>
      </c>
      <c r="F4991" s="2">
        <v>63.3</v>
      </c>
      <c r="G4991" s="2" t="s">
        <v>983</v>
      </c>
      <c r="H4991" s="2" t="s">
        <v>984</v>
      </c>
      <c r="I4991" s="2"/>
      <c r="J4991" s="2" t="s">
        <v>46</v>
      </c>
    </row>
    <row r="4992" spans="1:10" ht="21" customHeight="1">
      <c r="A4992" s="2" t="s">
        <v>5992</v>
      </c>
      <c r="B4992" s="2" t="s">
        <v>46</v>
      </c>
      <c r="C4992" s="4">
        <v>45903.25</v>
      </c>
      <c r="D4992" s="4">
        <v>45903.250435856477</v>
      </c>
      <c r="E4992" s="2">
        <v>2.75</v>
      </c>
      <c r="F4992" s="2">
        <v>65.599999999999994</v>
      </c>
      <c r="G4992" s="2" t="s">
        <v>983</v>
      </c>
      <c r="H4992" s="2" t="s">
        <v>984</v>
      </c>
      <c r="I4992" s="2"/>
      <c r="J4992" s="2" t="s">
        <v>46</v>
      </c>
    </row>
    <row r="4993" spans="1:10" ht="21" customHeight="1">
      <c r="A4993" s="2" t="s">
        <v>5993</v>
      </c>
      <c r="B4993" s="2" t="s">
        <v>46</v>
      </c>
      <c r="C4993" s="4">
        <v>45904.25</v>
      </c>
      <c r="D4993" s="4">
        <v>45904.250524444447</v>
      </c>
      <c r="E4993" s="2">
        <v>2.52</v>
      </c>
      <c r="F4993" s="2">
        <v>59.9</v>
      </c>
      <c r="G4993" s="2" t="s">
        <v>983</v>
      </c>
      <c r="H4993" s="2" t="s">
        <v>984</v>
      </c>
      <c r="I4993" s="2"/>
      <c r="J4993" s="2" t="s">
        <v>46</v>
      </c>
    </row>
    <row r="4994" spans="1:10" ht="21" customHeight="1">
      <c r="A4994" s="2" t="s">
        <v>5994</v>
      </c>
      <c r="B4994" s="2" t="s">
        <v>46</v>
      </c>
      <c r="C4994" s="4">
        <v>45905.25</v>
      </c>
      <c r="D4994" s="4">
        <v>45905.250234444444</v>
      </c>
      <c r="E4994" s="2">
        <v>2.57</v>
      </c>
      <c r="F4994" s="2">
        <v>63.4</v>
      </c>
      <c r="G4994" s="2" t="s">
        <v>983</v>
      </c>
      <c r="H4994" s="2" t="s">
        <v>984</v>
      </c>
      <c r="I4994" s="2"/>
      <c r="J4994" s="2" t="s">
        <v>46</v>
      </c>
    </row>
    <row r="4995" spans="1:10" ht="21" customHeight="1">
      <c r="A4995" s="2" t="s">
        <v>5995</v>
      </c>
      <c r="B4995" s="2" t="s">
        <v>46</v>
      </c>
      <c r="C4995" s="4">
        <v>45906.25</v>
      </c>
      <c r="D4995" s="4">
        <v>45906.250221608796</v>
      </c>
      <c r="E4995" s="2">
        <v>3.15</v>
      </c>
      <c r="F4995" s="2">
        <v>62.7</v>
      </c>
      <c r="G4995" s="2" t="s">
        <v>983</v>
      </c>
      <c r="H4995" s="2" t="s">
        <v>984</v>
      </c>
      <c r="I4995" s="2"/>
      <c r="J4995" s="2" t="s">
        <v>46</v>
      </c>
    </row>
    <row r="4996" spans="1:10" ht="21" customHeight="1">
      <c r="A4996" s="2" t="s">
        <v>5996</v>
      </c>
      <c r="B4996" s="2" t="s">
        <v>46</v>
      </c>
      <c r="C4996" s="4">
        <v>45907.25</v>
      </c>
      <c r="D4996" s="4">
        <v>45907.250369583329</v>
      </c>
      <c r="E4996" s="2">
        <v>2.78</v>
      </c>
      <c r="F4996" s="2">
        <v>63.2</v>
      </c>
      <c r="G4996" s="2" t="s">
        <v>983</v>
      </c>
      <c r="H4996" s="2" t="s">
        <v>984</v>
      </c>
      <c r="I4996" s="2"/>
      <c r="J4996" s="2" t="s">
        <v>46</v>
      </c>
    </row>
    <row r="4997" spans="1:10" ht="21" customHeight="1">
      <c r="A4997" s="2" t="s">
        <v>5997</v>
      </c>
      <c r="B4997" s="2" t="s">
        <v>46</v>
      </c>
      <c r="C4997" s="4">
        <v>45908.25</v>
      </c>
      <c r="D4997" s="4">
        <v>45908.250157187504</v>
      </c>
      <c r="E4997" s="2">
        <v>3.11</v>
      </c>
      <c r="F4997" s="2">
        <v>64</v>
      </c>
      <c r="G4997" s="2" t="s">
        <v>983</v>
      </c>
      <c r="H4997" s="2" t="s">
        <v>984</v>
      </c>
      <c r="I4997" s="2"/>
      <c r="J4997" s="2" t="s">
        <v>46</v>
      </c>
    </row>
    <row r="4998" spans="1:10" ht="21" customHeight="1">
      <c r="A4998" s="2" t="s">
        <v>5998</v>
      </c>
      <c r="B4998" s="2" t="s">
        <v>46</v>
      </c>
      <c r="C4998" s="4">
        <v>45909.25</v>
      </c>
      <c r="D4998" s="4">
        <v>45909.250574201389</v>
      </c>
      <c r="E4998" s="2">
        <v>3.25</v>
      </c>
      <c r="F4998" s="2">
        <v>60.5</v>
      </c>
      <c r="G4998" s="2" t="s">
        <v>983</v>
      </c>
      <c r="H4998" s="2" t="s">
        <v>984</v>
      </c>
      <c r="I4998" s="2"/>
      <c r="J4998" s="2" t="s">
        <v>46</v>
      </c>
    </row>
    <row r="4999" spans="1:10" ht="21" customHeight="1">
      <c r="A4999" s="2" t="s">
        <v>5999</v>
      </c>
      <c r="B4999" s="2" t="s">
        <v>46</v>
      </c>
      <c r="C4999" s="4">
        <v>45910.25</v>
      </c>
      <c r="D4999" s="4">
        <v>45910.250218449073</v>
      </c>
      <c r="E4999" s="2"/>
      <c r="F4999" s="2"/>
      <c r="G4999" s="2" t="s">
        <v>983</v>
      </c>
      <c r="H4999" s="2" t="s">
        <v>1066</v>
      </c>
      <c r="I4999" s="2"/>
      <c r="J4999" s="2" t="s">
        <v>46</v>
      </c>
    </row>
    <row r="5000" spans="1:10" ht="21" customHeight="1">
      <c r="A5000" s="2" t="s">
        <v>6000</v>
      </c>
      <c r="B5000" s="2" t="s">
        <v>46</v>
      </c>
      <c r="C5000" s="4">
        <v>45911.25</v>
      </c>
      <c r="D5000" s="4">
        <v>45911.250594988422</v>
      </c>
      <c r="E5000" s="2">
        <v>2.6</v>
      </c>
      <c r="F5000" s="2">
        <v>60.2</v>
      </c>
      <c r="G5000" s="2" t="s">
        <v>983</v>
      </c>
      <c r="H5000" s="2" t="s">
        <v>984</v>
      </c>
      <c r="I5000" s="2"/>
      <c r="J5000" s="2" t="s">
        <v>46</v>
      </c>
    </row>
    <row r="5001" spans="1:10" ht="21" customHeight="1">
      <c r="A5001" s="2" t="s">
        <v>6001</v>
      </c>
      <c r="B5001" s="2" t="s">
        <v>46</v>
      </c>
      <c r="C5001" s="4">
        <v>45912.25</v>
      </c>
      <c r="D5001" s="4">
        <v>45912.250092407412</v>
      </c>
      <c r="E5001" s="2">
        <v>3.03</v>
      </c>
      <c r="F5001" s="2">
        <v>59.8</v>
      </c>
      <c r="G5001" s="2" t="s">
        <v>983</v>
      </c>
      <c r="H5001" s="2" t="s">
        <v>984</v>
      </c>
      <c r="I5001" s="2"/>
      <c r="J5001" s="2" t="s">
        <v>46</v>
      </c>
    </row>
    <row r="5002" spans="1:10" ht="21" customHeight="1">
      <c r="A5002" s="2" t="s">
        <v>6002</v>
      </c>
      <c r="B5002" s="2" t="s">
        <v>46</v>
      </c>
      <c r="C5002" s="4">
        <v>45913.25</v>
      </c>
      <c r="D5002" s="4">
        <v>45913.250222106479</v>
      </c>
      <c r="E5002" s="2">
        <v>2.87</v>
      </c>
      <c r="F5002" s="2">
        <v>61.9</v>
      </c>
      <c r="G5002" s="2" t="s">
        <v>983</v>
      </c>
      <c r="H5002" s="2" t="s">
        <v>984</v>
      </c>
      <c r="I5002" s="2" t="s">
        <v>985</v>
      </c>
      <c r="J5002" s="2" t="s">
        <v>46</v>
      </c>
    </row>
    <row r="5003" spans="1:10" ht="21" customHeight="1">
      <c r="A5003" s="2" t="s">
        <v>6003</v>
      </c>
      <c r="B5003" s="2" t="s">
        <v>46</v>
      </c>
      <c r="C5003" s="4">
        <v>45914.25</v>
      </c>
      <c r="D5003" s="4">
        <v>45914.25032791667</v>
      </c>
      <c r="E5003" s="2">
        <v>3.19</v>
      </c>
      <c r="F5003" s="2">
        <v>64.7</v>
      </c>
      <c r="G5003" s="2" t="s">
        <v>983</v>
      </c>
      <c r="H5003" s="2" t="s">
        <v>984</v>
      </c>
      <c r="I5003" s="2"/>
      <c r="J5003" s="2" t="s">
        <v>46</v>
      </c>
    </row>
    <row r="5004" spans="1:10" ht="21" customHeight="1">
      <c r="A5004" s="2" t="s">
        <v>6004</v>
      </c>
      <c r="B5004" s="2" t="s">
        <v>5758</v>
      </c>
      <c r="C5004" s="4">
        <v>45915.25</v>
      </c>
      <c r="D5004" s="4">
        <v>45915.250295300924</v>
      </c>
      <c r="E5004" s="2">
        <v>2.12</v>
      </c>
      <c r="F5004" s="2">
        <v>60.4</v>
      </c>
      <c r="G5004" s="2" t="s">
        <v>983</v>
      </c>
      <c r="H5004" s="2" t="s">
        <v>984</v>
      </c>
      <c r="I5004" s="2"/>
      <c r="J5004" s="2" t="s">
        <v>46</v>
      </c>
    </row>
    <row r="5005" spans="1:10" ht="21" customHeight="1">
      <c r="A5005" s="2" t="s">
        <v>6005</v>
      </c>
      <c r="B5005" s="2" t="s">
        <v>46</v>
      </c>
      <c r="C5005" s="4">
        <v>45916.25</v>
      </c>
      <c r="D5005" s="4">
        <v>45916.250565613431</v>
      </c>
      <c r="E5005" s="2">
        <v>2.17</v>
      </c>
      <c r="F5005" s="2">
        <v>65.599999999999994</v>
      </c>
      <c r="G5005" s="2" t="s">
        <v>983</v>
      </c>
      <c r="H5005" s="2" t="s">
        <v>984</v>
      </c>
      <c r="I5005" s="2"/>
      <c r="J5005" s="2" t="s">
        <v>46</v>
      </c>
    </row>
    <row r="5006" spans="1:10" ht="21" customHeight="1">
      <c r="A5006" s="2" t="s">
        <v>6006</v>
      </c>
      <c r="B5006" s="2" t="s">
        <v>46</v>
      </c>
      <c r="C5006" s="4">
        <v>45917.25</v>
      </c>
      <c r="D5006" s="4">
        <v>45917.250423356483</v>
      </c>
      <c r="E5006" s="2">
        <v>2.94</v>
      </c>
      <c r="F5006" s="2">
        <v>65.2</v>
      </c>
      <c r="G5006" s="2" t="s">
        <v>983</v>
      </c>
      <c r="H5006" s="2" t="s">
        <v>984</v>
      </c>
      <c r="I5006" s="2"/>
      <c r="J5006" s="2" t="s">
        <v>46</v>
      </c>
    </row>
    <row r="5007" spans="1:10" ht="21" customHeight="1">
      <c r="A5007" s="2" t="s">
        <v>6007</v>
      </c>
      <c r="B5007" s="2" t="s">
        <v>46</v>
      </c>
      <c r="C5007" s="4">
        <v>45918.25</v>
      </c>
      <c r="D5007" s="4">
        <v>45918.250018900464</v>
      </c>
      <c r="E5007" s="2">
        <v>2.37</v>
      </c>
      <c r="F5007" s="2">
        <v>58.7</v>
      </c>
      <c r="G5007" s="2" t="s">
        <v>983</v>
      </c>
      <c r="H5007" s="2" t="s">
        <v>984</v>
      </c>
      <c r="I5007" s="2"/>
      <c r="J5007" s="2" t="s">
        <v>46</v>
      </c>
    </row>
    <row r="5008" spans="1:10" ht="21" customHeight="1">
      <c r="A5008" s="2" t="s">
        <v>6008</v>
      </c>
      <c r="B5008" s="2" t="s">
        <v>46</v>
      </c>
      <c r="C5008" s="4">
        <v>45919.25</v>
      </c>
      <c r="D5008" s="4">
        <v>45919.250333020835</v>
      </c>
      <c r="E5008" s="2">
        <v>2.81</v>
      </c>
      <c r="F5008" s="2">
        <v>62.3</v>
      </c>
      <c r="G5008" s="2" t="s">
        <v>983</v>
      </c>
      <c r="H5008" s="2" t="s">
        <v>984</v>
      </c>
      <c r="I5008" s="2"/>
      <c r="J5008" s="2" t="s">
        <v>46</v>
      </c>
    </row>
    <row r="5009" spans="1:10" ht="21" customHeight="1">
      <c r="A5009" s="2" t="s">
        <v>6009</v>
      </c>
      <c r="B5009" s="2" t="s">
        <v>46</v>
      </c>
      <c r="C5009" s="4">
        <v>45920.25</v>
      </c>
      <c r="D5009" s="4">
        <v>45920.250547708332</v>
      </c>
      <c r="E5009" s="2">
        <v>2.11</v>
      </c>
      <c r="F5009" s="2">
        <v>59.9</v>
      </c>
      <c r="G5009" s="2" t="s">
        <v>983</v>
      </c>
      <c r="H5009" s="2" t="s">
        <v>984</v>
      </c>
      <c r="I5009" s="2"/>
      <c r="J5009" s="2" t="s">
        <v>46</v>
      </c>
    </row>
    <row r="5010" spans="1:10" ht="21" customHeight="1">
      <c r="A5010" s="2" t="s">
        <v>6010</v>
      </c>
      <c r="B5010" s="2" t="s">
        <v>46</v>
      </c>
      <c r="C5010" s="4">
        <v>45921.25</v>
      </c>
      <c r="D5010" s="4">
        <v>45921.250010659722</v>
      </c>
      <c r="E5010" s="2">
        <v>2.71</v>
      </c>
      <c r="F5010" s="2">
        <v>60.4</v>
      </c>
      <c r="G5010" s="2" t="s">
        <v>983</v>
      </c>
      <c r="H5010" s="2" t="s">
        <v>984</v>
      </c>
      <c r="I5010" s="2"/>
      <c r="J5010" s="2" t="s">
        <v>46</v>
      </c>
    </row>
    <row r="5011" spans="1:10" ht="21" customHeight="1">
      <c r="A5011" s="2" t="s">
        <v>6011</v>
      </c>
      <c r="B5011" s="2" t="s">
        <v>46</v>
      </c>
      <c r="C5011" s="4">
        <v>45922.25</v>
      </c>
      <c r="D5011" s="4">
        <v>45922.250162141208</v>
      </c>
      <c r="E5011" s="2">
        <v>2.13</v>
      </c>
      <c r="F5011" s="2">
        <v>58.6</v>
      </c>
      <c r="G5011" s="2" t="s">
        <v>983</v>
      </c>
      <c r="H5011" s="2" t="s">
        <v>984</v>
      </c>
      <c r="I5011" s="2"/>
      <c r="J5011" s="2" t="s">
        <v>46</v>
      </c>
    </row>
    <row r="5012" spans="1:10" ht="21" customHeight="1">
      <c r="A5012" s="2" t="s">
        <v>6012</v>
      </c>
      <c r="B5012" s="2" t="s">
        <v>46</v>
      </c>
      <c r="C5012" s="4">
        <v>45923.25</v>
      </c>
      <c r="D5012" s="4">
        <v>45923.250302638888</v>
      </c>
      <c r="E5012" s="2">
        <v>2.5</v>
      </c>
      <c r="F5012" s="2">
        <v>61.3</v>
      </c>
      <c r="G5012" s="2" t="s">
        <v>983</v>
      </c>
      <c r="H5012" s="2" t="s">
        <v>984</v>
      </c>
      <c r="I5012" s="2"/>
      <c r="J5012" s="2" t="s">
        <v>46</v>
      </c>
    </row>
    <row r="5013" spans="1:10" ht="21" customHeight="1">
      <c r="A5013" s="2" t="s">
        <v>6013</v>
      </c>
      <c r="B5013" s="2" t="s">
        <v>46</v>
      </c>
      <c r="C5013" s="4">
        <v>45924.25</v>
      </c>
      <c r="D5013" s="4">
        <v>45924.250123877311</v>
      </c>
      <c r="E5013" s="2">
        <v>2.8</v>
      </c>
      <c r="F5013" s="2">
        <v>60.5</v>
      </c>
      <c r="G5013" s="2" t="s">
        <v>983</v>
      </c>
      <c r="H5013" s="2" t="s">
        <v>984</v>
      </c>
      <c r="I5013" s="2"/>
      <c r="J5013" s="2" t="s">
        <v>46</v>
      </c>
    </row>
    <row r="5014" spans="1:10" ht="21" customHeight="1">
      <c r="A5014" s="2" t="s">
        <v>6014</v>
      </c>
      <c r="B5014" s="2" t="s">
        <v>46</v>
      </c>
      <c r="C5014" s="4">
        <v>45925.25</v>
      </c>
      <c r="D5014" s="4">
        <v>45925.250408125001</v>
      </c>
      <c r="E5014" s="2">
        <v>2.25</v>
      </c>
      <c r="F5014" s="2">
        <v>61.5</v>
      </c>
      <c r="G5014" s="2" t="s">
        <v>983</v>
      </c>
      <c r="H5014" s="2" t="s">
        <v>984</v>
      </c>
      <c r="I5014" s="2"/>
      <c r="J5014" s="2" t="s">
        <v>46</v>
      </c>
    </row>
    <row r="5015" spans="1:10" ht="21" customHeight="1">
      <c r="A5015" s="2" t="s">
        <v>6015</v>
      </c>
      <c r="B5015" s="2" t="s">
        <v>46</v>
      </c>
      <c r="C5015" s="4">
        <v>45926.25</v>
      </c>
      <c r="D5015" s="4">
        <v>45926.250424791666</v>
      </c>
      <c r="E5015" s="2">
        <v>3.26</v>
      </c>
      <c r="F5015" s="2">
        <v>60.7</v>
      </c>
      <c r="G5015" s="2" t="s">
        <v>983</v>
      </c>
      <c r="H5015" s="2" t="s">
        <v>984</v>
      </c>
      <c r="I5015" s="2"/>
      <c r="J5015" s="2" t="s">
        <v>46</v>
      </c>
    </row>
    <row r="5016" spans="1:10" ht="21" customHeight="1">
      <c r="A5016" s="2" t="s">
        <v>6016</v>
      </c>
      <c r="B5016" s="2" t="s">
        <v>46</v>
      </c>
      <c r="C5016" s="4">
        <v>45927.25</v>
      </c>
      <c r="D5016" s="4">
        <v>45927.250420775468</v>
      </c>
      <c r="E5016" s="2">
        <v>2.73</v>
      </c>
      <c r="F5016" s="2">
        <v>63.9</v>
      </c>
      <c r="G5016" s="2" t="s">
        <v>983</v>
      </c>
      <c r="H5016" s="2" t="s">
        <v>984</v>
      </c>
      <c r="I5016" s="2"/>
      <c r="J5016" s="2" t="s">
        <v>46</v>
      </c>
    </row>
    <row r="5017" spans="1:10" ht="21" customHeight="1">
      <c r="A5017" s="2" t="s">
        <v>6017</v>
      </c>
      <c r="B5017" s="2" t="s">
        <v>46</v>
      </c>
      <c r="C5017" s="4">
        <v>45928.25</v>
      </c>
      <c r="D5017" s="4">
        <v>45928.250665023152</v>
      </c>
      <c r="E5017" s="2">
        <v>3.02</v>
      </c>
      <c r="F5017" s="2">
        <v>61.5</v>
      </c>
      <c r="G5017" s="2" t="s">
        <v>983</v>
      </c>
      <c r="H5017" s="2" t="s">
        <v>984</v>
      </c>
      <c r="I5017" s="2"/>
      <c r="J5017" s="2" t="s">
        <v>46</v>
      </c>
    </row>
    <row r="5018" spans="1:10" ht="21" customHeight="1">
      <c r="A5018" s="2" t="s">
        <v>6018</v>
      </c>
      <c r="B5018" s="2" t="s">
        <v>46</v>
      </c>
      <c r="C5018" s="4">
        <v>45929.25</v>
      </c>
      <c r="D5018" s="4">
        <v>45929.250482280091</v>
      </c>
      <c r="E5018" s="2">
        <v>2.96</v>
      </c>
      <c r="F5018" s="2">
        <v>65</v>
      </c>
      <c r="G5018" s="2" t="s">
        <v>983</v>
      </c>
      <c r="H5018" s="2" t="s">
        <v>984</v>
      </c>
      <c r="I5018" s="2"/>
      <c r="J5018" s="2" t="s">
        <v>46</v>
      </c>
    </row>
    <row r="5019" spans="1:10" ht="21" customHeight="1">
      <c r="A5019" s="2" t="s">
        <v>6019</v>
      </c>
      <c r="B5019" s="2" t="s">
        <v>46</v>
      </c>
      <c r="C5019" s="4">
        <v>45930.25</v>
      </c>
      <c r="D5019" s="4">
        <v>45930.250366018518</v>
      </c>
      <c r="E5019" s="2">
        <v>2.44</v>
      </c>
      <c r="F5019" s="2">
        <v>63.6</v>
      </c>
      <c r="G5019" s="2" t="s">
        <v>983</v>
      </c>
      <c r="H5019" s="2" t="s">
        <v>984</v>
      </c>
      <c r="I5019" s="2" t="s">
        <v>985</v>
      </c>
      <c r="J5019" s="2" t="s">
        <v>46</v>
      </c>
    </row>
    <row r="5020" spans="1:10" ht="21" customHeight="1">
      <c r="A5020" s="2" t="s">
        <v>6020</v>
      </c>
      <c r="B5020" s="2" t="s">
        <v>46</v>
      </c>
      <c r="C5020" s="4">
        <v>45931.25</v>
      </c>
      <c r="D5020" s="4">
        <v>45931.250365162035</v>
      </c>
      <c r="E5020" s="2">
        <v>2.54</v>
      </c>
      <c r="F5020" s="2">
        <v>58.3</v>
      </c>
      <c r="G5020" s="2" t="s">
        <v>983</v>
      </c>
      <c r="H5020" s="2" t="s">
        <v>984</v>
      </c>
      <c r="I5020" s="2"/>
      <c r="J5020" s="2" t="s">
        <v>46</v>
      </c>
    </row>
    <row r="5021" spans="1:10" ht="21" customHeight="1">
      <c r="A5021" s="2" t="s">
        <v>6021</v>
      </c>
      <c r="B5021" s="2" t="s">
        <v>46</v>
      </c>
      <c r="C5021" s="4">
        <v>45932.25</v>
      </c>
      <c r="D5021" s="4">
        <v>45932.250415509261</v>
      </c>
      <c r="E5021" s="2">
        <v>2.68</v>
      </c>
      <c r="F5021" s="2">
        <v>65.8</v>
      </c>
      <c r="G5021" s="2" t="s">
        <v>983</v>
      </c>
      <c r="H5021" s="2" t="s">
        <v>984</v>
      </c>
      <c r="I5021" s="2"/>
      <c r="J5021" s="2" t="s">
        <v>46</v>
      </c>
    </row>
    <row r="5022" spans="1:10" ht="21" customHeight="1">
      <c r="A5022" s="2" t="s">
        <v>6022</v>
      </c>
      <c r="B5022" s="2" t="s">
        <v>46</v>
      </c>
      <c r="C5022" s="4">
        <v>45933.25</v>
      </c>
      <c r="D5022" s="4">
        <v>45933.250522013885</v>
      </c>
      <c r="E5022" s="2">
        <v>2.66</v>
      </c>
      <c r="F5022" s="2">
        <v>64.5</v>
      </c>
      <c r="G5022" s="2" t="s">
        <v>983</v>
      </c>
      <c r="H5022" s="2" t="s">
        <v>984</v>
      </c>
      <c r="I5022" s="2"/>
      <c r="J5022" s="2" t="s">
        <v>46</v>
      </c>
    </row>
    <row r="5023" spans="1:10" ht="21" customHeight="1">
      <c r="A5023" s="2" t="s">
        <v>6023</v>
      </c>
      <c r="B5023" s="2" t="s">
        <v>46</v>
      </c>
      <c r="C5023" s="4">
        <v>45934.25</v>
      </c>
      <c r="D5023" s="4">
        <v>45934.250637476856</v>
      </c>
      <c r="E5023" s="2">
        <v>19.59</v>
      </c>
      <c r="F5023" s="2">
        <v>63.5</v>
      </c>
      <c r="G5023" s="2" t="s">
        <v>983</v>
      </c>
      <c r="H5023" s="2" t="s">
        <v>1022</v>
      </c>
      <c r="I5023" s="2"/>
      <c r="J5023" s="2" t="s">
        <v>46</v>
      </c>
    </row>
    <row r="5024" spans="1:10" ht="21" customHeight="1">
      <c r="A5024" s="2" t="s">
        <v>6024</v>
      </c>
      <c r="B5024" s="2" t="s">
        <v>46</v>
      </c>
      <c r="C5024" s="4">
        <v>45935.25</v>
      </c>
      <c r="D5024" s="4">
        <v>45935.250147395833</v>
      </c>
      <c r="E5024" s="2">
        <v>2.92</v>
      </c>
      <c r="F5024" s="2">
        <v>58.9</v>
      </c>
      <c r="G5024" s="2" t="s">
        <v>983</v>
      </c>
      <c r="H5024" s="2" t="s">
        <v>984</v>
      </c>
      <c r="I5024" s="2"/>
      <c r="J5024" s="2" t="s">
        <v>46</v>
      </c>
    </row>
    <row r="5025" spans="1:10" ht="21" customHeight="1">
      <c r="A5025" s="2" t="s">
        <v>6025</v>
      </c>
      <c r="B5025" s="2" t="s">
        <v>46</v>
      </c>
      <c r="C5025" s="4">
        <v>45936.25</v>
      </c>
      <c r="D5025" s="4">
        <v>45936.250358784717</v>
      </c>
      <c r="E5025" s="2">
        <v>2.16</v>
      </c>
      <c r="F5025" s="2">
        <v>63</v>
      </c>
      <c r="G5025" s="2" t="s">
        <v>983</v>
      </c>
      <c r="H5025" s="2" t="s">
        <v>984</v>
      </c>
      <c r="I5025" s="2"/>
      <c r="J5025" s="2" t="s">
        <v>46</v>
      </c>
    </row>
    <row r="5026" spans="1:10" ht="21" customHeight="1">
      <c r="A5026" s="2" t="s">
        <v>6026</v>
      </c>
      <c r="B5026" s="2" t="s">
        <v>46</v>
      </c>
      <c r="C5026" s="4">
        <v>45937.25</v>
      </c>
      <c r="D5026" s="4">
        <v>45937.25005289352</v>
      </c>
      <c r="E5026" s="2">
        <v>2.48</v>
      </c>
      <c r="F5026" s="2">
        <v>59</v>
      </c>
      <c r="G5026" s="2" t="s">
        <v>983</v>
      </c>
      <c r="H5026" s="2" t="s">
        <v>984</v>
      </c>
      <c r="I5026" s="2"/>
      <c r="J5026" s="2" t="s">
        <v>46</v>
      </c>
    </row>
    <row r="5027" spans="1:10" ht="21" customHeight="1">
      <c r="A5027" s="2" t="s">
        <v>6027</v>
      </c>
      <c r="B5027" s="2" t="s">
        <v>46</v>
      </c>
      <c r="C5027" s="4">
        <v>45938.25</v>
      </c>
      <c r="D5027" s="4">
        <v>45938.250221516202</v>
      </c>
      <c r="E5027" s="2">
        <v>4.7699999999999996</v>
      </c>
      <c r="F5027" s="2">
        <v>64.599999999999994</v>
      </c>
      <c r="G5027" s="2" t="s">
        <v>983</v>
      </c>
      <c r="H5027" s="2" t="s">
        <v>984</v>
      </c>
      <c r="I5027" s="2" t="s">
        <v>1053</v>
      </c>
      <c r="J5027" s="2" t="s">
        <v>46</v>
      </c>
    </row>
    <row r="5028" spans="1:10" ht="21" customHeight="1">
      <c r="A5028" s="2" t="s">
        <v>6028</v>
      </c>
      <c r="B5028" s="2" t="s">
        <v>46</v>
      </c>
      <c r="C5028" s="4">
        <v>45939.25</v>
      </c>
      <c r="D5028" s="4">
        <v>45939.250270011573</v>
      </c>
      <c r="E5028" s="2">
        <v>5.58</v>
      </c>
      <c r="F5028" s="2">
        <v>66.7</v>
      </c>
      <c r="G5028" s="2" t="s">
        <v>983</v>
      </c>
      <c r="H5028" s="2" t="s">
        <v>984</v>
      </c>
      <c r="I5028" s="2"/>
      <c r="J5028" s="2" t="s">
        <v>46</v>
      </c>
    </row>
    <row r="5029" spans="1:10" ht="21" customHeight="1">
      <c r="A5029" s="2" t="s">
        <v>6029</v>
      </c>
      <c r="B5029" s="2" t="s">
        <v>46</v>
      </c>
      <c r="C5029" s="4">
        <v>45940.25</v>
      </c>
      <c r="D5029" s="4">
        <v>45940.25063091435</v>
      </c>
      <c r="E5029" s="2">
        <v>5.41</v>
      </c>
      <c r="F5029" s="2">
        <v>68.8</v>
      </c>
      <c r="G5029" s="2" t="s">
        <v>983</v>
      </c>
      <c r="H5029" s="2" t="s">
        <v>984</v>
      </c>
      <c r="I5029" s="2" t="s">
        <v>1053</v>
      </c>
      <c r="J5029" s="2" t="s">
        <v>46</v>
      </c>
    </row>
    <row r="5030" spans="1:10" ht="21" customHeight="1">
      <c r="A5030" s="2" t="s">
        <v>6030</v>
      </c>
      <c r="B5030" s="2" t="s">
        <v>46</v>
      </c>
      <c r="C5030" s="4">
        <v>45941.25</v>
      </c>
      <c r="D5030" s="4">
        <v>45941.250380763886</v>
      </c>
      <c r="E5030" s="2">
        <v>2.73</v>
      </c>
      <c r="F5030" s="2">
        <v>63.7</v>
      </c>
      <c r="G5030" s="2" t="s">
        <v>983</v>
      </c>
      <c r="H5030" s="2" t="s">
        <v>984</v>
      </c>
      <c r="I5030" s="2"/>
      <c r="J5030" s="2" t="s">
        <v>46</v>
      </c>
    </row>
    <row r="5031" spans="1:10" ht="21" customHeight="1">
      <c r="A5031" s="2" t="s">
        <v>6031</v>
      </c>
      <c r="B5031" s="2" t="s">
        <v>46</v>
      </c>
      <c r="C5031" s="4">
        <v>45942.25</v>
      </c>
      <c r="D5031" s="4">
        <v>45942.2502631713</v>
      </c>
      <c r="E5031" s="2">
        <v>3</v>
      </c>
      <c r="F5031" s="2">
        <v>63.5</v>
      </c>
      <c r="G5031" s="2" t="s">
        <v>983</v>
      </c>
      <c r="H5031" s="2" t="s">
        <v>984</v>
      </c>
      <c r="I5031" s="2"/>
      <c r="J5031" s="2" t="s">
        <v>46</v>
      </c>
    </row>
    <row r="5032" spans="1:10" ht="21" customHeight="1">
      <c r="A5032" s="2" t="s">
        <v>6032</v>
      </c>
      <c r="B5032" s="2" t="s">
        <v>46</v>
      </c>
      <c r="C5032" s="4">
        <v>45943.25</v>
      </c>
      <c r="D5032" s="4">
        <v>45943.250454583336</v>
      </c>
      <c r="E5032" s="2">
        <v>2.5299999999999998</v>
      </c>
      <c r="F5032" s="2">
        <v>63.5</v>
      </c>
      <c r="G5032" s="2" t="s">
        <v>983</v>
      </c>
      <c r="H5032" s="2" t="s">
        <v>984</v>
      </c>
      <c r="I5032" s="2"/>
      <c r="J5032" s="2" t="s">
        <v>46</v>
      </c>
    </row>
    <row r="5033" spans="1:10" ht="21" customHeight="1">
      <c r="A5033" s="2" t="s">
        <v>6033</v>
      </c>
      <c r="B5033" s="2" t="s">
        <v>46</v>
      </c>
      <c r="C5033" s="4">
        <v>45944.25</v>
      </c>
      <c r="D5033" s="4">
        <v>45944.250416574076</v>
      </c>
      <c r="E5033" s="2">
        <v>2.81</v>
      </c>
      <c r="F5033" s="2">
        <v>64</v>
      </c>
      <c r="G5033" s="2" t="s">
        <v>983</v>
      </c>
      <c r="H5033" s="2" t="s">
        <v>984</v>
      </c>
      <c r="I5033" s="2"/>
      <c r="J5033" s="2" t="s">
        <v>46</v>
      </c>
    </row>
    <row r="5034" spans="1:10" ht="21" customHeight="1">
      <c r="A5034" s="2" t="s">
        <v>6034</v>
      </c>
      <c r="B5034" s="2" t="s">
        <v>46</v>
      </c>
      <c r="C5034" s="4">
        <v>45945.25</v>
      </c>
      <c r="D5034" s="4">
        <v>45945.25061545139</v>
      </c>
      <c r="E5034" s="2">
        <v>2.96</v>
      </c>
      <c r="F5034" s="2">
        <v>58.2</v>
      </c>
      <c r="G5034" s="2" t="s">
        <v>983</v>
      </c>
      <c r="H5034" s="2" t="s">
        <v>984</v>
      </c>
      <c r="I5034" s="2"/>
      <c r="J5034" s="2" t="s">
        <v>46</v>
      </c>
    </row>
    <row r="5035" spans="1:10" ht="21" customHeight="1">
      <c r="A5035" s="2" t="s">
        <v>6035</v>
      </c>
      <c r="B5035" s="2" t="s">
        <v>46</v>
      </c>
      <c r="C5035" s="4">
        <v>45946.25</v>
      </c>
      <c r="D5035" s="4">
        <v>45946.250194837965</v>
      </c>
      <c r="E5035" s="2">
        <v>2.96</v>
      </c>
      <c r="F5035" s="2">
        <v>63.7</v>
      </c>
      <c r="G5035" s="2" t="s">
        <v>983</v>
      </c>
      <c r="H5035" s="2" t="s">
        <v>984</v>
      </c>
      <c r="I5035" s="2"/>
      <c r="J5035" s="2" t="s">
        <v>46</v>
      </c>
    </row>
    <row r="5036" spans="1:10" ht="21" customHeight="1">
      <c r="A5036" s="2" t="s">
        <v>6036</v>
      </c>
      <c r="B5036" s="2" t="s">
        <v>46</v>
      </c>
      <c r="C5036" s="4">
        <v>45947.25</v>
      </c>
      <c r="D5036" s="4">
        <v>45947.250295381949</v>
      </c>
      <c r="E5036" s="2">
        <v>2.65</v>
      </c>
      <c r="F5036" s="2">
        <v>58</v>
      </c>
      <c r="G5036" s="2" t="s">
        <v>983</v>
      </c>
      <c r="H5036" s="2" t="s">
        <v>984</v>
      </c>
      <c r="I5036" s="2" t="s">
        <v>985</v>
      </c>
      <c r="J5036" s="2" t="s">
        <v>46</v>
      </c>
    </row>
    <row r="5037" spans="1:10" ht="21" customHeight="1">
      <c r="A5037" s="2" t="s">
        <v>6037</v>
      </c>
      <c r="B5037" s="2" t="s">
        <v>46</v>
      </c>
      <c r="C5037" s="4">
        <v>45948.25</v>
      </c>
      <c r="D5037" s="4">
        <v>45948.250528807868</v>
      </c>
      <c r="E5037" s="2">
        <v>2.73</v>
      </c>
      <c r="F5037" s="2">
        <v>64.2</v>
      </c>
      <c r="G5037" s="2" t="s">
        <v>983</v>
      </c>
      <c r="H5037" s="2" t="s">
        <v>984</v>
      </c>
      <c r="I5037" s="2"/>
      <c r="J5037" s="2" t="s">
        <v>46</v>
      </c>
    </row>
    <row r="5038" spans="1:10" ht="21" customHeight="1">
      <c r="A5038" s="2" t="s">
        <v>6038</v>
      </c>
      <c r="B5038" s="2" t="s">
        <v>46</v>
      </c>
      <c r="C5038" s="4">
        <v>45949.25</v>
      </c>
      <c r="D5038" s="4">
        <v>45949.250617013888</v>
      </c>
      <c r="E5038" s="2">
        <v>2.75</v>
      </c>
      <c r="F5038" s="2">
        <v>59.6</v>
      </c>
      <c r="G5038" s="2" t="s">
        <v>983</v>
      </c>
      <c r="H5038" s="2" t="s">
        <v>984</v>
      </c>
      <c r="I5038" s="2"/>
      <c r="J5038" s="2" t="s">
        <v>46</v>
      </c>
    </row>
    <row r="5039" spans="1:10" ht="21" customHeight="1">
      <c r="A5039" s="2" t="s">
        <v>6039</v>
      </c>
      <c r="B5039" s="2" t="s">
        <v>46</v>
      </c>
      <c r="C5039" s="4">
        <v>45950.25</v>
      </c>
      <c r="D5039" s="4">
        <v>45950.250031041665</v>
      </c>
      <c r="E5039" s="2">
        <v>3</v>
      </c>
      <c r="F5039" s="2">
        <v>63.4</v>
      </c>
      <c r="G5039" s="2" t="s">
        <v>983</v>
      </c>
      <c r="H5039" s="2" t="s">
        <v>984</v>
      </c>
      <c r="I5039" s="2"/>
      <c r="J5039" s="2" t="s">
        <v>46</v>
      </c>
    </row>
    <row r="5040" spans="1:10" ht="21" customHeight="1">
      <c r="A5040" s="2" t="s">
        <v>6040</v>
      </c>
      <c r="B5040" s="2" t="s">
        <v>46</v>
      </c>
      <c r="C5040" s="4">
        <v>45951.25</v>
      </c>
      <c r="D5040" s="4">
        <v>45951.250500624999</v>
      </c>
      <c r="E5040" s="2">
        <v>2.36</v>
      </c>
      <c r="F5040" s="2">
        <v>65.400000000000006</v>
      </c>
      <c r="G5040" s="2" t="s">
        <v>983</v>
      </c>
      <c r="H5040" s="2" t="s">
        <v>984</v>
      </c>
      <c r="I5040" s="2"/>
      <c r="J5040" s="2" t="s">
        <v>46</v>
      </c>
    </row>
    <row r="5041" spans="1:10" ht="21" customHeight="1">
      <c r="A5041" s="2" t="s">
        <v>6041</v>
      </c>
      <c r="B5041" s="2" t="s">
        <v>46</v>
      </c>
      <c r="C5041" s="4">
        <v>45952.25</v>
      </c>
      <c r="D5041" s="4">
        <v>45952.250461238422</v>
      </c>
      <c r="E5041" s="2">
        <v>3.23</v>
      </c>
      <c r="F5041" s="2">
        <v>60.4</v>
      </c>
      <c r="G5041" s="2" t="s">
        <v>983</v>
      </c>
      <c r="H5041" s="2" t="s">
        <v>984</v>
      </c>
      <c r="I5041" s="2"/>
      <c r="J5041" s="2" t="s">
        <v>46</v>
      </c>
    </row>
    <row r="5042" spans="1:10" ht="21" customHeight="1">
      <c r="A5042" s="2" t="s">
        <v>6042</v>
      </c>
      <c r="B5042" s="2" t="s">
        <v>46</v>
      </c>
      <c r="C5042" s="4">
        <v>45953.25</v>
      </c>
      <c r="D5042" s="4">
        <v>45953.250580914348</v>
      </c>
      <c r="E5042" s="2">
        <v>2.38</v>
      </c>
      <c r="F5042" s="2">
        <v>60.6</v>
      </c>
      <c r="G5042" s="2" t="s">
        <v>983</v>
      </c>
      <c r="H5042" s="2" t="s">
        <v>984</v>
      </c>
      <c r="I5042" s="2"/>
      <c r="J5042" s="2" t="s">
        <v>46</v>
      </c>
    </row>
    <row r="5043" spans="1:10" ht="21" customHeight="1">
      <c r="A5043" s="2" t="s">
        <v>6043</v>
      </c>
      <c r="B5043" s="2" t="s">
        <v>46</v>
      </c>
      <c r="C5043" s="4">
        <v>45954.25</v>
      </c>
      <c r="D5043" s="4">
        <v>45954.250677384262</v>
      </c>
      <c r="E5043" s="2"/>
      <c r="F5043" s="2"/>
      <c r="G5043" s="2" t="s">
        <v>983</v>
      </c>
      <c r="H5043" s="2" t="s">
        <v>1066</v>
      </c>
      <c r="I5043" s="2"/>
      <c r="J5043" s="2" t="s">
        <v>46</v>
      </c>
    </row>
    <row r="5044" spans="1:10" ht="21" customHeight="1">
      <c r="A5044" s="2" t="s">
        <v>6044</v>
      </c>
      <c r="B5044" s="2" t="s">
        <v>46</v>
      </c>
      <c r="C5044" s="4">
        <v>45955.25</v>
      </c>
      <c r="D5044" s="4">
        <v>45955.250463564815</v>
      </c>
      <c r="E5044" s="2">
        <v>2.4300000000000002</v>
      </c>
      <c r="F5044" s="2">
        <v>63.6</v>
      </c>
      <c r="G5044" s="2" t="s">
        <v>983</v>
      </c>
      <c r="H5044" s="2" t="s">
        <v>984</v>
      </c>
      <c r="I5044" s="2"/>
      <c r="J5044" s="2" t="s">
        <v>46</v>
      </c>
    </row>
    <row r="5045" spans="1:10" ht="21" customHeight="1">
      <c r="A5045" s="2" t="s">
        <v>6045</v>
      </c>
      <c r="B5045" s="2" t="s">
        <v>5758</v>
      </c>
      <c r="C5045" s="4">
        <v>45956.25</v>
      </c>
      <c r="D5045" s="4">
        <v>45956.250203344913</v>
      </c>
      <c r="E5045" s="2">
        <v>2.97</v>
      </c>
      <c r="F5045" s="2">
        <v>65.900000000000006</v>
      </c>
      <c r="G5045" s="2" t="s">
        <v>983</v>
      </c>
      <c r="H5045" s="2" t="s">
        <v>984</v>
      </c>
      <c r="I5045" s="2"/>
      <c r="J5045" s="2" t="s">
        <v>46</v>
      </c>
    </row>
    <row r="5046" spans="1:10" ht="21" customHeight="1">
      <c r="A5046" s="2" t="s">
        <v>6046</v>
      </c>
      <c r="B5046" s="2" t="s">
        <v>46</v>
      </c>
      <c r="C5046" s="4">
        <v>45957.25</v>
      </c>
      <c r="D5046" s="4">
        <v>45957.2504925463</v>
      </c>
      <c r="E5046" s="2">
        <v>2.7</v>
      </c>
      <c r="F5046" s="2">
        <v>59.2</v>
      </c>
      <c r="G5046" s="2" t="s">
        <v>983</v>
      </c>
      <c r="H5046" s="2" t="s">
        <v>984</v>
      </c>
      <c r="I5046" s="2"/>
      <c r="J5046" s="2" t="s">
        <v>46</v>
      </c>
    </row>
    <row r="5047" spans="1:10" ht="21" customHeight="1">
      <c r="A5047" s="2" t="s">
        <v>6047</v>
      </c>
      <c r="B5047" s="2" t="s">
        <v>46</v>
      </c>
      <c r="C5047" s="4">
        <v>45958.25</v>
      </c>
      <c r="D5047" s="4">
        <v>45958.250089108798</v>
      </c>
      <c r="E5047" s="2">
        <v>2.2200000000000002</v>
      </c>
      <c r="F5047" s="2">
        <v>58.5</v>
      </c>
      <c r="G5047" s="2" t="s">
        <v>983</v>
      </c>
      <c r="H5047" s="2" t="s">
        <v>984</v>
      </c>
      <c r="I5047" s="2"/>
      <c r="J5047" s="2" t="s">
        <v>46</v>
      </c>
    </row>
    <row r="5048" spans="1:10" ht="21" customHeight="1">
      <c r="A5048" s="2" t="s">
        <v>6048</v>
      </c>
      <c r="B5048" s="2" t="s">
        <v>46</v>
      </c>
      <c r="C5048" s="4">
        <v>45959.25</v>
      </c>
      <c r="D5048" s="4">
        <v>45959.250270555553</v>
      </c>
      <c r="E5048" s="2">
        <v>2.54</v>
      </c>
      <c r="F5048" s="2">
        <v>64.599999999999994</v>
      </c>
      <c r="G5048" s="2" t="s">
        <v>983</v>
      </c>
      <c r="H5048" s="2" t="s">
        <v>984</v>
      </c>
      <c r="I5048" s="2"/>
      <c r="J5048" s="2" t="s">
        <v>46</v>
      </c>
    </row>
    <row r="5049" spans="1:10" ht="21" customHeight="1">
      <c r="A5049" s="2" t="s">
        <v>6049</v>
      </c>
      <c r="B5049" s="2" t="s">
        <v>46</v>
      </c>
      <c r="C5049" s="4">
        <v>45960.25</v>
      </c>
      <c r="D5049" s="4">
        <v>45960.250624386579</v>
      </c>
      <c r="E5049" s="2">
        <v>2.4</v>
      </c>
      <c r="F5049" s="2">
        <v>62.5</v>
      </c>
      <c r="G5049" s="2" t="s">
        <v>983</v>
      </c>
      <c r="H5049" s="2" t="s">
        <v>984</v>
      </c>
      <c r="I5049" s="2"/>
      <c r="J5049" s="2" t="s">
        <v>46</v>
      </c>
    </row>
    <row r="5050" spans="1:10" ht="21" customHeight="1">
      <c r="A5050" s="2" t="s">
        <v>6050</v>
      </c>
      <c r="B5050" s="2" t="s">
        <v>46</v>
      </c>
      <c r="C5050" s="4">
        <v>45961.25</v>
      </c>
      <c r="D5050" s="4">
        <v>45961.250498773152</v>
      </c>
      <c r="E5050" s="2">
        <v>2.4700000000000002</v>
      </c>
      <c r="F5050" s="2">
        <v>62.9</v>
      </c>
      <c r="G5050" s="2" t="s">
        <v>983</v>
      </c>
      <c r="H5050" s="2" t="s">
        <v>984</v>
      </c>
      <c r="I5050" s="2"/>
      <c r="J5050" s="2" t="s">
        <v>46</v>
      </c>
    </row>
    <row r="5051" spans="1:10" ht="21" customHeight="1">
      <c r="A5051" s="2" t="s">
        <v>6051</v>
      </c>
      <c r="B5051" s="2" t="s">
        <v>46</v>
      </c>
      <c r="C5051" s="4">
        <v>45962.25</v>
      </c>
      <c r="D5051" s="4">
        <v>45962.2504778125</v>
      </c>
      <c r="E5051" s="2">
        <v>3.14</v>
      </c>
      <c r="F5051" s="2">
        <v>58.6</v>
      </c>
      <c r="G5051" s="2" t="s">
        <v>983</v>
      </c>
      <c r="H5051" s="2" t="s">
        <v>984</v>
      </c>
      <c r="I5051" s="2"/>
      <c r="J5051" s="2" t="s">
        <v>46</v>
      </c>
    </row>
    <row r="5052" spans="1:10" ht="21" customHeight="1">
      <c r="A5052" s="2" t="s">
        <v>6052</v>
      </c>
      <c r="B5052" s="2" t="s">
        <v>46</v>
      </c>
      <c r="C5052" s="4">
        <v>45963.25</v>
      </c>
      <c r="D5052" s="4">
        <v>45963.250612962962</v>
      </c>
      <c r="E5052" s="2">
        <v>5.6</v>
      </c>
      <c r="F5052" s="2">
        <v>64.400000000000006</v>
      </c>
      <c r="G5052" s="2" t="s">
        <v>983</v>
      </c>
      <c r="H5052" s="2" t="s">
        <v>984</v>
      </c>
      <c r="I5052" s="2"/>
      <c r="J5052" s="2" t="s">
        <v>46</v>
      </c>
    </row>
    <row r="5053" spans="1:10" ht="21" customHeight="1">
      <c r="A5053" s="2" t="s">
        <v>6053</v>
      </c>
      <c r="B5053" s="2" t="s">
        <v>46</v>
      </c>
      <c r="C5053" s="4">
        <v>45964.25</v>
      </c>
      <c r="D5053" s="4">
        <v>45964.250013182871</v>
      </c>
      <c r="E5053" s="2">
        <v>5.52</v>
      </c>
      <c r="F5053" s="2">
        <v>74.2</v>
      </c>
      <c r="G5053" s="2" t="s">
        <v>983</v>
      </c>
      <c r="H5053" s="2" t="s">
        <v>984</v>
      </c>
      <c r="I5053" s="2" t="s">
        <v>1053</v>
      </c>
      <c r="J5053" s="2" t="s">
        <v>46</v>
      </c>
    </row>
    <row r="5054" spans="1:10" ht="21" customHeight="1">
      <c r="A5054" s="2" t="s">
        <v>6054</v>
      </c>
      <c r="B5054" s="2" t="s">
        <v>46</v>
      </c>
      <c r="C5054" s="4">
        <v>45965.25</v>
      </c>
      <c r="D5054" s="4">
        <v>45965.250121631943</v>
      </c>
      <c r="E5054" s="2">
        <v>4.8899999999999997</v>
      </c>
      <c r="F5054" s="2">
        <v>67</v>
      </c>
      <c r="G5054" s="2" t="s">
        <v>983</v>
      </c>
      <c r="H5054" s="2" t="s">
        <v>984</v>
      </c>
      <c r="I5054" s="2"/>
      <c r="J5054" s="2" t="s">
        <v>46</v>
      </c>
    </row>
    <row r="5055" spans="1:10" ht="21" customHeight="1">
      <c r="A5055" s="2" t="s">
        <v>6055</v>
      </c>
      <c r="B5055" s="2" t="s">
        <v>46</v>
      </c>
      <c r="C5055" s="4">
        <v>45966.25</v>
      </c>
      <c r="D5055" s="4">
        <v>45966.25066164352</v>
      </c>
      <c r="E5055" s="2">
        <v>2.5</v>
      </c>
      <c r="F5055" s="2">
        <v>58.1</v>
      </c>
      <c r="G5055" s="2" t="s">
        <v>983</v>
      </c>
      <c r="H5055" s="2" t="s">
        <v>984</v>
      </c>
      <c r="I5055" s="2"/>
      <c r="J5055" s="2" t="s">
        <v>46</v>
      </c>
    </row>
    <row r="5056" spans="1:10" ht="21" customHeight="1">
      <c r="A5056" s="2" t="s">
        <v>6056</v>
      </c>
      <c r="B5056" s="2" t="s">
        <v>46</v>
      </c>
      <c r="C5056" s="4">
        <v>45967.25</v>
      </c>
      <c r="D5056" s="4">
        <v>45967.250549594908</v>
      </c>
      <c r="E5056" s="2">
        <v>2.8</v>
      </c>
      <c r="F5056" s="2">
        <v>61.6</v>
      </c>
      <c r="G5056" s="2" t="s">
        <v>983</v>
      </c>
      <c r="H5056" s="2" t="s">
        <v>984</v>
      </c>
      <c r="I5056" s="2"/>
      <c r="J5056" s="2" t="s">
        <v>46</v>
      </c>
    </row>
    <row r="5057" spans="1:10" ht="21" customHeight="1">
      <c r="A5057" s="2" t="s">
        <v>6057</v>
      </c>
      <c r="B5057" s="2" t="s">
        <v>46</v>
      </c>
      <c r="C5057" s="4">
        <v>45968.25</v>
      </c>
      <c r="D5057" s="4">
        <v>45968.250344189815</v>
      </c>
      <c r="E5057" s="2">
        <v>3.02</v>
      </c>
      <c r="F5057" s="2">
        <v>63</v>
      </c>
      <c r="G5057" s="2" t="s">
        <v>983</v>
      </c>
      <c r="H5057" s="2" t="s">
        <v>984</v>
      </c>
      <c r="I5057" s="2"/>
      <c r="J5057" s="2" t="s">
        <v>46</v>
      </c>
    </row>
    <row r="5058" spans="1:10" ht="21" customHeight="1">
      <c r="A5058" s="2" t="s">
        <v>6058</v>
      </c>
      <c r="B5058" s="2" t="s">
        <v>46</v>
      </c>
      <c r="C5058" s="4">
        <v>45969.25</v>
      </c>
      <c r="D5058" s="4">
        <v>45969.250257141204</v>
      </c>
      <c r="E5058" s="2">
        <v>2.8</v>
      </c>
      <c r="F5058" s="2">
        <v>65.099999999999994</v>
      </c>
      <c r="G5058" s="2" t="s">
        <v>983</v>
      </c>
      <c r="H5058" s="2" t="s">
        <v>984</v>
      </c>
      <c r="I5058" s="2"/>
      <c r="J5058" s="2" t="s">
        <v>46</v>
      </c>
    </row>
    <row r="5059" spans="1:10" ht="21" customHeight="1">
      <c r="A5059" s="2" t="s">
        <v>6059</v>
      </c>
      <c r="B5059" s="2" t="s">
        <v>46</v>
      </c>
      <c r="C5059" s="4">
        <v>45970.25</v>
      </c>
      <c r="D5059" s="4">
        <v>45970.25009001157</v>
      </c>
      <c r="E5059" s="2">
        <v>2.4500000000000002</v>
      </c>
      <c r="F5059" s="2">
        <v>65.5</v>
      </c>
      <c r="G5059" s="2" t="s">
        <v>983</v>
      </c>
      <c r="H5059" s="2" t="s">
        <v>984</v>
      </c>
      <c r="I5059" s="2"/>
      <c r="J5059" s="2" t="s">
        <v>46</v>
      </c>
    </row>
    <row r="5060" spans="1:10" ht="21" customHeight="1">
      <c r="A5060" s="2" t="s">
        <v>6060</v>
      </c>
      <c r="B5060" s="2" t="s">
        <v>46</v>
      </c>
      <c r="C5060" s="4">
        <v>45971.25</v>
      </c>
      <c r="D5060" s="4">
        <v>45971.250518912042</v>
      </c>
      <c r="E5060" s="2"/>
      <c r="F5060" s="2"/>
      <c r="G5060" s="2" t="s">
        <v>983</v>
      </c>
      <c r="H5060" s="2" t="s">
        <v>1066</v>
      </c>
      <c r="I5060" s="2"/>
      <c r="J5060" s="2" t="s">
        <v>46</v>
      </c>
    </row>
    <row r="5061" spans="1:10" ht="21" customHeight="1">
      <c r="A5061" s="2" t="s">
        <v>6061</v>
      </c>
      <c r="B5061" s="2" t="s">
        <v>46</v>
      </c>
      <c r="C5061" s="4">
        <v>45972.25</v>
      </c>
      <c r="D5061" s="4">
        <v>45972.250215324078</v>
      </c>
      <c r="E5061" s="2">
        <v>2.2599999999999998</v>
      </c>
      <c r="F5061" s="2">
        <v>61.9</v>
      </c>
      <c r="G5061" s="2" t="s">
        <v>983</v>
      </c>
      <c r="H5061" s="2" t="s">
        <v>984</v>
      </c>
      <c r="I5061" s="2"/>
      <c r="J5061" s="2" t="s">
        <v>46</v>
      </c>
    </row>
    <row r="5062" spans="1:10" ht="21" customHeight="1">
      <c r="A5062" s="2" t="s">
        <v>6062</v>
      </c>
      <c r="B5062" s="2" t="s">
        <v>46</v>
      </c>
      <c r="C5062" s="4">
        <v>45973.25</v>
      </c>
      <c r="D5062" s="4">
        <v>45973.250480787035</v>
      </c>
      <c r="E5062" s="2">
        <v>3.28</v>
      </c>
      <c r="F5062" s="2">
        <v>64.3</v>
      </c>
      <c r="G5062" s="2" t="s">
        <v>983</v>
      </c>
      <c r="H5062" s="2" t="s">
        <v>984</v>
      </c>
      <c r="I5062" s="2"/>
      <c r="J5062" s="2" t="s">
        <v>46</v>
      </c>
    </row>
    <row r="5063" spans="1:10" ht="21" customHeight="1">
      <c r="A5063" s="2" t="s">
        <v>6063</v>
      </c>
      <c r="B5063" s="2" t="s">
        <v>46</v>
      </c>
      <c r="C5063" s="4">
        <v>45974.25</v>
      </c>
      <c r="D5063" s="4">
        <v>45974.250596770835</v>
      </c>
      <c r="E5063" s="2">
        <v>3.2</v>
      </c>
      <c r="F5063" s="2">
        <v>61.4</v>
      </c>
      <c r="G5063" s="2" t="s">
        <v>983</v>
      </c>
      <c r="H5063" s="2" t="s">
        <v>984</v>
      </c>
      <c r="I5063" s="2"/>
      <c r="J5063" s="2" t="s">
        <v>46</v>
      </c>
    </row>
    <row r="5064" spans="1:10" ht="21" customHeight="1">
      <c r="A5064" s="2" t="s">
        <v>6064</v>
      </c>
      <c r="B5064" s="2" t="s">
        <v>46</v>
      </c>
      <c r="C5064" s="4">
        <v>45975.25</v>
      </c>
      <c r="D5064" s="4">
        <v>45975.25065021991</v>
      </c>
      <c r="E5064" s="2">
        <v>2.25</v>
      </c>
      <c r="F5064" s="2">
        <v>63.7</v>
      </c>
      <c r="G5064" s="2" t="s">
        <v>983</v>
      </c>
      <c r="H5064" s="2" t="s">
        <v>984</v>
      </c>
      <c r="I5064" s="2"/>
      <c r="J5064" s="2" t="s">
        <v>46</v>
      </c>
    </row>
    <row r="5065" spans="1:10" ht="21" customHeight="1">
      <c r="A5065" s="2" t="s">
        <v>6065</v>
      </c>
      <c r="B5065" s="2" t="s">
        <v>46</v>
      </c>
      <c r="C5065" s="4">
        <v>45976.25</v>
      </c>
      <c r="D5065" s="4">
        <v>45976.250317557875</v>
      </c>
      <c r="E5065" s="2">
        <v>3.24</v>
      </c>
      <c r="F5065" s="2">
        <v>59.5</v>
      </c>
      <c r="G5065" s="2" t="s">
        <v>983</v>
      </c>
      <c r="H5065" s="2" t="s">
        <v>984</v>
      </c>
      <c r="I5065" s="2"/>
      <c r="J5065" s="2" t="s">
        <v>46</v>
      </c>
    </row>
    <row r="5066" spans="1:10" ht="21" customHeight="1">
      <c r="A5066" s="2" t="s">
        <v>6066</v>
      </c>
      <c r="B5066" s="2" t="s">
        <v>46</v>
      </c>
      <c r="C5066" s="4">
        <v>45977.25</v>
      </c>
      <c r="D5066" s="4">
        <v>45977.250659004625</v>
      </c>
      <c r="E5066" s="2">
        <v>2.76</v>
      </c>
      <c r="F5066" s="2">
        <v>62.8</v>
      </c>
      <c r="G5066" s="2" t="s">
        <v>983</v>
      </c>
      <c r="H5066" s="2" t="s">
        <v>984</v>
      </c>
      <c r="I5066" s="2"/>
      <c r="J5066" s="2" t="s">
        <v>46</v>
      </c>
    </row>
    <row r="5067" spans="1:10" ht="21" customHeight="1">
      <c r="A5067" s="2" t="s">
        <v>6067</v>
      </c>
      <c r="B5067" s="2" t="s">
        <v>46</v>
      </c>
      <c r="C5067" s="4">
        <v>45978.25</v>
      </c>
      <c r="D5067" s="4">
        <v>45978.250263784721</v>
      </c>
      <c r="E5067" s="2">
        <v>2.82</v>
      </c>
      <c r="F5067" s="2">
        <v>60.8</v>
      </c>
      <c r="G5067" s="2" t="s">
        <v>983</v>
      </c>
      <c r="H5067" s="2" t="s">
        <v>984</v>
      </c>
      <c r="I5067" s="2"/>
      <c r="J5067" s="2" t="s">
        <v>46</v>
      </c>
    </row>
    <row r="5068" spans="1:10" ht="21" customHeight="1">
      <c r="A5068" s="2" t="s">
        <v>6068</v>
      </c>
      <c r="B5068" s="2" t="s">
        <v>46</v>
      </c>
      <c r="C5068" s="4">
        <v>45979.25</v>
      </c>
      <c r="D5068" s="4">
        <v>45979.250372210648</v>
      </c>
      <c r="E5068" s="2">
        <v>5.29</v>
      </c>
      <c r="F5068" s="2">
        <v>70.3</v>
      </c>
      <c r="G5068" s="2" t="s">
        <v>983</v>
      </c>
      <c r="H5068" s="2" t="s">
        <v>984</v>
      </c>
      <c r="I5068" s="2"/>
      <c r="J5068" s="2" t="s">
        <v>46</v>
      </c>
    </row>
    <row r="5069" spans="1:10" ht="21" customHeight="1">
      <c r="A5069" s="2" t="s">
        <v>6069</v>
      </c>
      <c r="B5069" s="2" t="s">
        <v>46</v>
      </c>
      <c r="C5069" s="4">
        <v>45980.25</v>
      </c>
      <c r="D5069" s="4">
        <v>45980.250037754631</v>
      </c>
      <c r="E5069" s="2">
        <v>5.33</v>
      </c>
      <c r="F5069" s="2">
        <v>72.900000000000006</v>
      </c>
      <c r="G5069" s="2" t="s">
        <v>983</v>
      </c>
      <c r="H5069" s="2" t="s">
        <v>984</v>
      </c>
      <c r="I5069" s="2" t="s">
        <v>1053</v>
      </c>
      <c r="J5069" s="2" t="s">
        <v>46</v>
      </c>
    </row>
    <row r="5070" spans="1:10" ht="21" customHeight="1">
      <c r="A5070" s="2" t="s">
        <v>6070</v>
      </c>
      <c r="B5070" s="2" t="s">
        <v>46</v>
      </c>
      <c r="C5070" s="4">
        <v>45981.25</v>
      </c>
      <c r="D5070" s="4">
        <v>45981.250197291665</v>
      </c>
      <c r="E5070" s="2">
        <v>4</v>
      </c>
      <c r="F5070" s="2">
        <v>66.7</v>
      </c>
      <c r="G5070" s="2" t="s">
        <v>983</v>
      </c>
      <c r="H5070" s="2" t="s">
        <v>984</v>
      </c>
      <c r="I5070" s="2" t="s">
        <v>985</v>
      </c>
      <c r="J5070" s="2" t="s">
        <v>46</v>
      </c>
    </row>
    <row r="5071" spans="1:10" ht="21" customHeight="1">
      <c r="A5071" s="2" t="s">
        <v>6071</v>
      </c>
      <c r="B5071" s="2" t="s">
        <v>46</v>
      </c>
      <c r="C5071" s="4">
        <v>45982.25</v>
      </c>
      <c r="D5071" s="4">
        <v>45982.250040879633</v>
      </c>
      <c r="E5071" s="2">
        <v>0</v>
      </c>
      <c r="F5071" s="2">
        <v>61.7</v>
      </c>
      <c r="G5071" s="2" t="s">
        <v>1175</v>
      </c>
      <c r="H5071" s="2" t="s">
        <v>984</v>
      </c>
      <c r="I5071" s="2"/>
      <c r="J5071" s="2" t="s">
        <v>46</v>
      </c>
    </row>
    <row r="5072" spans="1:10" ht="21" customHeight="1">
      <c r="A5072" s="2" t="s">
        <v>6072</v>
      </c>
      <c r="B5072" s="2" t="s">
        <v>46</v>
      </c>
      <c r="C5072" s="4">
        <v>45983.25</v>
      </c>
      <c r="D5072" s="4">
        <v>45983.250269710647</v>
      </c>
      <c r="E5072" s="2">
        <v>2.98</v>
      </c>
      <c r="F5072" s="2">
        <v>62.4</v>
      </c>
      <c r="G5072" s="2" t="s">
        <v>983</v>
      </c>
      <c r="H5072" s="2" t="s">
        <v>984</v>
      </c>
      <c r="I5072" s="2"/>
      <c r="J5072" s="2" t="s">
        <v>46</v>
      </c>
    </row>
    <row r="5073" spans="1:10" ht="21" customHeight="1">
      <c r="A5073" s="2" t="s">
        <v>6073</v>
      </c>
      <c r="B5073" s="2" t="s">
        <v>46</v>
      </c>
      <c r="C5073" s="4">
        <v>45984.25</v>
      </c>
      <c r="D5073" s="4">
        <v>45984.250473680557</v>
      </c>
      <c r="E5073" s="2">
        <v>2.77</v>
      </c>
      <c r="F5073" s="2">
        <v>59.9</v>
      </c>
      <c r="G5073" s="2" t="s">
        <v>983</v>
      </c>
      <c r="H5073" s="2" t="s">
        <v>984</v>
      </c>
      <c r="I5073" s="2"/>
      <c r="J5073" s="2" t="s">
        <v>46</v>
      </c>
    </row>
    <row r="5074" spans="1:10" ht="21" customHeight="1">
      <c r="A5074" s="2" t="s">
        <v>6074</v>
      </c>
      <c r="B5074" s="2" t="s">
        <v>46</v>
      </c>
      <c r="C5074" s="4">
        <v>45985.25</v>
      </c>
      <c r="D5074" s="4">
        <v>45985.250417326388</v>
      </c>
      <c r="E5074" s="2">
        <v>3.19</v>
      </c>
      <c r="F5074" s="2">
        <v>62.4</v>
      </c>
      <c r="G5074" s="2" t="s">
        <v>983</v>
      </c>
      <c r="H5074" s="2" t="s">
        <v>984</v>
      </c>
      <c r="I5074" s="2"/>
      <c r="J5074" s="2" t="s">
        <v>46</v>
      </c>
    </row>
    <row r="5075" spans="1:10" ht="21" customHeight="1">
      <c r="A5075" s="2" t="s">
        <v>6075</v>
      </c>
      <c r="B5075" s="2" t="s">
        <v>46</v>
      </c>
      <c r="C5075" s="4">
        <v>45986.25</v>
      </c>
      <c r="D5075" s="4">
        <v>45986.250063414351</v>
      </c>
      <c r="E5075" s="2">
        <v>3.26</v>
      </c>
      <c r="F5075" s="2">
        <v>63.1</v>
      </c>
      <c r="G5075" s="2" t="s">
        <v>983</v>
      </c>
      <c r="H5075" s="2" t="s">
        <v>984</v>
      </c>
      <c r="I5075" s="2"/>
      <c r="J5075" s="2" t="s">
        <v>46</v>
      </c>
    </row>
    <row r="5076" spans="1:10" ht="21" customHeight="1">
      <c r="A5076" s="2" t="s">
        <v>6076</v>
      </c>
      <c r="B5076" s="2" t="s">
        <v>46</v>
      </c>
      <c r="C5076" s="4">
        <v>45987.25</v>
      </c>
      <c r="D5076" s="4">
        <v>45987.250472268519</v>
      </c>
      <c r="E5076" s="2">
        <v>2.6</v>
      </c>
      <c r="F5076" s="2">
        <v>64.7</v>
      </c>
      <c r="G5076" s="2" t="s">
        <v>983</v>
      </c>
      <c r="H5076" s="2" t="s">
        <v>984</v>
      </c>
      <c r="I5076" s="2"/>
      <c r="J5076" s="2" t="s">
        <v>46</v>
      </c>
    </row>
    <row r="5077" spans="1:10" ht="21" customHeight="1">
      <c r="A5077" s="2" t="s">
        <v>6077</v>
      </c>
      <c r="B5077" s="2" t="s">
        <v>46</v>
      </c>
      <c r="C5077" s="4">
        <v>45988.25</v>
      </c>
      <c r="D5077" s="4">
        <v>45988.250248668977</v>
      </c>
      <c r="E5077" s="2">
        <v>2.73</v>
      </c>
      <c r="F5077" s="2">
        <v>59.3</v>
      </c>
      <c r="G5077" s="2" t="s">
        <v>983</v>
      </c>
      <c r="H5077" s="2" t="s">
        <v>984</v>
      </c>
      <c r="I5077" s="2"/>
      <c r="J5077" s="2" t="s">
        <v>46</v>
      </c>
    </row>
    <row r="5078" spans="1:10" ht="21" customHeight="1">
      <c r="A5078" s="2" t="s">
        <v>6078</v>
      </c>
      <c r="B5078" s="2" t="s">
        <v>46</v>
      </c>
      <c r="C5078" s="4">
        <v>45989.25</v>
      </c>
      <c r="D5078" s="4">
        <v>45989.250534699073</v>
      </c>
      <c r="E5078" s="2">
        <v>2.29</v>
      </c>
      <c r="F5078" s="2">
        <v>61.3</v>
      </c>
      <c r="G5078" s="2" t="s">
        <v>983</v>
      </c>
      <c r="H5078" s="2" t="s">
        <v>984</v>
      </c>
      <c r="I5078" s="2"/>
      <c r="J5078" s="2" t="s">
        <v>46</v>
      </c>
    </row>
    <row r="5079" spans="1:10" ht="21" customHeight="1">
      <c r="A5079" s="2" t="s">
        <v>6079</v>
      </c>
      <c r="B5079" s="2" t="s">
        <v>46</v>
      </c>
      <c r="C5079" s="4">
        <v>45990.25</v>
      </c>
      <c r="D5079" s="4">
        <v>45990.250033182871</v>
      </c>
      <c r="E5079" s="2">
        <v>3.02</v>
      </c>
      <c r="F5079" s="2">
        <v>61.5</v>
      </c>
      <c r="G5079" s="2" t="s">
        <v>983</v>
      </c>
      <c r="H5079" s="2" t="s">
        <v>984</v>
      </c>
      <c r="I5079" s="2"/>
      <c r="J5079" s="2" t="s">
        <v>46</v>
      </c>
    </row>
    <row r="5080" spans="1:10" ht="21" customHeight="1">
      <c r="A5080" s="2" t="s">
        <v>6080</v>
      </c>
      <c r="B5080" s="2" t="s">
        <v>46</v>
      </c>
      <c r="C5080" s="4">
        <v>45991.25</v>
      </c>
      <c r="D5080" s="4">
        <v>45991.250647349538</v>
      </c>
      <c r="E5080" s="2">
        <v>2.92</v>
      </c>
      <c r="F5080" s="2">
        <v>63.1</v>
      </c>
      <c r="G5080" s="2" t="s">
        <v>983</v>
      </c>
      <c r="H5080" s="2" t="s">
        <v>984</v>
      </c>
      <c r="I5080" s="2"/>
      <c r="J5080" s="2" t="s">
        <v>46</v>
      </c>
    </row>
    <row r="5081" spans="1:10" ht="21" customHeight="1">
      <c r="A5081" s="2" t="s">
        <v>6081</v>
      </c>
      <c r="B5081" s="2" t="s">
        <v>46</v>
      </c>
      <c r="C5081" s="4">
        <v>45992.25</v>
      </c>
      <c r="D5081" s="4">
        <v>45992.250122800921</v>
      </c>
      <c r="E5081" s="2">
        <v>2.88</v>
      </c>
      <c r="F5081" s="2">
        <v>65.900000000000006</v>
      </c>
      <c r="G5081" s="2" t="s">
        <v>983</v>
      </c>
      <c r="H5081" s="2" t="s">
        <v>984</v>
      </c>
      <c r="I5081" s="2"/>
      <c r="J5081" s="2" t="s">
        <v>46</v>
      </c>
    </row>
    <row r="5082" spans="1:10" ht="21" customHeight="1">
      <c r="A5082" s="2" t="s">
        <v>6082</v>
      </c>
      <c r="B5082" s="2" t="s">
        <v>46</v>
      </c>
      <c r="C5082" s="4">
        <v>45993.25</v>
      </c>
      <c r="D5082" s="4">
        <v>45993.250648703703</v>
      </c>
      <c r="E5082" s="2">
        <v>2.98</v>
      </c>
      <c r="F5082" s="2">
        <v>65.400000000000006</v>
      </c>
      <c r="G5082" s="2" t="s">
        <v>983</v>
      </c>
      <c r="H5082" s="2" t="s">
        <v>984</v>
      </c>
      <c r="I5082" s="2"/>
      <c r="J5082" s="2" t="s">
        <v>46</v>
      </c>
    </row>
    <row r="5083" spans="1:10" ht="21" customHeight="1">
      <c r="A5083" s="2" t="s">
        <v>6083</v>
      </c>
      <c r="B5083" s="2" t="s">
        <v>46</v>
      </c>
      <c r="C5083" s="4">
        <v>45994.25</v>
      </c>
      <c r="D5083" s="4">
        <v>45994.25007707176</v>
      </c>
      <c r="E5083" s="2">
        <v>3.14</v>
      </c>
      <c r="F5083" s="2">
        <v>61.3</v>
      </c>
      <c r="G5083" s="2" t="s">
        <v>983</v>
      </c>
      <c r="H5083" s="2" t="s">
        <v>984</v>
      </c>
      <c r="I5083" s="2"/>
      <c r="J5083" s="2" t="s">
        <v>46</v>
      </c>
    </row>
    <row r="5084" spans="1:10" ht="21" customHeight="1">
      <c r="A5084" s="2" t="s">
        <v>6084</v>
      </c>
      <c r="B5084" s="2" t="s">
        <v>46</v>
      </c>
      <c r="C5084" s="4">
        <v>45995.25</v>
      </c>
      <c r="D5084" s="4">
        <v>45995.250324814813</v>
      </c>
      <c r="E5084" s="2">
        <v>2.2000000000000002</v>
      </c>
      <c r="F5084" s="2">
        <v>64.900000000000006</v>
      </c>
      <c r="G5084" s="2" t="s">
        <v>983</v>
      </c>
      <c r="H5084" s="2" t="s">
        <v>984</v>
      </c>
      <c r="I5084" s="2"/>
      <c r="J5084" s="2" t="s">
        <v>46</v>
      </c>
    </row>
    <row r="5085" spans="1:10" ht="21" customHeight="1">
      <c r="A5085" s="2" t="s">
        <v>6085</v>
      </c>
      <c r="B5085" s="2" t="s">
        <v>46</v>
      </c>
      <c r="C5085" s="4">
        <v>45996.25</v>
      </c>
      <c r="D5085" s="4">
        <v>45996.250514814819</v>
      </c>
      <c r="E5085" s="2">
        <v>3.24</v>
      </c>
      <c r="F5085" s="2">
        <v>63.3</v>
      </c>
      <c r="G5085" s="2" t="s">
        <v>983</v>
      </c>
      <c r="H5085" s="2" t="s">
        <v>984</v>
      </c>
      <c r="I5085" s="2"/>
      <c r="J5085" s="2" t="s">
        <v>46</v>
      </c>
    </row>
    <row r="5086" spans="1:10" ht="21" customHeight="1">
      <c r="A5086" s="2" t="s">
        <v>6086</v>
      </c>
      <c r="B5086" s="2" t="s">
        <v>5758</v>
      </c>
      <c r="C5086" s="4">
        <v>45997.25</v>
      </c>
      <c r="D5086" s="4">
        <v>45997.250240879628</v>
      </c>
      <c r="E5086" s="2">
        <v>3.05</v>
      </c>
      <c r="F5086" s="2">
        <v>62.7</v>
      </c>
      <c r="G5086" s="2" t="s">
        <v>983</v>
      </c>
      <c r="H5086" s="2" t="s">
        <v>984</v>
      </c>
      <c r="I5086" s="2"/>
      <c r="J5086" s="2" t="s">
        <v>46</v>
      </c>
    </row>
    <row r="5087" spans="1:10" ht="21" customHeight="1">
      <c r="A5087" s="2" t="s">
        <v>6087</v>
      </c>
      <c r="B5087" s="2" t="s">
        <v>46</v>
      </c>
      <c r="C5087" s="4">
        <v>45998.25</v>
      </c>
      <c r="D5087" s="4">
        <v>45998.250166817132</v>
      </c>
      <c r="E5087" s="2">
        <v>2.75</v>
      </c>
      <c r="F5087" s="2">
        <v>61.8</v>
      </c>
      <c r="G5087" s="2" t="s">
        <v>983</v>
      </c>
      <c r="H5087" s="2" t="s">
        <v>984</v>
      </c>
      <c r="I5087" s="2" t="s">
        <v>985</v>
      </c>
      <c r="J5087" s="2" t="s">
        <v>46</v>
      </c>
    </row>
    <row r="5088" spans="1:10" ht="21" customHeight="1">
      <c r="A5088" s="2" t="s">
        <v>6088</v>
      </c>
      <c r="B5088" s="2" t="s">
        <v>46</v>
      </c>
      <c r="C5088" s="4">
        <v>45999.25</v>
      </c>
      <c r="D5088" s="4">
        <v>45999.250037800928</v>
      </c>
      <c r="E5088" s="2">
        <v>2.63</v>
      </c>
      <c r="F5088" s="2">
        <v>60.8</v>
      </c>
      <c r="G5088" s="2" t="s">
        <v>983</v>
      </c>
      <c r="H5088" s="2" t="s">
        <v>984</v>
      </c>
      <c r="I5088" s="2"/>
      <c r="J5088" s="2" t="s">
        <v>46</v>
      </c>
    </row>
    <row r="5089" spans="1:10" ht="21" customHeight="1">
      <c r="A5089" s="2" t="s">
        <v>6089</v>
      </c>
      <c r="B5089" s="2" t="s">
        <v>46</v>
      </c>
      <c r="C5089" s="4">
        <v>46000.25</v>
      </c>
      <c r="D5089" s="4">
        <v>46000.250055335651</v>
      </c>
      <c r="E5089" s="2">
        <v>2.79</v>
      </c>
      <c r="F5089" s="2">
        <v>65.599999999999994</v>
      </c>
      <c r="G5089" s="2" t="s">
        <v>983</v>
      </c>
      <c r="H5089" s="2" t="s">
        <v>984</v>
      </c>
      <c r="I5089" s="2"/>
      <c r="J5089" s="2" t="s">
        <v>46</v>
      </c>
    </row>
    <row r="5090" spans="1:10" ht="21" customHeight="1">
      <c r="A5090" s="2" t="s">
        <v>6090</v>
      </c>
      <c r="B5090" s="2" t="s">
        <v>46</v>
      </c>
      <c r="C5090" s="4">
        <v>46001.25</v>
      </c>
      <c r="D5090" s="4">
        <v>46001.25023445602</v>
      </c>
      <c r="E5090" s="2">
        <v>0</v>
      </c>
      <c r="F5090" s="2">
        <v>64.400000000000006</v>
      </c>
      <c r="G5090" s="2" t="s">
        <v>1175</v>
      </c>
      <c r="H5090" s="2" t="s">
        <v>984</v>
      </c>
      <c r="I5090" s="2"/>
      <c r="J5090" s="2" t="s">
        <v>46</v>
      </c>
    </row>
    <row r="5091" spans="1:10" ht="21" customHeight="1">
      <c r="A5091" s="2" t="s">
        <v>6091</v>
      </c>
      <c r="B5091" s="2" t="s">
        <v>46</v>
      </c>
      <c r="C5091" s="4">
        <v>46002.25</v>
      </c>
      <c r="D5091" s="4">
        <v>46002.25041706019</v>
      </c>
      <c r="E5091" s="2">
        <v>2.27</v>
      </c>
      <c r="F5091" s="2">
        <v>64.400000000000006</v>
      </c>
      <c r="G5091" s="2" t="s">
        <v>983</v>
      </c>
      <c r="H5091" s="2" t="s">
        <v>984</v>
      </c>
      <c r="I5091" s="2"/>
      <c r="J5091" s="2" t="s">
        <v>46</v>
      </c>
    </row>
    <row r="5092" spans="1:10" ht="21" customHeight="1">
      <c r="A5092" s="2" t="s">
        <v>6092</v>
      </c>
      <c r="B5092" s="2" t="s">
        <v>46</v>
      </c>
      <c r="C5092" s="4">
        <v>46003.25</v>
      </c>
      <c r="D5092" s="4">
        <v>46003.250660324076</v>
      </c>
      <c r="E5092" s="2">
        <v>2.52</v>
      </c>
      <c r="F5092" s="2">
        <v>63.3</v>
      </c>
      <c r="G5092" s="2" t="s">
        <v>983</v>
      </c>
      <c r="H5092" s="2" t="s">
        <v>984</v>
      </c>
      <c r="I5092" s="2"/>
      <c r="J5092" s="2" t="s">
        <v>46</v>
      </c>
    </row>
    <row r="5093" spans="1:10" ht="21" customHeight="1">
      <c r="A5093" s="2" t="s">
        <v>6093</v>
      </c>
      <c r="B5093" s="2" t="s">
        <v>46</v>
      </c>
      <c r="C5093" s="4">
        <v>46004.25</v>
      </c>
      <c r="D5093" s="4">
        <v>46004.250393796297</v>
      </c>
      <c r="E5093" s="2">
        <v>3.1</v>
      </c>
      <c r="F5093" s="2">
        <v>63.7</v>
      </c>
      <c r="G5093" s="2" t="s">
        <v>983</v>
      </c>
      <c r="H5093" s="2" t="s">
        <v>984</v>
      </c>
      <c r="I5093" s="2"/>
      <c r="J5093" s="2" t="s">
        <v>46</v>
      </c>
    </row>
    <row r="5094" spans="1:10" ht="21" customHeight="1">
      <c r="A5094" s="2" t="s">
        <v>6094</v>
      </c>
      <c r="B5094" s="2" t="s">
        <v>46</v>
      </c>
      <c r="C5094" s="4">
        <v>46005.25</v>
      </c>
      <c r="D5094" s="4">
        <v>46005.250122881946</v>
      </c>
      <c r="E5094" s="2">
        <v>2.91</v>
      </c>
      <c r="F5094" s="2">
        <v>61.5</v>
      </c>
      <c r="G5094" s="2" t="s">
        <v>983</v>
      </c>
      <c r="H5094" s="2" t="s">
        <v>984</v>
      </c>
      <c r="I5094" s="2"/>
      <c r="J5094" s="2" t="s">
        <v>46</v>
      </c>
    </row>
    <row r="5095" spans="1:10" ht="21" customHeight="1">
      <c r="A5095" s="2" t="s">
        <v>6095</v>
      </c>
      <c r="B5095" s="2" t="s">
        <v>46</v>
      </c>
      <c r="C5095" s="4">
        <v>46006.25</v>
      </c>
      <c r="D5095" s="4">
        <v>46006.250442800927</v>
      </c>
      <c r="E5095" s="2">
        <v>3.25</v>
      </c>
      <c r="F5095" s="2">
        <v>60.5</v>
      </c>
      <c r="G5095" s="2" t="s">
        <v>983</v>
      </c>
      <c r="H5095" s="2" t="s">
        <v>984</v>
      </c>
      <c r="I5095" s="2"/>
      <c r="J5095" s="2" t="s">
        <v>46</v>
      </c>
    </row>
    <row r="5096" spans="1:10" ht="21" customHeight="1">
      <c r="A5096" s="2" t="s">
        <v>6096</v>
      </c>
      <c r="B5096" s="2" t="s">
        <v>46</v>
      </c>
      <c r="C5096" s="4">
        <v>46007.25</v>
      </c>
      <c r="D5096" s="4">
        <v>46007.250683993057</v>
      </c>
      <c r="E5096" s="2">
        <v>2.97</v>
      </c>
      <c r="F5096" s="2">
        <v>63.4</v>
      </c>
      <c r="G5096" s="2" t="s">
        <v>983</v>
      </c>
      <c r="H5096" s="2" t="s">
        <v>984</v>
      </c>
      <c r="I5096" s="2"/>
      <c r="J5096" s="2" t="s">
        <v>46</v>
      </c>
    </row>
    <row r="5097" spans="1:10" ht="21" customHeight="1">
      <c r="A5097" s="2" t="s">
        <v>6097</v>
      </c>
      <c r="B5097" s="2" t="s">
        <v>46</v>
      </c>
      <c r="C5097" s="4">
        <v>46008.25</v>
      </c>
      <c r="D5097" s="4">
        <v>46008.250586620372</v>
      </c>
      <c r="E5097" s="2">
        <v>2.82</v>
      </c>
      <c r="F5097" s="2">
        <v>60.3</v>
      </c>
      <c r="G5097" s="2" t="s">
        <v>983</v>
      </c>
      <c r="H5097" s="2" t="s">
        <v>984</v>
      </c>
      <c r="I5097" s="2"/>
      <c r="J5097" s="2" t="s">
        <v>46</v>
      </c>
    </row>
    <row r="5098" spans="1:10" ht="21" customHeight="1">
      <c r="A5098" s="2" t="s">
        <v>6098</v>
      </c>
      <c r="B5098" s="2" t="s">
        <v>46</v>
      </c>
      <c r="C5098" s="4">
        <v>46009.25</v>
      </c>
      <c r="D5098" s="4">
        <v>46009.250044537039</v>
      </c>
      <c r="E5098" s="2">
        <v>5.51</v>
      </c>
      <c r="F5098" s="2">
        <v>69.900000000000006</v>
      </c>
      <c r="G5098" s="2" t="s">
        <v>983</v>
      </c>
      <c r="H5098" s="2" t="s">
        <v>984</v>
      </c>
      <c r="I5098" s="2"/>
      <c r="J5098" s="2" t="s">
        <v>46</v>
      </c>
    </row>
    <row r="5099" spans="1:10" ht="21" customHeight="1">
      <c r="A5099" s="2" t="s">
        <v>6099</v>
      </c>
      <c r="B5099" s="2" t="s">
        <v>46</v>
      </c>
      <c r="C5099" s="4">
        <v>46010.25</v>
      </c>
      <c r="D5099" s="4">
        <v>46010.250535717598</v>
      </c>
      <c r="E5099" s="2">
        <v>6.49</v>
      </c>
      <c r="F5099" s="2">
        <v>63.4</v>
      </c>
      <c r="G5099" s="2" t="s">
        <v>983</v>
      </c>
      <c r="H5099" s="2" t="s">
        <v>984</v>
      </c>
      <c r="I5099" s="2" t="s">
        <v>1053</v>
      </c>
      <c r="J5099" s="2" t="s">
        <v>46</v>
      </c>
    </row>
    <row r="5100" spans="1:10" ht="21" customHeight="1">
      <c r="A5100" s="2" t="s">
        <v>6100</v>
      </c>
      <c r="B5100" s="2" t="s">
        <v>46</v>
      </c>
      <c r="C5100" s="4">
        <v>46011.25</v>
      </c>
      <c r="D5100" s="4">
        <v>46011.250289560187</v>
      </c>
      <c r="E5100" s="2">
        <v>6.18</v>
      </c>
      <c r="F5100" s="2">
        <v>75.400000000000006</v>
      </c>
      <c r="G5100" s="2" t="s">
        <v>983</v>
      </c>
      <c r="H5100" s="2" t="s">
        <v>984</v>
      </c>
      <c r="I5100" s="2"/>
      <c r="J5100" s="2" t="s">
        <v>46</v>
      </c>
    </row>
    <row r="5101" spans="1:10" ht="21" customHeight="1">
      <c r="A5101" s="2" t="s">
        <v>6101</v>
      </c>
      <c r="B5101" s="2" t="s">
        <v>46</v>
      </c>
      <c r="C5101" s="4">
        <v>46012.25</v>
      </c>
      <c r="D5101" s="4">
        <v>46012.250182719908</v>
      </c>
      <c r="E5101" s="2">
        <v>2.33</v>
      </c>
      <c r="F5101" s="2">
        <v>62.7</v>
      </c>
      <c r="G5101" s="2" t="s">
        <v>983</v>
      </c>
      <c r="H5101" s="2" t="s">
        <v>984</v>
      </c>
      <c r="I5101" s="2"/>
      <c r="J5101" s="2" t="s">
        <v>46</v>
      </c>
    </row>
    <row r="5102" spans="1:10" ht="21" customHeight="1">
      <c r="A5102" s="2" t="s">
        <v>6102</v>
      </c>
      <c r="B5102" s="2" t="s">
        <v>46</v>
      </c>
      <c r="C5102" s="4">
        <v>46013.25</v>
      </c>
      <c r="D5102" s="4">
        <v>46013.250590648153</v>
      </c>
      <c r="E5102" s="2">
        <v>2.63</v>
      </c>
      <c r="F5102" s="2">
        <v>59.6</v>
      </c>
      <c r="G5102" s="2" t="s">
        <v>983</v>
      </c>
      <c r="H5102" s="2" t="s">
        <v>984</v>
      </c>
      <c r="I5102" s="2"/>
      <c r="J5102" s="2" t="s">
        <v>46</v>
      </c>
    </row>
    <row r="5103" spans="1:10" ht="21" customHeight="1">
      <c r="A5103" s="2" t="s">
        <v>6103</v>
      </c>
      <c r="B5103" s="2" t="s">
        <v>46</v>
      </c>
      <c r="C5103" s="4">
        <v>46014.25</v>
      </c>
      <c r="D5103" s="4">
        <v>46014.250602222222</v>
      </c>
      <c r="E5103" s="2">
        <v>3.08</v>
      </c>
      <c r="F5103" s="2">
        <v>59.9</v>
      </c>
      <c r="G5103" s="2" t="s">
        <v>983</v>
      </c>
      <c r="H5103" s="2" t="s">
        <v>984</v>
      </c>
      <c r="I5103" s="2"/>
      <c r="J5103" s="2" t="s">
        <v>46</v>
      </c>
    </row>
    <row r="5104" spans="1:10" ht="21" customHeight="1">
      <c r="A5104" s="2" t="s">
        <v>6104</v>
      </c>
      <c r="B5104" s="2" t="s">
        <v>46</v>
      </c>
      <c r="C5104" s="4">
        <v>46015.25</v>
      </c>
      <c r="D5104" s="4">
        <v>46015.250537511572</v>
      </c>
      <c r="E5104" s="2">
        <v>2.2200000000000002</v>
      </c>
      <c r="F5104" s="2">
        <v>64.099999999999994</v>
      </c>
      <c r="G5104" s="2" t="s">
        <v>983</v>
      </c>
      <c r="H5104" s="2" t="s">
        <v>984</v>
      </c>
      <c r="I5104" s="2" t="s">
        <v>985</v>
      </c>
      <c r="J5104" s="2" t="s">
        <v>46</v>
      </c>
    </row>
    <row r="5105" spans="1:10" ht="21" customHeight="1">
      <c r="A5105" s="2" t="s">
        <v>6105</v>
      </c>
      <c r="B5105" s="2" t="s">
        <v>46</v>
      </c>
      <c r="C5105" s="4">
        <v>46016.25</v>
      </c>
      <c r="D5105" s="4">
        <v>46016.250317303246</v>
      </c>
      <c r="E5105" s="2">
        <v>3.14</v>
      </c>
      <c r="F5105" s="2">
        <v>65.099999999999994</v>
      </c>
      <c r="G5105" s="2" t="s">
        <v>983</v>
      </c>
      <c r="H5105" s="2" t="s">
        <v>984</v>
      </c>
      <c r="I5105" s="2"/>
      <c r="J5105" s="2" t="s">
        <v>46</v>
      </c>
    </row>
    <row r="5106" spans="1:10" ht="21" customHeight="1">
      <c r="A5106" s="2" t="s">
        <v>6106</v>
      </c>
      <c r="B5106" s="2" t="s">
        <v>46</v>
      </c>
      <c r="C5106" s="4">
        <v>46017.25</v>
      </c>
      <c r="D5106" s="4">
        <v>46017.250432824076</v>
      </c>
      <c r="E5106" s="2">
        <v>3.23</v>
      </c>
      <c r="F5106" s="2">
        <v>61.8</v>
      </c>
      <c r="G5106" s="2" t="s">
        <v>983</v>
      </c>
      <c r="H5106" s="2" t="s">
        <v>984</v>
      </c>
      <c r="I5106" s="2"/>
      <c r="J5106" s="2" t="s">
        <v>46</v>
      </c>
    </row>
    <row r="5107" spans="1:10" ht="21" customHeight="1">
      <c r="A5107" s="2" t="s">
        <v>6107</v>
      </c>
      <c r="B5107" s="2" t="s">
        <v>46</v>
      </c>
      <c r="C5107" s="4">
        <v>46018.25</v>
      </c>
      <c r="D5107" s="4">
        <v>46018.250672002316</v>
      </c>
      <c r="E5107" s="2">
        <v>3.29</v>
      </c>
      <c r="F5107" s="2">
        <v>58.4</v>
      </c>
      <c r="G5107" s="2" t="s">
        <v>983</v>
      </c>
      <c r="H5107" s="2" t="s">
        <v>984</v>
      </c>
      <c r="I5107" s="2"/>
      <c r="J5107" s="2" t="s">
        <v>46</v>
      </c>
    </row>
    <row r="5108" spans="1:10" ht="21" customHeight="1">
      <c r="A5108" s="2" t="s">
        <v>6108</v>
      </c>
      <c r="B5108" s="2" t="s">
        <v>46</v>
      </c>
      <c r="C5108" s="4">
        <v>46019.25</v>
      </c>
      <c r="D5108" s="4">
        <v>46019.250685601852</v>
      </c>
      <c r="E5108" s="2">
        <v>2.19</v>
      </c>
      <c r="F5108" s="2">
        <v>59.3</v>
      </c>
      <c r="G5108" s="2" t="s">
        <v>983</v>
      </c>
      <c r="H5108" s="2" t="s">
        <v>984</v>
      </c>
      <c r="I5108" s="2"/>
      <c r="J5108" s="2" t="s">
        <v>46</v>
      </c>
    </row>
    <row r="5109" spans="1:10" ht="21" customHeight="1">
      <c r="A5109" s="2" t="s">
        <v>6109</v>
      </c>
      <c r="B5109" s="2" t="s">
        <v>46</v>
      </c>
      <c r="C5109" s="4">
        <v>46020.25</v>
      </c>
      <c r="D5109" s="4">
        <v>46020.250032164353</v>
      </c>
      <c r="E5109" s="2">
        <v>2.5499999999999998</v>
      </c>
      <c r="F5109" s="2">
        <v>61.7</v>
      </c>
      <c r="G5109" s="2" t="s">
        <v>983</v>
      </c>
      <c r="H5109" s="2" t="s">
        <v>984</v>
      </c>
      <c r="I5109" s="2"/>
      <c r="J5109" s="2" t="s">
        <v>46</v>
      </c>
    </row>
    <row r="5110" spans="1:10" ht="21" customHeight="1">
      <c r="A5110" s="2" t="s">
        <v>6110</v>
      </c>
      <c r="B5110" s="2" t="s">
        <v>46</v>
      </c>
      <c r="C5110" s="4">
        <v>46021.25</v>
      </c>
      <c r="D5110" s="4">
        <v>46021.250175034722</v>
      </c>
      <c r="E5110" s="2">
        <v>2.73</v>
      </c>
      <c r="F5110" s="2">
        <v>58.9</v>
      </c>
      <c r="G5110" s="2" t="s">
        <v>983</v>
      </c>
      <c r="H5110" s="2" t="s">
        <v>984</v>
      </c>
      <c r="I5110" s="2"/>
      <c r="J5110" s="2" t="s">
        <v>46</v>
      </c>
    </row>
    <row r="5111" spans="1:10" ht="21" customHeight="1">
      <c r="A5111" s="2" t="s">
        <v>6111</v>
      </c>
      <c r="B5111" s="2" t="s">
        <v>46</v>
      </c>
      <c r="C5111" s="4">
        <v>46022.25</v>
      </c>
      <c r="D5111" s="4">
        <v>46022.250631874995</v>
      </c>
      <c r="E5111" s="2">
        <v>2.81</v>
      </c>
      <c r="F5111" s="2">
        <v>63.2</v>
      </c>
      <c r="G5111" s="2" t="s">
        <v>983</v>
      </c>
      <c r="H5111" s="2" t="s">
        <v>984</v>
      </c>
      <c r="I5111" s="2"/>
      <c r="J5111" s="2" t="s">
        <v>46</v>
      </c>
    </row>
    <row r="5112" spans="1:10" ht="21" customHeight="1">
      <c r="A5112" s="2" t="s">
        <v>6112</v>
      </c>
      <c r="B5112" s="2" t="s">
        <v>47</v>
      </c>
      <c r="C5112" s="4">
        <v>45658.25</v>
      </c>
      <c r="D5112" s="4">
        <v>45658.250649409718</v>
      </c>
      <c r="E5112" s="2">
        <v>2.93</v>
      </c>
      <c r="F5112" s="2">
        <v>75.2</v>
      </c>
      <c r="G5112" s="2" t="s">
        <v>983</v>
      </c>
      <c r="H5112" s="2" t="s">
        <v>984</v>
      </c>
      <c r="I5112" s="2" t="s">
        <v>985</v>
      </c>
      <c r="J5112" s="2" t="s">
        <v>47</v>
      </c>
    </row>
    <row r="5113" spans="1:10" ht="21" customHeight="1">
      <c r="A5113" s="2" t="s">
        <v>6113</v>
      </c>
      <c r="B5113" s="2" t="s">
        <v>47</v>
      </c>
      <c r="C5113" s="4">
        <v>45659.25</v>
      </c>
      <c r="D5113" s="4">
        <v>45659.250657847224</v>
      </c>
      <c r="E5113" s="2">
        <v>3.43</v>
      </c>
      <c r="F5113" s="2">
        <v>79.5</v>
      </c>
      <c r="G5113" s="2" t="s">
        <v>983</v>
      </c>
      <c r="H5113" s="2" t="s">
        <v>984</v>
      </c>
      <c r="I5113" s="2"/>
      <c r="J5113" s="2" t="s">
        <v>47</v>
      </c>
    </row>
    <row r="5114" spans="1:10" ht="21" customHeight="1">
      <c r="A5114" s="2" t="s">
        <v>6114</v>
      </c>
      <c r="B5114" s="2" t="s">
        <v>47</v>
      </c>
      <c r="C5114" s="4">
        <v>45660.25</v>
      </c>
      <c r="D5114" s="4">
        <v>45660.250340798608</v>
      </c>
      <c r="E5114" s="2">
        <v>3.1</v>
      </c>
      <c r="F5114" s="2">
        <v>72.7</v>
      </c>
      <c r="G5114" s="2" t="s">
        <v>983</v>
      </c>
      <c r="H5114" s="2" t="s">
        <v>984</v>
      </c>
      <c r="I5114" s="2"/>
      <c r="J5114" s="2" t="s">
        <v>47</v>
      </c>
    </row>
    <row r="5115" spans="1:10" ht="21" customHeight="1">
      <c r="A5115" s="2" t="s">
        <v>6115</v>
      </c>
      <c r="B5115" s="2" t="s">
        <v>47</v>
      </c>
      <c r="C5115" s="4">
        <v>45661.25</v>
      </c>
      <c r="D5115" s="4">
        <v>45661.250541620371</v>
      </c>
      <c r="E5115" s="2">
        <v>6.48</v>
      </c>
      <c r="F5115" s="2">
        <v>86.1</v>
      </c>
      <c r="G5115" s="2" t="s">
        <v>983</v>
      </c>
      <c r="H5115" s="2" t="s">
        <v>984</v>
      </c>
      <c r="I5115" s="2"/>
      <c r="J5115" s="2" t="s">
        <v>47</v>
      </c>
    </row>
    <row r="5116" spans="1:10" ht="21" customHeight="1">
      <c r="A5116" s="2" t="s">
        <v>6116</v>
      </c>
      <c r="B5116" s="2" t="s">
        <v>47</v>
      </c>
      <c r="C5116" s="4">
        <v>45662.25</v>
      </c>
      <c r="D5116" s="4">
        <v>45662.250632361116</v>
      </c>
      <c r="E5116" s="2">
        <v>7.29</v>
      </c>
      <c r="F5116" s="2">
        <v>84</v>
      </c>
      <c r="G5116" s="2" t="s">
        <v>983</v>
      </c>
      <c r="H5116" s="2" t="s">
        <v>984</v>
      </c>
      <c r="I5116" s="2" t="s">
        <v>1053</v>
      </c>
      <c r="J5116" s="2" t="s">
        <v>47</v>
      </c>
    </row>
    <row r="5117" spans="1:10" ht="21" customHeight="1">
      <c r="A5117" s="2" t="s">
        <v>6117</v>
      </c>
      <c r="B5117" s="2" t="s">
        <v>47</v>
      </c>
      <c r="C5117" s="4">
        <v>45663.25</v>
      </c>
      <c r="D5117" s="4">
        <v>45663.250671203699</v>
      </c>
      <c r="E5117" s="2">
        <v>6.52</v>
      </c>
      <c r="F5117" s="2">
        <v>81.3</v>
      </c>
      <c r="G5117" s="2" t="s">
        <v>983</v>
      </c>
      <c r="H5117" s="2" t="s">
        <v>984</v>
      </c>
      <c r="I5117" s="2"/>
      <c r="J5117" s="2" t="s">
        <v>47</v>
      </c>
    </row>
    <row r="5118" spans="1:10" ht="21" customHeight="1">
      <c r="A5118" s="2" t="s">
        <v>6118</v>
      </c>
      <c r="B5118" s="2" t="s">
        <v>47</v>
      </c>
      <c r="C5118" s="4">
        <v>45664.25</v>
      </c>
      <c r="D5118" s="4">
        <v>45664.25007962963</v>
      </c>
      <c r="E5118" s="2">
        <v>0</v>
      </c>
      <c r="F5118" s="2">
        <v>75.599999999999994</v>
      </c>
      <c r="G5118" s="2" t="s">
        <v>1175</v>
      </c>
      <c r="H5118" s="2" t="s">
        <v>984</v>
      </c>
      <c r="I5118" s="2"/>
      <c r="J5118" s="2" t="s">
        <v>47</v>
      </c>
    </row>
    <row r="5119" spans="1:10" ht="21" customHeight="1">
      <c r="A5119" s="2" t="s">
        <v>6119</v>
      </c>
      <c r="B5119" s="2" t="s">
        <v>47</v>
      </c>
      <c r="C5119" s="4">
        <v>45665.25</v>
      </c>
      <c r="D5119" s="4">
        <v>45665.250375358795</v>
      </c>
      <c r="E5119" s="2">
        <v>3.87</v>
      </c>
      <c r="F5119" s="2">
        <v>79.2</v>
      </c>
      <c r="G5119" s="2" t="s">
        <v>983</v>
      </c>
      <c r="H5119" s="2" t="s">
        <v>984</v>
      </c>
      <c r="I5119" s="2"/>
      <c r="J5119" s="2" t="s">
        <v>47</v>
      </c>
    </row>
    <row r="5120" spans="1:10" ht="21" customHeight="1">
      <c r="A5120" s="2" t="s">
        <v>6120</v>
      </c>
      <c r="B5120" s="2" t="s">
        <v>47</v>
      </c>
      <c r="C5120" s="4">
        <v>45666.25</v>
      </c>
      <c r="D5120" s="4">
        <v>45666.250099062498</v>
      </c>
      <c r="E5120" s="2">
        <v>3.64</v>
      </c>
      <c r="F5120" s="2">
        <v>77.599999999999994</v>
      </c>
      <c r="G5120" s="2" t="s">
        <v>983</v>
      </c>
      <c r="H5120" s="2" t="s">
        <v>984</v>
      </c>
      <c r="I5120" s="2"/>
      <c r="J5120" s="2" t="s">
        <v>47</v>
      </c>
    </row>
    <row r="5121" spans="1:10" ht="21" customHeight="1">
      <c r="A5121" s="2" t="s">
        <v>6121</v>
      </c>
      <c r="B5121" s="2" t="s">
        <v>47</v>
      </c>
      <c r="C5121" s="4">
        <v>45667.25</v>
      </c>
      <c r="D5121" s="4">
        <v>45667.250499490736</v>
      </c>
      <c r="E5121" s="2">
        <v>3.37</v>
      </c>
      <c r="F5121" s="2">
        <v>78</v>
      </c>
      <c r="G5121" s="2" t="s">
        <v>983</v>
      </c>
      <c r="H5121" s="2" t="s">
        <v>984</v>
      </c>
      <c r="I5121" s="2"/>
      <c r="J5121" s="2" t="s">
        <v>47</v>
      </c>
    </row>
    <row r="5122" spans="1:10" ht="21" customHeight="1">
      <c r="A5122" s="2" t="s">
        <v>6122</v>
      </c>
      <c r="B5122" s="2" t="s">
        <v>47</v>
      </c>
      <c r="C5122" s="4">
        <v>45668.25</v>
      </c>
      <c r="D5122" s="4">
        <v>45668.250312523145</v>
      </c>
      <c r="E5122" s="2">
        <v>3.94</v>
      </c>
      <c r="F5122" s="2">
        <v>76</v>
      </c>
      <c r="G5122" s="2" t="s">
        <v>983</v>
      </c>
      <c r="H5122" s="2" t="s">
        <v>984</v>
      </c>
      <c r="I5122" s="2"/>
      <c r="J5122" s="2" t="s">
        <v>47</v>
      </c>
    </row>
    <row r="5123" spans="1:10" ht="21" customHeight="1">
      <c r="A5123" s="2" t="s">
        <v>6123</v>
      </c>
      <c r="B5123" s="2" t="s">
        <v>47</v>
      </c>
      <c r="C5123" s="4">
        <v>45669.25</v>
      </c>
      <c r="D5123" s="4">
        <v>45669.250082094906</v>
      </c>
      <c r="E5123" s="2">
        <v>3.22</v>
      </c>
      <c r="F5123" s="2">
        <v>76.7</v>
      </c>
      <c r="G5123" s="2" t="s">
        <v>983</v>
      </c>
      <c r="H5123" s="2" t="s">
        <v>984</v>
      </c>
      <c r="I5123" s="2"/>
      <c r="J5123" s="2" t="s">
        <v>47</v>
      </c>
    </row>
    <row r="5124" spans="1:10" ht="21" customHeight="1">
      <c r="A5124" s="2" t="s">
        <v>6124</v>
      </c>
      <c r="B5124" s="2" t="s">
        <v>47</v>
      </c>
      <c r="C5124" s="4">
        <v>45670.25</v>
      </c>
      <c r="D5124" s="4">
        <v>45670.250230798614</v>
      </c>
      <c r="E5124" s="2">
        <v>3.59</v>
      </c>
      <c r="F5124" s="2">
        <v>78.900000000000006</v>
      </c>
      <c r="G5124" s="2" t="s">
        <v>983</v>
      </c>
      <c r="H5124" s="2" t="s">
        <v>984</v>
      </c>
      <c r="I5124" s="2"/>
      <c r="J5124" s="2" t="s">
        <v>47</v>
      </c>
    </row>
    <row r="5125" spans="1:10" ht="21" customHeight="1">
      <c r="A5125" s="2" t="s">
        <v>6125</v>
      </c>
      <c r="B5125" s="2" t="s">
        <v>47</v>
      </c>
      <c r="C5125" s="4">
        <v>45671.25</v>
      </c>
      <c r="D5125" s="4">
        <v>45671.250321446758</v>
      </c>
      <c r="E5125" s="2">
        <v>3.57</v>
      </c>
      <c r="F5125" s="2">
        <v>77.099999999999994</v>
      </c>
      <c r="G5125" s="2" t="s">
        <v>983</v>
      </c>
      <c r="H5125" s="2" t="s">
        <v>984</v>
      </c>
      <c r="I5125" s="2"/>
      <c r="J5125" s="2" t="s">
        <v>47</v>
      </c>
    </row>
    <row r="5126" spans="1:10" ht="21" customHeight="1">
      <c r="A5126" s="2" t="s">
        <v>6126</v>
      </c>
      <c r="B5126" s="2" t="s">
        <v>47</v>
      </c>
      <c r="C5126" s="4">
        <v>45672.25</v>
      </c>
      <c r="D5126" s="4">
        <v>45672.250416469906</v>
      </c>
      <c r="E5126" s="2">
        <v>3.78</v>
      </c>
      <c r="F5126" s="2">
        <v>77.8</v>
      </c>
      <c r="G5126" s="2" t="s">
        <v>983</v>
      </c>
      <c r="H5126" s="2" t="s">
        <v>984</v>
      </c>
      <c r="I5126" s="2"/>
      <c r="J5126" s="2" t="s">
        <v>47</v>
      </c>
    </row>
    <row r="5127" spans="1:10" ht="21" customHeight="1">
      <c r="A5127" s="2" t="s">
        <v>6127</v>
      </c>
      <c r="B5127" s="2" t="s">
        <v>6128</v>
      </c>
      <c r="C5127" s="4">
        <v>45673.25</v>
      </c>
      <c r="D5127" s="4">
        <v>45673.250687291671</v>
      </c>
      <c r="E5127" s="2"/>
      <c r="F5127" s="2"/>
      <c r="G5127" s="2" t="s">
        <v>983</v>
      </c>
      <c r="H5127" s="2" t="s">
        <v>1066</v>
      </c>
      <c r="I5127" s="2"/>
      <c r="J5127" s="2" t="s">
        <v>47</v>
      </c>
    </row>
    <row r="5128" spans="1:10" ht="21" customHeight="1">
      <c r="A5128" s="2" t="s">
        <v>6129</v>
      </c>
      <c r="B5128" s="2" t="s">
        <v>47</v>
      </c>
      <c r="C5128" s="4">
        <v>45674.25</v>
      </c>
      <c r="D5128" s="4">
        <v>45674.250453564819</v>
      </c>
      <c r="E5128" s="2">
        <v>3.98</v>
      </c>
      <c r="F5128" s="2">
        <v>75.2</v>
      </c>
      <c r="G5128" s="2" t="s">
        <v>983</v>
      </c>
      <c r="H5128" s="2" t="s">
        <v>984</v>
      </c>
      <c r="I5128" s="2"/>
      <c r="J5128" s="2" t="s">
        <v>47</v>
      </c>
    </row>
    <row r="5129" spans="1:10" ht="21" customHeight="1">
      <c r="A5129" s="2" t="s">
        <v>6130</v>
      </c>
      <c r="B5129" s="2" t="s">
        <v>47</v>
      </c>
      <c r="C5129" s="4">
        <v>45675.25</v>
      </c>
      <c r="D5129" s="4">
        <v>45675.250010821765</v>
      </c>
      <c r="E5129" s="2">
        <v>3.94</v>
      </c>
      <c r="F5129" s="2">
        <v>78.599999999999994</v>
      </c>
      <c r="G5129" s="2" t="s">
        <v>983</v>
      </c>
      <c r="H5129" s="2" t="s">
        <v>984</v>
      </c>
      <c r="I5129" s="2" t="s">
        <v>985</v>
      </c>
      <c r="J5129" s="2" t="s">
        <v>47</v>
      </c>
    </row>
    <row r="5130" spans="1:10" ht="21" customHeight="1">
      <c r="A5130" s="2" t="s">
        <v>6131</v>
      </c>
      <c r="B5130" s="2" t="s">
        <v>47</v>
      </c>
      <c r="C5130" s="4">
        <v>45676.25</v>
      </c>
      <c r="D5130" s="4">
        <v>45676.250287037037</v>
      </c>
      <c r="E5130" s="2">
        <v>3.4</v>
      </c>
      <c r="F5130" s="2">
        <v>73.8</v>
      </c>
      <c r="G5130" s="2" t="s">
        <v>983</v>
      </c>
      <c r="H5130" s="2" t="s">
        <v>984</v>
      </c>
      <c r="I5130" s="2"/>
      <c r="J5130" s="2" t="s">
        <v>47</v>
      </c>
    </row>
    <row r="5131" spans="1:10" ht="21" customHeight="1">
      <c r="A5131" s="2" t="s">
        <v>6132</v>
      </c>
      <c r="B5131" s="2" t="s">
        <v>47</v>
      </c>
      <c r="C5131" s="4">
        <v>45677.25</v>
      </c>
      <c r="D5131" s="4">
        <v>45677.25022663195</v>
      </c>
      <c r="E5131" s="2">
        <v>3.06</v>
      </c>
      <c r="F5131" s="2">
        <v>72.400000000000006</v>
      </c>
      <c r="G5131" s="2" t="s">
        <v>983</v>
      </c>
      <c r="H5131" s="2" t="s">
        <v>984</v>
      </c>
      <c r="I5131" s="2"/>
      <c r="J5131" s="2" t="s">
        <v>47</v>
      </c>
    </row>
    <row r="5132" spans="1:10" ht="21" customHeight="1">
      <c r="A5132" s="2" t="s">
        <v>6133</v>
      </c>
      <c r="B5132" s="2" t="s">
        <v>47</v>
      </c>
      <c r="C5132" s="4">
        <v>45678.25</v>
      </c>
      <c r="D5132" s="4">
        <v>45678.250558645828</v>
      </c>
      <c r="E5132" s="2">
        <v>3.46</v>
      </c>
      <c r="F5132" s="2">
        <v>74.400000000000006</v>
      </c>
      <c r="G5132" s="2" t="s">
        <v>983</v>
      </c>
      <c r="H5132" s="2" t="s">
        <v>984</v>
      </c>
      <c r="I5132" s="2"/>
      <c r="J5132" s="2" t="s">
        <v>47</v>
      </c>
    </row>
    <row r="5133" spans="1:10" ht="21" customHeight="1">
      <c r="A5133" s="2" t="s">
        <v>6134</v>
      </c>
      <c r="B5133" s="2" t="s">
        <v>47</v>
      </c>
      <c r="C5133" s="4">
        <v>45679.25</v>
      </c>
      <c r="D5133" s="4">
        <v>45679.250656296295</v>
      </c>
      <c r="E5133" s="2">
        <v>3.56</v>
      </c>
      <c r="F5133" s="2">
        <v>76.599999999999994</v>
      </c>
      <c r="G5133" s="2" t="s">
        <v>983</v>
      </c>
      <c r="H5133" s="2" t="s">
        <v>984</v>
      </c>
      <c r="I5133" s="2"/>
      <c r="J5133" s="2" t="s">
        <v>47</v>
      </c>
    </row>
    <row r="5134" spans="1:10" ht="21" customHeight="1">
      <c r="A5134" s="2" t="s">
        <v>6135</v>
      </c>
      <c r="B5134" s="2" t="s">
        <v>47</v>
      </c>
      <c r="C5134" s="4">
        <v>45680.25</v>
      </c>
      <c r="D5134" s="4">
        <v>45680.250159861112</v>
      </c>
      <c r="E5134" s="2">
        <v>3.06</v>
      </c>
      <c r="F5134" s="2">
        <v>77.2</v>
      </c>
      <c r="G5134" s="2" t="s">
        <v>983</v>
      </c>
      <c r="H5134" s="2" t="s">
        <v>984</v>
      </c>
      <c r="I5134" s="2"/>
      <c r="J5134" s="2" t="s">
        <v>47</v>
      </c>
    </row>
    <row r="5135" spans="1:10" ht="21" customHeight="1">
      <c r="A5135" s="2" t="s">
        <v>6136</v>
      </c>
      <c r="B5135" s="2" t="s">
        <v>47</v>
      </c>
      <c r="C5135" s="4">
        <v>45681.25</v>
      </c>
      <c r="D5135" s="4">
        <v>45681.250159143514</v>
      </c>
      <c r="E5135" s="2">
        <v>3.29</v>
      </c>
      <c r="F5135" s="2">
        <v>78.7</v>
      </c>
      <c r="G5135" s="2" t="s">
        <v>983</v>
      </c>
      <c r="H5135" s="2" t="s">
        <v>984</v>
      </c>
      <c r="I5135" s="2"/>
      <c r="J5135" s="2" t="s">
        <v>47</v>
      </c>
    </row>
    <row r="5136" spans="1:10" ht="21" customHeight="1">
      <c r="A5136" s="2" t="s">
        <v>6137</v>
      </c>
      <c r="B5136" s="2" t="s">
        <v>47</v>
      </c>
      <c r="C5136" s="4">
        <v>45682.25</v>
      </c>
      <c r="D5136" s="4">
        <v>45682.250372060182</v>
      </c>
      <c r="E5136" s="2">
        <v>3.06</v>
      </c>
      <c r="F5136" s="2">
        <v>79.8</v>
      </c>
      <c r="G5136" s="2" t="s">
        <v>983</v>
      </c>
      <c r="H5136" s="2" t="s">
        <v>984</v>
      </c>
      <c r="I5136" s="2"/>
      <c r="J5136" s="2" t="s">
        <v>47</v>
      </c>
    </row>
    <row r="5137" spans="1:10" ht="21" customHeight="1">
      <c r="A5137" s="2" t="s">
        <v>6138</v>
      </c>
      <c r="B5137" s="2" t="s">
        <v>47</v>
      </c>
      <c r="C5137" s="4">
        <v>45683.25</v>
      </c>
      <c r="D5137" s="4">
        <v>45683.250293124998</v>
      </c>
      <c r="E5137" s="2">
        <v>3.93</v>
      </c>
      <c r="F5137" s="2">
        <v>73.099999999999994</v>
      </c>
      <c r="G5137" s="2" t="s">
        <v>983</v>
      </c>
      <c r="H5137" s="2" t="s">
        <v>984</v>
      </c>
      <c r="I5137" s="2"/>
      <c r="J5137" s="2" t="s">
        <v>47</v>
      </c>
    </row>
    <row r="5138" spans="1:10" ht="21" customHeight="1">
      <c r="A5138" s="2" t="s">
        <v>6139</v>
      </c>
      <c r="B5138" s="2" t="s">
        <v>47</v>
      </c>
      <c r="C5138" s="4">
        <v>45684.25</v>
      </c>
      <c r="D5138" s="4">
        <v>45684.250268807868</v>
      </c>
      <c r="E5138" s="2">
        <v>2.89</v>
      </c>
      <c r="F5138" s="2">
        <v>76.599999999999994</v>
      </c>
      <c r="G5138" s="2" t="s">
        <v>983</v>
      </c>
      <c r="H5138" s="2" t="s">
        <v>984</v>
      </c>
      <c r="I5138" s="2"/>
      <c r="J5138" s="2" t="s">
        <v>47</v>
      </c>
    </row>
    <row r="5139" spans="1:10" ht="21" customHeight="1">
      <c r="A5139" s="2" t="s">
        <v>6140</v>
      </c>
      <c r="B5139" s="2" t="s">
        <v>47</v>
      </c>
      <c r="C5139" s="4">
        <v>45685.25</v>
      </c>
      <c r="D5139" s="4">
        <v>45685.250391111113</v>
      </c>
      <c r="E5139" s="2"/>
      <c r="F5139" s="2"/>
      <c r="G5139" s="2" t="s">
        <v>983</v>
      </c>
      <c r="H5139" s="2" t="s">
        <v>1066</v>
      </c>
      <c r="I5139" s="2"/>
      <c r="J5139" s="2" t="s">
        <v>47</v>
      </c>
    </row>
    <row r="5140" spans="1:10" ht="21" customHeight="1">
      <c r="A5140" s="2" t="s">
        <v>6141</v>
      </c>
      <c r="B5140" s="2" t="s">
        <v>47</v>
      </c>
      <c r="C5140" s="4">
        <v>45686.25</v>
      </c>
      <c r="D5140" s="4">
        <v>45686.250266192132</v>
      </c>
      <c r="E5140" s="2">
        <v>3.67</v>
      </c>
      <c r="F5140" s="2">
        <v>79.8</v>
      </c>
      <c r="G5140" s="2" t="s">
        <v>983</v>
      </c>
      <c r="H5140" s="2" t="s">
        <v>984</v>
      </c>
      <c r="I5140" s="2"/>
      <c r="J5140" s="2" t="s">
        <v>47</v>
      </c>
    </row>
    <row r="5141" spans="1:10" ht="21" customHeight="1">
      <c r="A5141" s="2" t="s">
        <v>6142</v>
      </c>
      <c r="B5141" s="2" t="s">
        <v>47</v>
      </c>
      <c r="C5141" s="4">
        <v>45687.25</v>
      </c>
      <c r="D5141" s="4">
        <v>45687.250244687501</v>
      </c>
      <c r="E5141" s="2">
        <v>3.81</v>
      </c>
      <c r="F5141" s="2">
        <v>73.599999999999994</v>
      </c>
      <c r="G5141" s="2" t="s">
        <v>983</v>
      </c>
      <c r="H5141" s="2" t="s">
        <v>984</v>
      </c>
      <c r="I5141" s="2"/>
      <c r="J5141" s="2" t="s">
        <v>47</v>
      </c>
    </row>
    <row r="5142" spans="1:10" ht="21" customHeight="1">
      <c r="A5142" s="2" t="s">
        <v>6143</v>
      </c>
      <c r="B5142" s="2" t="s">
        <v>47</v>
      </c>
      <c r="C5142" s="4">
        <v>45688.25</v>
      </c>
      <c r="D5142" s="4">
        <v>45688.250423252313</v>
      </c>
      <c r="E5142" s="2">
        <v>3.71</v>
      </c>
      <c r="F5142" s="2">
        <v>78.099999999999994</v>
      </c>
      <c r="G5142" s="2" t="s">
        <v>983</v>
      </c>
      <c r="H5142" s="2" t="s">
        <v>984</v>
      </c>
      <c r="I5142" s="2"/>
      <c r="J5142" s="2" t="s">
        <v>47</v>
      </c>
    </row>
    <row r="5143" spans="1:10" ht="21" customHeight="1">
      <c r="A5143" s="2" t="s">
        <v>6144</v>
      </c>
      <c r="B5143" s="2" t="s">
        <v>47</v>
      </c>
      <c r="C5143" s="4">
        <v>45689.25</v>
      </c>
      <c r="D5143" s="4">
        <v>45689.250683657403</v>
      </c>
      <c r="E5143" s="2">
        <v>3.63</v>
      </c>
      <c r="F5143" s="2">
        <v>73</v>
      </c>
      <c r="G5143" s="2" t="s">
        <v>983</v>
      </c>
      <c r="H5143" s="2" t="s">
        <v>984</v>
      </c>
      <c r="I5143" s="2"/>
      <c r="J5143" s="2" t="s">
        <v>47</v>
      </c>
    </row>
    <row r="5144" spans="1:10" ht="21" customHeight="1">
      <c r="A5144" s="2" t="s">
        <v>6145</v>
      </c>
      <c r="B5144" s="2" t="s">
        <v>47</v>
      </c>
      <c r="C5144" s="4">
        <v>45690.25</v>
      </c>
      <c r="D5144" s="4">
        <v>45690.250207141202</v>
      </c>
      <c r="E5144" s="2">
        <v>3.11</v>
      </c>
      <c r="F5144" s="2">
        <v>79.599999999999994</v>
      </c>
      <c r="G5144" s="2" t="s">
        <v>983</v>
      </c>
      <c r="H5144" s="2" t="s">
        <v>984</v>
      </c>
      <c r="I5144" s="2"/>
      <c r="J5144" s="2" t="s">
        <v>47</v>
      </c>
    </row>
    <row r="5145" spans="1:10" ht="21" customHeight="1">
      <c r="A5145" s="2" t="s">
        <v>6146</v>
      </c>
      <c r="B5145" s="2" t="s">
        <v>47</v>
      </c>
      <c r="C5145" s="4">
        <v>45691.25</v>
      </c>
      <c r="D5145" s="4">
        <v>45691.250296724538</v>
      </c>
      <c r="E5145" s="2">
        <v>3.2</v>
      </c>
      <c r="F5145" s="2">
        <v>78.3</v>
      </c>
      <c r="G5145" s="2" t="s">
        <v>983</v>
      </c>
      <c r="H5145" s="2" t="s">
        <v>984</v>
      </c>
      <c r="I5145" s="2"/>
      <c r="J5145" s="2" t="s">
        <v>47</v>
      </c>
    </row>
    <row r="5146" spans="1:10" ht="21" customHeight="1">
      <c r="A5146" s="2" t="s">
        <v>6147</v>
      </c>
      <c r="B5146" s="2" t="s">
        <v>47</v>
      </c>
      <c r="C5146" s="4">
        <v>45692.25</v>
      </c>
      <c r="D5146" s="4">
        <v>45692.250600740736</v>
      </c>
      <c r="E5146" s="2">
        <v>3.5</v>
      </c>
      <c r="F5146" s="2">
        <v>79.400000000000006</v>
      </c>
      <c r="G5146" s="2" t="s">
        <v>983</v>
      </c>
      <c r="H5146" s="2" t="s">
        <v>984</v>
      </c>
      <c r="I5146" s="2" t="s">
        <v>985</v>
      </c>
      <c r="J5146" s="2" t="s">
        <v>47</v>
      </c>
    </row>
    <row r="5147" spans="1:10" ht="21" customHeight="1">
      <c r="A5147" s="2" t="s">
        <v>6148</v>
      </c>
      <c r="B5147" s="2" t="s">
        <v>47</v>
      </c>
      <c r="C5147" s="4">
        <v>45693.25</v>
      </c>
      <c r="D5147" s="4">
        <v>45693.250642361112</v>
      </c>
      <c r="E5147" s="2">
        <v>3.41</v>
      </c>
      <c r="F5147" s="2">
        <v>73</v>
      </c>
      <c r="G5147" s="2" t="s">
        <v>983</v>
      </c>
      <c r="H5147" s="2" t="s">
        <v>984</v>
      </c>
      <c r="I5147" s="2"/>
      <c r="J5147" s="2" t="s">
        <v>47</v>
      </c>
    </row>
    <row r="5148" spans="1:10" ht="21" customHeight="1">
      <c r="A5148" s="2" t="s">
        <v>6149</v>
      </c>
      <c r="B5148" s="2" t="s">
        <v>47</v>
      </c>
      <c r="C5148" s="4">
        <v>45694.25</v>
      </c>
      <c r="D5148" s="4">
        <v>45694.250256747684</v>
      </c>
      <c r="E5148" s="2">
        <v>3.74</v>
      </c>
      <c r="F5148" s="2">
        <v>78.3</v>
      </c>
      <c r="G5148" s="2" t="s">
        <v>983</v>
      </c>
      <c r="H5148" s="2" t="s">
        <v>984</v>
      </c>
      <c r="I5148" s="2"/>
      <c r="J5148" s="2" t="s">
        <v>47</v>
      </c>
    </row>
    <row r="5149" spans="1:10" ht="21" customHeight="1">
      <c r="A5149" s="2" t="s">
        <v>6150</v>
      </c>
      <c r="B5149" s="2" t="s">
        <v>47</v>
      </c>
      <c r="C5149" s="4">
        <v>45695.25</v>
      </c>
      <c r="D5149" s="4">
        <v>45695.250683738428</v>
      </c>
      <c r="E5149" s="2">
        <v>3.85</v>
      </c>
      <c r="F5149" s="2">
        <v>78.400000000000006</v>
      </c>
      <c r="G5149" s="2" t="s">
        <v>983</v>
      </c>
      <c r="H5149" s="2" t="s">
        <v>984</v>
      </c>
      <c r="I5149" s="2"/>
      <c r="J5149" s="2" t="s">
        <v>47</v>
      </c>
    </row>
    <row r="5150" spans="1:10" ht="21" customHeight="1">
      <c r="A5150" s="2" t="s">
        <v>6151</v>
      </c>
      <c r="B5150" s="2" t="s">
        <v>47</v>
      </c>
      <c r="C5150" s="4">
        <v>45696.25</v>
      </c>
      <c r="D5150" s="4">
        <v>45696.250352071758</v>
      </c>
      <c r="E5150" s="2">
        <v>3.2</v>
      </c>
      <c r="F5150" s="2">
        <v>76.8</v>
      </c>
      <c r="G5150" s="2" t="s">
        <v>983</v>
      </c>
      <c r="H5150" s="2" t="s">
        <v>984</v>
      </c>
      <c r="I5150" s="2"/>
      <c r="J5150" s="2" t="s">
        <v>47</v>
      </c>
    </row>
    <row r="5151" spans="1:10" ht="21" customHeight="1">
      <c r="A5151" s="2" t="s">
        <v>6152</v>
      </c>
      <c r="B5151" s="2" t="s">
        <v>47</v>
      </c>
      <c r="C5151" s="4">
        <v>45697.25</v>
      </c>
      <c r="D5151" s="4">
        <v>45697.250382800921</v>
      </c>
      <c r="E5151" s="2">
        <v>3.76</v>
      </c>
      <c r="F5151" s="2">
        <v>74.900000000000006</v>
      </c>
      <c r="G5151" s="2" t="s">
        <v>983</v>
      </c>
      <c r="H5151" s="2" t="s">
        <v>984</v>
      </c>
      <c r="I5151" s="2"/>
      <c r="J5151" s="2" t="s">
        <v>47</v>
      </c>
    </row>
    <row r="5152" spans="1:10" ht="21" customHeight="1">
      <c r="A5152" s="2" t="s">
        <v>6153</v>
      </c>
      <c r="B5152" s="2" t="s">
        <v>47</v>
      </c>
      <c r="C5152" s="4">
        <v>45698.25</v>
      </c>
      <c r="D5152" s="4">
        <v>45698.250066273147</v>
      </c>
      <c r="E5152" s="2">
        <v>2.82</v>
      </c>
      <c r="F5152" s="2">
        <v>74.7</v>
      </c>
      <c r="G5152" s="2" t="s">
        <v>983</v>
      </c>
      <c r="H5152" s="2" t="s">
        <v>984</v>
      </c>
      <c r="I5152" s="2"/>
      <c r="J5152" s="2" t="s">
        <v>47</v>
      </c>
    </row>
    <row r="5153" spans="1:10" ht="21" customHeight="1">
      <c r="A5153" s="2" t="s">
        <v>6154</v>
      </c>
      <c r="B5153" s="2" t="s">
        <v>47</v>
      </c>
      <c r="C5153" s="4">
        <v>45699.25</v>
      </c>
      <c r="D5153" s="4">
        <v>45699.25056857639</v>
      </c>
      <c r="E5153" s="2">
        <v>3.15</v>
      </c>
      <c r="F5153" s="2">
        <v>77.099999999999994</v>
      </c>
      <c r="G5153" s="2" t="s">
        <v>983</v>
      </c>
      <c r="H5153" s="2" t="s">
        <v>984</v>
      </c>
      <c r="I5153" s="2"/>
      <c r="J5153" s="2" t="s">
        <v>47</v>
      </c>
    </row>
    <row r="5154" spans="1:10" ht="21" customHeight="1">
      <c r="A5154" s="2" t="s">
        <v>6155</v>
      </c>
      <c r="B5154" s="2" t="s">
        <v>47</v>
      </c>
      <c r="C5154" s="4">
        <v>45700.25</v>
      </c>
      <c r="D5154" s="4">
        <v>45700.250545451388</v>
      </c>
      <c r="E5154" s="2">
        <v>3.62</v>
      </c>
      <c r="F5154" s="2">
        <v>72.2</v>
      </c>
      <c r="G5154" s="2" t="s">
        <v>983</v>
      </c>
      <c r="H5154" s="2" t="s">
        <v>984</v>
      </c>
      <c r="I5154" s="2"/>
      <c r="J5154" s="2" t="s">
        <v>47</v>
      </c>
    </row>
    <row r="5155" spans="1:10" ht="21" customHeight="1">
      <c r="A5155" s="2" t="s">
        <v>6156</v>
      </c>
      <c r="B5155" s="2" t="s">
        <v>47</v>
      </c>
      <c r="C5155" s="4">
        <v>45701.25</v>
      </c>
      <c r="D5155" s="4">
        <v>45701.250668020832</v>
      </c>
      <c r="E5155" s="2">
        <v>3.82</v>
      </c>
      <c r="F5155" s="2">
        <v>72.8</v>
      </c>
      <c r="G5155" s="2" t="s">
        <v>983</v>
      </c>
      <c r="H5155" s="2" t="s">
        <v>984</v>
      </c>
      <c r="I5155" s="2"/>
      <c r="J5155" s="2" t="s">
        <v>47</v>
      </c>
    </row>
    <row r="5156" spans="1:10" ht="21" customHeight="1">
      <c r="A5156" s="2" t="s">
        <v>6157</v>
      </c>
      <c r="B5156" s="2" t="s">
        <v>47</v>
      </c>
      <c r="C5156" s="4">
        <v>45702.25</v>
      </c>
      <c r="D5156" s="4">
        <v>45702.250627615736</v>
      </c>
      <c r="E5156" s="2">
        <v>3.7</v>
      </c>
      <c r="F5156" s="2">
        <v>74.599999999999994</v>
      </c>
      <c r="G5156" s="2" t="s">
        <v>983</v>
      </c>
      <c r="H5156" s="2" t="s">
        <v>984</v>
      </c>
      <c r="I5156" s="2"/>
      <c r="J5156" s="2" t="s">
        <v>47</v>
      </c>
    </row>
    <row r="5157" spans="1:10" ht="21" customHeight="1">
      <c r="A5157" s="2" t="s">
        <v>6158</v>
      </c>
      <c r="B5157" s="2" t="s">
        <v>47</v>
      </c>
      <c r="C5157" s="4">
        <v>45703.25</v>
      </c>
      <c r="D5157" s="4">
        <v>45703.250230868056</v>
      </c>
      <c r="E5157" s="2">
        <v>2.98</v>
      </c>
      <c r="F5157" s="2">
        <v>77.400000000000006</v>
      </c>
      <c r="G5157" s="2" t="s">
        <v>983</v>
      </c>
      <c r="H5157" s="2" t="s">
        <v>984</v>
      </c>
      <c r="I5157" s="2"/>
      <c r="J5157" s="2" t="s">
        <v>47</v>
      </c>
    </row>
    <row r="5158" spans="1:10" ht="21" customHeight="1">
      <c r="A5158" s="2" t="s">
        <v>6159</v>
      </c>
      <c r="B5158" s="2" t="s">
        <v>47</v>
      </c>
      <c r="C5158" s="4">
        <v>45704.25</v>
      </c>
      <c r="D5158" s="4">
        <v>45704.250344976856</v>
      </c>
      <c r="E5158" s="2"/>
      <c r="F5158" s="2"/>
      <c r="G5158" s="2" t="s">
        <v>983</v>
      </c>
      <c r="H5158" s="2" t="s">
        <v>1066</v>
      </c>
      <c r="I5158" s="2"/>
      <c r="J5158" s="2" t="s">
        <v>47</v>
      </c>
    </row>
    <row r="5159" spans="1:10" ht="21" customHeight="1">
      <c r="A5159" s="2" t="s">
        <v>6160</v>
      </c>
      <c r="B5159" s="2" t="s">
        <v>47</v>
      </c>
      <c r="C5159" s="4">
        <v>45705.25</v>
      </c>
      <c r="D5159" s="4">
        <v>45705.250187881946</v>
      </c>
      <c r="E5159" s="2">
        <v>3.83</v>
      </c>
      <c r="F5159" s="2">
        <v>72.900000000000006</v>
      </c>
      <c r="G5159" s="2" t="s">
        <v>983</v>
      </c>
      <c r="H5159" s="2" t="s">
        <v>984</v>
      </c>
      <c r="I5159" s="2"/>
      <c r="J5159" s="2" t="s">
        <v>47</v>
      </c>
    </row>
    <row r="5160" spans="1:10" ht="21" customHeight="1">
      <c r="A5160" s="2" t="s">
        <v>6161</v>
      </c>
      <c r="B5160" s="2" t="s">
        <v>47</v>
      </c>
      <c r="C5160" s="4">
        <v>45706.25</v>
      </c>
      <c r="D5160" s="4">
        <v>45706.250045115739</v>
      </c>
      <c r="E5160" s="2">
        <v>2.98</v>
      </c>
      <c r="F5160" s="2">
        <v>79.400000000000006</v>
      </c>
      <c r="G5160" s="2" t="s">
        <v>983</v>
      </c>
      <c r="H5160" s="2" t="s">
        <v>984</v>
      </c>
      <c r="I5160" s="2"/>
      <c r="J5160" s="2" t="s">
        <v>47</v>
      </c>
    </row>
    <row r="5161" spans="1:10" ht="21" customHeight="1">
      <c r="A5161" s="2" t="s">
        <v>6162</v>
      </c>
      <c r="B5161" s="2" t="s">
        <v>47</v>
      </c>
      <c r="C5161" s="4">
        <v>45707.25</v>
      </c>
      <c r="D5161" s="4">
        <v>45707.250581921297</v>
      </c>
      <c r="E5161" s="2">
        <v>3.75</v>
      </c>
      <c r="F5161" s="2">
        <v>77.8</v>
      </c>
      <c r="G5161" s="2" t="s">
        <v>983</v>
      </c>
      <c r="H5161" s="2" t="s">
        <v>984</v>
      </c>
      <c r="I5161" s="2"/>
      <c r="J5161" s="2" t="s">
        <v>47</v>
      </c>
    </row>
    <row r="5162" spans="1:10" ht="21" customHeight="1">
      <c r="A5162" s="2" t="s">
        <v>6163</v>
      </c>
      <c r="B5162" s="2" t="s">
        <v>47</v>
      </c>
      <c r="C5162" s="4">
        <v>45708.25</v>
      </c>
      <c r="D5162" s="4">
        <v>45708.250645706023</v>
      </c>
      <c r="E5162" s="2">
        <v>7.19</v>
      </c>
      <c r="F5162" s="2">
        <v>78.099999999999994</v>
      </c>
      <c r="G5162" s="2" t="s">
        <v>983</v>
      </c>
      <c r="H5162" s="2" t="s">
        <v>984</v>
      </c>
      <c r="I5162" s="2" t="s">
        <v>1053</v>
      </c>
      <c r="J5162" s="2" t="s">
        <v>47</v>
      </c>
    </row>
    <row r="5163" spans="1:10" ht="21" customHeight="1">
      <c r="A5163" s="2" t="s">
        <v>6164</v>
      </c>
      <c r="B5163" s="2" t="s">
        <v>47</v>
      </c>
      <c r="C5163" s="4">
        <v>45709.25</v>
      </c>
      <c r="D5163" s="4">
        <v>45709.25062269676</v>
      </c>
      <c r="E5163" s="2">
        <v>5.36</v>
      </c>
      <c r="F5163" s="2">
        <v>82.9</v>
      </c>
      <c r="G5163" s="2" t="s">
        <v>983</v>
      </c>
      <c r="H5163" s="2" t="s">
        <v>984</v>
      </c>
      <c r="I5163" s="2" t="s">
        <v>985</v>
      </c>
      <c r="J5163" s="2" t="s">
        <v>47</v>
      </c>
    </row>
    <row r="5164" spans="1:10" ht="21" customHeight="1">
      <c r="A5164" s="2" t="s">
        <v>6165</v>
      </c>
      <c r="B5164" s="2" t="s">
        <v>47</v>
      </c>
      <c r="C5164" s="4">
        <v>45710.25</v>
      </c>
      <c r="D5164" s="4">
        <v>45710.250565335649</v>
      </c>
      <c r="E5164" s="2">
        <v>6.86</v>
      </c>
      <c r="F5164" s="2">
        <v>88</v>
      </c>
      <c r="G5164" s="2" t="s">
        <v>983</v>
      </c>
      <c r="H5164" s="2" t="s">
        <v>984</v>
      </c>
      <c r="I5164" s="2" t="s">
        <v>1053</v>
      </c>
      <c r="J5164" s="2" t="s">
        <v>47</v>
      </c>
    </row>
    <row r="5165" spans="1:10" ht="21" customHeight="1">
      <c r="A5165" s="2" t="s">
        <v>6166</v>
      </c>
      <c r="B5165" s="2" t="s">
        <v>47</v>
      </c>
      <c r="C5165" s="4">
        <v>45711.25</v>
      </c>
      <c r="D5165" s="4">
        <v>45711.250085914347</v>
      </c>
      <c r="E5165" s="2">
        <v>0</v>
      </c>
      <c r="F5165" s="2">
        <v>76.099999999999994</v>
      </c>
      <c r="G5165" s="2" t="s">
        <v>1175</v>
      </c>
      <c r="H5165" s="2" t="s">
        <v>984</v>
      </c>
      <c r="I5165" s="2"/>
      <c r="J5165" s="2" t="s">
        <v>47</v>
      </c>
    </row>
    <row r="5166" spans="1:10" ht="21" customHeight="1">
      <c r="A5166" s="2" t="s">
        <v>6167</v>
      </c>
      <c r="B5166" s="2" t="s">
        <v>47</v>
      </c>
      <c r="C5166" s="4">
        <v>45712.25</v>
      </c>
      <c r="D5166" s="4">
        <v>45712.250555659717</v>
      </c>
      <c r="E5166" s="2">
        <v>3.09</v>
      </c>
      <c r="F5166" s="2">
        <v>76.3</v>
      </c>
      <c r="G5166" s="2" t="s">
        <v>983</v>
      </c>
      <c r="H5166" s="2" t="s">
        <v>984</v>
      </c>
      <c r="I5166" s="2"/>
      <c r="J5166" s="2" t="s">
        <v>47</v>
      </c>
    </row>
    <row r="5167" spans="1:10" ht="21" customHeight="1">
      <c r="A5167" s="2" t="s">
        <v>6168</v>
      </c>
      <c r="B5167" s="2" t="s">
        <v>47</v>
      </c>
      <c r="C5167" s="4">
        <v>45713.25</v>
      </c>
      <c r="D5167" s="4">
        <v>45713.250002604167</v>
      </c>
      <c r="E5167" s="2">
        <v>3.66</v>
      </c>
      <c r="F5167" s="2">
        <v>76.900000000000006</v>
      </c>
      <c r="G5167" s="2" t="s">
        <v>983</v>
      </c>
      <c r="H5167" s="2" t="s">
        <v>984</v>
      </c>
      <c r="I5167" s="2"/>
      <c r="J5167" s="2" t="s">
        <v>47</v>
      </c>
    </row>
    <row r="5168" spans="1:10" ht="21" customHeight="1">
      <c r="A5168" s="2" t="s">
        <v>6169</v>
      </c>
      <c r="B5168" s="2" t="s">
        <v>6128</v>
      </c>
      <c r="C5168" s="4">
        <v>45714.25</v>
      </c>
      <c r="D5168" s="4">
        <v>45714.250268020834</v>
      </c>
      <c r="E5168" s="2">
        <v>3.55</v>
      </c>
      <c r="F5168" s="2">
        <v>73.099999999999994</v>
      </c>
      <c r="G5168" s="2" t="s">
        <v>983</v>
      </c>
      <c r="H5168" s="2" t="s">
        <v>984</v>
      </c>
      <c r="I5168" s="2"/>
      <c r="J5168" s="2" t="s">
        <v>47</v>
      </c>
    </row>
    <row r="5169" spans="1:10" ht="21" customHeight="1">
      <c r="A5169" s="2" t="s">
        <v>6170</v>
      </c>
      <c r="B5169" s="2" t="s">
        <v>47</v>
      </c>
      <c r="C5169" s="4">
        <v>45715.25</v>
      </c>
      <c r="D5169" s="4">
        <v>45715.250367210647</v>
      </c>
      <c r="E5169" s="2">
        <v>3.7</v>
      </c>
      <c r="F5169" s="2">
        <v>78.900000000000006</v>
      </c>
      <c r="G5169" s="2" t="s">
        <v>983</v>
      </c>
      <c r="H5169" s="2" t="s">
        <v>984</v>
      </c>
      <c r="I5169" s="2"/>
      <c r="J5169" s="2" t="s">
        <v>47</v>
      </c>
    </row>
    <row r="5170" spans="1:10" ht="21" customHeight="1">
      <c r="A5170" s="2" t="s">
        <v>6171</v>
      </c>
      <c r="B5170" s="2" t="s">
        <v>47</v>
      </c>
      <c r="C5170" s="4">
        <v>45716.25</v>
      </c>
      <c r="D5170" s="4">
        <v>45716.250489085651</v>
      </c>
      <c r="E5170" s="2">
        <v>3.53</v>
      </c>
      <c r="F5170" s="2">
        <v>74.8</v>
      </c>
      <c r="G5170" s="2" t="s">
        <v>983</v>
      </c>
      <c r="H5170" s="2" t="s">
        <v>984</v>
      </c>
      <c r="I5170" s="2"/>
      <c r="J5170" s="2" t="s">
        <v>47</v>
      </c>
    </row>
    <row r="5171" spans="1:10" ht="21" customHeight="1">
      <c r="A5171" s="2" t="s">
        <v>6172</v>
      </c>
      <c r="B5171" s="2" t="s">
        <v>47</v>
      </c>
      <c r="C5171" s="4">
        <v>45717.25</v>
      </c>
      <c r="D5171" s="4">
        <v>45717.250202881944</v>
      </c>
      <c r="E5171" s="2">
        <v>3.52</v>
      </c>
      <c r="F5171" s="2">
        <v>72.2</v>
      </c>
      <c r="G5171" s="2" t="s">
        <v>983</v>
      </c>
      <c r="H5171" s="2" t="s">
        <v>984</v>
      </c>
      <c r="I5171" s="2"/>
      <c r="J5171" s="2" t="s">
        <v>47</v>
      </c>
    </row>
    <row r="5172" spans="1:10" ht="21" customHeight="1">
      <c r="A5172" s="2" t="s">
        <v>6173</v>
      </c>
      <c r="B5172" s="2" t="s">
        <v>47</v>
      </c>
      <c r="C5172" s="4">
        <v>45718.25</v>
      </c>
      <c r="D5172" s="4">
        <v>45718.250202835647</v>
      </c>
      <c r="E5172" s="2">
        <v>3.87</v>
      </c>
      <c r="F5172" s="2">
        <v>78.099999999999994</v>
      </c>
      <c r="G5172" s="2" t="s">
        <v>983</v>
      </c>
      <c r="H5172" s="2" t="s">
        <v>984</v>
      </c>
      <c r="I5172" s="2"/>
      <c r="J5172" s="2" t="s">
        <v>47</v>
      </c>
    </row>
    <row r="5173" spans="1:10" ht="21" customHeight="1">
      <c r="A5173" s="2" t="s">
        <v>6174</v>
      </c>
      <c r="B5173" s="2" t="s">
        <v>47</v>
      </c>
      <c r="C5173" s="4">
        <v>45719.25</v>
      </c>
      <c r="D5173" s="4">
        <v>45719.250323159722</v>
      </c>
      <c r="E5173" s="2">
        <v>6.76</v>
      </c>
      <c r="F5173" s="2">
        <v>86.3</v>
      </c>
      <c r="G5173" s="2" t="s">
        <v>983</v>
      </c>
      <c r="H5173" s="2" t="s">
        <v>984</v>
      </c>
      <c r="I5173" s="2"/>
      <c r="J5173" s="2" t="s">
        <v>47</v>
      </c>
    </row>
    <row r="5174" spans="1:10" ht="21" customHeight="1">
      <c r="A5174" s="2" t="s">
        <v>6175</v>
      </c>
      <c r="B5174" s="2" t="s">
        <v>47</v>
      </c>
      <c r="C5174" s="4">
        <v>45720.25</v>
      </c>
      <c r="D5174" s="4">
        <v>45720.250321030093</v>
      </c>
      <c r="E5174" s="2">
        <v>7.23</v>
      </c>
      <c r="F5174" s="2">
        <v>80.7</v>
      </c>
      <c r="G5174" s="2" t="s">
        <v>983</v>
      </c>
      <c r="H5174" s="2" t="s">
        <v>984</v>
      </c>
      <c r="I5174" s="2" t="s">
        <v>1053</v>
      </c>
      <c r="J5174" s="2" t="s">
        <v>47</v>
      </c>
    </row>
    <row r="5175" spans="1:10" ht="21" customHeight="1">
      <c r="A5175" s="2" t="s">
        <v>6176</v>
      </c>
      <c r="B5175" s="2" t="s">
        <v>47</v>
      </c>
      <c r="C5175" s="4">
        <v>45721.25</v>
      </c>
      <c r="D5175" s="4">
        <v>45721.250025914356</v>
      </c>
      <c r="E5175" s="2">
        <v>6.3</v>
      </c>
      <c r="F5175" s="2">
        <v>81.3</v>
      </c>
      <c r="G5175" s="2" t="s">
        <v>983</v>
      </c>
      <c r="H5175" s="2" t="s">
        <v>984</v>
      </c>
      <c r="I5175" s="2"/>
      <c r="J5175" s="2" t="s">
        <v>47</v>
      </c>
    </row>
    <row r="5176" spans="1:10" ht="21" customHeight="1">
      <c r="A5176" s="2" t="s">
        <v>6177</v>
      </c>
      <c r="B5176" s="2" t="s">
        <v>47</v>
      </c>
      <c r="C5176" s="4">
        <v>45722.25</v>
      </c>
      <c r="D5176" s="4">
        <v>45722.250293356483</v>
      </c>
      <c r="E5176" s="2">
        <v>3.38</v>
      </c>
      <c r="F5176" s="2">
        <v>73.2</v>
      </c>
      <c r="G5176" s="2" t="s">
        <v>983</v>
      </c>
      <c r="H5176" s="2" t="s">
        <v>984</v>
      </c>
      <c r="I5176" s="2"/>
      <c r="J5176" s="2" t="s">
        <v>47</v>
      </c>
    </row>
    <row r="5177" spans="1:10" ht="21" customHeight="1">
      <c r="A5177" s="2" t="s">
        <v>6178</v>
      </c>
      <c r="B5177" s="2" t="s">
        <v>47</v>
      </c>
      <c r="C5177" s="4">
        <v>45723.25</v>
      </c>
      <c r="D5177" s="4">
        <v>45723.250640486112</v>
      </c>
      <c r="E5177" s="2">
        <v>3.3</v>
      </c>
      <c r="F5177" s="2">
        <v>77.7</v>
      </c>
      <c r="G5177" s="2" t="s">
        <v>983</v>
      </c>
      <c r="H5177" s="2" t="s">
        <v>984</v>
      </c>
      <c r="I5177" s="2"/>
      <c r="J5177" s="2" t="s">
        <v>47</v>
      </c>
    </row>
    <row r="5178" spans="1:10" ht="21" customHeight="1">
      <c r="A5178" s="2" t="s">
        <v>6179</v>
      </c>
      <c r="B5178" s="2" t="s">
        <v>47</v>
      </c>
      <c r="C5178" s="4">
        <v>45724.25</v>
      </c>
      <c r="D5178" s="4">
        <v>45724.250490347222</v>
      </c>
      <c r="E5178" s="2">
        <v>3.74</v>
      </c>
      <c r="F5178" s="2">
        <v>75.3</v>
      </c>
      <c r="G5178" s="2" t="s">
        <v>983</v>
      </c>
      <c r="H5178" s="2" t="s">
        <v>984</v>
      </c>
      <c r="I5178" s="2"/>
      <c r="J5178" s="2" t="s">
        <v>47</v>
      </c>
    </row>
    <row r="5179" spans="1:10" ht="21" customHeight="1">
      <c r="A5179" s="2" t="s">
        <v>6180</v>
      </c>
      <c r="B5179" s="2" t="s">
        <v>47</v>
      </c>
      <c r="C5179" s="4">
        <v>45725.25</v>
      </c>
      <c r="D5179" s="4">
        <v>45725.250607662034</v>
      </c>
      <c r="E5179" s="2">
        <v>3.54</v>
      </c>
      <c r="F5179" s="2">
        <v>72.599999999999994</v>
      </c>
      <c r="G5179" s="2" t="s">
        <v>983</v>
      </c>
      <c r="H5179" s="2" t="s">
        <v>984</v>
      </c>
      <c r="I5179" s="2"/>
      <c r="J5179" s="2" t="s">
        <v>47</v>
      </c>
    </row>
    <row r="5180" spans="1:10" ht="21" customHeight="1">
      <c r="A5180" s="2" t="s">
        <v>6181</v>
      </c>
      <c r="B5180" s="2" t="s">
        <v>47</v>
      </c>
      <c r="C5180" s="4">
        <v>45726.25</v>
      </c>
      <c r="D5180" s="4">
        <v>45726.250327256945</v>
      </c>
      <c r="E5180" s="2">
        <v>3.13</v>
      </c>
      <c r="F5180" s="2">
        <v>73.7</v>
      </c>
      <c r="G5180" s="2" t="s">
        <v>983</v>
      </c>
      <c r="H5180" s="2" t="s">
        <v>984</v>
      </c>
      <c r="I5180" s="2" t="s">
        <v>985</v>
      </c>
      <c r="J5180" s="2" t="s">
        <v>47</v>
      </c>
    </row>
    <row r="5181" spans="1:10" ht="21" customHeight="1">
      <c r="A5181" s="2" t="s">
        <v>6182</v>
      </c>
      <c r="B5181" s="2" t="s">
        <v>47</v>
      </c>
      <c r="C5181" s="4">
        <v>45727.25</v>
      </c>
      <c r="D5181" s="4">
        <v>45727.250361412036</v>
      </c>
      <c r="E5181" s="2">
        <v>3.89</v>
      </c>
      <c r="F5181" s="2">
        <v>75.8</v>
      </c>
      <c r="G5181" s="2" t="s">
        <v>983</v>
      </c>
      <c r="H5181" s="2" t="s">
        <v>984</v>
      </c>
      <c r="I5181" s="2"/>
      <c r="J5181" s="2" t="s">
        <v>47</v>
      </c>
    </row>
    <row r="5182" spans="1:10" ht="21" customHeight="1">
      <c r="A5182" s="2" t="s">
        <v>6183</v>
      </c>
      <c r="B5182" s="2" t="s">
        <v>47</v>
      </c>
      <c r="C5182" s="4">
        <v>45728.25</v>
      </c>
      <c r="D5182" s="4">
        <v>45728.250555787032</v>
      </c>
      <c r="E5182" s="2">
        <v>3.45</v>
      </c>
      <c r="F5182" s="2">
        <v>77</v>
      </c>
      <c r="G5182" s="2" t="s">
        <v>983</v>
      </c>
      <c r="H5182" s="2" t="s">
        <v>984</v>
      </c>
      <c r="I5182" s="2"/>
      <c r="J5182" s="2" t="s">
        <v>47</v>
      </c>
    </row>
    <row r="5183" spans="1:10" ht="21" customHeight="1">
      <c r="A5183" s="2" t="s">
        <v>6184</v>
      </c>
      <c r="B5183" s="2" t="s">
        <v>47</v>
      </c>
      <c r="C5183" s="4">
        <v>45729.25</v>
      </c>
      <c r="D5183" s="4">
        <v>45729.250332696756</v>
      </c>
      <c r="E5183" s="2">
        <v>3.34</v>
      </c>
      <c r="F5183" s="2">
        <v>75.099999999999994</v>
      </c>
      <c r="G5183" s="2" t="s">
        <v>983</v>
      </c>
      <c r="H5183" s="2" t="s">
        <v>984</v>
      </c>
      <c r="I5183" s="2"/>
      <c r="J5183" s="2" t="s">
        <v>47</v>
      </c>
    </row>
    <row r="5184" spans="1:10" ht="21" customHeight="1">
      <c r="A5184" s="2" t="s">
        <v>6185</v>
      </c>
      <c r="B5184" s="2" t="s">
        <v>47</v>
      </c>
      <c r="C5184" s="4">
        <v>45730.25</v>
      </c>
      <c r="D5184" s="4">
        <v>45730.250393530092</v>
      </c>
      <c r="E5184" s="2">
        <v>3.71</v>
      </c>
      <c r="F5184" s="2">
        <v>76.5</v>
      </c>
      <c r="G5184" s="2" t="s">
        <v>983</v>
      </c>
      <c r="H5184" s="2" t="s">
        <v>984</v>
      </c>
      <c r="I5184" s="2"/>
      <c r="J5184" s="2" t="s">
        <v>47</v>
      </c>
    </row>
    <row r="5185" spans="1:10" ht="21" customHeight="1">
      <c r="A5185" s="2" t="s">
        <v>6186</v>
      </c>
      <c r="B5185" s="2" t="s">
        <v>47</v>
      </c>
      <c r="C5185" s="4">
        <v>45731.25</v>
      </c>
      <c r="D5185" s="4">
        <v>45731.250532719903</v>
      </c>
      <c r="E5185" s="2">
        <v>3.53</v>
      </c>
      <c r="F5185" s="2">
        <v>76.900000000000006</v>
      </c>
      <c r="G5185" s="2" t="s">
        <v>983</v>
      </c>
      <c r="H5185" s="2" t="s">
        <v>984</v>
      </c>
      <c r="I5185" s="2"/>
      <c r="J5185" s="2" t="s">
        <v>47</v>
      </c>
    </row>
    <row r="5186" spans="1:10" ht="21" customHeight="1">
      <c r="A5186" s="2" t="s">
        <v>6187</v>
      </c>
      <c r="B5186" s="2" t="s">
        <v>47</v>
      </c>
      <c r="C5186" s="4">
        <v>45732.25</v>
      </c>
      <c r="D5186" s="4">
        <v>45732.250083969906</v>
      </c>
      <c r="E5186" s="2">
        <v>3.55</v>
      </c>
      <c r="F5186" s="2">
        <v>80</v>
      </c>
      <c r="G5186" s="2" t="s">
        <v>983</v>
      </c>
      <c r="H5186" s="2" t="s">
        <v>984</v>
      </c>
      <c r="I5186" s="2"/>
      <c r="J5186" s="2" t="s">
        <v>47</v>
      </c>
    </row>
    <row r="5187" spans="1:10" ht="21" customHeight="1">
      <c r="A5187" s="2" t="s">
        <v>6188</v>
      </c>
      <c r="B5187" s="2" t="s">
        <v>47</v>
      </c>
      <c r="C5187" s="4">
        <v>45733.25</v>
      </c>
      <c r="D5187" s="4">
        <v>45733.250349074078</v>
      </c>
      <c r="E5187" s="2">
        <v>2.92</v>
      </c>
      <c r="F5187" s="2">
        <v>77.5</v>
      </c>
      <c r="G5187" s="2" t="s">
        <v>983</v>
      </c>
      <c r="H5187" s="2" t="s">
        <v>984</v>
      </c>
      <c r="I5187" s="2"/>
      <c r="J5187" s="2" t="s">
        <v>47</v>
      </c>
    </row>
    <row r="5188" spans="1:10" ht="21" customHeight="1">
      <c r="A5188" s="2" t="s">
        <v>6189</v>
      </c>
      <c r="B5188" s="2" t="s">
        <v>47</v>
      </c>
      <c r="C5188" s="4">
        <v>45734.25</v>
      </c>
      <c r="D5188" s="4">
        <v>45734.250200798611</v>
      </c>
      <c r="E5188" s="2">
        <v>3.31</v>
      </c>
      <c r="F5188" s="2">
        <v>73.900000000000006</v>
      </c>
      <c r="G5188" s="2" t="s">
        <v>983</v>
      </c>
      <c r="H5188" s="2" t="s">
        <v>984</v>
      </c>
      <c r="I5188" s="2"/>
      <c r="J5188" s="2" t="s">
        <v>47</v>
      </c>
    </row>
    <row r="5189" spans="1:10" ht="21" customHeight="1">
      <c r="A5189" s="2" t="s">
        <v>6190</v>
      </c>
      <c r="B5189" s="2" t="s">
        <v>47</v>
      </c>
      <c r="C5189" s="4">
        <v>45735.25</v>
      </c>
      <c r="D5189" s="4">
        <v>45735.250172002314</v>
      </c>
      <c r="E5189" s="2">
        <v>3.55</v>
      </c>
      <c r="F5189" s="2">
        <v>73.900000000000006</v>
      </c>
      <c r="G5189" s="2" t="s">
        <v>983</v>
      </c>
      <c r="H5189" s="2" t="s">
        <v>984</v>
      </c>
      <c r="I5189" s="2"/>
      <c r="J5189" s="2" t="s">
        <v>47</v>
      </c>
    </row>
    <row r="5190" spans="1:10" ht="21" customHeight="1">
      <c r="A5190" s="2" t="s">
        <v>6191</v>
      </c>
      <c r="B5190" s="2" t="s">
        <v>47</v>
      </c>
      <c r="C5190" s="4">
        <v>45736.25</v>
      </c>
      <c r="D5190" s="4">
        <v>45736.250319120372</v>
      </c>
      <c r="E5190" s="2">
        <v>3.41</v>
      </c>
      <c r="F5190" s="2">
        <v>75.7</v>
      </c>
      <c r="G5190" s="2" t="s">
        <v>983</v>
      </c>
      <c r="H5190" s="2" t="s">
        <v>984</v>
      </c>
      <c r="I5190" s="2"/>
      <c r="J5190" s="2" t="s">
        <v>47</v>
      </c>
    </row>
    <row r="5191" spans="1:10" ht="21" customHeight="1">
      <c r="A5191" s="2" t="s">
        <v>6192</v>
      </c>
      <c r="B5191" s="2" t="s">
        <v>47</v>
      </c>
      <c r="C5191" s="4">
        <v>45737.25</v>
      </c>
      <c r="D5191" s="4">
        <v>45737.250342557869</v>
      </c>
      <c r="E5191" s="2">
        <v>3.52</v>
      </c>
      <c r="F5191" s="2">
        <v>75.8</v>
      </c>
      <c r="G5191" s="2" t="s">
        <v>983</v>
      </c>
      <c r="H5191" s="2" t="s">
        <v>984</v>
      </c>
      <c r="I5191" s="2"/>
      <c r="J5191" s="2" t="s">
        <v>47</v>
      </c>
    </row>
    <row r="5192" spans="1:10" ht="21" customHeight="1">
      <c r="A5192" s="2" t="s">
        <v>6193</v>
      </c>
      <c r="B5192" s="2" t="s">
        <v>47</v>
      </c>
      <c r="C5192" s="4">
        <v>45738.25</v>
      </c>
      <c r="D5192" s="4">
        <v>45738.250233541665</v>
      </c>
      <c r="E5192" s="2">
        <v>2.81</v>
      </c>
      <c r="F5192" s="2">
        <v>74</v>
      </c>
      <c r="G5192" s="2" t="s">
        <v>983</v>
      </c>
      <c r="H5192" s="2" t="s">
        <v>984</v>
      </c>
      <c r="I5192" s="2"/>
      <c r="J5192" s="2" t="s">
        <v>47</v>
      </c>
    </row>
    <row r="5193" spans="1:10" ht="21" customHeight="1">
      <c r="A5193" s="2" t="s">
        <v>6194</v>
      </c>
      <c r="B5193" s="2" t="s">
        <v>47</v>
      </c>
      <c r="C5193" s="4">
        <v>45739.25</v>
      </c>
      <c r="D5193" s="4">
        <v>45739.250251226855</v>
      </c>
      <c r="E5193" s="2">
        <v>3.16</v>
      </c>
      <c r="F5193" s="2">
        <v>74.099999999999994</v>
      </c>
      <c r="G5193" s="2" t="s">
        <v>983</v>
      </c>
      <c r="H5193" s="2" t="s">
        <v>984</v>
      </c>
      <c r="I5193" s="2"/>
      <c r="J5193" s="2" t="s">
        <v>47</v>
      </c>
    </row>
    <row r="5194" spans="1:10" ht="21" customHeight="1">
      <c r="A5194" s="2" t="s">
        <v>6195</v>
      </c>
      <c r="B5194" s="2" t="s">
        <v>47</v>
      </c>
      <c r="C5194" s="4">
        <v>45740.25</v>
      </c>
      <c r="D5194" s="4">
        <v>45740.250238263892</v>
      </c>
      <c r="E5194" s="2">
        <v>2.91</v>
      </c>
      <c r="F5194" s="2">
        <v>72.400000000000006</v>
      </c>
      <c r="G5194" s="2" t="s">
        <v>983</v>
      </c>
      <c r="H5194" s="2" t="s">
        <v>984</v>
      </c>
      <c r="I5194" s="2"/>
      <c r="J5194" s="2" t="s">
        <v>47</v>
      </c>
    </row>
    <row r="5195" spans="1:10" ht="21" customHeight="1">
      <c r="A5195" s="2" t="s">
        <v>6196</v>
      </c>
      <c r="B5195" s="2" t="s">
        <v>47</v>
      </c>
      <c r="C5195" s="4">
        <v>45741.25</v>
      </c>
      <c r="D5195" s="4">
        <v>45741.25007357639</v>
      </c>
      <c r="E5195" s="2">
        <v>3.45</v>
      </c>
      <c r="F5195" s="2">
        <v>75.3</v>
      </c>
      <c r="G5195" s="2" t="s">
        <v>983</v>
      </c>
      <c r="H5195" s="2" t="s">
        <v>984</v>
      </c>
      <c r="I5195" s="2"/>
      <c r="J5195" s="2" t="s">
        <v>47</v>
      </c>
    </row>
    <row r="5196" spans="1:10" ht="21" customHeight="1">
      <c r="A5196" s="2" t="s">
        <v>6197</v>
      </c>
      <c r="B5196" s="2" t="s">
        <v>47</v>
      </c>
      <c r="C5196" s="4">
        <v>45742.25</v>
      </c>
      <c r="D5196" s="4">
        <v>45742.250677199074</v>
      </c>
      <c r="E5196" s="2">
        <v>3.55</v>
      </c>
      <c r="F5196" s="2">
        <v>73.099999999999994</v>
      </c>
      <c r="G5196" s="2" t="s">
        <v>983</v>
      </c>
      <c r="H5196" s="2" t="s">
        <v>984</v>
      </c>
      <c r="I5196" s="2"/>
      <c r="J5196" s="2" t="s">
        <v>47</v>
      </c>
    </row>
    <row r="5197" spans="1:10" ht="21" customHeight="1">
      <c r="A5197" s="2" t="s">
        <v>6198</v>
      </c>
      <c r="B5197" s="2" t="s">
        <v>47</v>
      </c>
      <c r="C5197" s="4">
        <v>45743.25</v>
      </c>
      <c r="D5197" s="4">
        <v>45743.250349837966</v>
      </c>
      <c r="E5197" s="2">
        <v>2.95</v>
      </c>
      <c r="F5197" s="2">
        <v>74.900000000000006</v>
      </c>
      <c r="G5197" s="2" t="s">
        <v>983</v>
      </c>
      <c r="H5197" s="2" t="s">
        <v>984</v>
      </c>
      <c r="I5197" s="2" t="s">
        <v>985</v>
      </c>
      <c r="J5197" s="2" t="s">
        <v>47</v>
      </c>
    </row>
    <row r="5198" spans="1:10" ht="21" customHeight="1">
      <c r="A5198" s="2" t="s">
        <v>6199</v>
      </c>
      <c r="B5198" s="2" t="s">
        <v>47</v>
      </c>
      <c r="C5198" s="4">
        <v>45744.25</v>
      </c>
      <c r="D5198" s="4">
        <v>45744.250308055554</v>
      </c>
      <c r="E5198" s="2">
        <v>3.79</v>
      </c>
      <c r="F5198" s="2">
        <v>78.7</v>
      </c>
      <c r="G5198" s="2" t="s">
        <v>983</v>
      </c>
      <c r="H5198" s="2" t="s">
        <v>984</v>
      </c>
      <c r="I5198" s="2"/>
      <c r="J5198" s="2" t="s">
        <v>47</v>
      </c>
    </row>
    <row r="5199" spans="1:10" ht="21" customHeight="1">
      <c r="A5199" s="2" t="s">
        <v>6200</v>
      </c>
      <c r="B5199" s="2" t="s">
        <v>47</v>
      </c>
      <c r="C5199" s="4">
        <v>45745.25</v>
      </c>
      <c r="D5199" s="4">
        <v>45745.250231238431</v>
      </c>
      <c r="E5199" s="2">
        <v>3.11</v>
      </c>
      <c r="F5199" s="2">
        <v>73.7</v>
      </c>
      <c r="G5199" s="2" t="s">
        <v>983</v>
      </c>
      <c r="H5199" s="2" t="s">
        <v>984</v>
      </c>
      <c r="I5199" s="2"/>
      <c r="J5199" s="2" t="s">
        <v>47</v>
      </c>
    </row>
    <row r="5200" spans="1:10" ht="21" customHeight="1">
      <c r="A5200" s="2" t="s">
        <v>6201</v>
      </c>
      <c r="B5200" s="2" t="s">
        <v>47</v>
      </c>
      <c r="C5200" s="4">
        <v>45746.25</v>
      </c>
      <c r="D5200" s="4">
        <v>45746.250026643524</v>
      </c>
      <c r="E5200" s="2">
        <v>3.81</v>
      </c>
      <c r="F5200" s="2">
        <v>75.7</v>
      </c>
      <c r="G5200" s="2" t="s">
        <v>983</v>
      </c>
      <c r="H5200" s="2" t="s">
        <v>984</v>
      </c>
      <c r="I5200" s="2"/>
      <c r="J5200" s="2" t="s">
        <v>47</v>
      </c>
    </row>
    <row r="5201" spans="1:10" ht="21" customHeight="1">
      <c r="A5201" s="2" t="s">
        <v>6202</v>
      </c>
      <c r="B5201" s="2" t="s">
        <v>47</v>
      </c>
      <c r="C5201" s="4">
        <v>45747.25</v>
      </c>
      <c r="D5201" s="4">
        <v>45747.250576516206</v>
      </c>
      <c r="E5201" s="2">
        <v>3.38</v>
      </c>
      <c r="F5201" s="2">
        <v>77</v>
      </c>
      <c r="G5201" s="2" t="s">
        <v>983</v>
      </c>
      <c r="H5201" s="2" t="s">
        <v>984</v>
      </c>
      <c r="I5201" s="2"/>
      <c r="J5201" s="2" t="s">
        <v>47</v>
      </c>
    </row>
    <row r="5202" spans="1:10" ht="21" customHeight="1">
      <c r="A5202" s="2" t="s">
        <v>6203</v>
      </c>
      <c r="B5202" s="2" t="s">
        <v>47</v>
      </c>
      <c r="C5202" s="4">
        <v>45748.25</v>
      </c>
      <c r="D5202" s="4">
        <v>45748.250396331016</v>
      </c>
      <c r="E5202" s="2">
        <v>2.95</v>
      </c>
      <c r="F5202" s="2">
        <v>78.599999999999994</v>
      </c>
      <c r="G5202" s="2" t="s">
        <v>983</v>
      </c>
      <c r="H5202" s="2" t="s">
        <v>984</v>
      </c>
      <c r="I5202" s="2"/>
      <c r="J5202" s="2" t="s">
        <v>47</v>
      </c>
    </row>
    <row r="5203" spans="1:10" ht="21" customHeight="1">
      <c r="A5203" s="2" t="s">
        <v>6204</v>
      </c>
      <c r="B5203" s="2" t="s">
        <v>47</v>
      </c>
      <c r="C5203" s="4">
        <v>45749.25</v>
      </c>
      <c r="D5203" s="4">
        <v>45749.250662210645</v>
      </c>
      <c r="E5203" s="2">
        <v>3.41</v>
      </c>
      <c r="F5203" s="2">
        <v>79.900000000000006</v>
      </c>
      <c r="G5203" s="2" t="s">
        <v>983</v>
      </c>
      <c r="H5203" s="2" t="s">
        <v>984</v>
      </c>
      <c r="I5203" s="2"/>
      <c r="J5203" s="2" t="s">
        <v>47</v>
      </c>
    </row>
    <row r="5204" spans="1:10" ht="21" customHeight="1">
      <c r="A5204" s="2" t="s">
        <v>6205</v>
      </c>
      <c r="B5204" s="2" t="s">
        <v>47</v>
      </c>
      <c r="C5204" s="4">
        <v>45750.25</v>
      </c>
      <c r="D5204" s="4">
        <v>45750.250246400465</v>
      </c>
      <c r="E5204" s="2">
        <v>3.78</v>
      </c>
      <c r="F5204" s="2">
        <v>76.599999999999994</v>
      </c>
      <c r="G5204" s="2" t="s">
        <v>983</v>
      </c>
      <c r="H5204" s="2" t="s">
        <v>984</v>
      </c>
      <c r="I5204" s="2"/>
      <c r="J5204" s="2" t="s">
        <v>47</v>
      </c>
    </row>
    <row r="5205" spans="1:10" ht="21" customHeight="1">
      <c r="A5205" s="2" t="s">
        <v>6206</v>
      </c>
      <c r="B5205" s="2" t="s">
        <v>47</v>
      </c>
      <c r="C5205" s="4">
        <v>45751.25</v>
      </c>
      <c r="D5205" s="4">
        <v>45751.250307048613</v>
      </c>
      <c r="E5205" s="2">
        <v>3.87</v>
      </c>
      <c r="F5205" s="2">
        <v>74.599999999999994</v>
      </c>
      <c r="G5205" s="2" t="s">
        <v>983</v>
      </c>
      <c r="H5205" s="2" t="s">
        <v>984</v>
      </c>
      <c r="I5205" s="2"/>
      <c r="J5205" s="2" t="s">
        <v>47</v>
      </c>
    </row>
    <row r="5206" spans="1:10" ht="21" customHeight="1">
      <c r="A5206" s="2" t="s">
        <v>6207</v>
      </c>
      <c r="B5206" s="2" t="s">
        <v>47</v>
      </c>
      <c r="C5206" s="4">
        <v>45752.25</v>
      </c>
      <c r="D5206" s="4">
        <v>45752.250182835647</v>
      </c>
      <c r="E5206" s="2"/>
      <c r="F5206" s="2"/>
      <c r="G5206" s="2" t="s">
        <v>983</v>
      </c>
      <c r="H5206" s="2" t="s">
        <v>1066</v>
      </c>
      <c r="I5206" s="2"/>
      <c r="J5206" s="2" t="s">
        <v>47</v>
      </c>
    </row>
    <row r="5207" spans="1:10" ht="21" customHeight="1">
      <c r="A5207" s="2" t="s">
        <v>6208</v>
      </c>
      <c r="B5207" s="2" t="s">
        <v>47</v>
      </c>
      <c r="C5207" s="4">
        <v>45753.25</v>
      </c>
      <c r="D5207" s="4">
        <v>45753.250455648144</v>
      </c>
      <c r="E5207" s="2">
        <v>3.29</v>
      </c>
      <c r="F5207" s="2">
        <v>74.3</v>
      </c>
      <c r="G5207" s="2" t="s">
        <v>983</v>
      </c>
      <c r="H5207" s="2" t="s">
        <v>984</v>
      </c>
      <c r="I5207" s="2"/>
      <c r="J5207" s="2" t="s">
        <v>47</v>
      </c>
    </row>
    <row r="5208" spans="1:10" ht="21" customHeight="1">
      <c r="A5208" s="2" t="s">
        <v>6209</v>
      </c>
      <c r="B5208" s="2" t="s">
        <v>47</v>
      </c>
      <c r="C5208" s="4">
        <v>45754.25</v>
      </c>
      <c r="D5208" s="4">
        <v>45754.25052475695</v>
      </c>
      <c r="E5208" s="2">
        <v>3.03</v>
      </c>
      <c r="F5208" s="2">
        <v>73.400000000000006</v>
      </c>
      <c r="G5208" s="2" t="s">
        <v>983</v>
      </c>
      <c r="H5208" s="2" t="s">
        <v>984</v>
      </c>
      <c r="I5208" s="2"/>
      <c r="J5208" s="2" t="s">
        <v>47</v>
      </c>
    </row>
    <row r="5209" spans="1:10" ht="21" customHeight="1">
      <c r="A5209" s="2" t="s">
        <v>6210</v>
      </c>
      <c r="B5209" s="2" t="s">
        <v>6128</v>
      </c>
      <c r="C5209" s="4">
        <v>45755.25</v>
      </c>
      <c r="D5209" s="4">
        <v>45755.250042326385</v>
      </c>
      <c r="E5209" s="2">
        <v>3.33</v>
      </c>
      <c r="F5209" s="2">
        <v>72.2</v>
      </c>
      <c r="G5209" s="2" t="s">
        <v>983</v>
      </c>
      <c r="H5209" s="2" t="s">
        <v>984</v>
      </c>
      <c r="I5209" s="2"/>
      <c r="J5209" s="2" t="s">
        <v>47</v>
      </c>
    </row>
    <row r="5210" spans="1:10" ht="21" customHeight="1">
      <c r="A5210" s="2" t="s">
        <v>6211</v>
      </c>
      <c r="B5210" s="2" t="s">
        <v>47</v>
      </c>
      <c r="C5210" s="4">
        <v>45756.25</v>
      </c>
      <c r="D5210" s="4">
        <v>45756.250170023151</v>
      </c>
      <c r="E5210" s="2">
        <v>3.18</v>
      </c>
      <c r="F5210" s="2">
        <v>73.599999999999994</v>
      </c>
      <c r="G5210" s="2" t="s">
        <v>983</v>
      </c>
      <c r="H5210" s="2" t="s">
        <v>984</v>
      </c>
      <c r="I5210" s="2"/>
      <c r="J5210" s="2" t="s">
        <v>47</v>
      </c>
    </row>
    <row r="5211" spans="1:10" ht="21" customHeight="1">
      <c r="A5211" s="2" t="s">
        <v>6212</v>
      </c>
      <c r="B5211" s="2" t="s">
        <v>47</v>
      </c>
      <c r="C5211" s="4">
        <v>45757.25</v>
      </c>
      <c r="D5211" s="4">
        <v>45757.250372627313</v>
      </c>
      <c r="E5211" s="2">
        <v>3.18</v>
      </c>
      <c r="F5211" s="2">
        <v>74.8</v>
      </c>
      <c r="G5211" s="2" t="s">
        <v>983</v>
      </c>
      <c r="H5211" s="2" t="s">
        <v>984</v>
      </c>
      <c r="I5211" s="2"/>
      <c r="J5211" s="2" t="s">
        <v>47</v>
      </c>
    </row>
    <row r="5212" spans="1:10" ht="21" customHeight="1">
      <c r="A5212" s="2" t="s">
        <v>6213</v>
      </c>
      <c r="B5212" s="2" t="s">
        <v>47</v>
      </c>
      <c r="C5212" s="4">
        <v>45758.25</v>
      </c>
      <c r="D5212" s="4">
        <v>45758.250031909723</v>
      </c>
      <c r="E5212" s="2">
        <v>3.36</v>
      </c>
      <c r="F5212" s="2">
        <v>74</v>
      </c>
      <c r="G5212" s="2" t="s">
        <v>983</v>
      </c>
      <c r="H5212" s="2" t="s">
        <v>984</v>
      </c>
      <c r="I5212" s="2"/>
      <c r="J5212" s="2" t="s">
        <v>47</v>
      </c>
    </row>
    <row r="5213" spans="1:10" ht="21" customHeight="1">
      <c r="A5213" s="2" t="s">
        <v>6214</v>
      </c>
      <c r="B5213" s="2" t="s">
        <v>47</v>
      </c>
      <c r="C5213" s="4">
        <v>45759.25</v>
      </c>
      <c r="D5213" s="4">
        <v>45759.250364548614</v>
      </c>
      <c r="E5213" s="2">
        <v>3.36</v>
      </c>
      <c r="F5213" s="2">
        <v>79.8</v>
      </c>
      <c r="G5213" s="2" t="s">
        <v>983</v>
      </c>
      <c r="H5213" s="2" t="s">
        <v>984</v>
      </c>
      <c r="I5213" s="2"/>
      <c r="J5213" s="2" t="s">
        <v>47</v>
      </c>
    </row>
    <row r="5214" spans="1:10" ht="21" customHeight="1">
      <c r="A5214" s="2" t="s">
        <v>6215</v>
      </c>
      <c r="B5214" s="2" t="s">
        <v>47</v>
      </c>
      <c r="C5214" s="4">
        <v>45760.25</v>
      </c>
      <c r="D5214" s="4">
        <v>45760.250179988427</v>
      </c>
      <c r="E5214" s="2">
        <v>3.61</v>
      </c>
      <c r="F5214" s="2">
        <v>78.8</v>
      </c>
      <c r="G5214" s="2" t="s">
        <v>983</v>
      </c>
      <c r="H5214" s="2" t="s">
        <v>984</v>
      </c>
      <c r="I5214" s="2" t="s">
        <v>985</v>
      </c>
      <c r="J5214" s="2" t="s">
        <v>47</v>
      </c>
    </row>
    <row r="5215" spans="1:10" ht="21" customHeight="1">
      <c r="A5215" s="2" t="s">
        <v>6216</v>
      </c>
      <c r="B5215" s="2" t="s">
        <v>47</v>
      </c>
      <c r="C5215" s="4">
        <v>45761.25</v>
      </c>
      <c r="D5215" s="4">
        <v>45761.25064298611</v>
      </c>
      <c r="E5215" s="2"/>
      <c r="F5215" s="2"/>
      <c r="G5215" s="2" t="s">
        <v>983</v>
      </c>
      <c r="H5215" s="2" t="s">
        <v>1066</v>
      </c>
      <c r="I5215" s="2"/>
      <c r="J5215" s="2" t="s">
        <v>47</v>
      </c>
    </row>
    <row r="5216" spans="1:10" ht="21" customHeight="1">
      <c r="A5216" s="2" t="s">
        <v>6217</v>
      </c>
      <c r="B5216" s="2" t="s">
        <v>47</v>
      </c>
      <c r="C5216" s="4">
        <v>45762.25</v>
      </c>
      <c r="D5216" s="4">
        <v>45762.250404826387</v>
      </c>
      <c r="E5216" s="2">
        <v>2.85</v>
      </c>
      <c r="F5216" s="2">
        <v>78</v>
      </c>
      <c r="G5216" s="2" t="s">
        <v>983</v>
      </c>
      <c r="H5216" s="2" t="s">
        <v>984</v>
      </c>
      <c r="I5216" s="2"/>
      <c r="J5216" s="2" t="s">
        <v>47</v>
      </c>
    </row>
    <row r="5217" spans="1:10" ht="21" customHeight="1">
      <c r="A5217" s="2" t="s">
        <v>6218</v>
      </c>
      <c r="B5217" s="2" t="s">
        <v>47</v>
      </c>
      <c r="C5217" s="4">
        <v>45763.25</v>
      </c>
      <c r="D5217" s="4">
        <v>45763.250476307869</v>
      </c>
      <c r="E5217" s="2">
        <v>3.61</v>
      </c>
      <c r="F5217" s="2">
        <v>75.2</v>
      </c>
      <c r="G5217" s="2" t="s">
        <v>983</v>
      </c>
      <c r="H5217" s="2" t="s">
        <v>984</v>
      </c>
      <c r="I5217" s="2"/>
      <c r="J5217" s="2" t="s">
        <v>47</v>
      </c>
    </row>
    <row r="5218" spans="1:10" ht="21" customHeight="1">
      <c r="A5218" s="2" t="s">
        <v>6219</v>
      </c>
      <c r="B5218" s="2" t="s">
        <v>47</v>
      </c>
      <c r="C5218" s="4">
        <v>45764.25</v>
      </c>
      <c r="D5218" s="4">
        <v>45764.250035717589</v>
      </c>
      <c r="E5218" s="2">
        <v>3.19</v>
      </c>
      <c r="F5218" s="2">
        <v>75.2</v>
      </c>
      <c r="G5218" s="2" t="s">
        <v>983</v>
      </c>
      <c r="H5218" s="2" t="s">
        <v>984</v>
      </c>
      <c r="I5218" s="2"/>
      <c r="J5218" s="2" t="s">
        <v>47</v>
      </c>
    </row>
    <row r="5219" spans="1:10" ht="21" customHeight="1">
      <c r="A5219" s="2" t="s">
        <v>6220</v>
      </c>
      <c r="B5219" s="2" t="s">
        <v>47</v>
      </c>
      <c r="C5219" s="4">
        <v>45765.25</v>
      </c>
      <c r="D5219" s="4">
        <v>45765.250520682872</v>
      </c>
      <c r="E5219" s="2">
        <v>3.24</v>
      </c>
      <c r="F5219" s="2">
        <v>79.8</v>
      </c>
      <c r="G5219" s="2" t="s">
        <v>983</v>
      </c>
      <c r="H5219" s="2" t="s">
        <v>984</v>
      </c>
      <c r="I5219" s="2"/>
      <c r="J5219" s="2" t="s">
        <v>47</v>
      </c>
    </row>
    <row r="5220" spans="1:10" ht="21" customHeight="1">
      <c r="A5220" s="2" t="s">
        <v>6221</v>
      </c>
      <c r="B5220" s="2" t="s">
        <v>47</v>
      </c>
      <c r="C5220" s="4">
        <v>45766.25</v>
      </c>
      <c r="D5220" s="4">
        <v>45766.250243935181</v>
      </c>
      <c r="E5220" s="2">
        <v>3.04</v>
      </c>
      <c r="F5220" s="2">
        <v>79.2</v>
      </c>
      <c r="G5220" s="2" t="s">
        <v>983</v>
      </c>
      <c r="H5220" s="2" t="s">
        <v>984</v>
      </c>
      <c r="I5220" s="2"/>
      <c r="J5220" s="2" t="s">
        <v>47</v>
      </c>
    </row>
    <row r="5221" spans="1:10" ht="21" customHeight="1">
      <c r="A5221" s="2" t="s">
        <v>6222</v>
      </c>
      <c r="B5221" s="2" t="s">
        <v>47</v>
      </c>
      <c r="C5221" s="4">
        <v>45767.25</v>
      </c>
      <c r="D5221" s="4">
        <v>45767.250369930553</v>
      </c>
      <c r="E5221" s="2">
        <v>3.2</v>
      </c>
      <c r="F5221" s="2">
        <v>75.599999999999994</v>
      </c>
      <c r="G5221" s="2" t="s">
        <v>983</v>
      </c>
      <c r="H5221" s="2" t="s">
        <v>984</v>
      </c>
      <c r="I5221" s="2"/>
      <c r="J5221" s="2" t="s">
        <v>47</v>
      </c>
    </row>
    <row r="5222" spans="1:10" ht="21" customHeight="1">
      <c r="A5222" s="2" t="s">
        <v>6223</v>
      </c>
      <c r="B5222" s="2" t="s">
        <v>47</v>
      </c>
      <c r="C5222" s="4">
        <v>45768.25</v>
      </c>
      <c r="D5222" s="4">
        <v>45768.250354201387</v>
      </c>
      <c r="E5222" s="2">
        <v>3.34</v>
      </c>
      <c r="F5222" s="2">
        <v>72.8</v>
      </c>
      <c r="G5222" s="2" t="s">
        <v>983</v>
      </c>
      <c r="H5222" s="2" t="s">
        <v>984</v>
      </c>
      <c r="I5222" s="2"/>
      <c r="J5222" s="2" t="s">
        <v>47</v>
      </c>
    </row>
    <row r="5223" spans="1:10" ht="21" customHeight="1">
      <c r="A5223" s="2" t="s">
        <v>6224</v>
      </c>
      <c r="B5223" s="2" t="s">
        <v>47</v>
      </c>
      <c r="C5223" s="4">
        <v>45769.25</v>
      </c>
      <c r="D5223" s="4">
        <v>45769.250606666668</v>
      </c>
      <c r="E5223" s="2">
        <v>3.28</v>
      </c>
      <c r="F5223" s="2">
        <v>75.400000000000006</v>
      </c>
      <c r="G5223" s="2" t="s">
        <v>983</v>
      </c>
      <c r="H5223" s="2" t="s">
        <v>984</v>
      </c>
      <c r="I5223" s="2"/>
      <c r="J5223" s="2" t="s">
        <v>47</v>
      </c>
    </row>
    <row r="5224" spans="1:10" ht="21" customHeight="1">
      <c r="A5224" s="2" t="s">
        <v>6225</v>
      </c>
      <c r="B5224" s="2" t="s">
        <v>47</v>
      </c>
      <c r="C5224" s="4">
        <v>45770.25</v>
      </c>
      <c r="D5224" s="4">
        <v>45770.250469363426</v>
      </c>
      <c r="E5224" s="2">
        <v>3.52</v>
      </c>
      <c r="F5224" s="2">
        <v>79.3</v>
      </c>
      <c r="G5224" s="2" t="s">
        <v>983</v>
      </c>
      <c r="H5224" s="2" t="s">
        <v>984</v>
      </c>
      <c r="I5224" s="2"/>
      <c r="J5224" s="2" t="s">
        <v>47</v>
      </c>
    </row>
    <row r="5225" spans="1:10" ht="21" customHeight="1">
      <c r="A5225" s="2" t="s">
        <v>6226</v>
      </c>
      <c r="B5225" s="2" t="s">
        <v>47</v>
      </c>
      <c r="C5225" s="4">
        <v>45771.25</v>
      </c>
      <c r="D5225" s="4">
        <v>45771.250431296299</v>
      </c>
      <c r="E5225" s="2">
        <v>2.99</v>
      </c>
      <c r="F5225" s="2">
        <v>75.900000000000006</v>
      </c>
      <c r="G5225" s="2" t="s">
        <v>983</v>
      </c>
      <c r="H5225" s="2" t="s">
        <v>984</v>
      </c>
      <c r="I5225" s="2"/>
      <c r="J5225" s="2" t="s">
        <v>47</v>
      </c>
    </row>
    <row r="5226" spans="1:10" ht="21" customHeight="1">
      <c r="A5226" s="2" t="s">
        <v>6227</v>
      </c>
      <c r="B5226" s="2" t="s">
        <v>47</v>
      </c>
      <c r="C5226" s="4">
        <v>45772.25</v>
      </c>
      <c r="D5226" s="4">
        <v>45772.250163807868</v>
      </c>
      <c r="E5226" s="2">
        <v>3.11</v>
      </c>
      <c r="F5226" s="2">
        <v>77.599999999999994</v>
      </c>
      <c r="G5226" s="2" t="s">
        <v>983</v>
      </c>
      <c r="H5226" s="2" t="s">
        <v>984</v>
      </c>
      <c r="I5226" s="2"/>
      <c r="J5226" s="2" t="s">
        <v>47</v>
      </c>
    </row>
    <row r="5227" spans="1:10" ht="21" customHeight="1">
      <c r="A5227" s="2" t="s">
        <v>6228</v>
      </c>
      <c r="B5227" s="2" t="s">
        <v>47</v>
      </c>
      <c r="C5227" s="4">
        <v>45773.25</v>
      </c>
      <c r="D5227" s="4">
        <v>45773.250094456016</v>
      </c>
      <c r="E5227" s="2">
        <v>3.14</v>
      </c>
      <c r="F5227" s="2">
        <v>77.7</v>
      </c>
      <c r="G5227" s="2" t="s">
        <v>983</v>
      </c>
      <c r="H5227" s="2" t="s">
        <v>984</v>
      </c>
      <c r="I5227" s="2"/>
      <c r="J5227" s="2" t="s">
        <v>47</v>
      </c>
    </row>
    <row r="5228" spans="1:10" ht="21" customHeight="1">
      <c r="A5228" s="2" t="s">
        <v>6229</v>
      </c>
      <c r="B5228" s="2" t="s">
        <v>47</v>
      </c>
      <c r="C5228" s="4">
        <v>45774.25</v>
      </c>
      <c r="D5228" s="4">
        <v>45774.250669039349</v>
      </c>
      <c r="E5228" s="2">
        <v>2.94</v>
      </c>
      <c r="F5228" s="2">
        <v>78.099999999999994</v>
      </c>
      <c r="G5228" s="2" t="s">
        <v>983</v>
      </c>
      <c r="H5228" s="2" t="s">
        <v>984</v>
      </c>
      <c r="I5228" s="2"/>
      <c r="J5228" s="2" t="s">
        <v>47</v>
      </c>
    </row>
    <row r="5229" spans="1:10" ht="21" customHeight="1">
      <c r="A5229" s="2" t="s">
        <v>6230</v>
      </c>
      <c r="B5229" s="2" t="s">
        <v>47</v>
      </c>
      <c r="C5229" s="4">
        <v>45775.25</v>
      </c>
      <c r="D5229" s="4">
        <v>45775.250094895833</v>
      </c>
      <c r="E5229" s="2">
        <v>2.88</v>
      </c>
      <c r="F5229" s="2">
        <v>74.3</v>
      </c>
      <c r="G5229" s="2" t="s">
        <v>983</v>
      </c>
      <c r="H5229" s="2" t="s">
        <v>984</v>
      </c>
      <c r="I5229" s="2"/>
      <c r="J5229" s="2" t="s">
        <v>47</v>
      </c>
    </row>
    <row r="5230" spans="1:10" ht="21" customHeight="1">
      <c r="A5230" s="2" t="s">
        <v>6231</v>
      </c>
      <c r="B5230" s="2" t="s">
        <v>47</v>
      </c>
      <c r="C5230" s="4">
        <v>45776.25</v>
      </c>
      <c r="D5230" s="4">
        <v>45776.250037071761</v>
      </c>
      <c r="E5230" s="2">
        <v>3.3</v>
      </c>
      <c r="F5230" s="2">
        <v>79</v>
      </c>
      <c r="G5230" s="2" t="s">
        <v>983</v>
      </c>
      <c r="H5230" s="2" t="s">
        <v>984</v>
      </c>
      <c r="I5230" s="2"/>
      <c r="J5230" s="2" t="s">
        <v>47</v>
      </c>
    </row>
    <row r="5231" spans="1:10" ht="21" customHeight="1">
      <c r="A5231" s="2" t="s">
        <v>6232</v>
      </c>
      <c r="B5231" s="2" t="s">
        <v>47</v>
      </c>
      <c r="C5231" s="4">
        <v>45777.25</v>
      </c>
      <c r="D5231" s="4">
        <v>45777.25001668981</v>
      </c>
      <c r="E5231" s="2">
        <v>3.64</v>
      </c>
      <c r="F5231" s="2">
        <v>77.2</v>
      </c>
      <c r="G5231" s="2" t="s">
        <v>983</v>
      </c>
      <c r="H5231" s="2" t="s">
        <v>984</v>
      </c>
      <c r="I5231" s="2" t="s">
        <v>985</v>
      </c>
      <c r="J5231" s="2" t="s">
        <v>47</v>
      </c>
    </row>
    <row r="5232" spans="1:10" ht="21" customHeight="1">
      <c r="A5232" s="2" t="s">
        <v>6233</v>
      </c>
      <c r="B5232" s="2" t="s">
        <v>47</v>
      </c>
      <c r="C5232" s="4">
        <v>45778.25</v>
      </c>
      <c r="D5232" s="4">
        <v>45778.250077986115</v>
      </c>
      <c r="E5232" s="2">
        <v>2.96</v>
      </c>
      <c r="F5232" s="2">
        <v>72.3</v>
      </c>
      <c r="G5232" s="2" t="s">
        <v>983</v>
      </c>
      <c r="H5232" s="2" t="s">
        <v>984</v>
      </c>
      <c r="I5232" s="2"/>
      <c r="J5232" s="2" t="s">
        <v>47</v>
      </c>
    </row>
    <row r="5233" spans="1:10" ht="21" customHeight="1">
      <c r="A5233" s="2" t="s">
        <v>6234</v>
      </c>
      <c r="B5233" s="2" t="s">
        <v>47</v>
      </c>
      <c r="C5233" s="4">
        <v>45779.25</v>
      </c>
      <c r="D5233" s="4">
        <v>45779.250118298616</v>
      </c>
      <c r="E5233" s="2">
        <v>3.89</v>
      </c>
      <c r="F5233" s="2">
        <v>74</v>
      </c>
      <c r="G5233" s="2" t="s">
        <v>983</v>
      </c>
      <c r="H5233" s="2" t="s">
        <v>984</v>
      </c>
      <c r="I5233" s="2"/>
      <c r="J5233" s="2" t="s">
        <v>47</v>
      </c>
    </row>
    <row r="5234" spans="1:10" ht="21" customHeight="1">
      <c r="A5234" s="2" t="s">
        <v>6235</v>
      </c>
      <c r="B5234" s="2" t="s">
        <v>47</v>
      </c>
      <c r="C5234" s="4">
        <v>45780.25</v>
      </c>
      <c r="D5234" s="4">
        <v>45780.250159664356</v>
      </c>
      <c r="E5234" s="2">
        <v>3.06</v>
      </c>
      <c r="F5234" s="2">
        <v>78.3</v>
      </c>
      <c r="G5234" s="2" t="s">
        <v>983</v>
      </c>
      <c r="H5234" s="2" t="s">
        <v>984</v>
      </c>
      <c r="I5234" s="2"/>
      <c r="J5234" s="2" t="s">
        <v>47</v>
      </c>
    </row>
    <row r="5235" spans="1:10" ht="21" customHeight="1">
      <c r="A5235" s="2" t="s">
        <v>6236</v>
      </c>
      <c r="B5235" s="2" t="s">
        <v>47</v>
      </c>
      <c r="C5235" s="4">
        <v>45781.25</v>
      </c>
      <c r="D5235" s="4">
        <v>45781.250133900467</v>
      </c>
      <c r="E5235" s="2">
        <v>3.84</v>
      </c>
      <c r="F5235" s="2">
        <v>73.7</v>
      </c>
      <c r="G5235" s="2" t="s">
        <v>983</v>
      </c>
      <c r="H5235" s="2" t="s">
        <v>984</v>
      </c>
      <c r="I5235" s="2"/>
      <c r="J5235" s="2" t="s">
        <v>47</v>
      </c>
    </row>
    <row r="5236" spans="1:10" ht="21" customHeight="1">
      <c r="A5236" s="2" t="s">
        <v>6237</v>
      </c>
      <c r="B5236" s="2" t="s">
        <v>47</v>
      </c>
      <c r="C5236" s="4">
        <v>45782.25</v>
      </c>
      <c r="D5236" s="4">
        <v>45782.250335138888</v>
      </c>
      <c r="E5236" s="2">
        <v>0</v>
      </c>
      <c r="F5236" s="2">
        <v>73.599999999999994</v>
      </c>
      <c r="G5236" s="2" t="s">
        <v>1175</v>
      </c>
      <c r="H5236" s="2" t="s">
        <v>984</v>
      </c>
      <c r="I5236" s="2"/>
      <c r="J5236" s="2" t="s">
        <v>47</v>
      </c>
    </row>
    <row r="5237" spans="1:10" ht="21" customHeight="1">
      <c r="A5237" s="2" t="s">
        <v>6238</v>
      </c>
      <c r="B5237" s="2" t="s">
        <v>47</v>
      </c>
      <c r="C5237" s="4">
        <v>45783.25</v>
      </c>
      <c r="D5237" s="4">
        <v>45783.250023252316</v>
      </c>
      <c r="E5237" s="2">
        <v>3.76</v>
      </c>
      <c r="F5237" s="2">
        <v>76.400000000000006</v>
      </c>
      <c r="G5237" s="2" t="s">
        <v>983</v>
      </c>
      <c r="H5237" s="2" t="s">
        <v>984</v>
      </c>
      <c r="I5237" s="2"/>
      <c r="J5237" s="2" t="s">
        <v>47</v>
      </c>
    </row>
    <row r="5238" spans="1:10" ht="21" customHeight="1">
      <c r="A5238" s="2" t="s">
        <v>6239</v>
      </c>
      <c r="B5238" s="2" t="s">
        <v>47</v>
      </c>
      <c r="C5238" s="4">
        <v>45784.25</v>
      </c>
      <c r="D5238" s="4">
        <v>45784.250290775468</v>
      </c>
      <c r="E5238" s="2">
        <v>3.44</v>
      </c>
      <c r="F5238" s="2">
        <v>72.7</v>
      </c>
      <c r="G5238" s="2" t="s">
        <v>983</v>
      </c>
      <c r="H5238" s="2" t="s">
        <v>984</v>
      </c>
      <c r="I5238" s="2"/>
      <c r="J5238" s="2" t="s">
        <v>47</v>
      </c>
    </row>
    <row r="5239" spans="1:10" ht="21" customHeight="1">
      <c r="A5239" s="2" t="s">
        <v>6240</v>
      </c>
      <c r="B5239" s="2" t="s">
        <v>47</v>
      </c>
      <c r="C5239" s="4">
        <v>45785.25</v>
      </c>
      <c r="D5239" s="4">
        <v>45785.250196828703</v>
      </c>
      <c r="E5239" s="2">
        <v>3.77</v>
      </c>
      <c r="F5239" s="2">
        <v>78.900000000000006</v>
      </c>
      <c r="G5239" s="2" t="s">
        <v>983</v>
      </c>
      <c r="H5239" s="2" t="s">
        <v>984</v>
      </c>
      <c r="I5239" s="2"/>
      <c r="J5239" s="2" t="s">
        <v>47</v>
      </c>
    </row>
    <row r="5240" spans="1:10" ht="21" customHeight="1">
      <c r="A5240" s="2" t="s">
        <v>6241</v>
      </c>
      <c r="B5240" s="2" t="s">
        <v>47</v>
      </c>
      <c r="C5240" s="4">
        <v>45786.25</v>
      </c>
      <c r="D5240" s="4">
        <v>45786.250393055554</v>
      </c>
      <c r="E5240" s="2">
        <v>3.17</v>
      </c>
      <c r="F5240" s="2">
        <v>77.599999999999994</v>
      </c>
      <c r="G5240" s="2" t="s">
        <v>983</v>
      </c>
      <c r="H5240" s="2" t="s">
        <v>984</v>
      </c>
      <c r="I5240" s="2"/>
      <c r="J5240" s="2" t="s">
        <v>47</v>
      </c>
    </row>
    <row r="5241" spans="1:10" ht="21" customHeight="1">
      <c r="A5241" s="2" t="s">
        <v>6242</v>
      </c>
      <c r="B5241" s="2" t="s">
        <v>47</v>
      </c>
      <c r="C5241" s="4">
        <v>45787.25</v>
      </c>
      <c r="D5241" s="4">
        <v>45787.250480057875</v>
      </c>
      <c r="E5241" s="2">
        <v>3.8</v>
      </c>
      <c r="F5241" s="2">
        <v>73.599999999999994</v>
      </c>
      <c r="G5241" s="2" t="s">
        <v>983</v>
      </c>
      <c r="H5241" s="2" t="s">
        <v>984</v>
      </c>
      <c r="I5241" s="2"/>
      <c r="J5241" s="2" t="s">
        <v>47</v>
      </c>
    </row>
    <row r="5242" spans="1:10" ht="21" customHeight="1">
      <c r="A5242" s="2" t="s">
        <v>6243</v>
      </c>
      <c r="B5242" s="2" t="s">
        <v>47</v>
      </c>
      <c r="C5242" s="4">
        <v>45788.25</v>
      </c>
      <c r="D5242" s="4">
        <v>45788.250410451394</v>
      </c>
      <c r="E5242" s="2">
        <v>3.75</v>
      </c>
      <c r="F5242" s="2">
        <v>72.2</v>
      </c>
      <c r="G5242" s="2" t="s">
        <v>983</v>
      </c>
      <c r="H5242" s="2" t="s">
        <v>984</v>
      </c>
      <c r="I5242" s="2"/>
      <c r="J5242" s="2" t="s">
        <v>47</v>
      </c>
    </row>
    <row r="5243" spans="1:10" ht="21" customHeight="1">
      <c r="A5243" s="2" t="s">
        <v>6244</v>
      </c>
      <c r="B5243" s="2" t="s">
        <v>47</v>
      </c>
      <c r="C5243" s="4">
        <v>45789.25</v>
      </c>
      <c r="D5243" s="4">
        <v>45789.250514918982</v>
      </c>
      <c r="E5243" s="2">
        <v>3.83</v>
      </c>
      <c r="F5243" s="2">
        <v>79.3</v>
      </c>
      <c r="G5243" s="2" t="s">
        <v>983</v>
      </c>
      <c r="H5243" s="2" t="s">
        <v>984</v>
      </c>
      <c r="I5243" s="2"/>
      <c r="J5243" s="2" t="s">
        <v>47</v>
      </c>
    </row>
    <row r="5244" spans="1:10" ht="21" customHeight="1">
      <c r="A5244" s="2" t="s">
        <v>6245</v>
      </c>
      <c r="B5244" s="2" t="s">
        <v>47</v>
      </c>
      <c r="C5244" s="4">
        <v>45790.25</v>
      </c>
      <c r="D5244" s="4">
        <v>45790.250518472225</v>
      </c>
      <c r="E5244" s="2">
        <v>3.55</v>
      </c>
      <c r="F5244" s="2">
        <v>77.900000000000006</v>
      </c>
      <c r="G5244" s="2" t="s">
        <v>983</v>
      </c>
      <c r="H5244" s="2" t="s">
        <v>984</v>
      </c>
      <c r="I5244" s="2"/>
      <c r="J5244" s="2" t="s">
        <v>47</v>
      </c>
    </row>
    <row r="5245" spans="1:10" ht="21" customHeight="1">
      <c r="A5245" s="2" t="s">
        <v>6246</v>
      </c>
      <c r="B5245" s="2" t="s">
        <v>47</v>
      </c>
      <c r="C5245" s="4">
        <v>45791.25</v>
      </c>
      <c r="D5245" s="4">
        <v>45791.250446226855</v>
      </c>
      <c r="E5245" s="2">
        <v>2.82</v>
      </c>
      <c r="F5245" s="2">
        <v>79.599999999999994</v>
      </c>
      <c r="G5245" s="2" t="s">
        <v>983</v>
      </c>
      <c r="H5245" s="2" t="s">
        <v>984</v>
      </c>
      <c r="I5245" s="2"/>
      <c r="J5245" s="2" t="s">
        <v>47</v>
      </c>
    </row>
    <row r="5246" spans="1:10" ht="21" customHeight="1">
      <c r="A5246" s="2" t="s">
        <v>6247</v>
      </c>
      <c r="B5246" s="2" t="s">
        <v>47</v>
      </c>
      <c r="C5246" s="4">
        <v>45792.25</v>
      </c>
      <c r="D5246" s="4">
        <v>45792.250328680559</v>
      </c>
      <c r="E5246" s="2">
        <v>3.17</v>
      </c>
      <c r="F5246" s="2">
        <v>76.3</v>
      </c>
      <c r="G5246" s="2" t="s">
        <v>983</v>
      </c>
      <c r="H5246" s="2" t="s">
        <v>984</v>
      </c>
      <c r="I5246" s="2"/>
      <c r="J5246" s="2" t="s">
        <v>47</v>
      </c>
    </row>
    <row r="5247" spans="1:10" ht="21" customHeight="1">
      <c r="A5247" s="2" t="s">
        <v>6248</v>
      </c>
      <c r="B5247" s="2" t="s">
        <v>47</v>
      </c>
      <c r="C5247" s="4">
        <v>45793.25</v>
      </c>
      <c r="D5247" s="4">
        <v>45793.25040960648</v>
      </c>
      <c r="E5247" s="2">
        <v>3.32</v>
      </c>
      <c r="F5247" s="2">
        <v>76.2</v>
      </c>
      <c r="G5247" s="2" t="s">
        <v>983</v>
      </c>
      <c r="H5247" s="2" t="s">
        <v>984</v>
      </c>
      <c r="I5247" s="2"/>
      <c r="J5247" s="2" t="s">
        <v>47</v>
      </c>
    </row>
    <row r="5248" spans="1:10" ht="21" customHeight="1">
      <c r="A5248" s="2" t="s">
        <v>6249</v>
      </c>
      <c r="B5248" s="2" t="s">
        <v>47</v>
      </c>
      <c r="C5248" s="4">
        <v>45794.25</v>
      </c>
      <c r="D5248" s="4">
        <v>45794.250550810189</v>
      </c>
      <c r="E5248" s="2">
        <v>2.9</v>
      </c>
      <c r="F5248" s="2">
        <v>77.3</v>
      </c>
      <c r="G5248" s="2" t="s">
        <v>983</v>
      </c>
      <c r="H5248" s="2" t="s">
        <v>984</v>
      </c>
      <c r="I5248" s="2" t="s">
        <v>985</v>
      </c>
      <c r="J5248" s="2" t="s">
        <v>47</v>
      </c>
    </row>
    <row r="5249" spans="1:10" ht="21" customHeight="1">
      <c r="A5249" s="2" t="s">
        <v>6250</v>
      </c>
      <c r="B5249" s="2" t="s">
        <v>47</v>
      </c>
      <c r="C5249" s="4">
        <v>45795.25</v>
      </c>
      <c r="D5249" s="4">
        <v>45795.250572083329</v>
      </c>
      <c r="E5249" s="2">
        <v>3.96</v>
      </c>
      <c r="F5249" s="2">
        <v>79.3</v>
      </c>
      <c r="G5249" s="2" t="s">
        <v>983</v>
      </c>
      <c r="H5249" s="2" t="s">
        <v>984</v>
      </c>
      <c r="I5249" s="2"/>
      <c r="J5249" s="2" t="s">
        <v>47</v>
      </c>
    </row>
    <row r="5250" spans="1:10" ht="21" customHeight="1">
      <c r="A5250" s="2" t="s">
        <v>6251</v>
      </c>
      <c r="B5250" s="2" t="s">
        <v>6128</v>
      </c>
      <c r="C5250" s="4">
        <v>45796.25</v>
      </c>
      <c r="D5250" s="4">
        <v>45796.250176759262</v>
      </c>
      <c r="E5250" s="2">
        <v>3.7</v>
      </c>
      <c r="F5250" s="2">
        <v>76</v>
      </c>
      <c r="G5250" s="2" t="s">
        <v>983</v>
      </c>
      <c r="H5250" s="2" t="s">
        <v>984</v>
      </c>
      <c r="I5250" s="2"/>
      <c r="J5250" s="2" t="s">
        <v>47</v>
      </c>
    </row>
    <row r="5251" spans="1:10" ht="21" customHeight="1">
      <c r="A5251" s="2" t="s">
        <v>6252</v>
      </c>
      <c r="B5251" s="2" t="s">
        <v>47</v>
      </c>
      <c r="C5251" s="4">
        <v>45797.25</v>
      </c>
      <c r="D5251" s="4">
        <v>45797.250249108794</v>
      </c>
      <c r="E5251" s="2">
        <v>3.46</v>
      </c>
      <c r="F5251" s="2">
        <v>76.400000000000006</v>
      </c>
      <c r="G5251" s="2" t="s">
        <v>983</v>
      </c>
      <c r="H5251" s="2" t="s">
        <v>984</v>
      </c>
      <c r="I5251" s="2"/>
      <c r="J5251" s="2" t="s">
        <v>47</v>
      </c>
    </row>
    <row r="5252" spans="1:10" ht="21" customHeight="1">
      <c r="A5252" s="2" t="s">
        <v>6253</v>
      </c>
      <c r="B5252" s="2" t="s">
        <v>47</v>
      </c>
      <c r="C5252" s="4">
        <v>45798.25</v>
      </c>
      <c r="D5252" s="4">
        <v>45798.250675995369</v>
      </c>
      <c r="E5252" s="2">
        <v>3.84</v>
      </c>
      <c r="F5252" s="2">
        <v>75</v>
      </c>
      <c r="G5252" s="2" t="s">
        <v>983</v>
      </c>
      <c r="H5252" s="2" t="s">
        <v>984</v>
      </c>
      <c r="I5252" s="2"/>
      <c r="J5252" s="2" t="s">
        <v>47</v>
      </c>
    </row>
    <row r="5253" spans="1:10" ht="21" customHeight="1">
      <c r="A5253" s="2" t="s">
        <v>6254</v>
      </c>
      <c r="B5253" s="2" t="s">
        <v>47</v>
      </c>
      <c r="C5253" s="4">
        <v>45799.25</v>
      </c>
      <c r="D5253" s="4">
        <v>45799.250254027778</v>
      </c>
      <c r="E5253" s="2">
        <v>3.55</v>
      </c>
      <c r="F5253" s="2">
        <v>73.2</v>
      </c>
      <c r="G5253" s="2" t="s">
        <v>983</v>
      </c>
      <c r="H5253" s="2" t="s">
        <v>984</v>
      </c>
      <c r="I5253" s="2"/>
      <c r="J5253" s="2" t="s">
        <v>47</v>
      </c>
    </row>
    <row r="5254" spans="1:10" ht="21" customHeight="1">
      <c r="A5254" s="2" t="s">
        <v>6255</v>
      </c>
      <c r="B5254" s="2" t="s">
        <v>47</v>
      </c>
      <c r="C5254" s="4">
        <v>45800.25</v>
      </c>
      <c r="D5254" s="4">
        <v>45800.250402951388</v>
      </c>
      <c r="E5254" s="2">
        <v>3.7</v>
      </c>
      <c r="F5254" s="2">
        <v>76.2</v>
      </c>
      <c r="G5254" s="2" t="s">
        <v>983</v>
      </c>
      <c r="H5254" s="2" t="s">
        <v>984</v>
      </c>
      <c r="I5254" s="2"/>
      <c r="J5254" s="2" t="s">
        <v>47</v>
      </c>
    </row>
    <row r="5255" spans="1:10" ht="21" customHeight="1">
      <c r="A5255" s="2" t="s">
        <v>6256</v>
      </c>
      <c r="B5255" s="2" t="s">
        <v>47</v>
      </c>
      <c r="C5255" s="4">
        <v>45801.25</v>
      </c>
      <c r="D5255" s="4">
        <v>45801.250434699075</v>
      </c>
      <c r="E5255" s="2">
        <v>3.68</v>
      </c>
      <c r="F5255" s="2">
        <v>76.099999999999994</v>
      </c>
      <c r="G5255" s="2" t="s">
        <v>983</v>
      </c>
      <c r="H5255" s="2" t="s">
        <v>984</v>
      </c>
      <c r="I5255" s="2"/>
      <c r="J5255" s="2" t="s">
        <v>47</v>
      </c>
    </row>
    <row r="5256" spans="1:10" ht="21" customHeight="1">
      <c r="A5256" s="2" t="s">
        <v>6257</v>
      </c>
      <c r="B5256" s="2" t="s">
        <v>47</v>
      </c>
      <c r="C5256" s="4">
        <v>45802.25</v>
      </c>
      <c r="D5256" s="4">
        <v>45802.25064662037</v>
      </c>
      <c r="E5256" s="2">
        <v>3.08</v>
      </c>
      <c r="F5256" s="2">
        <v>72.3</v>
      </c>
      <c r="G5256" s="2" t="s">
        <v>983</v>
      </c>
      <c r="H5256" s="2" t="s">
        <v>984</v>
      </c>
      <c r="I5256" s="2"/>
      <c r="J5256" s="2" t="s">
        <v>47</v>
      </c>
    </row>
    <row r="5257" spans="1:10" ht="21" customHeight="1">
      <c r="A5257" s="2" t="s">
        <v>6258</v>
      </c>
      <c r="B5257" s="2" t="s">
        <v>47</v>
      </c>
      <c r="C5257" s="4">
        <v>45803.25</v>
      </c>
      <c r="D5257" s="4">
        <v>45803.250195185188</v>
      </c>
      <c r="E5257" s="2">
        <v>3.92</v>
      </c>
      <c r="F5257" s="2">
        <v>76.5</v>
      </c>
      <c r="G5257" s="2" t="s">
        <v>983</v>
      </c>
      <c r="H5257" s="2" t="s">
        <v>984</v>
      </c>
      <c r="I5257" s="2"/>
      <c r="J5257" s="2" t="s">
        <v>47</v>
      </c>
    </row>
    <row r="5258" spans="1:10" ht="21" customHeight="1">
      <c r="A5258" s="2" t="s">
        <v>6259</v>
      </c>
      <c r="B5258" s="2" t="s">
        <v>47</v>
      </c>
      <c r="C5258" s="4">
        <v>45804.25</v>
      </c>
      <c r="D5258" s="4">
        <v>45804.250067939814</v>
      </c>
      <c r="E5258" s="2">
        <v>3.62</v>
      </c>
      <c r="F5258" s="2">
        <v>78.900000000000006</v>
      </c>
      <c r="G5258" s="2" t="s">
        <v>983</v>
      </c>
      <c r="H5258" s="2" t="s">
        <v>984</v>
      </c>
      <c r="I5258" s="2"/>
      <c r="J5258" s="2" t="s">
        <v>47</v>
      </c>
    </row>
    <row r="5259" spans="1:10" ht="21" customHeight="1">
      <c r="A5259" s="2" t="s">
        <v>6260</v>
      </c>
      <c r="B5259" s="2" t="s">
        <v>47</v>
      </c>
      <c r="C5259" s="4">
        <v>45805.25</v>
      </c>
      <c r="D5259" s="4">
        <v>45805.250604768516</v>
      </c>
      <c r="E5259" s="2">
        <v>2.95</v>
      </c>
      <c r="F5259" s="2">
        <v>74.3</v>
      </c>
      <c r="G5259" s="2" t="s">
        <v>983</v>
      </c>
      <c r="H5259" s="2" t="s">
        <v>984</v>
      </c>
      <c r="I5259" s="2"/>
      <c r="J5259" s="2" t="s">
        <v>47</v>
      </c>
    </row>
    <row r="5260" spans="1:10" ht="21" customHeight="1">
      <c r="A5260" s="2" t="s">
        <v>6261</v>
      </c>
      <c r="B5260" s="2" t="s">
        <v>47</v>
      </c>
      <c r="C5260" s="4">
        <v>45806.25</v>
      </c>
      <c r="D5260" s="4">
        <v>45806.250497465277</v>
      </c>
      <c r="E5260" s="2">
        <v>2.86</v>
      </c>
      <c r="F5260" s="2">
        <v>73.400000000000006</v>
      </c>
      <c r="G5260" s="2" t="s">
        <v>983</v>
      </c>
      <c r="H5260" s="2" t="s">
        <v>984</v>
      </c>
      <c r="I5260" s="2"/>
      <c r="J5260" s="2" t="s">
        <v>47</v>
      </c>
    </row>
    <row r="5261" spans="1:10" ht="21" customHeight="1">
      <c r="A5261" s="2" t="s">
        <v>6262</v>
      </c>
      <c r="B5261" s="2" t="s">
        <v>47</v>
      </c>
      <c r="C5261" s="4">
        <v>45807.25</v>
      </c>
      <c r="D5261" s="4">
        <v>45807.250284594906</v>
      </c>
      <c r="E5261" s="2">
        <v>3.27</v>
      </c>
      <c r="F5261" s="2">
        <v>72.400000000000006</v>
      </c>
      <c r="G5261" s="2" t="s">
        <v>983</v>
      </c>
      <c r="H5261" s="2" t="s">
        <v>984</v>
      </c>
      <c r="I5261" s="2"/>
      <c r="J5261" s="2" t="s">
        <v>47</v>
      </c>
    </row>
    <row r="5262" spans="1:10" ht="21" customHeight="1">
      <c r="A5262" s="2" t="s">
        <v>6263</v>
      </c>
      <c r="B5262" s="2" t="s">
        <v>47</v>
      </c>
      <c r="C5262" s="4">
        <v>45808.25</v>
      </c>
      <c r="D5262" s="4">
        <v>45808.250048159724</v>
      </c>
      <c r="E5262" s="2">
        <v>3.16</v>
      </c>
      <c r="F5262" s="2">
        <v>75.5</v>
      </c>
      <c r="G5262" s="2" t="s">
        <v>983</v>
      </c>
      <c r="H5262" s="2" t="s">
        <v>984</v>
      </c>
      <c r="I5262" s="2"/>
      <c r="J5262" s="2" t="s">
        <v>47</v>
      </c>
    </row>
    <row r="5263" spans="1:10" ht="21" customHeight="1">
      <c r="A5263" s="2" t="s">
        <v>6264</v>
      </c>
      <c r="B5263" s="2" t="s">
        <v>47</v>
      </c>
      <c r="C5263" s="4">
        <v>45809.25</v>
      </c>
      <c r="D5263" s="4">
        <v>45809.250412916663</v>
      </c>
      <c r="E5263" s="2">
        <v>3.95</v>
      </c>
      <c r="F5263" s="2">
        <v>74.3</v>
      </c>
      <c r="G5263" s="2" t="s">
        <v>983</v>
      </c>
      <c r="H5263" s="2" t="s">
        <v>984</v>
      </c>
      <c r="I5263" s="2"/>
      <c r="J5263" s="2" t="s">
        <v>47</v>
      </c>
    </row>
    <row r="5264" spans="1:10" ht="21" customHeight="1">
      <c r="A5264" s="2" t="s">
        <v>6265</v>
      </c>
      <c r="B5264" s="2" t="s">
        <v>47</v>
      </c>
      <c r="C5264" s="4">
        <v>45810.25</v>
      </c>
      <c r="D5264" s="4">
        <v>45810.250545833333</v>
      </c>
      <c r="E5264" s="2">
        <v>6.7</v>
      </c>
      <c r="F5264" s="2">
        <v>82.5</v>
      </c>
      <c r="G5264" s="2" t="s">
        <v>983</v>
      </c>
      <c r="H5264" s="2" t="s">
        <v>984</v>
      </c>
      <c r="I5264" s="2" t="s">
        <v>1053</v>
      </c>
      <c r="J5264" s="2" t="s">
        <v>47</v>
      </c>
    </row>
    <row r="5265" spans="1:10" ht="21" customHeight="1">
      <c r="A5265" s="2" t="s">
        <v>6266</v>
      </c>
      <c r="B5265" s="2" t="s">
        <v>47</v>
      </c>
      <c r="C5265" s="4">
        <v>45811.25</v>
      </c>
      <c r="D5265" s="4">
        <v>45811.250646041663</v>
      </c>
      <c r="E5265" s="2">
        <v>5.65</v>
      </c>
      <c r="F5265" s="2">
        <v>88.5</v>
      </c>
      <c r="G5265" s="2" t="s">
        <v>983</v>
      </c>
      <c r="H5265" s="2" t="s">
        <v>984</v>
      </c>
      <c r="I5265" s="2" t="s">
        <v>985</v>
      </c>
      <c r="J5265" s="2" t="s">
        <v>47</v>
      </c>
    </row>
    <row r="5266" spans="1:10" ht="21" customHeight="1">
      <c r="A5266" s="2" t="s">
        <v>6267</v>
      </c>
      <c r="B5266" s="2" t="s">
        <v>47</v>
      </c>
      <c r="C5266" s="4">
        <v>45812.25</v>
      </c>
      <c r="D5266" s="4">
        <v>45812.250161296295</v>
      </c>
      <c r="E5266" s="2">
        <v>6.65</v>
      </c>
      <c r="F5266" s="2">
        <v>81.099999999999994</v>
      </c>
      <c r="G5266" s="2" t="s">
        <v>983</v>
      </c>
      <c r="H5266" s="2" t="s">
        <v>984</v>
      </c>
      <c r="I5266" s="2" t="s">
        <v>1053</v>
      </c>
      <c r="J5266" s="2" t="s">
        <v>47</v>
      </c>
    </row>
    <row r="5267" spans="1:10" ht="21" customHeight="1">
      <c r="A5267" s="2" t="s">
        <v>6268</v>
      </c>
      <c r="B5267" s="2" t="s">
        <v>47</v>
      </c>
      <c r="C5267" s="4">
        <v>45813.25</v>
      </c>
      <c r="D5267" s="4">
        <v>45813.250402094913</v>
      </c>
      <c r="E5267" s="2">
        <v>0</v>
      </c>
      <c r="F5267" s="2">
        <v>76.7</v>
      </c>
      <c r="G5267" s="2" t="s">
        <v>1175</v>
      </c>
      <c r="H5267" s="2" t="s">
        <v>984</v>
      </c>
      <c r="I5267" s="2"/>
      <c r="J5267" s="2" t="s">
        <v>47</v>
      </c>
    </row>
    <row r="5268" spans="1:10" ht="21" customHeight="1">
      <c r="A5268" s="2" t="s">
        <v>6269</v>
      </c>
      <c r="B5268" s="2" t="s">
        <v>47</v>
      </c>
      <c r="C5268" s="4">
        <v>45814.25</v>
      </c>
      <c r="D5268" s="4">
        <v>45814.250322754626</v>
      </c>
      <c r="E5268" s="2">
        <v>2.95</v>
      </c>
      <c r="F5268" s="2">
        <v>74</v>
      </c>
      <c r="G5268" s="2" t="s">
        <v>983</v>
      </c>
      <c r="H5268" s="2" t="s">
        <v>984</v>
      </c>
      <c r="I5268" s="2"/>
      <c r="J5268" s="2" t="s">
        <v>47</v>
      </c>
    </row>
    <row r="5269" spans="1:10" ht="21" customHeight="1">
      <c r="A5269" s="2" t="s">
        <v>6270</v>
      </c>
      <c r="B5269" s="2" t="s">
        <v>47</v>
      </c>
      <c r="C5269" s="4">
        <v>45815.25</v>
      </c>
      <c r="D5269" s="4">
        <v>45815.250102152779</v>
      </c>
      <c r="E5269" s="2">
        <v>2.87</v>
      </c>
      <c r="F5269" s="2">
        <v>72.3</v>
      </c>
      <c r="G5269" s="2" t="s">
        <v>983</v>
      </c>
      <c r="H5269" s="2" t="s">
        <v>984</v>
      </c>
      <c r="I5269" s="2"/>
      <c r="J5269" s="2" t="s">
        <v>47</v>
      </c>
    </row>
    <row r="5270" spans="1:10" ht="21" customHeight="1">
      <c r="A5270" s="2" t="s">
        <v>6271</v>
      </c>
      <c r="B5270" s="2" t="s">
        <v>47</v>
      </c>
      <c r="C5270" s="4">
        <v>45816.25</v>
      </c>
      <c r="D5270" s="4">
        <v>45816.250362499995</v>
      </c>
      <c r="E5270" s="2">
        <v>3.43</v>
      </c>
      <c r="F5270" s="2">
        <v>73</v>
      </c>
      <c r="G5270" s="2" t="s">
        <v>983</v>
      </c>
      <c r="H5270" s="2" t="s">
        <v>984</v>
      </c>
      <c r="I5270" s="2"/>
      <c r="J5270" s="2" t="s">
        <v>47</v>
      </c>
    </row>
    <row r="5271" spans="1:10" ht="21" customHeight="1">
      <c r="A5271" s="2" t="s">
        <v>6272</v>
      </c>
      <c r="B5271" s="2" t="s">
        <v>47</v>
      </c>
      <c r="C5271" s="4">
        <v>45817.25</v>
      </c>
      <c r="D5271" s="4">
        <v>45817.250073842588</v>
      </c>
      <c r="E5271" s="2">
        <v>3.72</v>
      </c>
      <c r="F5271" s="2">
        <v>77.5</v>
      </c>
      <c r="G5271" s="2" t="s">
        <v>983</v>
      </c>
      <c r="H5271" s="2" t="s">
        <v>984</v>
      </c>
      <c r="I5271" s="2"/>
      <c r="J5271" s="2" t="s">
        <v>47</v>
      </c>
    </row>
    <row r="5272" spans="1:10" ht="21" customHeight="1">
      <c r="A5272" s="2" t="s">
        <v>6273</v>
      </c>
      <c r="B5272" s="2" t="s">
        <v>47</v>
      </c>
      <c r="C5272" s="4">
        <v>45818.25</v>
      </c>
      <c r="D5272" s="4">
        <v>45818.250575289348</v>
      </c>
      <c r="E5272" s="2">
        <v>3.68</v>
      </c>
      <c r="F5272" s="2">
        <v>77.8</v>
      </c>
      <c r="G5272" s="2" t="s">
        <v>983</v>
      </c>
      <c r="H5272" s="2" t="s">
        <v>984</v>
      </c>
      <c r="I5272" s="2"/>
      <c r="J5272" s="2" t="s">
        <v>47</v>
      </c>
    </row>
    <row r="5273" spans="1:10" ht="21" customHeight="1">
      <c r="A5273" s="2" t="s">
        <v>6274</v>
      </c>
      <c r="B5273" s="2" t="s">
        <v>47</v>
      </c>
      <c r="C5273" s="4">
        <v>45819.25</v>
      </c>
      <c r="D5273" s="4">
        <v>45819.25001256945</v>
      </c>
      <c r="E5273" s="2">
        <v>3.56</v>
      </c>
      <c r="F5273" s="2">
        <v>74.099999999999994</v>
      </c>
      <c r="G5273" s="2" t="s">
        <v>983</v>
      </c>
      <c r="H5273" s="2" t="s">
        <v>984</v>
      </c>
      <c r="I5273" s="2"/>
      <c r="J5273" s="2" t="s">
        <v>47</v>
      </c>
    </row>
    <row r="5274" spans="1:10" ht="21" customHeight="1">
      <c r="A5274" s="2" t="s">
        <v>6275</v>
      </c>
      <c r="B5274" s="2" t="s">
        <v>47</v>
      </c>
      <c r="C5274" s="4">
        <v>45820.25</v>
      </c>
      <c r="D5274" s="4">
        <v>45820.250195694447</v>
      </c>
      <c r="E5274" s="2">
        <v>3.19</v>
      </c>
      <c r="F5274" s="2">
        <v>72.5</v>
      </c>
      <c r="G5274" s="2" t="s">
        <v>983</v>
      </c>
      <c r="H5274" s="2" t="s">
        <v>984</v>
      </c>
      <c r="I5274" s="2"/>
      <c r="J5274" s="2" t="s">
        <v>47</v>
      </c>
    </row>
    <row r="5275" spans="1:10" ht="21" customHeight="1">
      <c r="A5275" s="2" t="s">
        <v>6276</v>
      </c>
      <c r="B5275" s="2" t="s">
        <v>47</v>
      </c>
      <c r="C5275" s="4">
        <v>45821.25</v>
      </c>
      <c r="D5275" s="4">
        <v>45821.250529375</v>
      </c>
      <c r="E5275" s="2">
        <v>2.84</v>
      </c>
      <c r="F5275" s="2">
        <v>73.599999999999994</v>
      </c>
      <c r="G5275" s="2" t="s">
        <v>983</v>
      </c>
      <c r="H5275" s="2" t="s">
        <v>984</v>
      </c>
      <c r="I5275" s="2"/>
      <c r="J5275" s="2" t="s">
        <v>47</v>
      </c>
    </row>
    <row r="5276" spans="1:10" ht="21" customHeight="1">
      <c r="A5276" s="2" t="s">
        <v>6277</v>
      </c>
      <c r="B5276" s="2" t="s">
        <v>47</v>
      </c>
      <c r="C5276" s="4">
        <v>45822.25</v>
      </c>
      <c r="D5276" s="4">
        <v>45822.250167245365</v>
      </c>
      <c r="E5276" s="2">
        <v>3.92</v>
      </c>
      <c r="F5276" s="2">
        <v>73.900000000000006</v>
      </c>
      <c r="G5276" s="2" t="s">
        <v>983</v>
      </c>
      <c r="H5276" s="2" t="s">
        <v>984</v>
      </c>
      <c r="I5276" s="2"/>
      <c r="J5276" s="2" t="s">
        <v>47</v>
      </c>
    </row>
    <row r="5277" spans="1:10" ht="21" customHeight="1">
      <c r="A5277" s="2" t="s">
        <v>6278</v>
      </c>
      <c r="B5277" s="2" t="s">
        <v>47</v>
      </c>
      <c r="C5277" s="4">
        <v>45823.25</v>
      </c>
      <c r="D5277" s="4">
        <v>45823.250604166664</v>
      </c>
      <c r="E5277" s="2">
        <v>3.63</v>
      </c>
      <c r="F5277" s="2">
        <v>76.7</v>
      </c>
      <c r="G5277" s="2" t="s">
        <v>983</v>
      </c>
      <c r="H5277" s="2" t="s">
        <v>984</v>
      </c>
      <c r="I5277" s="2"/>
      <c r="J5277" s="2" t="s">
        <v>47</v>
      </c>
    </row>
    <row r="5278" spans="1:10" ht="21" customHeight="1">
      <c r="A5278" s="2" t="s">
        <v>6279</v>
      </c>
      <c r="B5278" s="2" t="s">
        <v>47</v>
      </c>
      <c r="C5278" s="4">
        <v>45824.25</v>
      </c>
      <c r="D5278" s="4">
        <v>45824.250603958339</v>
      </c>
      <c r="E5278" s="2">
        <v>3.35</v>
      </c>
      <c r="F5278" s="2">
        <v>77</v>
      </c>
      <c r="G5278" s="2" t="s">
        <v>983</v>
      </c>
      <c r="H5278" s="2" t="s">
        <v>984</v>
      </c>
      <c r="I5278" s="2"/>
      <c r="J5278" s="2" t="s">
        <v>47</v>
      </c>
    </row>
    <row r="5279" spans="1:10" ht="21" customHeight="1">
      <c r="A5279" s="2" t="s">
        <v>6280</v>
      </c>
      <c r="B5279" s="2" t="s">
        <v>47</v>
      </c>
      <c r="C5279" s="4">
        <v>45825.25</v>
      </c>
      <c r="D5279" s="4">
        <v>45825.250496018518</v>
      </c>
      <c r="E5279" s="2">
        <v>3.43</v>
      </c>
      <c r="F5279" s="2">
        <v>74.099999999999994</v>
      </c>
      <c r="G5279" s="2" t="s">
        <v>983</v>
      </c>
      <c r="H5279" s="2" t="s">
        <v>984</v>
      </c>
      <c r="I5279" s="2"/>
      <c r="J5279" s="2" t="s">
        <v>47</v>
      </c>
    </row>
    <row r="5280" spans="1:10" ht="21" customHeight="1">
      <c r="A5280" s="2" t="s">
        <v>6281</v>
      </c>
      <c r="B5280" s="2" t="s">
        <v>47</v>
      </c>
      <c r="C5280" s="4">
        <v>45826.25</v>
      </c>
      <c r="D5280" s="4">
        <v>45826.250224733798</v>
      </c>
      <c r="E5280" s="2">
        <v>2.84</v>
      </c>
      <c r="F5280" s="2">
        <v>79.099999999999994</v>
      </c>
      <c r="G5280" s="2" t="s">
        <v>983</v>
      </c>
      <c r="H5280" s="2" t="s">
        <v>984</v>
      </c>
      <c r="I5280" s="2"/>
      <c r="J5280" s="2" t="s">
        <v>47</v>
      </c>
    </row>
    <row r="5281" spans="1:10" ht="21" customHeight="1">
      <c r="A5281" s="2" t="s">
        <v>6282</v>
      </c>
      <c r="B5281" s="2" t="s">
        <v>47</v>
      </c>
      <c r="C5281" s="4">
        <v>45827.25</v>
      </c>
      <c r="D5281" s="4">
        <v>45827.250570752316</v>
      </c>
      <c r="E5281" s="2">
        <v>3.25</v>
      </c>
      <c r="F5281" s="2">
        <v>74</v>
      </c>
      <c r="G5281" s="2" t="s">
        <v>983</v>
      </c>
      <c r="H5281" s="2" t="s">
        <v>984</v>
      </c>
      <c r="I5281" s="2"/>
      <c r="J5281" s="2" t="s">
        <v>47</v>
      </c>
    </row>
    <row r="5282" spans="1:10" ht="21" customHeight="1">
      <c r="A5282" s="2" t="s">
        <v>6283</v>
      </c>
      <c r="B5282" s="2" t="s">
        <v>47</v>
      </c>
      <c r="C5282" s="4">
        <v>45828.25</v>
      </c>
      <c r="D5282" s="4">
        <v>45828.250324710651</v>
      </c>
      <c r="E5282" s="2">
        <v>3.84</v>
      </c>
      <c r="F5282" s="2">
        <v>77.8</v>
      </c>
      <c r="G5282" s="2" t="s">
        <v>983</v>
      </c>
      <c r="H5282" s="2" t="s">
        <v>984</v>
      </c>
      <c r="I5282" s="2" t="s">
        <v>985</v>
      </c>
      <c r="J5282" s="2" t="s">
        <v>47</v>
      </c>
    </row>
    <row r="5283" spans="1:10" ht="21" customHeight="1">
      <c r="A5283" s="2" t="s">
        <v>6284</v>
      </c>
      <c r="B5283" s="2" t="s">
        <v>47</v>
      </c>
      <c r="C5283" s="4">
        <v>45829.25</v>
      </c>
      <c r="D5283" s="4">
        <v>45829.250634525466</v>
      </c>
      <c r="E5283" s="2">
        <v>3.68</v>
      </c>
      <c r="F5283" s="2">
        <v>73.099999999999994</v>
      </c>
      <c r="G5283" s="2" t="s">
        <v>983</v>
      </c>
      <c r="H5283" s="2" t="s">
        <v>984</v>
      </c>
      <c r="I5283" s="2"/>
      <c r="J5283" s="2" t="s">
        <v>47</v>
      </c>
    </row>
    <row r="5284" spans="1:10" ht="21" customHeight="1">
      <c r="A5284" s="2" t="s">
        <v>6285</v>
      </c>
      <c r="B5284" s="2" t="s">
        <v>47</v>
      </c>
      <c r="C5284" s="4">
        <v>45830.25</v>
      </c>
      <c r="D5284" s="4">
        <v>45830.250610787036</v>
      </c>
      <c r="E5284" s="2">
        <v>3.43</v>
      </c>
      <c r="F5284" s="2">
        <v>73.5</v>
      </c>
      <c r="G5284" s="2" t="s">
        <v>983</v>
      </c>
      <c r="H5284" s="2" t="s">
        <v>984</v>
      </c>
      <c r="I5284" s="2"/>
      <c r="J5284" s="2" t="s">
        <v>47</v>
      </c>
    </row>
    <row r="5285" spans="1:10" ht="21" customHeight="1">
      <c r="A5285" s="2" t="s">
        <v>6286</v>
      </c>
      <c r="B5285" s="2" t="s">
        <v>47</v>
      </c>
      <c r="C5285" s="4">
        <v>45831.25</v>
      </c>
      <c r="D5285" s="4">
        <v>45831.250570243057</v>
      </c>
      <c r="E5285" s="2">
        <v>2.96</v>
      </c>
      <c r="F5285" s="2">
        <v>76.7</v>
      </c>
      <c r="G5285" s="2" t="s">
        <v>983</v>
      </c>
      <c r="H5285" s="2" t="s">
        <v>984</v>
      </c>
      <c r="I5285" s="2"/>
      <c r="J5285" s="2" t="s">
        <v>47</v>
      </c>
    </row>
    <row r="5286" spans="1:10" ht="21" customHeight="1">
      <c r="A5286" s="2" t="s">
        <v>6287</v>
      </c>
      <c r="B5286" s="2" t="s">
        <v>47</v>
      </c>
      <c r="C5286" s="4">
        <v>45832.25</v>
      </c>
      <c r="D5286" s="4">
        <v>45832.250078819445</v>
      </c>
      <c r="E5286" s="2">
        <v>3.54</v>
      </c>
      <c r="F5286" s="2">
        <v>75.7</v>
      </c>
      <c r="G5286" s="2" t="s">
        <v>983</v>
      </c>
      <c r="H5286" s="2" t="s">
        <v>984</v>
      </c>
      <c r="I5286" s="2"/>
      <c r="J5286" s="2" t="s">
        <v>47</v>
      </c>
    </row>
    <row r="5287" spans="1:10" ht="21" customHeight="1">
      <c r="A5287" s="2" t="s">
        <v>6288</v>
      </c>
      <c r="B5287" s="2" t="s">
        <v>47</v>
      </c>
      <c r="C5287" s="4">
        <v>45833.25</v>
      </c>
      <c r="D5287" s="4">
        <v>45833.250155567133</v>
      </c>
      <c r="E5287" s="2">
        <v>2.95</v>
      </c>
      <c r="F5287" s="2">
        <v>77.3</v>
      </c>
      <c r="G5287" s="2" t="s">
        <v>983</v>
      </c>
      <c r="H5287" s="2" t="s">
        <v>984</v>
      </c>
      <c r="I5287" s="2"/>
      <c r="J5287" s="2" t="s">
        <v>47</v>
      </c>
    </row>
    <row r="5288" spans="1:10" ht="21" customHeight="1">
      <c r="A5288" s="2" t="s">
        <v>6289</v>
      </c>
      <c r="B5288" s="2" t="s">
        <v>47</v>
      </c>
      <c r="C5288" s="4">
        <v>45834.25</v>
      </c>
      <c r="D5288" s="4">
        <v>45834.250276365739</v>
      </c>
      <c r="E5288" s="2">
        <v>3.2</v>
      </c>
      <c r="F5288" s="2">
        <v>73.2</v>
      </c>
      <c r="G5288" s="2" t="s">
        <v>983</v>
      </c>
      <c r="H5288" s="2" t="s">
        <v>984</v>
      </c>
      <c r="I5288" s="2"/>
      <c r="J5288" s="2" t="s">
        <v>47</v>
      </c>
    </row>
    <row r="5289" spans="1:10" ht="21" customHeight="1">
      <c r="A5289" s="2" t="s">
        <v>6290</v>
      </c>
      <c r="B5289" s="2" t="s">
        <v>47</v>
      </c>
      <c r="C5289" s="4">
        <v>45835.25</v>
      </c>
      <c r="D5289" s="4">
        <v>45835.250537326385</v>
      </c>
      <c r="E5289" s="2"/>
      <c r="F5289" s="2"/>
      <c r="G5289" s="2" t="s">
        <v>983</v>
      </c>
      <c r="H5289" s="2" t="s">
        <v>1066</v>
      </c>
      <c r="I5289" s="2"/>
      <c r="J5289" s="2" t="s">
        <v>47</v>
      </c>
    </row>
    <row r="5290" spans="1:10" ht="21" customHeight="1">
      <c r="A5290" s="2" t="s">
        <v>6291</v>
      </c>
      <c r="B5290" s="2" t="s">
        <v>47</v>
      </c>
      <c r="C5290" s="4">
        <v>45836.25</v>
      </c>
      <c r="D5290" s="4">
        <v>45836.250301493055</v>
      </c>
      <c r="E5290" s="2">
        <v>2.9</v>
      </c>
      <c r="F5290" s="2">
        <v>79.3</v>
      </c>
      <c r="G5290" s="2" t="s">
        <v>983</v>
      </c>
      <c r="H5290" s="2" t="s">
        <v>984</v>
      </c>
      <c r="I5290" s="2"/>
      <c r="J5290" s="2" t="s">
        <v>47</v>
      </c>
    </row>
    <row r="5291" spans="1:10" ht="21" customHeight="1">
      <c r="A5291" s="2" t="s">
        <v>6292</v>
      </c>
      <c r="B5291" s="2" t="s">
        <v>6128</v>
      </c>
      <c r="C5291" s="4">
        <v>45837.25</v>
      </c>
      <c r="D5291" s="4">
        <v>45837.250462685188</v>
      </c>
      <c r="E5291" s="2"/>
      <c r="F5291" s="2"/>
      <c r="G5291" s="2" t="s">
        <v>983</v>
      </c>
      <c r="H5291" s="2" t="s">
        <v>1066</v>
      </c>
      <c r="I5291" s="2"/>
      <c r="J5291" s="2" t="s">
        <v>47</v>
      </c>
    </row>
    <row r="5292" spans="1:10" ht="21" customHeight="1">
      <c r="A5292" s="2" t="s">
        <v>6293</v>
      </c>
      <c r="B5292" s="2" t="s">
        <v>47</v>
      </c>
      <c r="C5292" s="4">
        <v>45838.25</v>
      </c>
      <c r="D5292" s="4">
        <v>45838.250381724538</v>
      </c>
      <c r="E5292" s="2">
        <v>2.88</v>
      </c>
      <c r="F5292" s="2">
        <v>75.8</v>
      </c>
      <c r="G5292" s="2" t="s">
        <v>983</v>
      </c>
      <c r="H5292" s="2" t="s">
        <v>984</v>
      </c>
      <c r="I5292" s="2"/>
      <c r="J5292" s="2" t="s">
        <v>47</v>
      </c>
    </row>
    <row r="5293" spans="1:10" ht="21" customHeight="1">
      <c r="A5293" s="2" t="s">
        <v>6294</v>
      </c>
      <c r="B5293" s="2" t="s">
        <v>47</v>
      </c>
      <c r="C5293" s="4">
        <v>45839.25</v>
      </c>
      <c r="D5293" s="4">
        <v>45839.250468981481</v>
      </c>
      <c r="E5293" s="2">
        <v>3.36</v>
      </c>
      <c r="F5293" s="2">
        <v>76.5</v>
      </c>
      <c r="G5293" s="2" t="s">
        <v>983</v>
      </c>
      <c r="H5293" s="2" t="s">
        <v>984</v>
      </c>
      <c r="I5293" s="2"/>
      <c r="J5293" s="2" t="s">
        <v>47</v>
      </c>
    </row>
    <row r="5294" spans="1:10" ht="21" customHeight="1">
      <c r="A5294" s="2" t="s">
        <v>6295</v>
      </c>
      <c r="B5294" s="2" t="s">
        <v>47</v>
      </c>
      <c r="C5294" s="4">
        <v>45840.25</v>
      </c>
      <c r="D5294" s="4">
        <v>45840.25032511574</v>
      </c>
      <c r="E5294" s="2">
        <v>3.14</v>
      </c>
      <c r="F5294" s="2">
        <v>74.599999999999994</v>
      </c>
      <c r="G5294" s="2" t="s">
        <v>983</v>
      </c>
      <c r="H5294" s="2" t="s">
        <v>984</v>
      </c>
      <c r="I5294" s="2"/>
      <c r="J5294" s="2" t="s">
        <v>47</v>
      </c>
    </row>
    <row r="5295" spans="1:10" ht="21" customHeight="1">
      <c r="A5295" s="2" t="s">
        <v>6296</v>
      </c>
      <c r="B5295" s="2" t="s">
        <v>47</v>
      </c>
      <c r="C5295" s="4">
        <v>45841.25</v>
      </c>
      <c r="D5295" s="4">
        <v>45841.250077511577</v>
      </c>
      <c r="E5295" s="2">
        <v>3.71</v>
      </c>
      <c r="F5295" s="2">
        <v>78.2</v>
      </c>
      <c r="G5295" s="2" t="s">
        <v>983</v>
      </c>
      <c r="H5295" s="2" t="s">
        <v>984</v>
      </c>
      <c r="I5295" s="2"/>
      <c r="J5295" s="2" t="s">
        <v>47</v>
      </c>
    </row>
    <row r="5296" spans="1:10" ht="21" customHeight="1">
      <c r="A5296" s="2" t="s">
        <v>6297</v>
      </c>
      <c r="B5296" s="2" t="s">
        <v>47</v>
      </c>
      <c r="C5296" s="4">
        <v>45842.25</v>
      </c>
      <c r="D5296" s="4">
        <v>45842.250129363427</v>
      </c>
      <c r="E5296" s="2">
        <v>3.65</v>
      </c>
      <c r="F5296" s="2">
        <v>77.7</v>
      </c>
      <c r="G5296" s="2" t="s">
        <v>983</v>
      </c>
      <c r="H5296" s="2" t="s">
        <v>984</v>
      </c>
      <c r="I5296" s="2"/>
      <c r="J5296" s="2" t="s">
        <v>47</v>
      </c>
    </row>
    <row r="5297" spans="1:10" ht="21" customHeight="1">
      <c r="A5297" s="2" t="s">
        <v>6298</v>
      </c>
      <c r="B5297" s="2" t="s">
        <v>47</v>
      </c>
      <c r="C5297" s="4">
        <v>45843.25</v>
      </c>
      <c r="D5297" s="4">
        <v>45843.250483692129</v>
      </c>
      <c r="E5297" s="2">
        <v>3.57</v>
      </c>
      <c r="F5297" s="2">
        <v>78.3</v>
      </c>
      <c r="G5297" s="2" t="s">
        <v>983</v>
      </c>
      <c r="H5297" s="2" t="s">
        <v>984</v>
      </c>
      <c r="I5297" s="2"/>
      <c r="J5297" s="2" t="s">
        <v>47</v>
      </c>
    </row>
    <row r="5298" spans="1:10" ht="21" customHeight="1">
      <c r="A5298" s="2" t="s">
        <v>6299</v>
      </c>
      <c r="B5298" s="2" t="s">
        <v>47</v>
      </c>
      <c r="C5298" s="4">
        <v>45844.25</v>
      </c>
      <c r="D5298" s="4">
        <v>45844.2501533912</v>
      </c>
      <c r="E5298" s="2">
        <v>3.38</v>
      </c>
      <c r="F5298" s="2">
        <v>73.7</v>
      </c>
      <c r="G5298" s="2" t="s">
        <v>983</v>
      </c>
      <c r="H5298" s="2" t="s">
        <v>984</v>
      </c>
      <c r="I5298" s="2"/>
      <c r="J5298" s="2" t="s">
        <v>47</v>
      </c>
    </row>
    <row r="5299" spans="1:10" ht="21" customHeight="1">
      <c r="A5299" s="2" t="s">
        <v>6300</v>
      </c>
      <c r="B5299" s="2" t="s">
        <v>47</v>
      </c>
      <c r="C5299" s="4">
        <v>45845.25</v>
      </c>
      <c r="D5299" s="4">
        <v>45845.250692870366</v>
      </c>
      <c r="E5299" s="2">
        <v>3.66</v>
      </c>
      <c r="F5299" s="2">
        <v>74</v>
      </c>
      <c r="G5299" s="2" t="s">
        <v>983</v>
      </c>
      <c r="H5299" s="2" t="s">
        <v>984</v>
      </c>
      <c r="I5299" s="2" t="s">
        <v>985</v>
      </c>
      <c r="J5299" s="2" t="s">
        <v>47</v>
      </c>
    </row>
    <row r="5300" spans="1:10" ht="21" customHeight="1">
      <c r="A5300" s="2" t="s">
        <v>6301</v>
      </c>
      <c r="B5300" s="2" t="s">
        <v>47</v>
      </c>
      <c r="C5300" s="4">
        <v>45846.25</v>
      </c>
      <c r="D5300" s="4">
        <v>45846.250423877311</v>
      </c>
      <c r="E5300" s="2">
        <v>3.29</v>
      </c>
      <c r="F5300" s="2">
        <v>76.400000000000006</v>
      </c>
      <c r="G5300" s="2" t="s">
        <v>983</v>
      </c>
      <c r="H5300" s="2" t="s">
        <v>984</v>
      </c>
      <c r="I5300" s="2"/>
      <c r="J5300" s="2" t="s">
        <v>47</v>
      </c>
    </row>
    <row r="5301" spans="1:10" ht="21" customHeight="1">
      <c r="A5301" s="2" t="s">
        <v>6302</v>
      </c>
      <c r="B5301" s="2" t="s">
        <v>47</v>
      </c>
      <c r="C5301" s="4">
        <v>45847.25</v>
      </c>
      <c r="D5301" s="4">
        <v>45847.250295370366</v>
      </c>
      <c r="E5301" s="2">
        <v>3.5</v>
      </c>
      <c r="F5301" s="2">
        <v>75.099999999999994</v>
      </c>
      <c r="G5301" s="2" t="s">
        <v>983</v>
      </c>
      <c r="H5301" s="2" t="s">
        <v>984</v>
      </c>
      <c r="I5301" s="2"/>
      <c r="J5301" s="2" t="s">
        <v>47</v>
      </c>
    </row>
    <row r="5302" spans="1:10" ht="21" customHeight="1">
      <c r="A5302" s="2" t="s">
        <v>6303</v>
      </c>
      <c r="B5302" s="2" t="s">
        <v>47</v>
      </c>
      <c r="C5302" s="4">
        <v>45848.25</v>
      </c>
      <c r="D5302" s="4">
        <v>45848.250584120367</v>
      </c>
      <c r="E5302" s="2">
        <v>3.27</v>
      </c>
      <c r="F5302" s="2">
        <v>73.599999999999994</v>
      </c>
      <c r="G5302" s="2" t="s">
        <v>983</v>
      </c>
      <c r="H5302" s="2" t="s">
        <v>984</v>
      </c>
      <c r="I5302" s="2"/>
      <c r="J5302" s="2" t="s">
        <v>47</v>
      </c>
    </row>
    <row r="5303" spans="1:10" ht="21" customHeight="1">
      <c r="A5303" s="2" t="s">
        <v>6304</v>
      </c>
      <c r="B5303" s="2" t="s">
        <v>47</v>
      </c>
      <c r="C5303" s="4">
        <v>45849.25</v>
      </c>
      <c r="D5303" s="4">
        <v>45849.250623668981</v>
      </c>
      <c r="E5303" s="2">
        <v>3.81</v>
      </c>
      <c r="F5303" s="2">
        <v>79.8</v>
      </c>
      <c r="G5303" s="2" t="s">
        <v>983</v>
      </c>
      <c r="H5303" s="2" t="s">
        <v>984</v>
      </c>
      <c r="I5303" s="2"/>
      <c r="J5303" s="2" t="s">
        <v>47</v>
      </c>
    </row>
    <row r="5304" spans="1:10" ht="21" customHeight="1">
      <c r="A5304" s="2" t="s">
        <v>6305</v>
      </c>
      <c r="B5304" s="2" t="s">
        <v>47</v>
      </c>
      <c r="C5304" s="4">
        <v>45850.25</v>
      </c>
      <c r="D5304" s="4">
        <v>45850.250091516209</v>
      </c>
      <c r="E5304" s="2">
        <v>3.18</v>
      </c>
      <c r="F5304" s="2">
        <v>77.2</v>
      </c>
      <c r="G5304" s="2" t="s">
        <v>983</v>
      </c>
      <c r="H5304" s="2" t="s">
        <v>984</v>
      </c>
      <c r="I5304" s="2"/>
      <c r="J5304" s="2" t="s">
        <v>47</v>
      </c>
    </row>
    <row r="5305" spans="1:10" ht="21" customHeight="1">
      <c r="A5305" s="2" t="s">
        <v>6306</v>
      </c>
      <c r="B5305" s="2" t="s">
        <v>47</v>
      </c>
      <c r="C5305" s="4">
        <v>45851.25</v>
      </c>
      <c r="D5305" s="4">
        <v>45851.250500104172</v>
      </c>
      <c r="E5305" s="2">
        <v>3.76</v>
      </c>
      <c r="F5305" s="2">
        <v>75.900000000000006</v>
      </c>
      <c r="G5305" s="2" t="s">
        <v>983</v>
      </c>
      <c r="H5305" s="2" t="s">
        <v>984</v>
      </c>
      <c r="I5305" s="2"/>
      <c r="J5305" s="2" t="s">
        <v>47</v>
      </c>
    </row>
    <row r="5306" spans="1:10" ht="21" customHeight="1">
      <c r="A5306" s="2" t="s">
        <v>6307</v>
      </c>
      <c r="B5306" s="2" t="s">
        <v>47</v>
      </c>
      <c r="C5306" s="4">
        <v>45852.25</v>
      </c>
      <c r="D5306" s="4">
        <v>45852.250389444445</v>
      </c>
      <c r="E5306" s="2">
        <v>3.3</v>
      </c>
      <c r="F5306" s="2">
        <v>75.099999999999994</v>
      </c>
      <c r="G5306" s="2" t="s">
        <v>983</v>
      </c>
      <c r="H5306" s="2" t="s">
        <v>984</v>
      </c>
      <c r="I5306" s="2"/>
      <c r="J5306" s="2" t="s">
        <v>47</v>
      </c>
    </row>
    <row r="5307" spans="1:10" ht="21" customHeight="1">
      <c r="A5307" s="2" t="s">
        <v>6308</v>
      </c>
      <c r="B5307" s="2" t="s">
        <v>47</v>
      </c>
      <c r="C5307" s="4">
        <v>45853.25</v>
      </c>
      <c r="D5307" s="4">
        <v>45853.250015057871</v>
      </c>
      <c r="E5307" s="2">
        <v>3.03</v>
      </c>
      <c r="F5307" s="2">
        <v>72.900000000000006</v>
      </c>
      <c r="G5307" s="2" t="s">
        <v>983</v>
      </c>
      <c r="H5307" s="2" t="s">
        <v>984</v>
      </c>
      <c r="I5307" s="2"/>
      <c r="J5307" s="2" t="s">
        <v>47</v>
      </c>
    </row>
    <row r="5308" spans="1:10" ht="21" customHeight="1">
      <c r="A5308" s="2" t="s">
        <v>6309</v>
      </c>
      <c r="B5308" s="2" t="s">
        <v>47</v>
      </c>
      <c r="C5308" s="4">
        <v>45854.25</v>
      </c>
      <c r="D5308" s="4">
        <v>45854.250121817131</v>
      </c>
      <c r="E5308" s="2">
        <v>3.76</v>
      </c>
      <c r="F5308" s="2">
        <v>77.599999999999994</v>
      </c>
      <c r="G5308" s="2" t="s">
        <v>983</v>
      </c>
      <c r="H5308" s="2" t="s">
        <v>984</v>
      </c>
      <c r="I5308" s="2"/>
      <c r="J5308" s="2" t="s">
        <v>47</v>
      </c>
    </row>
    <row r="5309" spans="1:10" ht="21" customHeight="1">
      <c r="A5309" s="2" t="s">
        <v>6310</v>
      </c>
      <c r="B5309" s="2" t="s">
        <v>47</v>
      </c>
      <c r="C5309" s="4">
        <v>45855.25</v>
      </c>
      <c r="D5309" s="4">
        <v>45855.250608298607</v>
      </c>
      <c r="E5309" s="2">
        <v>3.53</v>
      </c>
      <c r="F5309" s="2">
        <v>75.599999999999994</v>
      </c>
      <c r="G5309" s="2" t="s">
        <v>983</v>
      </c>
      <c r="H5309" s="2" t="s">
        <v>984</v>
      </c>
      <c r="I5309" s="2"/>
      <c r="J5309" s="2" t="s">
        <v>47</v>
      </c>
    </row>
    <row r="5310" spans="1:10" ht="21" customHeight="1">
      <c r="A5310" s="2" t="s">
        <v>6311</v>
      </c>
      <c r="B5310" s="2" t="s">
        <v>47</v>
      </c>
      <c r="C5310" s="4">
        <v>45856.25</v>
      </c>
      <c r="D5310" s="4">
        <v>45856.25054695602</v>
      </c>
      <c r="E5310" s="2">
        <v>2.85</v>
      </c>
      <c r="F5310" s="2">
        <v>79.5</v>
      </c>
      <c r="G5310" s="2" t="s">
        <v>983</v>
      </c>
      <c r="H5310" s="2" t="s">
        <v>984</v>
      </c>
      <c r="I5310" s="2"/>
      <c r="J5310" s="2" t="s">
        <v>47</v>
      </c>
    </row>
    <row r="5311" spans="1:10" ht="21" customHeight="1">
      <c r="A5311" s="2" t="s">
        <v>6312</v>
      </c>
      <c r="B5311" s="2" t="s">
        <v>47</v>
      </c>
      <c r="C5311" s="4">
        <v>45857.25</v>
      </c>
      <c r="D5311" s="4">
        <v>45857.250674803239</v>
      </c>
      <c r="E5311" s="2">
        <v>3.37</v>
      </c>
      <c r="F5311" s="2">
        <v>75.7</v>
      </c>
      <c r="G5311" s="2" t="s">
        <v>983</v>
      </c>
      <c r="H5311" s="2" t="s">
        <v>984</v>
      </c>
      <c r="I5311" s="2"/>
      <c r="J5311" s="2" t="s">
        <v>47</v>
      </c>
    </row>
    <row r="5312" spans="1:10" ht="21" customHeight="1">
      <c r="A5312" s="2" t="s">
        <v>6313</v>
      </c>
      <c r="B5312" s="2" t="s">
        <v>47</v>
      </c>
      <c r="C5312" s="4">
        <v>45858.25</v>
      </c>
      <c r="D5312" s="4">
        <v>45858.250317210652</v>
      </c>
      <c r="E5312" s="2">
        <v>3.14</v>
      </c>
      <c r="F5312" s="2">
        <v>75.3</v>
      </c>
      <c r="G5312" s="2" t="s">
        <v>983</v>
      </c>
      <c r="H5312" s="2" t="s">
        <v>984</v>
      </c>
      <c r="I5312" s="2"/>
      <c r="J5312" s="2" t="s">
        <v>47</v>
      </c>
    </row>
    <row r="5313" spans="1:10" ht="21" customHeight="1">
      <c r="A5313" s="2" t="s">
        <v>6314</v>
      </c>
      <c r="B5313" s="2" t="s">
        <v>47</v>
      </c>
      <c r="C5313" s="4">
        <v>45859.25</v>
      </c>
      <c r="D5313" s="4">
        <v>45859.25003974537</v>
      </c>
      <c r="E5313" s="2">
        <v>3.55</v>
      </c>
      <c r="F5313" s="2">
        <v>78.900000000000006</v>
      </c>
      <c r="G5313" s="2" t="s">
        <v>983</v>
      </c>
      <c r="H5313" s="2" t="s">
        <v>984</v>
      </c>
      <c r="I5313" s="2"/>
      <c r="J5313" s="2" t="s">
        <v>47</v>
      </c>
    </row>
    <row r="5314" spans="1:10" ht="21" customHeight="1">
      <c r="A5314" s="2" t="s">
        <v>6315</v>
      </c>
      <c r="B5314" s="2" t="s">
        <v>47</v>
      </c>
      <c r="C5314" s="4">
        <v>45860.25</v>
      </c>
      <c r="D5314" s="4">
        <v>45860.250688842592</v>
      </c>
      <c r="E5314" s="2">
        <v>2.94</v>
      </c>
      <c r="F5314" s="2">
        <v>79</v>
      </c>
      <c r="G5314" s="2" t="s">
        <v>983</v>
      </c>
      <c r="H5314" s="2" t="s">
        <v>984</v>
      </c>
      <c r="I5314" s="2"/>
      <c r="J5314" s="2" t="s">
        <v>47</v>
      </c>
    </row>
    <row r="5315" spans="1:10" ht="21" customHeight="1">
      <c r="A5315" s="2" t="s">
        <v>6316</v>
      </c>
      <c r="B5315" s="2" t="s">
        <v>47</v>
      </c>
      <c r="C5315" s="4">
        <v>45861.25</v>
      </c>
      <c r="D5315" s="4">
        <v>45861.250236828702</v>
      </c>
      <c r="E5315" s="2">
        <v>3.14</v>
      </c>
      <c r="F5315" s="2">
        <v>78.3</v>
      </c>
      <c r="G5315" s="2" t="s">
        <v>983</v>
      </c>
      <c r="H5315" s="2" t="s">
        <v>984</v>
      </c>
      <c r="I5315" s="2"/>
      <c r="J5315" s="2" t="s">
        <v>47</v>
      </c>
    </row>
    <row r="5316" spans="1:10" ht="21" customHeight="1">
      <c r="A5316" s="2" t="s">
        <v>6317</v>
      </c>
      <c r="B5316" s="2" t="s">
        <v>47</v>
      </c>
      <c r="C5316" s="4">
        <v>45862.25</v>
      </c>
      <c r="D5316" s="4">
        <v>45862.250687662032</v>
      </c>
      <c r="E5316" s="2">
        <v>3.54</v>
      </c>
      <c r="F5316" s="2">
        <v>78.5</v>
      </c>
      <c r="G5316" s="2" t="s">
        <v>983</v>
      </c>
      <c r="H5316" s="2" t="s">
        <v>984</v>
      </c>
      <c r="I5316" s="2" t="s">
        <v>985</v>
      </c>
      <c r="J5316" s="2" t="s">
        <v>47</v>
      </c>
    </row>
    <row r="5317" spans="1:10" ht="21" customHeight="1">
      <c r="A5317" s="2" t="s">
        <v>6318</v>
      </c>
      <c r="B5317" s="2" t="s">
        <v>47</v>
      </c>
      <c r="C5317" s="4">
        <v>45863.25</v>
      </c>
      <c r="D5317" s="4">
        <v>45863.250139374999</v>
      </c>
      <c r="E5317" s="2">
        <v>2.96</v>
      </c>
      <c r="F5317" s="2">
        <v>74</v>
      </c>
      <c r="G5317" s="2" t="s">
        <v>983</v>
      </c>
      <c r="H5317" s="2" t="s">
        <v>984</v>
      </c>
      <c r="I5317" s="2"/>
      <c r="J5317" s="2" t="s">
        <v>47</v>
      </c>
    </row>
    <row r="5318" spans="1:10" ht="21" customHeight="1">
      <c r="A5318" s="2" t="s">
        <v>6319</v>
      </c>
      <c r="B5318" s="2" t="s">
        <v>47</v>
      </c>
      <c r="C5318" s="4">
        <v>45864.25</v>
      </c>
      <c r="D5318" s="4">
        <v>45864.250193159722</v>
      </c>
      <c r="E5318" s="2">
        <v>3.54</v>
      </c>
      <c r="F5318" s="2">
        <v>74.400000000000006</v>
      </c>
      <c r="G5318" s="2" t="s">
        <v>983</v>
      </c>
      <c r="H5318" s="2" t="s">
        <v>984</v>
      </c>
      <c r="I5318" s="2"/>
      <c r="J5318" s="2" t="s">
        <v>47</v>
      </c>
    </row>
    <row r="5319" spans="1:10" ht="21" customHeight="1">
      <c r="A5319" s="2" t="s">
        <v>6320</v>
      </c>
      <c r="B5319" s="2" t="s">
        <v>47</v>
      </c>
      <c r="C5319" s="4">
        <v>45865.25</v>
      </c>
      <c r="D5319" s="4">
        <v>45865.250304490735</v>
      </c>
      <c r="E5319" s="2">
        <v>27.67</v>
      </c>
      <c r="F5319" s="2">
        <v>76.7</v>
      </c>
      <c r="G5319" s="2" t="s">
        <v>983</v>
      </c>
      <c r="H5319" s="2" t="s">
        <v>1022</v>
      </c>
      <c r="I5319" s="2"/>
      <c r="J5319" s="2" t="s">
        <v>47</v>
      </c>
    </row>
    <row r="5320" spans="1:10" ht="21" customHeight="1">
      <c r="A5320" s="2" t="s">
        <v>6321</v>
      </c>
      <c r="B5320" s="2" t="s">
        <v>47</v>
      </c>
      <c r="C5320" s="4">
        <v>45866.25</v>
      </c>
      <c r="D5320" s="4">
        <v>45866.250196701389</v>
      </c>
      <c r="E5320" s="2">
        <v>2.97</v>
      </c>
      <c r="F5320" s="2">
        <v>73.099999999999994</v>
      </c>
      <c r="G5320" s="2" t="s">
        <v>983</v>
      </c>
      <c r="H5320" s="2" t="s">
        <v>984</v>
      </c>
      <c r="I5320" s="2"/>
      <c r="J5320" s="2" t="s">
        <v>47</v>
      </c>
    </row>
    <row r="5321" spans="1:10" ht="21" customHeight="1">
      <c r="A5321" s="2" t="s">
        <v>6322</v>
      </c>
      <c r="B5321" s="2" t="s">
        <v>47</v>
      </c>
      <c r="C5321" s="4">
        <v>45867.25</v>
      </c>
      <c r="D5321" s="4">
        <v>45867.250367337962</v>
      </c>
      <c r="E5321" s="2">
        <v>3.58</v>
      </c>
      <c r="F5321" s="2">
        <v>78.7</v>
      </c>
      <c r="G5321" s="2" t="s">
        <v>983</v>
      </c>
      <c r="H5321" s="2" t="s">
        <v>984</v>
      </c>
      <c r="I5321" s="2"/>
      <c r="J5321" s="2" t="s">
        <v>47</v>
      </c>
    </row>
    <row r="5322" spans="1:10" ht="21" customHeight="1">
      <c r="A5322" s="2" t="s">
        <v>6323</v>
      </c>
      <c r="B5322" s="2" t="s">
        <v>47</v>
      </c>
      <c r="C5322" s="4">
        <v>45868.25</v>
      </c>
      <c r="D5322" s="4">
        <v>45868.250052453703</v>
      </c>
      <c r="E5322" s="2">
        <v>3.65</v>
      </c>
      <c r="F5322" s="2">
        <v>74.5</v>
      </c>
      <c r="G5322" s="2" t="s">
        <v>983</v>
      </c>
      <c r="H5322" s="2" t="s">
        <v>984</v>
      </c>
      <c r="I5322" s="2"/>
      <c r="J5322" s="2" t="s">
        <v>47</v>
      </c>
    </row>
    <row r="5323" spans="1:10" ht="21" customHeight="1">
      <c r="A5323" s="2" t="s">
        <v>6324</v>
      </c>
      <c r="B5323" s="2" t="s">
        <v>47</v>
      </c>
      <c r="C5323" s="4">
        <v>45869.25</v>
      </c>
      <c r="D5323" s="4">
        <v>45869.250041446758</v>
      </c>
      <c r="E5323" s="2">
        <v>3.16</v>
      </c>
      <c r="F5323" s="2">
        <v>79.5</v>
      </c>
      <c r="G5323" s="2" t="s">
        <v>983</v>
      </c>
      <c r="H5323" s="2" t="s">
        <v>984</v>
      </c>
      <c r="I5323" s="2"/>
      <c r="J5323" s="2" t="s">
        <v>47</v>
      </c>
    </row>
    <row r="5324" spans="1:10" ht="21" customHeight="1">
      <c r="A5324" s="2" t="s">
        <v>6325</v>
      </c>
      <c r="B5324" s="2" t="s">
        <v>47</v>
      </c>
      <c r="C5324" s="4">
        <v>45870.25</v>
      </c>
      <c r="D5324" s="4">
        <v>45870.250477476853</v>
      </c>
      <c r="E5324" s="2">
        <v>3.8</v>
      </c>
      <c r="F5324" s="2">
        <v>73.3</v>
      </c>
      <c r="G5324" s="2" t="s">
        <v>983</v>
      </c>
      <c r="H5324" s="2" t="s">
        <v>984</v>
      </c>
      <c r="I5324" s="2"/>
      <c r="J5324" s="2" t="s">
        <v>47</v>
      </c>
    </row>
    <row r="5325" spans="1:10" ht="21" customHeight="1">
      <c r="A5325" s="2" t="s">
        <v>6326</v>
      </c>
      <c r="B5325" s="2" t="s">
        <v>47</v>
      </c>
      <c r="C5325" s="4">
        <v>45871.25</v>
      </c>
      <c r="D5325" s="4">
        <v>45871.250579375002</v>
      </c>
      <c r="E5325" s="2">
        <v>3.66</v>
      </c>
      <c r="F5325" s="2">
        <v>74.7</v>
      </c>
      <c r="G5325" s="2" t="s">
        <v>983</v>
      </c>
      <c r="H5325" s="2" t="s">
        <v>984</v>
      </c>
      <c r="I5325" s="2"/>
      <c r="J5325" s="2" t="s">
        <v>47</v>
      </c>
    </row>
    <row r="5326" spans="1:10" ht="21" customHeight="1">
      <c r="A5326" s="2" t="s">
        <v>6327</v>
      </c>
      <c r="B5326" s="2" t="s">
        <v>47</v>
      </c>
      <c r="C5326" s="4">
        <v>45872.25</v>
      </c>
      <c r="D5326" s="4">
        <v>45872.250390127316</v>
      </c>
      <c r="E5326" s="2">
        <v>2.89</v>
      </c>
      <c r="F5326" s="2">
        <v>73.900000000000006</v>
      </c>
      <c r="G5326" s="2" t="s">
        <v>983</v>
      </c>
      <c r="H5326" s="2" t="s">
        <v>984</v>
      </c>
      <c r="I5326" s="2"/>
      <c r="J5326" s="2" t="s">
        <v>47</v>
      </c>
    </row>
    <row r="5327" spans="1:10" ht="21" customHeight="1">
      <c r="A5327" s="2" t="s">
        <v>6328</v>
      </c>
      <c r="B5327" s="2" t="s">
        <v>47</v>
      </c>
      <c r="C5327" s="4">
        <v>45873.25</v>
      </c>
      <c r="D5327" s="4">
        <v>45873.250409282409</v>
      </c>
      <c r="E5327" s="2">
        <v>3.14</v>
      </c>
      <c r="F5327" s="2">
        <v>72.2</v>
      </c>
      <c r="G5327" s="2" t="s">
        <v>983</v>
      </c>
      <c r="H5327" s="2" t="s">
        <v>984</v>
      </c>
      <c r="I5327" s="2"/>
      <c r="J5327" s="2" t="s">
        <v>47</v>
      </c>
    </row>
    <row r="5328" spans="1:10" ht="21" customHeight="1">
      <c r="A5328" s="2" t="s">
        <v>6329</v>
      </c>
      <c r="B5328" s="2" t="s">
        <v>47</v>
      </c>
      <c r="C5328" s="4">
        <v>45874.25</v>
      </c>
      <c r="D5328" s="4">
        <v>45874.250125497681</v>
      </c>
      <c r="E5328" s="2">
        <v>3.81</v>
      </c>
      <c r="F5328" s="2">
        <v>73.599999999999994</v>
      </c>
      <c r="G5328" s="2" t="s">
        <v>983</v>
      </c>
      <c r="H5328" s="2" t="s">
        <v>984</v>
      </c>
      <c r="I5328" s="2"/>
      <c r="J5328" s="2" t="s">
        <v>47</v>
      </c>
    </row>
    <row r="5329" spans="1:10" ht="21" customHeight="1">
      <c r="A5329" s="2" t="s">
        <v>6330</v>
      </c>
      <c r="B5329" s="2" t="s">
        <v>47</v>
      </c>
      <c r="C5329" s="4">
        <v>45875.25</v>
      </c>
      <c r="D5329" s="4">
        <v>45875.250372256945</v>
      </c>
      <c r="E5329" s="2">
        <v>3.04</v>
      </c>
      <c r="F5329" s="2">
        <v>78.7</v>
      </c>
      <c r="G5329" s="2" t="s">
        <v>983</v>
      </c>
      <c r="H5329" s="2" t="s">
        <v>984</v>
      </c>
      <c r="I5329" s="2"/>
      <c r="J5329" s="2" t="s">
        <v>47</v>
      </c>
    </row>
    <row r="5330" spans="1:10" ht="21" customHeight="1">
      <c r="A5330" s="2" t="s">
        <v>6331</v>
      </c>
      <c r="B5330" s="2" t="s">
        <v>47</v>
      </c>
      <c r="C5330" s="4">
        <v>45876.25</v>
      </c>
      <c r="D5330" s="4">
        <v>45876.250519641202</v>
      </c>
      <c r="E5330" s="2">
        <v>5.85</v>
      </c>
      <c r="F5330" s="2">
        <v>85.5</v>
      </c>
      <c r="G5330" s="2" t="s">
        <v>983</v>
      </c>
      <c r="H5330" s="2" t="s">
        <v>984</v>
      </c>
      <c r="I5330" s="2" t="s">
        <v>1053</v>
      </c>
      <c r="J5330" s="2" t="s">
        <v>47</v>
      </c>
    </row>
    <row r="5331" spans="1:10" ht="21" customHeight="1">
      <c r="A5331" s="2" t="s">
        <v>6332</v>
      </c>
      <c r="B5331" s="2" t="s">
        <v>47</v>
      </c>
      <c r="C5331" s="4">
        <v>45877.25</v>
      </c>
      <c r="D5331" s="4">
        <v>45877.250665567131</v>
      </c>
      <c r="E5331" s="2">
        <v>6.97</v>
      </c>
      <c r="F5331" s="2">
        <v>81.400000000000006</v>
      </c>
      <c r="G5331" s="2" t="s">
        <v>983</v>
      </c>
      <c r="H5331" s="2" t="s">
        <v>984</v>
      </c>
      <c r="I5331" s="2"/>
      <c r="J5331" s="2" t="s">
        <v>47</v>
      </c>
    </row>
    <row r="5332" spans="1:10" ht="21" customHeight="1">
      <c r="A5332" s="2" t="s">
        <v>6333</v>
      </c>
      <c r="B5332" s="2" t="s">
        <v>6128</v>
      </c>
      <c r="C5332" s="4">
        <v>45878.25</v>
      </c>
      <c r="D5332" s="4">
        <v>45878.250405219907</v>
      </c>
      <c r="E5332" s="2">
        <v>6.48</v>
      </c>
      <c r="F5332" s="2">
        <v>87.8</v>
      </c>
      <c r="G5332" s="2" t="s">
        <v>983</v>
      </c>
      <c r="H5332" s="2" t="s">
        <v>984</v>
      </c>
      <c r="I5332" s="2" t="s">
        <v>1053</v>
      </c>
      <c r="J5332" s="2" t="s">
        <v>47</v>
      </c>
    </row>
    <row r="5333" spans="1:10" ht="21" customHeight="1">
      <c r="A5333" s="2" t="s">
        <v>6334</v>
      </c>
      <c r="B5333" s="2" t="s">
        <v>47</v>
      </c>
      <c r="C5333" s="4">
        <v>45879.25</v>
      </c>
      <c r="D5333" s="4">
        <v>45879.250590173615</v>
      </c>
      <c r="E5333" s="2">
        <v>3.75</v>
      </c>
      <c r="F5333" s="2">
        <v>73.099999999999994</v>
      </c>
      <c r="G5333" s="2" t="s">
        <v>983</v>
      </c>
      <c r="H5333" s="2" t="s">
        <v>984</v>
      </c>
      <c r="I5333" s="2" t="s">
        <v>985</v>
      </c>
      <c r="J5333" s="2" t="s">
        <v>47</v>
      </c>
    </row>
    <row r="5334" spans="1:10" ht="21" customHeight="1">
      <c r="A5334" s="2" t="s">
        <v>6335</v>
      </c>
      <c r="B5334" s="2" t="s">
        <v>47</v>
      </c>
      <c r="C5334" s="4">
        <v>45880.25</v>
      </c>
      <c r="D5334" s="4">
        <v>45880.250528032411</v>
      </c>
      <c r="E5334" s="2">
        <v>3.96</v>
      </c>
      <c r="F5334" s="2">
        <v>78.599999999999994</v>
      </c>
      <c r="G5334" s="2" t="s">
        <v>983</v>
      </c>
      <c r="H5334" s="2" t="s">
        <v>984</v>
      </c>
      <c r="I5334" s="2"/>
      <c r="J5334" s="2" t="s">
        <v>47</v>
      </c>
    </row>
    <row r="5335" spans="1:10" ht="21" customHeight="1">
      <c r="A5335" s="2" t="s">
        <v>6336</v>
      </c>
      <c r="B5335" s="2" t="s">
        <v>47</v>
      </c>
      <c r="C5335" s="4">
        <v>45881.25</v>
      </c>
      <c r="D5335" s="4">
        <v>45881.250279884262</v>
      </c>
      <c r="E5335" s="2">
        <v>3.95</v>
      </c>
      <c r="F5335" s="2">
        <v>74</v>
      </c>
      <c r="G5335" s="2" t="s">
        <v>983</v>
      </c>
      <c r="H5335" s="2" t="s">
        <v>984</v>
      </c>
      <c r="I5335" s="2"/>
      <c r="J5335" s="2" t="s">
        <v>47</v>
      </c>
    </row>
    <row r="5336" spans="1:10" ht="21" customHeight="1">
      <c r="A5336" s="2" t="s">
        <v>6337</v>
      </c>
      <c r="B5336" s="2" t="s">
        <v>47</v>
      </c>
      <c r="C5336" s="4">
        <v>45882.25</v>
      </c>
      <c r="D5336" s="4">
        <v>45882.250188402773</v>
      </c>
      <c r="E5336" s="2">
        <v>3.08</v>
      </c>
      <c r="F5336" s="2">
        <v>74.8</v>
      </c>
      <c r="G5336" s="2" t="s">
        <v>983</v>
      </c>
      <c r="H5336" s="2" t="s">
        <v>984</v>
      </c>
      <c r="I5336" s="2"/>
      <c r="J5336" s="2" t="s">
        <v>47</v>
      </c>
    </row>
    <row r="5337" spans="1:10" ht="21" customHeight="1">
      <c r="A5337" s="2" t="s">
        <v>6338</v>
      </c>
      <c r="B5337" s="2" t="s">
        <v>47</v>
      </c>
      <c r="C5337" s="4">
        <v>45883.25</v>
      </c>
      <c r="D5337" s="4">
        <v>45883.250663680556</v>
      </c>
      <c r="E5337" s="2">
        <v>3.43</v>
      </c>
      <c r="F5337" s="2">
        <v>75</v>
      </c>
      <c r="G5337" s="2" t="s">
        <v>983</v>
      </c>
      <c r="H5337" s="2" t="s">
        <v>984</v>
      </c>
      <c r="I5337" s="2"/>
      <c r="J5337" s="2" t="s">
        <v>47</v>
      </c>
    </row>
    <row r="5338" spans="1:10" ht="21" customHeight="1">
      <c r="A5338" s="2" t="s">
        <v>6339</v>
      </c>
      <c r="B5338" s="2" t="s">
        <v>47</v>
      </c>
      <c r="C5338" s="4">
        <v>45884.25</v>
      </c>
      <c r="D5338" s="4">
        <v>45884.250580474538</v>
      </c>
      <c r="E5338" s="2">
        <v>3.51</v>
      </c>
      <c r="F5338" s="2">
        <v>76.900000000000006</v>
      </c>
      <c r="G5338" s="2" t="s">
        <v>983</v>
      </c>
      <c r="H5338" s="2" t="s">
        <v>984</v>
      </c>
      <c r="I5338" s="2"/>
      <c r="J5338" s="2" t="s">
        <v>47</v>
      </c>
    </row>
    <row r="5339" spans="1:10" ht="21" customHeight="1">
      <c r="A5339" s="2" t="s">
        <v>6340</v>
      </c>
      <c r="B5339" s="2" t="s">
        <v>47</v>
      </c>
      <c r="C5339" s="4">
        <v>45885.25</v>
      </c>
      <c r="D5339" s="4">
        <v>45885.250661493061</v>
      </c>
      <c r="E5339" s="2">
        <v>3.8</v>
      </c>
      <c r="F5339" s="2">
        <v>72.2</v>
      </c>
      <c r="G5339" s="2" t="s">
        <v>983</v>
      </c>
      <c r="H5339" s="2" t="s">
        <v>984</v>
      </c>
      <c r="I5339" s="2"/>
      <c r="J5339" s="2" t="s">
        <v>47</v>
      </c>
    </row>
    <row r="5340" spans="1:10" ht="21" customHeight="1">
      <c r="A5340" s="2" t="s">
        <v>6341</v>
      </c>
      <c r="B5340" s="2" t="s">
        <v>47</v>
      </c>
      <c r="C5340" s="4">
        <v>45886.25</v>
      </c>
      <c r="D5340" s="4">
        <v>45886.250337060184</v>
      </c>
      <c r="E5340" s="2">
        <v>2.88</v>
      </c>
      <c r="F5340" s="2">
        <v>73</v>
      </c>
      <c r="G5340" s="2" t="s">
        <v>983</v>
      </c>
      <c r="H5340" s="2" t="s">
        <v>984</v>
      </c>
      <c r="I5340" s="2"/>
      <c r="J5340" s="2" t="s">
        <v>47</v>
      </c>
    </row>
    <row r="5341" spans="1:10" ht="21" customHeight="1">
      <c r="A5341" s="2" t="s">
        <v>6342</v>
      </c>
      <c r="B5341" s="2" t="s">
        <v>47</v>
      </c>
      <c r="C5341" s="4">
        <v>45887.25</v>
      </c>
      <c r="D5341" s="4">
        <v>45887.250428425927</v>
      </c>
      <c r="E5341" s="2">
        <v>3.02</v>
      </c>
      <c r="F5341" s="2">
        <v>78.599999999999994</v>
      </c>
      <c r="G5341" s="2" t="s">
        <v>983</v>
      </c>
      <c r="H5341" s="2" t="s">
        <v>984</v>
      </c>
      <c r="I5341" s="2"/>
      <c r="J5341" s="2" t="s">
        <v>47</v>
      </c>
    </row>
    <row r="5342" spans="1:10" ht="21" customHeight="1">
      <c r="A5342" s="2" t="s">
        <v>6343</v>
      </c>
      <c r="B5342" s="2" t="s">
        <v>47</v>
      </c>
      <c r="C5342" s="4">
        <v>45888.25</v>
      </c>
      <c r="D5342" s="4">
        <v>45888.250569189811</v>
      </c>
      <c r="E5342" s="2">
        <v>3.12</v>
      </c>
      <c r="F5342" s="2">
        <v>76.400000000000006</v>
      </c>
      <c r="G5342" s="2" t="s">
        <v>983</v>
      </c>
      <c r="H5342" s="2" t="s">
        <v>984</v>
      </c>
      <c r="I5342" s="2"/>
      <c r="J5342" s="2" t="s">
        <v>47</v>
      </c>
    </row>
    <row r="5343" spans="1:10" ht="21" customHeight="1">
      <c r="A5343" s="2" t="s">
        <v>6344</v>
      </c>
      <c r="B5343" s="2" t="s">
        <v>47</v>
      </c>
      <c r="C5343" s="4">
        <v>45889.25</v>
      </c>
      <c r="D5343" s="4">
        <v>45889.250314467594</v>
      </c>
      <c r="E5343" s="2">
        <v>2.82</v>
      </c>
      <c r="F5343" s="2">
        <v>79</v>
      </c>
      <c r="G5343" s="2" t="s">
        <v>983</v>
      </c>
      <c r="H5343" s="2" t="s">
        <v>984</v>
      </c>
      <c r="I5343" s="2"/>
      <c r="J5343" s="2" t="s">
        <v>47</v>
      </c>
    </row>
    <row r="5344" spans="1:10" ht="21" customHeight="1">
      <c r="A5344" s="2" t="s">
        <v>6345</v>
      </c>
      <c r="B5344" s="2" t="s">
        <v>47</v>
      </c>
      <c r="C5344" s="4">
        <v>45890.25</v>
      </c>
      <c r="D5344" s="4">
        <v>45890.250192673615</v>
      </c>
      <c r="E5344" s="2">
        <v>3.87</v>
      </c>
      <c r="F5344" s="2">
        <v>74.8</v>
      </c>
      <c r="G5344" s="2" t="s">
        <v>983</v>
      </c>
      <c r="H5344" s="2" t="s">
        <v>984</v>
      </c>
      <c r="I5344" s="2"/>
      <c r="J5344" s="2" t="s">
        <v>47</v>
      </c>
    </row>
    <row r="5345" spans="1:10" ht="21" customHeight="1">
      <c r="A5345" s="2" t="s">
        <v>6346</v>
      </c>
      <c r="B5345" s="2" t="s">
        <v>47</v>
      </c>
      <c r="C5345" s="4">
        <v>45891.25</v>
      </c>
      <c r="D5345" s="4">
        <v>45891.250351192131</v>
      </c>
      <c r="E5345" s="2">
        <v>2.94</v>
      </c>
      <c r="F5345" s="2">
        <v>72.400000000000006</v>
      </c>
      <c r="G5345" s="2" t="s">
        <v>983</v>
      </c>
      <c r="H5345" s="2" t="s">
        <v>984</v>
      </c>
      <c r="I5345" s="2"/>
      <c r="J5345" s="2" t="s">
        <v>47</v>
      </c>
    </row>
    <row r="5346" spans="1:10" ht="21" customHeight="1">
      <c r="A5346" s="2" t="s">
        <v>6347</v>
      </c>
      <c r="B5346" s="2" t="s">
        <v>47</v>
      </c>
      <c r="C5346" s="4">
        <v>45892.25</v>
      </c>
      <c r="D5346" s="4">
        <v>45892.250261215275</v>
      </c>
      <c r="E5346" s="2"/>
      <c r="F5346" s="2"/>
      <c r="G5346" s="2" t="s">
        <v>983</v>
      </c>
      <c r="H5346" s="2" t="s">
        <v>1066</v>
      </c>
      <c r="I5346" s="2"/>
      <c r="J5346" s="2" t="s">
        <v>47</v>
      </c>
    </row>
    <row r="5347" spans="1:10" ht="21" customHeight="1">
      <c r="A5347" s="2" t="s">
        <v>6348</v>
      </c>
      <c r="B5347" s="2" t="s">
        <v>47</v>
      </c>
      <c r="C5347" s="4">
        <v>45893.25</v>
      </c>
      <c r="D5347" s="4">
        <v>45893.250386388885</v>
      </c>
      <c r="E5347" s="2">
        <v>3.37</v>
      </c>
      <c r="F5347" s="2">
        <v>73</v>
      </c>
      <c r="G5347" s="2" t="s">
        <v>983</v>
      </c>
      <c r="H5347" s="2" t="s">
        <v>984</v>
      </c>
      <c r="I5347" s="2"/>
      <c r="J5347" s="2" t="s">
        <v>47</v>
      </c>
    </row>
    <row r="5348" spans="1:10" ht="21" customHeight="1">
      <c r="A5348" s="2" t="s">
        <v>6349</v>
      </c>
      <c r="B5348" s="2" t="s">
        <v>47</v>
      </c>
      <c r="C5348" s="4">
        <v>45894.25</v>
      </c>
      <c r="D5348" s="4">
        <v>45894.250273101847</v>
      </c>
      <c r="E5348" s="2">
        <v>3.5</v>
      </c>
      <c r="F5348" s="2">
        <v>72.3</v>
      </c>
      <c r="G5348" s="2" t="s">
        <v>983</v>
      </c>
      <c r="H5348" s="2" t="s">
        <v>984</v>
      </c>
      <c r="I5348" s="2"/>
      <c r="J5348" s="2" t="s">
        <v>47</v>
      </c>
    </row>
    <row r="5349" spans="1:10" ht="21" customHeight="1">
      <c r="A5349" s="2" t="s">
        <v>6350</v>
      </c>
      <c r="B5349" s="2" t="s">
        <v>47</v>
      </c>
      <c r="C5349" s="4">
        <v>45895.25</v>
      </c>
      <c r="D5349" s="4">
        <v>45895.250324050925</v>
      </c>
      <c r="E5349" s="2">
        <v>3.27</v>
      </c>
      <c r="F5349" s="2">
        <v>78.900000000000006</v>
      </c>
      <c r="G5349" s="2" t="s">
        <v>983</v>
      </c>
      <c r="H5349" s="2" t="s">
        <v>984</v>
      </c>
      <c r="I5349" s="2"/>
      <c r="J5349" s="2" t="s">
        <v>47</v>
      </c>
    </row>
    <row r="5350" spans="1:10" ht="21" customHeight="1">
      <c r="A5350" s="2" t="s">
        <v>6351</v>
      </c>
      <c r="B5350" s="2" t="s">
        <v>47</v>
      </c>
      <c r="C5350" s="4">
        <v>45896.25</v>
      </c>
      <c r="D5350" s="4">
        <v>45896.250034907411</v>
      </c>
      <c r="E5350" s="2">
        <v>3.63</v>
      </c>
      <c r="F5350" s="2">
        <v>77.400000000000006</v>
      </c>
      <c r="G5350" s="2" t="s">
        <v>983</v>
      </c>
      <c r="H5350" s="2" t="s">
        <v>984</v>
      </c>
      <c r="I5350" s="2" t="s">
        <v>985</v>
      </c>
      <c r="J5350" s="2" t="s">
        <v>47</v>
      </c>
    </row>
    <row r="5351" spans="1:10" ht="21" customHeight="1">
      <c r="A5351" s="2" t="s">
        <v>6352</v>
      </c>
      <c r="B5351" s="2" t="s">
        <v>47</v>
      </c>
      <c r="C5351" s="4">
        <v>45897.25</v>
      </c>
      <c r="D5351" s="4">
        <v>45897.250678819444</v>
      </c>
      <c r="E5351" s="2">
        <v>3.3</v>
      </c>
      <c r="F5351" s="2">
        <v>72.2</v>
      </c>
      <c r="G5351" s="2" t="s">
        <v>983</v>
      </c>
      <c r="H5351" s="2" t="s">
        <v>984</v>
      </c>
      <c r="I5351" s="2"/>
      <c r="J5351" s="2" t="s">
        <v>47</v>
      </c>
    </row>
    <row r="5352" spans="1:10" ht="21" customHeight="1">
      <c r="A5352" s="2" t="s">
        <v>6353</v>
      </c>
      <c r="B5352" s="2" t="s">
        <v>47</v>
      </c>
      <c r="C5352" s="4">
        <v>45898.25</v>
      </c>
      <c r="D5352" s="4">
        <v>45898.250331504634</v>
      </c>
      <c r="E5352" s="2">
        <v>3.73</v>
      </c>
      <c r="F5352" s="2">
        <v>75.900000000000006</v>
      </c>
      <c r="G5352" s="2" t="s">
        <v>983</v>
      </c>
      <c r="H5352" s="2" t="s">
        <v>984</v>
      </c>
      <c r="I5352" s="2"/>
      <c r="J5352" s="2" t="s">
        <v>47</v>
      </c>
    </row>
    <row r="5353" spans="1:10" ht="21" customHeight="1">
      <c r="A5353" s="2" t="s">
        <v>6354</v>
      </c>
      <c r="B5353" s="2" t="s">
        <v>47</v>
      </c>
      <c r="C5353" s="4">
        <v>45899.25</v>
      </c>
      <c r="D5353" s="4">
        <v>45899.250136689814</v>
      </c>
      <c r="E5353" s="2">
        <v>3</v>
      </c>
      <c r="F5353" s="2">
        <v>74.8</v>
      </c>
      <c r="G5353" s="2" t="s">
        <v>983</v>
      </c>
      <c r="H5353" s="2" t="s">
        <v>984</v>
      </c>
      <c r="I5353" s="2"/>
      <c r="J5353" s="2" t="s">
        <v>47</v>
      </c>
    </row>
    <row r="5354" spans="1:10" ht="21" customHeight="1">
      <c r="A5354" s="2" t="s">
        <v>6355</v>
      </c>
      <c r="B5354" s="2" t="s">
        <v>47</v>
      </c>
      <c r="C5354" s="4">
        <v>45900.25</v>
      </c>
      <c r="D5354" s="4">
        <v>45900.250454259258</v>
      </c>
      <c r="E5354" s="2">
        <v>3.03</v>
      </c>
      <c r="F5354" s="2">
        <v>75.099999999999994</v>
      </c>
      <c r="G5354" s="2" t="s">
        <v>983</v>
      </c>
      <c r="H5354" s="2" t="s">
        <v>984</v>
      </c>
      <c r="I5354" s="2"/>
      <c r="J5354" s="2" t="s">
        <v>47</v>
      </c>
    </row>
    <row r="5355" spans="1:10" ht="21" customHeight="1">
      <c r="A5355" s="2" t="s">
        <v>6356</v>
      </c>
      <c r="B5355" s="2" t="s">
        <v>47</v>
      </c>
      <c r="C5355" s="4">
        <v>45901.25</v>
      </c>
      <c r="D5355" s="4">
        <v>45901.250076516204</v>
      </c>
      <c r="E5355" s="2">
        <v>3.77</v>
      </c>
      <c r="F5355" s="2">
        <v>73.900000000000006</v>
      </c>
      <c r="G5355" s="2" t="s">
        <v>983</v>
      </c>
      <c r="H5355" s="2" t="s">
        <v>984</v>
      </c>
      <c r="I5355" s="2"/>
      <c r="J5355" s="2" t="s">
        <v>47</v>
      </c>
    </row>
    <row r="5356" spans="1:10" ht="21" customHeight="1">
      <c r="A5356" s="2" t="s">
        <v>6357</v>
      </c>
      <c r="B5356" s="2" t="s">
        <v>47</v>
      </c>
      <c r="C5356" s="4">
        <v>45902.25</v>
      </c>
      <c r="D5356" s="4">
        <v>45902.250481342591</v>
      </c>
      <c r="E5356" s="2">
        <v>3.68</v>
      </c>
      <c r="F5356" s="2">
        <v>72.7</v>
      </c>
      <c r="G5356" s="2" t="s">
        <v>983</v>
      </c>
      <c r="H5356" s="2" t="s">
        <v>984</v>
      </c>
      <c r="I5356" s="2"/>
      <c r="J5356" s="2" t="s">
        <v>47</v>
      </c>
    </row>
    <row r="5357" spans="1:10" ht="21" customHeight="1">
      <c r="A5357" s="2" t="s">
        <v>6358</v>
      </c>
      <c r="B5357" s="2" t="s">
        <v>47</v>
      </c>
      <c r="C5357" s="4">
        <v>45903.25</v>
      </c>
      <c r="D5357" s="4">
        <v>45903.250146307866</v>
      </c>
      <c r="E5357" s="2">
        <v>5.21</v>
      </c>
      <c r="F5357" s="2">
        <v>84.4</v>
      </c>
      <c r="G5357" s="2" t="s">
        <v>983</v>
      </c>
      <c r="H5357" s="2" t="s">
        <v>984</v>
      </c>
      <c r="I5357" s="2"/>
      <c r="J5357" s="2" t="s">
        <v>47</v>
      </c>
    </row>
    <row r="5358" spans="1:10" ht="21" customHeight="1">
      <c r="A5358" s="2" t="s">
        <v>6359</v>
      </c>
      <c r="B5358" s="2" t="s">
        <v>47</v>
      </c>
      <c r="C5358" s="4">
        <v>45904.25</v>
      </c>
      <c r="D5358" s="4">
        <v>45904.250301608801</v>
      </c>
      <c r="E5358" s="2">
        <v>6.24</v>
      </c>
      <c r="F5358" s="2">
        <v>84.6</v>
      </c>
      <c r="G5358" s="2" t="s">
        <v>983</v>
      </c>
      <c r="H5358" s="2" t="s">
        <v>984</v>
      </c>
      <c r="I5358" s="2" t="s">
        <v>1053</v>
      </c>
      <c r="J5358" s="2" t="s">
        <v>47</v>
      </c>
    </row>
    <row r="5359" spans="1:10" ht="21" customHeight="1">
      <c r="A5359" s="2" t="s">
        <v>6360</v>
      </c>
      <c r="B5359" s="2" t="s">
        <v>47</v>
      </c>
      <c r="C5359" s="4">
        <v>45905.25</v>
      </c>
      <c r="D5359" s="4">
        <v>45905.250575555554</v>
      </c>
      <c r="E5359" s="2">
        <v>6.29</v>
      </c>
      <c r="F5359" s="2">
        <v>81</v>
      </c>
      <c r="G5359" s="2" t="s">
        <v>983</v>
      </c>
      <c r="H5359" s="2" t="s">
        <v>984</v>
      </c>
      <c r="I5359" s="2"/>
      <c r="J5359" s="2" t="s">
        <v>47</v>
      </c>
    </row>
    <row r="5360" spans="1:10" ht="21" customHeight="1">
      <c r="A5360" s="2" t="s">
        <v>6361</v>
      </c>
      <c r="B5360" s="2" t="s">
        <v>47</v>
      </c>
      <c r="C5360" s="4">
        <v>45906.25</v>
      </c>
      <c r="D5360" s="4">
        <v>45906.250150208332</v>
      </c>
      <c r="E5360" s="2">
        <v>3.38</v>
      </c>
      <c r="F5360" s="2">
        <v>73.099999999999994</v>
      </c>
      <c r="G5360" s="2" t="s">
        <v>983</v>
      </c>
      <c r="H5360" s="2" t="s">
        <v>984</v>
      </c>
      <c r="I5360" s="2"/>
      <c r="J5360" s="2" t="s">
        <v>47</v>
      </c>
    </row>
    <row r="5361" spans="1:10" ht="21" customHeight="1">
      <c r="A5361" s="2" t="s">
        <v>6362</v>
      </c>
      <c r="B5361" s="2" t="s">
        <v>47</v>
      </c>
      <c r="C5361" s="4">
        <v>45907.25</v>
      </c>
      <c r="D5361" s="4">
        <v>45907.25032230324</v>
      </c>
      <c r="E5361" s="2">
        <v>3.81</v>
      </c>
      <c r="F5361" s="2">
        <v>78.599999999999994</v>
      </c>
      <c r="G5361" s="2" t="s">
        <v>983</v>
      </c>
      <c r="H5361" s="2" t="s">
        <v>984</v>
      </c>
      <c r="I5361" s="2"/>
      <c r="J5361" s="2" t="s">
        <v>47</v>
      </c>
    </row>
    <row r="5362" spans="1:10" ht="21" customHeight="1">
      <c r="A5362" s="2" t="s">
        <v>6363</v>
      </c>
      <c r="B5362" s="2" t="s">
        <v>47</v>
      </c>
      <c r="C5362" s="4">
        <v>45908.25</v>
      </c>
      <c r="D5362" s="4">
        <v>45908.250248298616</v>
      </c>
      <c r="E5362" s="2">
        <v>3.79</v>
      </c>
      <c r="F5362" s="2">
        <v>78.099999999999994</v>
      </c>
      <c r="G5362" s="2" t="s">
        <v>983</v>
      </c>
      <c r="H5362" s="2" t="s">
        <v>984</v>
      </c>
      <c r="I5362" s="2"/>
      <c r="J5362" s="2" t="s">
        <v>47</v>
      </c>
    </row>
    <row r="5363" spans="1:10" ht="21" customHeight="1">
      <c r="A5363" s="2" t="s">
        <v>6364</v>
      </c>
      <c r="B5363" s="2" t="s">
        <v>47</v>
      </c>
      <c r="C5363" s="4">
        <v>45909.25</v>
      </c>
      <c r="D5363" s="4">
        <v>45909.250164490746</v>
      </c>
      <c r="E5363" s="2">
        <v>3.8</v>
      </c>
      <c r="F5363" s="2">
        <v>74.8</v>
      </c>
      <c r="G5363" s="2" t="s">
        <v>983</v>
      </c>
      <c r="H5363" s="2" t="s">
        <v>984</v>
      </c>
      <c r="I5363" s="2"/>
      <c r="J5363" s="2" t="s">
        <v>47</v>
      </c>
    </row>
    <row r="5364" spans="1:10" ht="21" customHeight="1">
      <c r="A5364" s="2" t="s">
        <v>6365</v>
      </c>
      <c r="B5364" s="2" t="s">
        <v>47</v>
      </c>
      <c r="C5364" s="4">
        <v>45910.25</v>
      </c>
      <c r="D5364" s="4">
        <v>45910.250182916665</v>
      </c>
      <c r="E5364" s="2">
        <v>2.96</v>
      </c>
      <c r="F5364" s="2">
        <v>76</v>
      </c>
      <c r="G5364" s="2" t="s">
        <v>983</v>
      </c>
      <c r="H5364" s="2" t="s">
        <v>984</v>
      </c>
      <c r="I5364" s="2"/>
      <c r="J5364" s="2" t="s">
        <v>47</v>
      </c>
    </row>
    <row r="5365" spans="1:10" ht="21" customHeight="1">
      <c r="A5365" s="2" t="s">
        <v>6366</v>
      </c>
      <c r="B5365" s="2" t="s">
        <v>47</v>
      </c>
      <c r="C5365" s="4">
        <v>45911.25</v>
      </c>
      <c r="D5365" s="4">
        <v>45911.250073194446</v>
      </c>
      <c r="E5365" s="2">
        <v>3.88</v>
      </c>
      <c r="F5365" s="2">
        <v>72.900000000000006</v>
      </c>
      <c r="G5365" s="2" t="s">
        <v>983</v>
      </c>
      <c r="H5365" s="2" t="s">
        <v>984</v>
      </c>
      <c r="I5365" s="2"/>
      <c r="J5365" s="2" t="s">
        <v>47</v>
      </c>
    </row>
    <row r="5366" spans="1:10" ht="21" customHeight="1">
      <c r="A5366" s="2" t="s">
        <v>6367</v>
      </c>
      <c r="B5366" s="2" t="s">
        <v>47</v>
      </c>
      <c r="C5366" s="4">
        <v>45912.25</v>
      </c>
      <c r="D5366" s="4">
        <v>45912.250670520836</v>
      </c>
      <c r="E5366" s="2">
        <v>3.84</v>
      </c>
      <c r="F5366" s="2">
        <v>73.599999999999994</v>
      </c>
      <c r="G5366" s="2" t="s">
        <v>983</v>
      </c>
      <c r="H5366" s="2" t="s">
        <v>984</v>
      </c>
      <c r="I5366" s="2"/>
      <c r="J5366" s="2" t="s">
        <v>47</v>
      </c>
    </row>
    <row r="5367" spans="1:10" ht="21" customHeight="1">
      <c r="A5367" s="2" t="s">
        <v>6368</v>
      </c>
      <c r="B5367" s="2" t="s">
        <v>47</v>
      </c>
      <c r="C5367" s="4">
        <v>45913.25</v>
      </c>
      <c r="D5367" s="4">
        <v>45913.250407141204</v>
      </c>
      <c r="E5367" s="2">
        <v>3.24</v>
      </c>
      <c r="F5367" s="2">
        <v>75.900000000000006</v>
      </c>
      <c r="G5367" s="2" t="s">
        <v>983</v>
      </c>
      <c r="H5367" s="2" t="s">
        <v>984</v>
      </c>
      <c r="I5367" s="2" t="s">
        <v>985</v>
      </c>
      <c r="J5367" s="2" t="s">
        <v>47</v>
      </c>
    </row>
    <row r="5368" spans="1:10" ht="21" customHeight="1">
      <c r="A5368" s="2" t="s">
        <v>6369</v>
      </c>
      <c r="B5368" s="2" t="s">
        <v>47</v>
      </c>
      <c r="C5368" s="4">
        <v>45914.25</v>
      </c>
      <c r="D5368" s="4">
        <v>45914.250529594909</v>
      </c>
      <c r="E5368" s="2">
        <v>3.99</v>
      </c>
      <c r="F5368" s="2">
        <v>72.8</v>
      </c>
      <c r="G5368" s="2" t="s">
        <v>983</v>
      </c>
      <c r="H5368" s="2" t="s">
        <v>984</v>
      </c>
      <c r="I5368" s="2"/>
      <c r="J5368" s="2" t="s">
        <v>47</v>
      </c>
    </row>
    <row r="5369" spans="1:10" ht="21" customHeight="1">
      <c r="A5369" s="2" t="s">
        <v>6370</v>
      </c>
      <c r="B5369" s="2" t="s">
        <v>47</v>
      </c>
      <c r="C5369" s="4">
        <v>45915.25</v>
      </c>
      <c r="D5369" s="4">
        <v>45915.250215451393</v>
      </c>
      <c r="E5369" s="2">
        <v>3.19</v>
      </c>
      <c r="F5369" s="2">
        <v>76.900000000000006</v>
      </c>
      <c r="G5369" s="2" t="s">
        <v>983</v>
      </c>
      <c r="H5369" s="2" t="s">
        <v>984</v>
      </c>
      <c r="I5369" s="2"/>
      <c r="J5369" s="2" t="s">
        <v>47</v>
      </c>
    </row>
    <row r="5370" spans="1:10" ht="21" customHeight="1">
      <c r="A5370" s="2" t="s">
        <v>6371</v>
      </c>
      <c r="B5370" s="2" t="s">
        <v>47</v>
      </c>
      <c r="C5370" s="4">
        <v>45916.25</v>
      </c>
      <c r="D5370" s="4">
        <v>45916.250096504635</v>
      </c>
      <c r="E5370" s="2">
        <v>3.82</v>
      </c>
      <c r="F5370" s="2">
        <v>78.400000000000006</v>
      </c>
      <c r="G5370" s="2" t="s">
        <v>983</v>
      </c>
      <c r="H5370" s="2" t="s">
        <v>984</v>
      </c>
      <c r="I5370" s="2"/>
      <c r="J5370" s="2" t="s">
        <v>47</v>
      </c>
    </row>
    <row r="5371" spans="1:10" ht="21" customHeight="1">
      <c r="A5371" s="2" t="s">
        <v>6372</v>
      </c>
      <c r="B5371" s="2" t="s">
        <v>47</v>
      </c>
      <c r="C5371" s="4">
        <v>45917.25</v>
      </c>
      <c r="D5371" s="4">
        <v>45917.250498865746</v>
      </c>
      <c r="E5371" s="2">
        <v>3.85</v>
      </c>
      <c r="F5371" s="2">
        <v>74.400000000000006</v>
      </c>
      <c r="G5371" s="2" t="s">
        <v>983</v>
      </c>
      <c r="H5371" s="2" t="s">
        <v>984</v>
      </c>
      <c r="I5371" s="2"/>
      <c r="J5371" s="2" t="s">
        <v>47</v>
      </c>
    </row>
    <row r="5372" spans="1:10" ht="21" customHeight="1">
      <c r="A5372" s="2" t="s">
        <v>6373</v>
      </c>
      <c r="B5372" s="2" t="s">
        <v>47</v>
      </c>
      <c r="C5372" s="4">
        <v>45918.25</v>
      </c>
      <c r="D5372" s="4">
        <v>45918.250082002312</v>
      </c>
      <c r="E5372" s="2">
        <v>2.88</v>
      </c>
      <c r="F5372" s="2">
        <v>77.099999999999994</v>
      </c>
      <c r="G5372" s="2" t="s">
        <v>983</v>
      </c>
      <c r="H5372" s="2" t="s">
        <v>984</v>
      </c>
      <c r="I5372" s="2"/>
      <c r="J5372" s="2" t="s">
        <v>47</v>
      </c>
    </row>
    <row r="5373" spans="1:10" ht="21" customHeight="1">
      <c r="A5373" s="2" t="s">
        <v>6374</v>
      </c>
      <c r="B5373" s="2" t="s">
        <v>6128</v>
      </c>
      <c r="C5373" s="4">
        <v>45919.25</v>
      </c>
      <c r="D5373" s="4">
        <v>45919.250671678237</v>
      </c>
      <c r="E5373" s="2">
        <v>3</v>
      </c>
      <c r="F5373" s="2">
        <v>77.8</v>
      </c>
      <c r="G5373" s="2" t="s">
        <v>983</v>
      </c>
      <c r="H5373" s="2" t="s">
        <v>984</v>
      </c>
      <c r="I5373" s="2"/>
      <c r="J5373" s="2" t="s">
        <v>47</v>
      </c>
    </row>
    <row r="5374" spans="1:10" ht="21" customHeight="1">
      <c r="A5374" s="2" t="s">
        <v>6375</v>
      </c>
      <c r="B5374" s="2" t="s">
        <v>47</v>
      </c>
      <c r="C5374" s="4">
        <v>45920.25</v>
      </c>
      <c r="D5374" s="4">
        <v>45920.250496504625</v>
      </c>
      <c r="E5374" s="2">
        <v>3.47</v>
      </c>
      <c r="F5374" s="2">
        <v>76</v>
      </c>
      <c r="G5374" s="2" t="s">
        <v>983</v>
      </c>
      <c r="H5374" s="2" t="s">
        <v>984</v>
      </c>
      <c r="I5374" s="2"/>
      <c r="J5374" s="2" t="s">
        <v>47</v>
      </c>
    </row>
    <row r="5375" spans="1:10" ht="21" customHeight="1">
      <c r="A5375" s="2" t="s">
        <v>6376</v>
      </c>
      <c r="B5375" s="2" t="s">
        <v>47</v>
      </c>
      <c r="C5375" s="4">
        <v>45921.25</v>
      </c>
      <c r="D5375" s="4">
        <v>45921.250043310181</v>
      </c>
      <c r="E5375" s="2">
        <v>2.99</v>
      </c>
      <c r="F5375" s="2">
        <v>78.900000000000006</v>
      </c>
      <c r="G5375" s="2" t="s">
        <v>983</v>
      </c>
      <c r="H5375" s="2" t="s">
        <v>984</v>
      </c>
      <c r="I5375" s="2"/>
      <c r="J5375" s="2" t="s">
        <v>47</v>
      </c>
    </row>
    <row r="5376" spans="1:10" ht="21" customHeight="1">
      <c r="A5376" s="2" t="s">
        <v>6377</v>
      </c>
      <c r="B5376" s="2" t="s">
        <v>47</v>
      </c>
      <c r="C5376" s="4">
        <v>45922.25</v>
      </c>
      <c r="D5376" s="4">
        <v>45922.25036085648</v>
      </c>
      <c r="E5376" s="2">
        <v>3.23</v>
      </c>
      <c r="F5376" s="2">
        <v>79.400000000000006</v>
      </c>
      <c r="G5376" s="2" t="s">
        <v>983</v>
      </c>
      <c r="H5376" s="2" t="s">
        <v>984</v>
      </c>
      <c r="I5376" s="2"/>
      <c r="J5376" s="2" t="s">
        <v>47</v>
      </c>
    </row>
    <row r="5377" spans="1:10" ht="21" customHeight="1">
      <c r="A5377" s="2" t="s">
        <v>6378</v>
      </c>
      <c r="B5377" s="2" t="s">
        <v>47</v>
      </c>
      <c r="C5377" s="4">
        <v>45923.25</v>
      </c>
      <c r="D5377" s="4">
        <v>45923.250332187497</v>
      </c>
      <c r="E5377" s="2">
        <v>3.5</v>
      </c>
      <c r="F5377" s="2">
        <v>76.2</v>
      </c>
      <c r="G5377" s="2" t="s">
        <v>983</v>
      </c>
      <c r="H5377" s="2" t="s">
        <v>984</v>
      </c>
      <c r="I5377" s="2"/>
      <c r="J5377" s="2" t="s">
        <v>47</v>
      </c>
    </row>
    <row r="5378" spans="1:10" ht="21" customHeight="1">
      <c r="A5378" s="2" t="s">
        <v>6379</v>
      </c>
      <c r="B5378" s="2" t="s">
        <v>47</v>
      </c>
      <c r="C5378" s="4">
        <v>45924.25</v>
      </c>
      <c r="D5378" s="4">
        <v>45924.250482870368</v>
      </c>
      <c r="E5378" s="2">
        <v>3.03</v>
      </c>
      <c r="F5378" s="2">
        <v>75.099999999999994</v>
      </c>
      <c r="G5378" s="2" t="s">
        <v>983</v>
      </c>
      <c r="H5378" s="2" t="s">
        <v>984</v>
      </c>
      <c r="I5378" s="2"/>
      <c r="J5378" s="2" t="s">
        <v>47</v>
      </c>
    </row>
    <row r="5379" spans="1:10" ht="21" customHeight="1">
      <c r="A5379" s="2" t="s">
        <v>6380</v>
      </c>
      <c r="B5379" s="2" t="s">
        <v>47</v>
      </c>
      <c r="C5379" s="4">
        <v>45925.25</v>
      </c>
      <c r="D5379" s="4">
        <v>45925.250600462961</v>
      </c>
      <c r="E5379" s="2">
        <v>3.85</v>
      </c>
      <c r="F5379" s="2">
        <v>75.7</v>
      </c>
      <c r="G5379" s="2" t="s">
        <v>983</v>
      </c>
      <c r="H5379" s="2" t="s">
        <v>984</v>
      </c>
      <c r="I5379" s="2"/>
      <c r="J5379" s="2" t="s">
        <v>47</v>
      </c>
    </row>
    <row r="5380" spans="1:10" ht="21" customHeight="1">
      <c r="A5380" s="2" t="s">
        <v>6381</v>
      </c>
      <c r="B5380" s="2" t="s">
        <v>47</v>
      </c>
      <c r="C5380" s="4">
        <v>45926.25</v>
      </c>
      <c r="D5380" s="4">
        <v>45926.250257499996</v>
      </c>
      <c r="E5380" s="2">
        <v>3.39</v>
      </c>
      <c r="F5380" s="2">
        <v>75.8</v>
      </c>
      <c r="G5380" s="2" t="s">
        <v>983</v>
      </c>
      <c r="H5380" s="2" t="s">
        <v>984</v>
      </c>
      <c r="I5380" s="2"/>
      <c r="J5380" s="2" t="s">
        <v>47</v>
      </c>
    </row>
    <row r="5381" spans="1:10" ht="21" customHeight="1">
      <c r="A5381" s="2" t="s">
        <v>6382</v>
      </c>
      <c r="B5381" s="2" t="s">
        <v>47</v>
      </c>
      <c r="C5381" s="4">
        <v>45927.25</v>
      </c>
      <c r="D5381" s="4">
        <v>45927.250133182868</v>
      </c>
      <c r="E5381" s="2">
        <v>3.22</v>
      </c>
      <c r="F5381" s="2">
        <v>74.2</v>
      </c>
      <c r="G5381" s="2" t="s">
        <v>983</v>
      </c>
      <c r="H5381" s="2" t="s">
        <v>984</v>
      </c>
      <c r="I5381" s="2"/>
      <c r="J5381" s="2" t="s">
        <v>47</v>
      </c>
    </row>
    <row r="5382" spans="1:10" ht="21" customHeight="1">
      <c r="A5382" s="2" t="s">
        <v>6383</v>
      </c>
      <c r="B5382" s="2" t="s">
        <v>47</v>
      </c>
      <c r="C5382" s="4">
        <v>45928.25</v>
      </c>
      <c r="D5382" s="4">
        <v>45928.250423981481</v>
      </c>
      <c r="E5382" s="2">
        <v>2.85</v>
      </c>
      <c r="F5382" s="2">
        <v>78.900000000000006</v>
      </c>
      <c r="G5382" s="2" t="s">
        <v>983</v>
      </c>
      <c r="H5382" s="2" t="s">
        <v>984</v>
      </c>
      <c r="I5382" s="2"/>
      <c r="J5382" s="2" t="s">
        <v>47</v>
      </c>
    </row>
    <row r="5383" spans="1:10" ht="21" customHeight="1">
      <c r="A5383" s="2" t="s">
        <v>6384</v>
      </c>
      <c r="B5383" s="2" t="s">
        <v>47</v>
      </c>
      <c r="C5383" s="4">
        <v>45929.25</v>
      </c>
      <c r="D5383" s="4">
        <v>45929.250467094906</v>
      </c>
      <c r="E5383" s="2">
        <v>3.71</v>
      </c>
      <c r="F5383" s="2">
        <v>78.8</v>
      </c>
      <c r="G5383" s="2" t="s">
        <v>983</v>
      </c>
      <c r="H5383" s="2" t="s">
        <v>984</v>
      </c>
      <c r="I5383" s="2"/>
      <c r="J5383" s="2" t="s">
        <v>47</v>
      </c>
    </row>
    <row r="5384" spans="1:10" ht="21" customHeight="1">
      <c r="A5384" s="2" t="s">
        <v>6385</v>
      </c>
      <c r="B5384" s="2" t="s">
        <v>47</v>
      </c>
      <c r="C5384" s="4">
        <v>45930.25</v>
      </c>
      <c r="D5384" s="4">
        <v>45930.250292349534</v>
      </c>
      <c r="E5384" s="2"/>
      <c r="F5384" s="2"/>
      <c r="G5384" s="2" t="s">
        <v>983</v>
      </c>
      <c r="H5384" s="2" t="s">
        <v>1066</v>
      </c>
      <c r="I5384" s="2" t="s">
        <v>985</v>
      </c>
      <c r="J5384" s="2" t="s">
        <v>47</v>
      </c>
    </row>
    <row r="5385" spans="1:10" ht="21" customHeight="1">
      <c r="A5385" s="2" t="s">
        <v>6386</v>
      </c>
      <c r="B5385" s="2" t="s">
        <v>47</v>
      </c>
      <c r="C5385" s="4">
        <v>45931.25</v>
      </c>
      <c r="D5385" s="4">
        <v>45931.250219374997</v>
      </c>
      <c r="E5385" s="2">
        <v>3.23</v>
      </c>
      <c r="F5385" s="2">
        <v>75.400000000000006</v>
      </c>
      <c r="G5385" s="2" t="s">
        <v>983</v>
      </c>
      <c r="H5385" s="2" t="s">
        <v>984</v>
      </c>
      <c r="I5385" s="2"/>
      <c r="J5385" s="2" t="s">
        <v>47</v>
      </c>
    </row>
    <row r="5386" spans="1:10" ht="21" customHeight="1">
      <c r="A5386" s="2" t="s">
        <v>6387</v>
      </c>
      <c r="B5386" s="2" t="s">
        <v>47</v>
      </c>
      <c r="C5386" s="4">
        <v>45932.25</v>
      </c>
      <c r="D5386" s="4">
        <v>45932.250457106478</v>
      </c>
      <c r="E5386" s="2">
        <v>3.17</v>
      </c>
      <c r="F5386" s="2">
        <v>79.7</v>
      </c>
      <c r="G5386" s="2" t="s">
        <v>983</v>
      </c>
      <c r="H5386" s="2" t="s">
        <v>984</v>
      </c>
      <c r="I5386" s="2"/>
      <c r="J5386" s="2" t="s">
        <v>47</v>
      </c>
    </row>
    <row r="5387" spans="1:10" ht="21" customHeight="1">
      <c r="A5387" s="2" t="s">
        <v>6388</v>
      </c>
      <c r="B5387" s="2" t="s">
        <v>47</v>
      </c>
      <c r="C5387" s="4">
        <v>45933.25</v>
      </c>
      <c r="D5387" s="4">
        <v>45933.250582685185</v>
      </c>
      <c r="E5387" s="2">
        <v>3.63</v>
      </c>
      <c r="F5387" s="2">
        <v>75.400000000000006</v>
      </c>
      <c r="G5387" s="2" t="s">
        <v>983</v>
      </c>
      <c r="H5387" s="2" t="s">
        <v>984</v>
      </c>
      <c r="I5387" s="2"/>
      <c r="J5387" s="2" t="s">
        <v>47</v>
      </c>
    </row>
    <row r="5388" spans="1:10" ht="21" customHeight="1">
      <c r="A5388" s="2" t="s">
        <v>6389</v>
      </c>
      <c r="B5388" s="2" t="s">
        <v>47</v>
      </c>
      <c r="C5388" s="4">
        <v>45934.25</v>
      </c>
      <c r="D5388" s="4">
        <v>45934.250558900458</v>
      </c>
      <c r="E5388" s="2">
        <v>3.67</v>
      </c>
      <c r="F5388" s="2">
        <v>75.8</v>
      </c>
      <c r="G5388" s="2" t="s">
        <v>983</v>
      </c>
      <c r="H5388" s="2" t="s">
        <v>984</v>
      </c>
      <c r="I5388" s="2"/>
      <c r="J5388" s="2" t="s">
        <v>47</v>
      </c>
    </row>
    <row r="5389" spans="1:10" ht="21" customHeight="1">
      <c r="A5389" s="2" t="s">
        <v>6390</v>
      </c>
      <c r="B5389" s="2" t="s">
        <v>47</v>
      </c>
      <c r="C5389" s="4">
        <v>45935.25</v>
      </c>
      <c r="D5389" s="4">
        <v>45935.250142743054</v>
      </c>
      <c r="E5389" s="2">
        <v>3.39</v>
      </c>
      <c r="F5389" s="2">
        <v>74.099999999999994</v>
      </c>
      <c r="G5389" s="2" t="s">
        <v>983</v>
      </c>
      <c r="H5389" s="2" t="s">
        <v>984</v>
      </c>
      <c r="I5389" s="2"/>
      <c r="J5389" s="2" t="s">
        <v>47</v>
      </c>
    </row>
    <row r="5390" spans="1:10" ht="21" customHeight="1">
      <c r="A5390" s="2" t="s">
        <v>6391</v>
      </c>
      <c r="B5390" s="2" t="s">
        <v>47</v>
      </c>
      <c r="C5390" s="4">
        <v>45936.25</v>
      </c>
      <c r="D5390" s="4">
        <v>45936.250308518516</v>
      </c>
      <c r="E5390" s="2">
        <v>3.97</v>
      </c>
      <c r="F5390" s="2">
        <v>77.8</v>
      </c>
      <c r="G5390" s="2" t="s">
        <v>983</v>
      </c>
      <c r="H5390" s="2" t="s">
        <v>984</v>
      </c>
      <c r="I5390" s="2"/>
      <c r="J5390" s="2" t="s">
        <v>47</v>
      </c>
    </row>
    <row r="5391" spans="1:10" ht="21" customHeight="1">
      <c r="A5391" s="2" t="s">
        <v>6392</v>
      </c>
      <c r="B5391" s="2" t="s">
        <v>47</v>
      </c>
      <c r="C5391" s="4">
        <v>45937.25</v>
      </c>
      <c r="D5391" s="4">
        <v>45937.250484270829</v>
      </c>
      <c r="E5391" s="2">
        <v>6.69</v>
      </c>
      <c r="F5391" s="2">
        <v>76.599999999999994</v>
      </c>
      <c r="G5391" s="2" t="s">
        <v>983</v>
      </c>
      <c r="H5391" s="2" t="s">
        <v>984</v>
      </c>
      <c r="I5391" s="2"/>
      <c r="J5391" s="2" t="s">
        <v>47</v>
      </c>
    </row>
    <row r="5392" spans="1:10" ht="21" customHeight="1">
      <c r="A5392" s="2" t="s">
        <v>6393</v>
      </c>
      <c r="B5392" s="2" t="s">
        <v>47</v>
      </c>
      <c r="C5392" s="4">
        <v>45938.25</v>
      </c>
      <c r="D5392" s="4">
        <v>45938.250295543985</v>
      </c>
      <c r="E5392" s="2">
        <v>6.46</v>
      </c>
      <c r="F5392" s="2">
        <v>84.1</v>
      </c>
      <c r="G5392" s="2" t="s">
        <v>983</v>
      </c>
      <c r="H5392" s="2" t="s">
        <v>984</v>
      </c>
      <c r="I5392" s="2" t="s">
        <v>1053</v>
      </c>
      <c r="J5392" s="2" t="s">
        <v>47</v>
      </c>
    </row>
    <row r="5393" spans="1:10" ht="21" customHeight="1">
      <c r="A5393" s="2" t="s">
        <v>6394</v>
      </c>
      <c r="B5393" s="2" t="s">
        <v>47</v>
      </c>
      <c r="C5393" s="4">
        <v>45939.25</v>
      </c>
      <c r="D5393" s="4">
        <v>45939.250370266207</v>
      </c>
      <c r="E5393" s="2">
        <v>5.67</v>
      </c>
      <c r="F5393" s="2">
        <v>81.099999999999994</v>
      </c>
      <c r="G5393" s="2" t="s">
        <v>983</v>
      </c>
      <c r="H5393" s="2" t="s">
        <v>984</v>
      </c>
      <c r="I5393" s="2"/>
      <c r="J5393" s="2" t="s">
        <v>47</v>
      </c>
    </row>
    <row r="5394" spans="1:10" ht="21" customHeight="1">
      <c r="A5394" s="2" t="s">
        <v>6395</v>
      </c>
      <c r="B5394" s="2" t="s">
        <v>47</v>
      </c>
      <c r="C5394" s="4">
        <v>45940.25</v>
      </c>
      <c r="D5394" s="4">
        <v>45940.250538449072</v>
      </c>
      <c r="E5394" s="2">
        <v>0</v>
      </c>
      <c r="F5394" s="2">
        <v>76.8</v>
      </c>
      <c r="G5394" s="2" t="s">
        <v>1175</v>
      </c>
      <c r="H5394" s="2" t="s">
        <v>984</v>
      </c>
      <c r="I5394" s="2"/>
      <c r="J5394" s="2" t="s">
        <v>47</v>
      </c>
    </row>
    <row r="5395" spans="1:10" ht="21" customHeight="1">
      <c r="A5395" s="2" t="s">
        <v>6396</v>
      </c>
      <c r="B5395" s="2" t="s">
        <v>47</v>
      </c>
      <c r="C5395" s="4">
        <v>45941.25</v>
      </c>
      <c r="D5395" s="4">
        <v>45941.250531388891</v>
      </c>
      <c r="E5395" s="2">
        <v>3.66</v>
      </c>
      <c r="F5395" s="2">
        <v>77.400000000000006</v>
      </c>
      <c r="G5395" s="2" t="s">
        <v>983</v>
      </c>
      <c r="H5395" s="2" t="s">
        <v>984</v>
      </c>
      <c r="I5395" s="2"/>
      <c r="J5395" s="2" t="s">
        <v>47</v>
      </c>
    </row>
    <row r="5396" spans="1:10" ht="21" customHeight="1">
      <c r="A5396" s="2" t="s">
        <v>6397</v>
      </c>
      <c r="B5396" s="2" t="s">
        <v>47</v>
      </c>
      <c r="C5396" s="4">
        <v>45942.25</v>
      </c>
      <c r="D5396" s="4">
        <v>45942.250065451386</v>
      </c>
      <c r="E5396" s="2">
        <v>3.13</v>
      </c>
      <c r="F5396" s="2">
        <v>73.5</v>
      </c>
      <c r="G5396" s="2" t="s">
        <v>983</v>
      </c>
      <c r="H5396" s="2" t="s">
        <v>984</v>
      </c>
      <c r="I5396" s="2"/>
      <c r="J5396" s="2" t="s">
        <v>47</v>
      </c>
    </row>
    <row r="5397" spans="1:10" ht="21" customHeight="1">
      <c r="A5397" s="2" t="s">
        <v>6398</v>
      </c>
      <c r="B5397" s="2" t="s">
        <v>47</v>
      </c>
      <c r="C5397" s="4">
        <v>45943.25</v>
      </c>
      <c r="D5397" s="4">
        <v>45943.250443668978</v>
      </c>
      <c r="E5397" s="2">
        <v>3.25</v>
      </c>
      <c r="F5397" s="2">
        <v>78.099999999999994</v>
      </c>
      <c r="G5397" s="2" t="s">
        <v>983</v>
      </c>
      <c r="H5397" s="2" t="s">
        <v>984</v>
      </c>
      <c r="I5397" s="2"/>
      <c r="J5397" s="2" t="s">
        <v>47</v>
      </c>
    </row>
    <row r="5398" spans="1:10" ht="21" customHeight="1">
      <c r="A5398" s="2" t="s">
        <v>6399</v>
      </c>
      <c r="B5398" s="2" t="s">
        <v>47</v>
      </c>
      <c r="C5398" s="4">
        <v>45944.25</v>
      </c>
      <c r="D5398" s="4">
        <v>45944.250473252316</v>
      </c>
      <c r="E5398" s="2">
        <v>3.27</v>
      </c>
      <c r="F5398" s="2">
        <v>79.8</v>
      </c>
      <c r="G5398" s="2" t="s">
        <v>983</v>
      </c>
      <c r="H5398" s="2" t="s">
        <v>984</v>
      </c>
      <c r="I5398" s="2"/>
      <c r="J5398" s="2" t="s">
        <v>47</v>
      </c>
    </row>
    <row r="5399" spans="1:10" ht="21" customHeight="1">
      <c r="A5399" s="2" t="s">
        <v>6400</v>
      </c>
      <c r="B5399" s="2" t="s">
        <v>47</v>
      </c>
      <c r="C5399" s="4">
        <v>45945.25</v>
      </c>
      <c r="D5399" s="4">
        <v>45945.25005609954</v>
      </c>
      <c r="E5399" s="2">
        <v>3.38</v>
      </c>
      <c r="F5399" s="2">
        <v>78.7</v>
      </c>
      <c r="G5399" s="2" t="s">
        <v>983</v>
      </c>
      <c r="H5399" s="2" t="s">
        <v>984</v>
      </c>
      <c r="I5399" s="2"/>
      <c r="J5399" s="2" t="s">
        <v>47</v>
      </c>
    </row>
    <row r="5400" spans="1:10" ht="21" customHeight="1">
      <c r="A5400" s="2" t="s">
        <v>6401</v>
      </c>
      <c r="B5400" s="2" t="s">
        <v>47</v>
      </c>
      <c r="C5400" s="4">
        <v>45946.25</v>
      </c>
      <c r="D5400" s="4">
        <v>45946.250182025462</v>
      </c>
      <c r="E5400" s="2">
        <v>3.45</v>
      </c>
      <c r="F5400" s="2">
        <v>76.099999999999994</v>
      </c>
      <c r="G5400" s="2" t="s">
        <v>983</v>
      </c>
      <c r="H5400" s="2" t="s">
        <v>984</v>
      </c>
      <c r="I5400" s="2"/>
      <c r="J5400" s="2" t="s">
        <v>47</v>
      </c>
    </row>
    <row r="5401" spans="1:10" ht="21" customHeight="1">
      <c r="A5401" s="2" t="s">
        <v>6402</v>
      </c>
      <c r="B5401" s="2" t="s">
        <v>47</v>
      </c>
      <c r="C5401" s="4">
        <v>45947.25</v>
      </c>
      <c r="D5401" s="4">
        <v>45947.250529618061</v>
      </c>
      <c r="E5401" s="2">
        <v>3.7</v>
      </c>
      <c r="F5401" s="2">
        <v>72.900000000000006</v>
      </c>
      <c r="G5401" s="2" t="s">
        <v>983</v>
      </c>
      <c r="H5401" s="2" t="s">
        <v>984</v>
      </c>
      <c r="I5401" s="2" t="s">
        <v>985</v>
      </c>
      <c r="J5401" s="2" t="s">
        <v>47</v>
      </c>
    </row>
    <row r="5402" spans="1:10" ht="21" customHeight="1">
      <c r="A5402" s="2" t="s">
        <v>6403</v>
      </c>
      <c r="B5402" s="2" t="s">
        <v>47</v>
      </c>
      <c r="C5402" s="4">
        <v>45948.25</v>
      </c>
      <c r="D5402" s="4">
        <v>45948.250477534719</v>
      </c>
      <c r="E5402" s="2">
        <v>3.67</v>
      </c>
      <c r="F5402" s="2">
        <v>74.599999999999994</v>
      </c>
      <c r="G5402" s="2" t="s">
        <v>983</v>
      </c>
      <c r="H5402" s="2" t="s">
        <v>984</v>
      </c>
      <c r="I5402" s="2"/>
      <c r="J5402" s="2" t="s">
        <v>47</v>
      </c>
    </row>
    <row r="5403" spans="1:10" ht="21" customHeight="1">
      <c r="A5403" s="2" t="s">
        <v>6404</v>
      </c>
      <c r="B5403" s="2" t="s">
        <v>47</v>
      </c>
      <c r="C5403" s="4">
        <v>45949.25</v>
      </c>
      <c r="D5403" s="4">
        <v>45949.250687685184</v>
      </c>
      <c r="E5403" s="2">
        <v>3.99</v>
      </c>
      <c r="F5403" s="2">
        <v>77.5</v>
      </c>
      <c r="G5403" s="2" t="s">
        <v>983</v>
      </c>
      <c r="H5403" s="2" t="s">
        <v>984</v>
      </c>
      <c r="I5403" s="2"/>
      <c r="J5403" s="2" t="s">
        <v>47</v>
      </c>
    </row>
    <row r="5404" spans="1:10" ht="21" customHeight="1">
      <c r="A5404" s="2" t="s">
        <v>6405</v>
      </c>
      <c r="B5404" s="2" t="s">
        <v>47</v>
      </c>
      <c r="C5404" s="4">
        <v>45950.25</v>
      </c>
      <c r="D5404" s="4">
        <v>45950.250391006943</v>
      </c>
      <c r="E5404" s="2">
        <v>3.32</v>
      </c>
      <c r="F5404" s="2">
        <v>76.8</v>
      </c>
      <c r="G5404" s="2" t="s">
        <v>983</v>
      </c>
      <c r="H5404" s="2" t="s">
        <v>984</v>
      </c>
      <c r="I5404" s="2"/>
      <c r="J5404" s="2" t="s">
        <v>47</v>
      </c>
    </row>
    <row r="5405" spans="1:10" ht="21" customHeight="1">
      <c r="A5405" s="2" t="s">
        <v>6406</v>
      </c>
      <c r="B5405" s="2" t="s">
        <v>47</v>
      </c>
      <c r="C5405" s="4">
        <v>45951.25</v>
      </c>
      <c r="D5405" s="4">
        <v>45951.250019733794</v>
      </c>
      <c r="E5405" s="2">
        <v>3.64</v>
      </c>
      <c r="F5405" s="2">
        <v>76.5</v>
      </c>
      <c r="G5405" s="2" t="s">
        <v>983</v>
      </c>
      <c r="H5405" s="2" t="s">
        <v>984</v>
      </c>
      <c r="I5405" s="2"/>
      <c r="J5405" s="2" t="s">
        <v>47</v>
      </c>
    </row>
    <row r="5406" spans="1:10" ht="21" customHeight="1">
      <c r="A5406" s="2" t="s">
        <v>6407</v>
      </c>
      <c r="B5406" s="2" t="s">
        <v>47</v>
      </c>
      <c r="C5406" s="4">
        <v>45952.25</v>
      </c>
      <c r="D5406" s="4">
        <v>45952.250574409722</v>
      </c>
      <c r="E5406" s="2">
        <v>3.93</v>
      </c>
      <c r="F5406" s="2">
        <v>72.3</v>
      </c>
      <c r="G5406" s="2" t="s">
        <v>983</v>
      </c>
      <c r="H5406" s="2" t="s">
        <v>984</v>
      </c>
      <c r="I5406" s="2"/>
      <c r="J5406" s="2" t="s">
        <v>47</v>
      </c>
    </row>
    <row r="5407" spans="1:10" ht="21" customHeight="1">
      <c r="A5407" s="2" t="s">
        <v>6408</v>
      </c>
      <c r="B5407" s="2" t="s">
        <v>47</v>
      </c>
      <c r="C5407" s="4">
        <v>45953.25</v>
      </c>
      <c r="D5407" s="4">
        <v>45953.250597569444</v>
      </c>
      <c r="E5407" s="2">
        <v>2.84</v>
      </c>
      <c r="F5407" s="2">
        <v>79.599999999999994</v>
      </c>
      <c r="G5407" s="2" t="s">
        <v>983</v>
      </c>
      <c r="H5407" s="2" t="s">
        <v>984</v>
      </c>
      <c r="I5407" s="2"/>
      <c r="J5407" s="2" t="s">
        <v>47</v>
      </c>
    </row>
    <row r="5408" spans="1:10" ht="21" customHeight="1">
      <c r="A5408" s="2" t="s">
        <v>6409</v>
      </c>
      <c r="B5408" s="2" t="s">
        <v>47</v>
      </c>
      <c r="C5408" s="4">
        <v>45954.25</v>
      </c>
      <c r="D5408" s="4">
        <v>45954.250285729169</v>
      </c>
      <c r="E5408" s="2">
        <v>3.86</v>
      </c>
      <c r="F5408" s="2">
        <v>72.900000000000006</v>
      </c>
      <c r="G5408" s="2" t="s">
        <v>983</v>
      </c>
      <c r="H5408" s="2" t="s">
        <v>984</v>
      </c>
      <c r="I5408" s="2"/>
      <c r="J5408" s="2" t="s">
        <v>47</v>
      </c>
    </row>
    <row r="5409" spans="1:10" ht="21" customHeight="1">
      <c r="A5409" s="2" t="s">
        <v>6410</v>
      </c>
      <c r="B5409" s="2" t="s">
        <v>47</v>
      </c>
      <c r="C5409" s="4">
        <v>45955.25</v>
      </c>
      <c r="D5409" s="4">
        <v>45955.250186782403</v>
      </c>
      <c r="E5409" s="2">
        <v>2.93</v>
      </c>
      <c r="F5409" s="2">
        <v>79.900000000000006</v>
      </c>
      <c r="G5409" s="2" t="s">
        <v>983</v>
      </c>
      <c r="H5409" s="2" t="s">
        <v>984</v>
      </c>
      <c r="I5409" s="2"/>
      <c r="J5409" s="2" t="s">
        <v>47</v>
      </c>
    </row>
    <row r="5410" spans="1:10" ht="21" customHeight="1">
      <c r="A5410" s="2" t="s">
        <v>6411</v>
      </c>
      <c r="B5410" s="2" t="s">
        <v>47</v>
      </c>
      <c r="C5410" s="4">
        <v>45956.25</v>
      </c>
      <c r="D5410" s="4">
        <v>45956.250456921298</v>
      </c>
      <c r="E5410" s="2">
        <v>3.03</v>
      </c>
      <c r="F5410" s="2">
        <v>79.7</v>
      </c>
      <c r="G5410" s="2" t="s">
        <v>983</v>
      </c>
      <c r="H5410" s="2" t="s">
        <v>984</v>
      </c>
      <c r="I5410" s="2"/>
      <c r="J5410" s="2" t="s">
        <v>47</v>
      </c>
    </row>
    <row r="5411" spans="1:10" ht="21" customHeight="1">
      <c r="A5411" s="2" t="s">
        <v>6412</v>
      </c>
      <c r="B5411" s="2" t="s">
        <v>47</v>
      </c>
      <c r="C5411" s="4">
        <v>45957.25</v>
      </c>
      <c r="D5411" s="4">
        <v>45957.25055563658</v>
      </c>
      <c r="E5411" s="2">
        <v>3.54</v>
      </c>
      <c r="F5411" s="2">
        <v>80</v>
      </c>
      <c r="G5411" s="2" t="s">
        <v>983</v>
      </c>
      <c r="H5411" s="2" t="s">
        <v>984</v>
      </c>
      <c r="I5411" s="2"/>
      <c r="J5411" s="2" t="s">
        <v>47</v>
      </c>
    </row>
    <row r="5412" spans="1:10" ht="21" customHeight="1">
      <c r="A5412" s="2" t="s">
        <v>6413</v>
      </c>
      <c r="B5412" s="2" t="s">
        <v>47</v>
      </c>
      <c r="C5412" s="4">
        <v>45958.25</v>
      </c>
      <c r="D5412" s="4">
        <v>45958.250080300924</v>
      </c>
      <c r="E5412" s="2">
        <v>2.92</v>
      </c>
      <c r="F5412" s="2">
        <v>74.3</v>
      </c>
      <c r="G5412" s="2" t="s">
        <v>983</v>
      </c>
      <c r="H5412" s="2" t="s">
        <v>984</v>
      </c>
      <c r="I5412" s="2"/>
      <c r="J5412" s="2" t="s">
        <v>47</v>
      </c>
    </row>
    <row r="5413" spans="1:10" ht="21" customHeight="1">
      <c r="A5413" s="2" t="s">
        <v>6414</v>
      </c>
      <c r="B5413" s="2" t="s">
        <v>47</v>
      </c>
      <c r="C5413" s="4">
        <v>45959.25</v>
      </c>
      <c r="D5413" s="4">
        <v>45959.250315416662</v>
      </c>
      <c r="E5413" s="2">
        <v>3.04</v>
      </c>
      <c r="F5413" s="2">
        <v>79.900000000000006</v>
      </c>
      <c r="G5413" s="2" t="s">
        <v>983</v>
      </c>
      <c r="H5413" s="2" t="s">
        <v>984</v>
      </c>
      <c r="I5413" s="2"/>
      <c r="J5413" s="2" t="s">
        <v>47</v>
      </c>
    </row>
    <row r="5414" spans="1:10" ht="21" customHeight="1">
      <c r="A5414" s="2" t="s">
        <v>6415</v>
      </c>
      <c r="B5414" s="2" t="s">
        <v>6128</v>
      </c>
      <c r="C5414" s="4">
        <v>45960.25</v>
      </c>
      <c r="D5414" s="4">
        <v>45960.250151481479</v>
      </c>
      <c r="E5414" s="2">
        <v>3.49</v>
      </c>
      <c r="F5414" s="2">
        <v>77.900000000000006</v>
      </c>
      <c r="G5414" s="2" t="s">
        <v>983</v>
      </c>
      <c r="H5414" s="2" t="s">
        <v>984</v>
      </c>
      <c r="I5414" s="2"/>
      <c r="J5414" s="2" t="s">
        <v>47</v>
      </c>
    </row>
    <row r="5415" spans="1:10" ht="21" customHeight="1">
      <c r="A5415" s="2" t="s">
        <v>6416</v>
      </c>
      <c r="B5415" s="2" t="s">
        <v>47</v>
      </c>
      <c r="C5415" s="4">
        <v>45961.25</v>
      </c>
      <c r="D5415" s="4">
        <v>45961.250093807874</v>
      </c>
      <c r="E5415" s="2">
        <v>3.55</v>
      </c>
      <c r="F5415" s="2">
        <v>79.900000000000006</v>
      </c>
      <c r="G5415" s="2" t="s">
        <v>983</v>
      </c>
      <c r="H5415" s="2" t="s">
        <v>984</v>
      </c>
      <c r="I5415" s="2"/>
      <c r="J5415" s="2" t="s">
        <v>47</v>
      </c>
    </row>
    <row r="5416" spans="1:10" ht="21" customHeight="1">
      <c r="A5416" s="2" t="s">
        <v>6417</v>
      </c>
      <c r="B5416" s="2" t="s">
        <v>47</v>
      </c>
      <c r="C5416" s="4">
        <v>45962.25</v>
      </c>
      <c r="D5416" s="4">
        <v>45962.25016520833</v>
      </c>
      <c r="E5416" s="2">
        <v>3.33</v>
      </c>
      <c r="F5416" s="2">
        <v>75.599999999999994</v>
      </c>
      <c r="G5416" s="2" t="s">
        <v>983</v>
      </c>
      <c r="H5416" s="2" t="s">
        <v>984</v>
      </c>
      <c r="I5416" s="2"/>
      <c r="J5416" s="2" t="s">
        <v>47</v>
      </c>
    </row>
    <row r="5417" spans="1:10" ht="21" customHeight="1">
      <c r="A5417" s="2" t="s">
        <v>6418</v>
      </c>
      <c r="B5417" s="2" t="s">
        <v>47</v>
      </c>
      <c r="C5417" s="4">
        <v>45963.25</v>
      </c>
      <c r="D5417" s="4">
        <v>45963.250563773152</v>
      </c>
      <c r="E5417" s="2">
        <v>2.92</v>
      </c>
      <c r="F5417" s="2">
        <v>76.7</v>
      </c>
      <c r="G5417" s="2" t="s">
        <v>983</v>
      </c>
      <c r="H5417" s="2" t="s">
        <v>984</v>
      </c>
      <c r="I5417" s="2"/>
      <c r="J5417" s="2" t="s">
        <v>47</v>
      </c>
    </row>
    <row r="5418" spans="1:10" ht="21" customHeight="1">
      <c r="A5418" s="2" t="s">
        <v>6419</v>
      </c>
      <c r="B5418" s="2" t="s">
        <v>47</v>
      </c>
      <c r="C5418" s="4">
        <v>45964.25</v>
      </c>
      <c r="D5418" s="4">
        <v>45964.250258865737</v>
      </c>
      <c r="E5418" s="2">
        <v>3.4</v>
      </c>
      <c r="F5418" s="2">
        <v>77</v>
      </c>
      <c r="G5418" s="2" t="s">
        <v>983</v>
      </c>
      <c r="H5418" s="2" t="s">
        <v>984</v>
      </c>
      <c r="I5418" s="2" t="s">
        <v>985</v>
      </c>
      <c r="J5418" s="2" t="s">
        <v>47</v>
      </c>
    </row>
    <row r="5419" spans="1:10" ht="21" customHeight="1">
      <c r="A5419" s="2" t="s">
        <v>6420</v>
      </c>
      <c r="B5419" s="2" t="s">
        <v>47</v>
      </c>
      <c r="C5419" s="4">
        <v>45965.25</v>
      </c>
      <c r="D5419" s="4">
        <v>45965.250210648148</v>
      </c>
      <c r="E5419" s="2">
        <v>3.59</v>
      </c>
      <c r="F5419" s="2">
        <v>78.599999999999994</v>
      </c>
      <c r="G5419" s="2" t="s">
        <v>983</v>
      </c>
      <c r="H5419" s="2" t="s">
        <v>984</v>
      </c>
      <c r="I5419" s="2"/>
      <c r="J5419" s="2" t="s">
        <v>47</v>
      </c>
    </row>
    <row r="5420" spans="1:10" ht="21" customHeight="1">
      <c r="A5420" s="2" t="s">
        <v>6421</v>
      </c>
      <c r="B5420" s="2" t="s">
        <v>47</v>
      </c>
      <c r="C5420" s="4">
        <v>45966.25</v>
      </c>
      <c r="D5420" s="4">
        <v>45966.250636585653</v>
      </c>
      <c r="E5420" s="2">
        <v>3.99</v>
      </c>
      <c r="F5420" s="2">
        <v>76</v>
      </c>
      <c r="G5420" s="2" t="s">
        <v>983</v>
      </c>
      <c r="H5420" s="2" t="s">
        <v>984</v>
      </c>
      <c r="I5420" s="2"/>
      <c r="J5420" s="2" t="s">
        <v>47</v>
      </c>
    </row>
    <row r="5421" spans="1:10" ht="21" customHeight="1">
      <c r="A5421" s="2" t="s">
        <v>6422</v>
      </c>
      <c r="B5421" s="2" t="s">
        <v>47</v>
      </c>
      <c r="C5421" s="4">
        <v>45967.25</v>
      </c>
      <c r="D5421" s="4">
        <v>45967.25028197917</v>
      </c>
      <c r="E5421" s="2">
        <v>3.94</v>
      </c>
      <c r="F5421" s="2">
        <v>78</v>
      </c>
      <c r="G5421" s="2" t="s">
        <v>983</v>
      </c>
      <c r="H5421" s="2" t="s">
        <v>984</v>
      </c>
      <c r="I5421" s="2"/>
      <c r="J5421" s="2" t="s">
        <v>47</v>
      </c>
    </row>
    <row r="5422" spans="1:10" ht="21" customHeight="1">
      <c r="A5422" s="2" t="s">
        <v>6423</v>
      </c>
      <c r="B5422" s="2" t="s">
        <v>47</v>
      </c>
      <c r="C5422" s="4">
        <v>45968.25</v>
      </c>
      <c r="D5422" s="4">
        <v>45968.250524814815</v>
      </c>
      <c r="E5422" s="2">
        <v>3.3</v>
      </c>
      <c r="F5422" s="2">
        <v>73.2</v>
      </c>
      <c r="G5422" s="2" t="s">
        <v>983</v>
      </c>
      <c r="H5422" s="2" t="s">
        <v>984</v>
      </c>
      <c r="I5422" s="2"/>
      <c r="J5422" s="2" t="s">
        <v>47</v>
      </c>
    </row>
    <row r="5423" spans="1:10" ht="21" customHeight="1">
      <c r="A5423" s="2" t="s">
        <v>6424</v>
      </c>
      <c r="B5423" s="2" t="s">
        <v>47</v>
      </c>
      <c r="C5423" s="4">
        <v>45969.25</v>
      </c>
      <c r="D5423" s="4">
        <v>45969.250040925923</v>
      </c>
      <c r="E5423" s="2">
        <v>3.23</v>
      </c>
      <c r="F5423" s="2">
        <v>74</v>
      </c>
      <c r="G5423" s="2" t="s">
        <v>983</v>
      </c>
      <c r="H5423" s="2" t="s">
        <v>984</v>
      </c>
      <c r="I5423" s="2"/>
      <c r="J5423" s="2" t="s">
        <v>47</v>
      </c>
    </row>
    <row r="5424" spans="1:10" ht="21" customHeight="1">
      <c r="A5424" s="2" t="s">
        <v>6425</v>
      </c>
      <c r="B5424" s="2" t="s">
        <v>47</v>
      </c>
      <c r="C5424" s="4">
        <v>45970.25</v>
      </c>
      <c r="D5424" s="4">
        <v>45970.250679629629</v>
      </c>
      <c r="E5424" s="2">
        <v>3.42</v>
      </c>
      <c r="F5424" s="2">
        <v>79.400000000000006</v>
      </c>
      <c r="G5424" s="2" t="s">
        <v>983</v>
      </c>
      <c r="H5424" s="2" t="s">
        <v>984</v>
      </c>
      <c r="I5424" s="2"/>
      <c r="J5424" s="2" t="s">
        <v>47</v>
      </c>
    </row>
    <row r="5425" spans="1:10" ht="21" customHeight="1">
      <c r="A5425" s="2" t="s">
        <v>6426</v>
      </c>
      <c r="B5425" s="2" t="s">
        <v>47</v>
      </c>
      <c r="C5425" s="4">
        <v>45971.25</v>
      </c>
      <c r="D5425" s="4">
        <v>45971.250131805558</v>
      </c>
      <c r="E5425" s="2">
        <v>3.43</v>
      </c>
      <c r="F5425" s="2">
        <v>73</v>
      </c>
      <c r="G5425" s="2" t="s">
        <v>983</v>
      </c>
      <c r="H5425" s="2" t="s">
        <v>984</v>
      </c>
      <c r="I5425" s="2"/>
      <c r="J5425" s="2" t="s">
        <v>47</v>
      </c>
    </row>
    <row r="5426" spans="1:10" ht="21" customHeight="1">
      <c r="A5426" s="2" t="s">
        <v>6427</v>
      </c>
      <c r="B5426" s="2" t="s">
        <v>47</v>
      </c>
      <c r="C5426" s="4">
        <v>45972.25</v>
      </c>
      <c r="D5426" s="4">
        <v>45972.250527268523</v>
      </c>
      <c r="E5426" s="2">
        <v>3.46</v>
      </c>
      <c r="F5426" s="2">
        <v>78.3</v>
      </c>
      <c r="G5426" s="2" t="s">
        <v>983</v>
      </c>
      <c r="H5426" s="2" t="s">
        <v>984</v>
      </c>
      <c r="I5426" s="2"/>
      <c r="J5426" s="2" t="s">
        <v>47</v>
      </c>
    </row>
    <row r="5427" spans="1:10" ht="21" customHeight="1">
      <c r="A5427" s="2" t="s">
        <v>6428</v>
      </c>
      <c r="B5427" s="2" t="s">
        <v>47</v>
      </c>
      <c r="C5427" s="4">
        <v>45973.25</v>
      </c>
      <c r="D5427" s="4">
        <v>45973.250087777778</v>
      </c>
      <c r="E5427" s="2">
        <v>3.79</v>
      </c>
      <c r="F5427" s="2">
        <v>77</v>
      </c>
      <c r="G5427" s="2" t="s">
        <v>983</v>
      </c>
      <c r="H5427" s="2" t="s">
        <v>984</v>
      </c>
      <c r="I5427" s="2"/>
      <c r="J5427" s="2" t="s">
        <v>47</v>
      </c>
    </row>
    <row r="5428" spans="1:10" ht="21" customHeight="1">
      <c r="A5428" s="2" t="s">
        <v>6429</v>
      </c>
      <c r="B5428" s="2" t="s">
        <v>47</v>
      </c>
      <c r="C5428" s="4">
        <v>45974.25</v>
      </c>
      <c r="D5428" s="4">
        <v>45974.250638206024</v>
      </c>
      <c r="E5428" s="2">
        <v>3.42</v>
      </c>
      <c r="F5428" s="2">
        <v>75.900000000000006</v>
      </c>
      <c r="G5428" s="2" t="s">
        <v>983</v>
      </c>
      <c r="H5428" s="2" t="s">
        <v>984</v>
      </c>
      <c r="I5428" s="2"/>
      <c r="J5428" s="2" t="s">
        <v>47</v>
      </c>
    </row>
    <row r="5429" spans="1:10" ht="21" customHeight="1">
      <c r="A5429" s="2" t="s">
        <v>6430</v>
      </c>
      <c r="B5429" s="2" t="s">
        <v>47</v>
      </c>
      <c r="C5429" s="4">
        <v>45975.25</v>
      </c>
      <c r="D5429" s="4">
        <v>45975.250553078702</v>
      </c>
      <c r="E5429" s="2">
        <v>3.56</v>
      </c>
      <c r="F5429" s="2">
        <v>77.2</v>
      </c>
      <c r="G5429" s="2" t="s">
        <v>983</v>
      </c>
      <c r="H5429" s="2" t="s">
        <v>984</v>
      </c>
      <c r="I5429" s="2"/>
      <c r="J5429" s="2" t="s">
        <v>47</v>
      </c>
    </row>
    <row r="5430" spans="1:10" ht="21" customHeight="1">
      <c r="A5430" s="2" t="s">
        <v>6431</v>
      </c>
      <c r="B5430" s="2" t="s">
        <v>47</v>
      </c>
      <c r="C5430" s="4">
        <v>45976.25</v>
      </c>
      <c r="D5430" s="4">
        <v>45976.250190578707</v>
      </c>
      <c r="E5430" s="2">
        <v>3.63</v>
      </c>
      <c r="F5430" s="2">
        <v>74.599999999999994</v>
      </c>
      <c r="G5430" s="2" t="s">
        <v>983</v>
      </c>
      <c r="H5430" s="2" t="s">
        <v>984</v>
      </c>
      <c r="I5430" s="2"/>
      <c r="J5430" s="2" t="s">
        <v>47</v>
      </c>
    </row>
    <row r="5431" spans="1:10" ht="21" customHeight="1">
      <c r="A5431" s="2" t="s">
        <v>6432</v>
      </c>
      <c r="B5431" s="2" t="s">
        <v>47</v>
      </c>
      <c r="C5431" s="4">
        <v>45977.25</v>
      </c>
      <c r="D5431" s="4">
        <v>45977.250483275464</v>
      </c>
      <c r="E5431" s="2">
        <v>3.98</v>
      </c>
      <c r="F5431" s="2">
        <v>79.8</v>
      </c>
      <c r="G5431" s="2" t="s">
        <v>983</v>
      </c>
      <c r="H5431" s="2" t="s">
        <v>984</v>
      </c>
      <c r="I5431" s="2"/>
      <c r="J5431" s="2" t="s">
        <v>47</v>
      </c>
    </row>
    <row r="5432" spans="1:10" ht="21" customHeight="1">
      <c r="A5432" s="2" t="s">
        <v>6433</v>
      </c>
      <c r="B5432" s="2" t="s">
        <v>47</v>
      </c>
      <c r="C5432" s="4">
        <v>45978.25</v>
      </c>
      <c r="D5432" s="4">
        <v>45978.250054189819</v>
      </c>
      <c r="E5432" s="2">
        <v>3.16</v>
      </c>
      <c r="F5432" s="2">
        <v>77.400000000000006</v>
      </c>
      <c r="G5432" s="2" t="s">
        <v>983</v>
      </c>
      <c r="H5432" s="2" t="s">
        <v>984</v>
      </c>
      <c r="I5432" s="2"/>
      <c r="J5432" s="2" t="s">
        <v>47</v>
      </c>
    </row>
    <row r="5433" spans="1:10" ht="21" customHeight="1">
      <c r="A5433" s="2" t="s">
        <v>6434</v>
      </c>
      <c r="B5433" s="2" t="s">
        <v>47</v>
      </c>
      <c r="C5433" s="4">
        <v>45979.25</v>
      </c>
      <c r="D5433" s="4">
        <v>45979.250406967592</v>
      </c>
      <c r="E5433" s="2">
        <v>3.53</v>
      </c>
      <c r="F5433" s="2">
        <v>78.8</v>
      </c>
      <c r="G5433" s="2" t="s">
        <v>983</v>
      </c>
      <c r="H5433" s="2" t="s">
        <v>984</v>
      </c>
      <c r="I5433" s="2"/>
      <c r="J5433" s="2" t="s">
        <v>47</v>
      </c>
    </row>
    <row r="5434" spans="1:10" ht="21" customHeight="1">
      <c r="A5434" s="2" t="s">
        <v>6435</v>
      </c>
      <c r="B5434" s="2" t="s">
        <v>47</v>
      </c>
      <c r="C5434" s="4">
        <v>45980.25</v>
      </c>
      <c r="D5434" s="4">
        <v>45980.250094351853</v>
      </c>
      <c r="E5434" s="2">
        <v>3.9</v>
      </c>
      <c r="F5434" s="2">
        <v>77.7</v>
      </c>
      <c r="G5434" s="2" t="s">
        <v>983</v>
      </c>
      <c r="H5434" s="2" t="s">
        <v>984</v>
      </c>
      <c r="I5434" s="2"/>
      <c r="J5434" s="2" t="s">
        <v>47</v>
      </c>
    </row>
    <row r="5435" spans="1:10" ht="21" customHeight="1">
      <c r="A5435" s="2" t="s">
        <v>6436</v>
      </c>
      <c r="B5435" s="2" t="s">
        <v>47</v>
      </c>
      <c r="C5435" s="4">
        <v>45981.25</v>
      </c>
      <c r="D5435" s="4">
        <v>45981.250277754632</v>
      </c>
      <c r="E5435" s="2">
        <v>3.85</v>
      </c>
      <c r="F5435" s="2">
        <v>76.7</v>
      </c>
      <c r="G5435" s="2" t="s">
        <v>983</v>
      </c>
      <c r="H5435" s="2" t="s">
        <v>984</v>
      </c>
      <c r="I5435" s="2" t="s">
        <v>985</v>
      </c>
      <c r="J5435" s="2" t="s">
        <v>47</v>
      </c>
    </row>
    <row r="5436" spans="1:10" ht="21" customHeight="1">
      <c r="A5436" s="2" t="s">
        <v>6437</v>
      </c>
      <c r="B5436" s="2" t="s">
        <v>47</v>
      </c>
      <c r="C5436" s="4">
        <v>45982.25</v>
      </c>
      <c r="D5436" s="4">
        <v>45982.250411180554</v>
      </c>
      <c r="E5436" s="2">
        <v>3.4</v>
      </c>
      <c r="F5436" s="2">
        <v>75</v>
      </c>
      <c r="G5436" s="2" t="s">
        <v>983</v>
      </c>
      <c r="H5436" s="2" t="s">
        <v>984</v>
      </c>
      <c r="I5436" s="2"/>
      <c r="J5436" s="2" t="s">
        <v>47</v>
      </c>
    </row>
    <row r="5437" spans="1:10" ht="21" customHeight="1">
      <c r="A5437" s="2" t="s">
        <v>6438</v>
      </c>
      <c r="B5437" s="2" t="s">
        <v>47</v>
      </c>
      <c r="C5437" s="4">
        <v>45983.25</v>
      </c>
      <c r="D5437" s="4">
        <v>45983.250494780092</v>
      </c>
      <c r="E5437" s="2">
        <v>3.67</v>
      </c>
      <c r="F5437" s="2">
        <v>73</v>
      </c>
      <c r="G5437" s="2" t="s">
        <v>983</v>
      </c>
      <c r="H5437" s="2" t="s">
        <v>984</v>
      </c>
      <c r="I5437" s="2"/>
      <c r="J5437" s="2" t="s">
        <v>47</v>
      </c>
    </row>
    <row r="5438" spans="1:10" ht="21" customHeight="1">
      <c r="A5438" s="2" t="s">
        <v>6439</v>
      </c>
      <c r="B5438" s="2" t="s">
        <v>47</v>
      </c>
      <c r="C5438" s="4">
        <v>45984.25</v>
      </c>
      <c r="D5438" s="4">
        <v>45984.250328842594</v>
      </c>
      <c r="E5438" s="2">
        <v>3.83</v>
      </c>
      <c r="F5438" s="2">
        <v>75.2</v>
      </c>
      <c r="G5438" s="2" t="s">
        <v>983</v>
      </c>
      <c r="H5438" s="2" t="s">
        <v>984</v>
      </c>
      <c r="I5438" s="2"/>
      <c r="J5438" s="2" t="s">
        <v>47</v>
      </c>
    </row>
    <row r="5439" spans="1:10" ht="21" customHeight="1">
      <c r="A5439" s="2" t="s">
        <v>6440</v>
      </c>
      <c r="B5439" s="2" t="s">
        <v>47</v>
      </c>
      <c r="C5439" s="4">
        <v>45985.25</v>
      </c>
      <c r="D5439" s="4">
        <v>45985.250459710645</v>
      </c>
      <c r="E5439" s="2"/>
      <c r="F5439" s="2"/>
      <c r="G5439" s="2" t="s">
        <v>983</v>
      </c>
      <c r="H5439" s="2" t="s">
        <v>1066</v>
      </c>
      <c r="I5439" s="2"/>
      <c r="J5439" s="2" t="s">
        <v>47</v>
      </c>
    </row>
    <row r="5440" spans="1:10" ht="21" customHeight="1">
      <c r="A5440" s="2" t="s">
        <v>6441</v>
      </c>
      <c r="B5440" s="2" t="s">
        <v>47</v>
      </c>
      <c r="C5440" s="4">
        <v>45986.25</v>
      </c>
      <c r="D5440" s="4">
        <v>45986.250657766199</v>
      </c>
      <c r="E5440" s="2">
        <v>3.33</v>
      </c>
      <c r="F5440" s="2">
        <v>75.400000000000006</v>
      </c>
      <c r="G5440" s="2" t="s">
        <v>983</v>
      </c>
      <c r="H5440" s="2" t="s">
        <v>984</v>
      </c>
      <c r="I5440" s="2"/>
      <c r="J5440" s="2" t="s">
        <v>47</v>
      </c>
    </row>
    <row r="5441" spans="1:10" ht="21" customHeight="1">
      <c r="A5441" s="2" t="s">
        <v>6442</v>
      </c>
      <c r="B5441" s="2" t="s">
        <v>47</v>
      </c>
      <c r="C5441" s="4">
        <v>45987.25</v>
      </c>
      <c r="D5441" s="4">
        <v>45987.250157280097</v>
      </c>
      <c r="E5441" s="2">
        <v>3.31</v>
      </c>
      <c r="F5441" s="2">
        <v>73.7</v>
      </c>
      <c r="G5441" s="2" t="s">
        <v>983</v>
      </c>
      <c r="H5441" s="2" t="s">
        <v>984</v>
      </c>
      <c r="I5441" s="2"/>
      <c r="J5441" s="2" t="s">
        <v>47</v>
      </c>
    </row>
    <row r="5442" spans="1:10" ht="21" customHeight="1">
      <c r="A5442" s="2" t="s">
        <v>6443</v>
      </c>
      <c r="B5442" s="2" t="s">
        <v>47</v>
      </c>
      <c r="C5442" s="4">
        <v>45988.25</v>
      </c>
      <c r="D5442" s="4">
        <v>45988.250295150458</v>
      </c>
      <c r="E5442" s="2">
        <v>2.91</v>
      </c>
      <c r="F5442" s="2">
        <v>76.900000000000006</v>
      </c>
      <c r="G5442" s="2" t="s">
        <v>983</v>
      </c>
      <c r="H5442" s="2" t="s">
        <v>984</v>
      </c>
      <c r="I5442" s="2"/>
      <c r="J5442" s="2" t="s">
        <v>47</v>
      </c>
    </row>
    <row r="5443" spans="1:10" ht="21" customHeight="1">
      <c r="A5443" s="2" t="s">
        <v>6444</v>
      </c>
      <c r="B5443" s="2" t="s">
        <v>47</v>
      </c>
      <c r="C5443" s="4">
        <v>45989.25</v>
      </c>
      <c r="D5443" s="4">
        <v>45989.250387337961</v>
      </c>
      <c r="E5443" s="2">
        <v>3.5</v>
      </c>
      <c r="F5443" s="2">
        <v>74.3</v>
      </c>
      <c r="G5443" s="2" t="s">
        <v>983</v>
      </c>
      <c r="H5443" s="2" t="s">
        <v>984</v>
      </c>
      <c r="I5443" s="2"/>
      <c r="J5443" s="2" t="s">
        <v>47</v>
      </c>
    </row>
    <row r="5444" spans="1:10" ht="21" customHeight="1">
      <c r="A5444" s="2" t="s">
        <v>6445</v>
      </c>
      <c r="B5444" s="2" t="s">
        <v>47</v>
      </c>
      <c r="C5444" s="4">
        <v>45990.25</v>
      </c>
      <c r="D5444" s="4">
        <v>45990.250147974541</v>
      </c>
      <c r="E5444" s="2">
        <v>2.99</v>
      </c>
      <c r="F5444" s="2">
        <v>73.7</v>
      </c>
      <c r="G5444" s="2" t="s">
        <v>983</v>
      </c>
      <c r="H5444" s="2" t="s">
        <v>984</v>
      </c>
      <c r="I5444" s="2"/>
      <c r="J5444" s="2" t="s">
        <v>47</v>
      </c>
    </row>
    <row r="5445" spans="1:10" ht="21" customHeight="1">
      <c r="A5445" s="2" t="s">
        <v>6446</v>
      </c>
      <c r="B5445" s="2" t="s">
        <v>47</v>
      </c>
      <c r="C5445" s="4">
        <v>45991.25</v>
      </c>
      <c r="D5445" s="4">
        <v>45991.250333611111</v>
      </c>
      <c r="E5445" s="2">
        <v>3.53</v>
      </c>
      <c r="F5445" s="2">
        <v>76.900000000000006</v>
      </c>
      <c r="G5445" s="2" t="s">
        <v>983</v>
      </c>
      <c r="H5445" s="2" t="s">
        <v>984</v>
      </c>
      <c r="I5445" s="2"/>
      <c r="J5445" s="2" t="s">
        <v>47</v>
      </c>
    </row>
    <row r="5446" spans="1:10" ht="21" customHeight="1">
      <c r="A5446" s="2" t="s">
        <v>6447</v>
      </c>
      <c r="B5446" s="2" t="s">
        <v>47</v>
      </c>
      <c r="C5446" s="4">
        <v>45992.25</v>
      </c>
      <c r="D5446" s="4">
        <v>45992.250632812502</v>
      </c>
      <c r="E5446" s="2">
        <v>3.33</v>
      </c>
      <c r="F5446" s="2">
        <v>73</v>
      </c>
      <c r="G5446" s="2" t="s">
        <v>983</v>
      </c>
      <c r="H5446" s="2" t="s">
        <v>984</v>
      </c>
      <c r="I5446" s="2"/>
      <c r="J5446" s="2" t="s">
        <v>47</v>
      </c>
    </row>
    <row r="5447" spans="1:10" ht="21" customHeight="1">
      <c r="A5447" s="2" t="s">
        <v>6448</v>
      </c>
      <c r="B5447" s="2" t="s">
        <v>47</v>
      </c>
      <c r="C5447" s="4">
        <v>45993.25</v>
      </c>
      <c r="D5447" s="4">
        <v>45993.250402916667</v>
      </c>
      <c r="E5447" s="2">
        <v>3.27</v>
      </c>
      <c r="F5447" s="2">
        <v>77.599999999999994</v>
      </c>
      <c r="G5447" s="2" t="s">
        <v>983</v>
      </c>
      <c r="H5447" s="2" t="s">
        <v>984</v>
      </c>
      <c r="I5447" s="2"/>
      <c r="J5447" s="2" t="s">
        <v>47</v>
      </c>
    </row>
    <row r="5448" spans="1:10" ht="21" customHeight="1">
      <c r="A5448" s="2" t="s">
        <v>6449</v>
      </c>
      <c r="B5448" s="2" t="s">
        <v>47</v>
      </c>
      <c r="C5448" s="4">
        <v>45994.25</v>
      </c>
      <c r="D5448" s="4">
        <v>45994.250198877315</v>
      </c>
      <c r="E5448" s="2">
        <v>2.83</v>
      </c>
      <c r="F5448" s="2">
        <v>73.599999999999994</v>
      </c>
      <c r="G5448" s="2" t="s">
        <v>983</v>
      </c>
      <c r="H5448" s="2" t="s">
        <v>984</v>
      </c>
      <c r="I5448" s="2"/>
      <c r="J5448" s="2" t="s">
        <v>47</v>
      </c>
    </row>
    <row r="5449" spans="1:10" ht="21" customHeight="1">
      <c r="A5449" s="2" t="s">
        <v>6450</v>
      </c>
      <c r="B5449" s="2" t="s">
        <v>47</v>
      </c>
      <c r="C5449" s="4">
        <v>45995.25</v>
      </c>
      <c r="D5449" s="4">
        <v>45995.250243437498</v>
      </c>
      <c r="E5449" s="2">
        <v>3.22</v>
      </c>
      <c r="F5449" s="2">
        <v>79</v>
      </c>
      <c r="G5449" s="2" t="s">
        <v>983</v>
      </c>
      <c r="H5449" s="2" t="s">
        <v>984</v>
      </c>
      <c r="I5449" s="2"/>
      <c r="J5449" s="2" t="s">
        <v>47</v>
      </c>
    </row>
    <row r="5450" spans="1:10" ht="21" customHeight="1">
      <c r="A5450" s="2" t="s">
        <v>6451</v>
      </c>
      <c r="B5450" s="2" t="s">
        <v>47</v>
      </c>
      <c r="C5450" s="4">
        <v>45996.25</v>
      </c>
      <c r="D5450" s="4">
        <v>45996.250297685183</v>
      </c>
      <c r="E5450" s="2">
        <v>3.44</v>
      </c>
      <c r="F5450" s="2">
        <v>73.7</v>
      </c>
      <c r="G5450" s="2" t="s">
        <v>983</v>
      </c>
      <c r="H5450" s="2" t="s">
        <v>984</v>
      </c>
      <c r="I5450" s="2"/>
      <c r="J5450" s="2" t="s">
        <v>47</v>
      </c>
    </row>
    <row r="5451" spans="1:10" ht="21" customHeight="1">
      <c r="A5451" s="2" t="s">
        <v>6452</v>
      </c>
      <c r="B5451" s="2" t="s">
        <v>47</v>
      </c>
      <c r="C5451" s="4">
        <v>45997.25</v>
      </c>
      <c r="D5451" s="4">
        <v>45997.25065825232</v>
      </c>
      <c r="E5451" s="2">
        <v>3.15</v>
      </c>
      <c r="F5451" s="2">
        <v>77.900000000000006</v>
      </c>
      <c r="G5451" s="2" t="s">
        <v>983</v>
      </c>
      <c r="H5451" s="2" t="s">
        <v>984</v>
      </c>
      <c r="I5451" s="2"/>
      <c r="J5451" s="2" t="s">
        <v>47</v>
      </c>
    </row>
    <row r="5452" spans="1:10" ht="21" customHeight="1">
      <c r="A5452" s="2" t="s">
        <v>6453</v>
      </c>
      <c r="B5452" s="2" t="s">
        <v>47</v>
      </c>
      <c r="C5452" s="4">
        <v>45998.25</v>
      </c>
      <c r="D5452" s="4">
        <v>45998.250500231487</v>
      </c>
      <c r="E5452" s="2">
        <v>0</v>
      </c>
      <c r="F5452" s="2">
        <v>72.900000000000006</v>
      </c>
      <c r="G5452" s="2" t="s">
        <v>1175</v>
      </c>
      <c r="H5452" s="2" t="s">
        <v>984</v>
      </c>
      <c r="I5452" s="2" t="s">
        <v>985</v>
      </c>
      <c r="J5452" s="2" t="s">
        <v>47</v>
      </c>
    </row>
    <row r="5453" spans="1:10" ht="21" customHeight="1">
      <c r="A5453" s="2" t="s">
        <v>6454</v>
      </c>
      <c r="B5453" s="2" t="s">
        <v>47</v>
      </c>
      <c r="C5453" s="4">
        <v>45999.25</v>
      </c>
      <c r="D5453" s="4">
        <v>45999.250029421295</v>
      </c>
      <c r="E5453" s="2">
        <v>3.83</v>
      </c>
      <c r="F5453" s="2">
        <v>77.8</v>
      </c>
      <c r="G5453" s="2" t="s">
        <v>983</v>
      </c>
      <c r="H5453" s="2" t="s">
        <v>984</v>
      </c>
      <c r="I5453" s="2"/>
      <c r="J5453" s="2" t="s">
        <v>47</v>
      </c>
    </row>
    <row r="5454" spans="1:10" ht="21" customHeight="1">
      <c r="A5454" s="2" t="s">
        <v>6455</v>
      </c>
      <c r="B5454" s="2" t="s">
        <v>47</v>
      </c>
      <c r="C5454" s="4">
        <v>46000.25</v>
      </c>
      <c r="D5454" s="4">
        <v>46000.250042650463</v>
      </c>
      <c r="E5454" s="2">
        <v>3.72</v>
      </c>
      <c r="F5454" s="2">
        <v>72.8</v>
      </c>
      <c r="G5454" s="2" t="s">
        <v>983</v>
      </c>
      <c r="H5454" s="2" t="s">
        <v>984</v>
      </c>
      <c r="I5454" s="2"/>
      <c r="J5454" s="2" t="s">
        <v>47</v>
      </c>
    </row>
    <row r="5455" spans="1:10" ht="21" customHeight="1">
      <c r="A5455" s="2" t="s">
        <v>6456</v>
      </c>
      <c r="B5455" s="2" t="s">
        <v>6128</v>
      </c>
      <c r="C5455" s="4">
        <v>46001.25</v>
      </c>
      <c r="D5455" s="4">
        <v>46001.250241921298</v>
      </c>
      <c r="E5455" s="2">
        <v>3.67</v>
      </c>
      <c r="F5455" s="2">
        <v>78.400000000000006</v>
      </c>
      <c r="G5455" s="2" t="s">
        <v>983</v>
      </c>
      <c r="H5455" s="2" t="s">
        <v>984</v>
      </c>
      <c r="I5455" s="2"/>
      <c r="J5455" s="2" t="s">
        <v>47</v>
      </c>
    </row>
    <row r="5456" spans="1:10" ht="21" customHeight="1">
      <c r="A5456" s="2" t="s">
        <v>6457</v>
      </c>
      <c r="B5456" s="2" t="s">
        <v>47</v>
      </c>
      <c r="C5456" s="4">
        <v>46002.25</v>
      </c>
      <c r="D5456" s="4">
        <v>46002.250673472226</v>
      </c>
      <c r="E5456" s="2">
        <v>3.66</v>
      </c>
      <c r="F5456" s="2">
        <v>74.2</v>
      </c>
      <c r="G5456" s="2" t="s">
        <v>983</v>
      </c>
      <c r="H5456" s="2" t="s">
        <v>984</v>
      </c>
      <c r="I5456" s="2"/>
      <c r="J5456" s="2" t="s">
        <v>47</v>
      </c>
    </row>
    <row r="5457" spans="1:10" ht="21" customHeight="1">
      <c r="A5457" s="2" t="s">
        <v>6458</v>
      </c>
      <c r="B5457" s="2" t="s">
        <v>47</v>
      </c>
      <c r="C5457" s="4">
        <v>46003.25</v>
      </c>
      <c r="D5457" s="4">
        <v>46003.250343298612</v>
      </c>
      <c r="E5457" s="2">
        <v>3.48</v>
      </c>
      <c r="F5457" s="2">
        <v>76.900000000000006</v>
      </c>
      <c r="G5457" s="2" t="s">
        <v>983</v>
      </c>
      <c r="H5457" s="2" t="s">
        <v>984</v>
      </c>
      <c r="I5457" s="2"/>
      <c r="J5457" s="2" t="s">
        <v>47</v>
      </c>
    </row>
    <row r="5458" spans="1:10" ht="21" customHeight="1">
      <c r="A5458" s="2" t="s">
        <v>6459</v>
      </c>
      <c r="B5458" s="2" t="s">
        <v>47</v>
      </c>
      <c r="C5458" s="4">
        <v>46004.25</v>
      </c>
      <c r="D5458" s="4">
        <v>46004.250115324074</v>
      </c>
      <c r="E5458" s="2">
        <v>3.44</v>
      </c>
      <c r="F5458" s="2">
        <v>80</v>
      </c>
      <c r="G5458" s="2" t="s">
        <v>983</v>
      </c>
      <c r="H5458" s="2" t="s">
        <v>984</v>
      </c>
      <c r="I5458" s="2"/>
      <c r="J5458" s="2" t="s">
        <v>47</v>
      </c>
    </row>
    <row r="5459" spans="1:10" ht="21" customHeight="1">
      <c r="A5459" s="2" t="s">
        <v>6460</v>
      </c>
      <c r="B5459" s="2" t="s">
        <v>47</v>
      </c>
      <c r="C5459" s="4">
        <v>46005.25</v>
      </c>
      <c r="D5459" s="4">
        <v>46005.250178182869</v>
      </c>
      <c r="E5459" s="2">
        <v>2.81</v>
      </c>
      <c r="F5459" s="2">
        <v>78.099999999999994</v>
      </c>
      <c r="G5459" s="2" t="s">
        <v>983</v>
      </c>
      <c r="H5459" s="2" t="s">
        <v>984</v>
      </c>
      <c r="I5459" s="2"/>
      <c r="J5459" s="2" t="s">
        <v>47</v>
      </c>
    </row>
    <row r="5460" spans="1:10" ht="21" customHeight="1">
      <c r="A5460" s="2" t="s">
        <v>6461</v>
      </c>
      <c r="B5460" s="2" t="s">
        <v>47</v>
      </c>
      <c r="C5460" s="4">
        <v>46006.25</v>
      </c>
      <c r="D5460" s="4">
        <v>46006.250089849535</v>
      </c>
      <c r="E5460" s="2">
        <v>3.48</v>
      </c>
      <c r="F5460" s="2">
        <v>74.5</v>
      </c>
      <c r="G5460" s="2" t="s">
        <v>983</v>
      </c>
      <c r="H5460" s="2" t="s">
        <v>984</v>
      </c>
      <c r="I5460" s="2"/>
      <c r="J5460" s="2" t="s">
        <v>47</v>
      </c>
    </row>
    <row r="5461" spans="1:10" ht="21" customHeight="1">
      <c r="A5461" s="2" t="s">
        <v>6462</v>
      </c>
      <c r="B5461" s="2" t="s">
        <v>47</v>
      </c>
      <c r="C5461" s="4">
        <v>46007.25</v>
      </c>
      <c r="D5461" s="4">
        <v>46007.250448692124</v>
      </c>
      <c r="E5461" s="2">
        <v>3.44</v>
      </c>
      <c r="F5461" s="2">
        <v>73.8</v>
      </c>
      <c r="G5461" s="2" t="s">
        <v>983</v>
      </c>
      <c r="H5461" s="2" t="s">
        <v>984</v>
      </c>
      <c r="I5461" s="2"/>
      <c r="J5461" s="2" t="s">
        <v>47</v>
      </c>
    </row>
    <row r="5462" spans="1:10" ht="21" customHeight="1">
      <c r="A5462" s="2" t="s">
        <v>6463</v>
      </c>
      <c r="B5462" s="2" t="s">
        <v>47</v>
      </c>
      <c r="C5462" s="4">
        <v>46008.25</v>
      </c>
      <c r="D5462" s="4">
        <v>46008.250300405096</v>
      </c>
      <c r="E5462" s="2">
        <v>3.36</v>
      </c>
      <c r="F5462" s="2">
        <v>75.8</v>
      </c>
      <c r="G5462" s="2" t="s">
        <v>983</v>
      </c>
      <c r="H5462" s="2" t="s">
        <v>984</v>
      </c>
      <c r="I5462" s="2"/>
      <c r="J5462" s="2" t="s">
        <v>47</v>
      </c>
    </row>
    <row r="5463" spans="1:10" ht="21" customHeight="1">
      <c r="A5463" s="2" t="s">
        <v>6464</v>
      </c>
      <c r="B5463" s="2" t="s">
        <v>47</v>
      </c>
      <c r="C5463" s="4">
        <v>46009.25</v>
      </c>
      <c r="D5463" s="4">
        <v>46009.250152141205</v>
      </c>
      <c r="E5463" s="2">
        <v>3.73</v>
      </c>
      <c r="F5463" s="2">
        <v>78.2</v>
      </c>
      <c r="G5463" s="2" t="s">
        <v>983</v>
      </c>
      <c r="H5463" s="2" t="s">
        <v>984</v>
      </c>
      <c r="I5463" s="2"/>
      <c r="J5463" s="2" t="s">
        <v>47</v>
      </c>
    </row>
    <row r="5464" spans="1:10" ht="21" customHeight="1">
      <c r="A5464" s="2" t="s">
        <v>6465</v>
      </c>
      <c r="B5464" s="2" t="s">
        <v>47</v>
      </c>
      <c r="C5464" s="4">
        <v>46010.25</v>
      </c>
      <c r="D5464" s="4">
        <v>46010.250342210653</v>
      </c>
      <c r="E5464" s="2">
        <v>3.22</v>
      </c>
      <c r="F5464" s="2">
        <v>72.5</v>
      </c>
      <c r="G5464" s="2" t="s">
        <v>983</v>
      </c>
      <c r="H5464" s="2" t="s">
        <v>984</v>
      </c>
      <c r="I5464" s="2"/>
      <c r="J5464" s="2" t="s">
        <v>47</v>
      </c>
    </row>
    <row r="5465" spans="1:10" ht="21" customHeight="1">
      <c r="A5465" s="2" t="s">
        <v>6466</v>
      </c>
      <c r="B5465" s="2" t="s">
        <v>47</v>
      </c>
      <c r="C5465" s="4">
        <v>46011.25</v>
      </c>
      <c r="D5465" s="4">
        <v>46011.250060023143</v>
      </c>
      <c r="E5465" s="2">
        <v>3.62</v>
      </c>
      <c r="F5465" s="2">
        <v>79</v>
      </c>
      <c r="G5465" s="2" t="s">
        <v>983</v>
      </c>
      <c r="H5465" s="2" t="s">
        <v>984</v>
      </c>
      <c r="I5465" s="2"/>
      <c r="J5465" s="2" t="s">
        <v>47</v>
      </c>
    </row>
    <row r="5466" spans="1:10" ht="21" customHeight="1">
      <c r="A5466" s="2" t="s">
        <v>6467</v>
      </c>
      <c r="B5466" s="2" t="s">
        <v>47</v>
      </c>
      <c r="C5466" s="4">
        <v>46012.25</v>
      </c>
      <c r="D5466" s="4">
        <v>46012.25019042824</v>
      </c>
      <c r="E5466" s="2">
        <v>3.87</v>
      </c>
      <c r="F5466" s="2">
        <v>79.400000000000006</v>
      </c>
      <c r="G5466" s="2" t="s">
        <v>983</v>
      </c>
      <c r="H5466" s="2" t="s">
        <v>984</v>
      </c>
      <c r="I5466" s="2"/>
      <c r="J5466" s="2" t="s">
        <v>47</v>
      </c>
    </row>
    <row r="5467" spans="1:10" ht="21" customHeight="1">
      <c r="A5467" s="2" t="s">
        <v>6468</v>
      </c>
      <c r="B5467" s="2" t="s">
        <v>47</v>
      </c>
      <c r="C5467" s="4">
        <v>46013.25</v>
      </c>
      <c r="D5467" s="4">
        <v>46013.250517152774</v>
      </c>
      <c r="E5467" s="2">
        <v>2.9</v>
      </c>
      <c r="F5467" s="2">
        <v>77.2</v>
      </c>
      <c r="G5467" s="2" t="s">
        <v>983</v>
      </c>
      <c r="H5467" s="2" t="s">
        <v>984</v>
      </c>
      <c r="I5467" s="2"/>
      <c r="J5467" s="2" t="s">
        <v>47</v>
      </c>
    </row>
    <row r="5468" spans="1:10" ht="21" customHeight="1">
      <c r="A5468" s="2" t="s">
        <v>6469</v>
      </c>
      <c r="B5468" s="2" t="s">
        <v>47</v>
      </c>
      <c r="C5468" s="4">
        <v>46014.25</v>
      </c>
      <c r="D5468" s="4">
        <v>46014.250355243057</v>
      </c>
      <c r="E5468" s="2">
        <v>2.99</v>
      </c>
      <c r="F5468" s="2">
        <v>75.8</v>
      </c>
      <c r="G5468" s="2" t="s">
        <v>983</v>
      </c>
      <c r="H5468" s="2" t="s">
        <v>984</v>
      </c>
      <c r="I5468" s="2"/>
      <c r="J5468" s="2" t="s">
        <v>47</v>
      </c>
    </row>
    <row r="5469" spans="1:10" ht="21" customHeight="1">
      <c r="A5469" s="2" t="s">
        <v>6470</v>
      </c>
      <c r="B5469" s="2" t="s">
        <v>47</v>
      </c>
      <c r="C5469" s="4">
        <v>46015.25</v>
      </c>
      <c r="D5469" s="4">
        <v>46015.250588032402</v>
      </c>
      <c r="E5469" s="2">
        <v>3.45</v>
      </c>
      <c r="F5469" s="2">
        <v>78.900000000000006</v>
      </c>
      <c r="G5469" s="2" t="s">
        <v>983</v>
      </c>
      <c r="H5469" s="2" t="s">
        <v>984</v>
      </c>
      <c r="I5469" s="2" t="s">
        <v>985</v>
      </c>
      <c r="J5469" s="2" t="s">
        <v>47</v>
      </c>
    </row>
    <row r="5470" spans="1:10" ht="21" customHeight="1">
      <c r="A5470" s="2" t="s">
        <v>6471</v>
      </c>
      <c r="B5470" s="2" t="s">
        <v>47</v>
      </c>
      <c r="C5470" s="4">
        <v>46016.25</v>
      </c>
      <c r="D5470" s="4">
        <v>46016.250520613423</v>
      </c>
      <c r="E5470" s="2">
        <v>3.81</v>
      </c>
      <c r="F5470" s="2">
        <v>73.599999999999994</v>
      </c>
      <c r="G5470" s="2" t="s">
        <v>983</v>
      </c>
      <c r="H5470" s="2" t="s">
        <v>984</v>
      </c>
      <c r="I5470" s="2"/>
      <c r="J5470" s="2" t="s">
        <v>47</v>
      </c>
    </row>
    <row r="5471" spans="1:10" ht="21" customHeight="1">
      <c r="A5471" s="2" t="s">
        <v>6472</v>
      </c>
      <c r="B5471" s="2" t="s">
        <v>47</v>
      </c>
      <c r="C5471" s="4">
        <v>46017.25</v>
      </c>
      <c r="D5471" s="4">
        <v>46017.250480787035</v>
      </c>
      <c r="E5471" s="2">
        <v>3.35</v>
      </c>
      <c r="F5471" s="2">
        <v>72.400000000000006</v>
      </c>
      <c r="G5471" s="2" t="s">
        <v>983</v>
      </c>
      <c r="H5471" s="2" t="s">
        <v>984</v>
      </c>
      <c r="I5471" s="2"/>
      <c r="J5471" s="2" t="s">
        <v>47</v>
      </c>
    </row>
    <row r="5472" spans="1:10" ht="21" customHeight="1">
      <c r="A5472" s="2" t="s">
        <v>6473</v>
      </c>
      <c r="B5472" s="2" t="s">
        <v>47</v>
      </c>
      <c r="C5472" s="4">
        <v>46018.25</v>
      </c>
      <c r="D5472" s="4">
        <v>46018.250681631944</v>
      </c>
      <c r="E5472" s="2">
        <v>3.7</v>
      </c>
      <c r="F5472" s="2">
        <v>72.7</v>
      </c>
      <c r="G5472" s="2" t="s">
        <v>983</v>
      </c>
      <c r="H5472" s="2" t="s">
        <v>984</v>
      </c>
      <c r="I5472" s="2"/>
      <c r="J5472" s="2" t="s">
        <v>47</v>
      </c>
    </row>
    <row r="5473" spans="1:10" ht="21" customHeight="1">
      <c r="A5473" s="2" t="s">
        <v>6474</v>
      </c>
      <c r="B5473" s="2" t="s">
        <v>47</v>
      </c>
      <c r="C5473" s="4">
        <v>46019.25</v>
      </c>
      <c r="D5473" s="4">
        <v>46019.250247141201</v>
      </c>
      <c r="E5473" s="2">
        <v>3.25</v>
      </c>
      <c r="F5473" s="2">
        <v>74.400000000000006</v>
      </c>
      <c r="G5473" s="2" t="s">
        <v>983</v>
      </c>
      <c r="H5473" s="2" t="s">
        <v>984</v>
      </c>
      <c r="I5473" s="2"/>
      <c r="J5473" s="2" t="s">
        <v>47</v>
      </c>
    </row>
    <row r="5474" spans="1:10" ht="21" customHeight="1">
      <c r="A5474" s="2" t="s">
        <v>6475</v>
      </c>
      <c r="B5474" s="2" t="s">
        <v>47</v>
      </c>
      <c r="C5474" s="4">
        <v>46020.25</v>
      </c>
      <c r="D5474" s="4">
        <v>46020.250525289353</v>
      </c>
      <c r="E5474" s="2">
        <v>21.65</v>
      </c>
      <c r="F5474" s="2">
        <v>78.3</v>
      </c>
      <c r="G5474" s="2" t="s">
        <v>983</v>
      </c>
      <c r="H5474" s="2" t="s">
        <v>1022</v>
      </c>
      <c r="I5474" s="2"/>
      <c r="J5474" s="2" t="s">
        <v>47</v>
      </c>
    </row>
    <row r="5475" spans="1:10" ht="21" customHeight="1">
      <c r="A5475" s="2" t="s">
        <v>6476</v>
      </c>
      <c r="B5475" s="2" t="s">
        <v>47</v>
      </c>
      <c r="C5475" s="4">
        <v>46021.25</v>
      </c>
      <c r="D5475" s="4">
        <v>46021.250141898148</v>
      </c>
      <c r="E5475" s="2">
        <v>2.86</v>
      </c>
      <c r="F5475" s="2">
        <v>75.099999999999994</v>
      </c>
      <c r="G5475" s="2" t="s">
        <v>983</v>
      </c>
      <c r="H5475" s="2" t="s">
        <v>984</v>
      </c>
      <c r="I5475" s="2"/>
      <c r="J5475" s="2" t="s">
        <v>47</v>
      </c>
    </row>
    <row r="5476" spans="1:10" ht="21" customHeight="1">
      <c r="A5476" s="2" t="s">
        <v>6477</v>
      </c>
      <c r="B5476" s="2" t="s">
        <v>47</v>
      </c>
      <c r="C5476" s="4">
        <v>46022.25</v>
      </c>
      <c r="D5476" s="4">
        <v>46022.250629108792</v>
      </c>
      <c r="E5476" s="2">
        <v>3.89</v>
      </c>
      <c r="F5476" s="2">
        <v>75.099999999999994</v>
      </c>
      <c r="G5476" s="2" t="s">
        <v>983</v>
      </c>
      <c r="H5476" s="2" t="s">
        <v>984</v>
      </c>
      <c r="I5476" s="2"/>
      <c r="J5476" s="2" t="s">
        <v>47</v>
      </c>
    </row>
    <row r="5477" spans="1:10" ht="21" customHeight="1">
      <c r="A5477" s="2" t="s">
        <v>6478</v>
      </c>
      <c r="B5477" s="2" t="s">
        <v>48</v>
      </c>
      <c r="C5477" s="4">
        <v>45658.25</v>
      </c>
      <c r="D5477" s="4">
        <v>45658.250257997686</v>
      </c>
      <c r="E5477" s="2">
        <v>3.21</v>
      </c>
      <c r="F5477" s="2">
        <v>61.1</v>
      </c>
      <c r="G5477" s="2" t="s">
        <v>983</v>
      </c>
      <c r="H5477" s="2" t="s">
        <v>984</v>
      </c>
      <c r="I5477" s="2" t="s">
        <v>985</v>
      </c>
      <c r="J5477" s="2" t="s">
        <v>48</v>
      </c>
    </row>
    <row r="5478" spans="1:10" ht="21" customHeight="1">
      <c r="A5478" s="2" t="s">
        <v>6479</v>
      </c>
      <c r="B5478" s="2" t="s">
        <v>48</v>
      </c>
      <c r="C5478" s="4">
        <v>45659.25</v>
      </c>
      <c r="D5478" s="4">
        <v>45659.250384074076</v>
      </c>
      <c r="E5478" s="2">
        <v>3.27</v>
      </c>
      <c r="F5478" s="2">
        <v>59.2</v>
      </c>
      <c r="G5478" s="2" t="s">
        <v>983</v>
      </c>
      <c r="H5478" s="2" t="s">
        <v>984</v>
      </c>
      <c r="I5478" s="2"/>
      <c r="J5478" s="2" t="s">
        <v>48</v>
      </c>
    </row>
    <row r="5479" spans="1:10" ht="21" customHeight="1">
      <c r="A5479" s="2" t="s">
        <v>6480</v>
      </c>
      <c r="B5479" s="2" t="s">
        <v>48</v>
      </c>
      <c r="C5479" s="4">
        <v>45660.25</v>
      </c>
      <c r="D5479" s="4">
        <v>45660.250124907412</v>
      </c>
      <c r="E5479" s="2">
        <v>2.84</v>
      </c>
      <c r="F5479" s="2">
        <v>65.099999999999994</v>
      </c>
      <c r="G5479" s="2" t="s">
        <v>983</v>
      </c>
      <c r="H5479" s="2" t="s">
        <v>984</v>
      </c>
      <c r="I5479" s="2"/>
      <c r="J5479" s="2" t="s">
        <v>48</v>
      </c>
    </row>
    <row r="5480" spans="1:10" ht="21" customHeight="1">
      <c r="A5480" s="2" t="s">
        <v>6481</v>
      </c>
      <c r="B5480" s="2" t="s">
        <v>48</v>
      </c>
      <c r="C5480" s="4">
        <v>45661.25</v>
      </c>
      <c r="D5480" s="4">
        <v>45661.250215312495</v>
      </c>
      <c r="E5480" s="2">
        <v>2.2400000000000002</v>
      </c>
      <c r="F5480" s="2">
        <v>62.3</v>
      </c>
      <c r="G5480" s="2" t="s">
        <v>983</v>
      </c>
      <c r="H5480" s="2" t="s">
        <v>984</v>
      </c>
      <c r="I5480" s="2"/>
      <c r="J5480" s="2" t="s">
        <v>48</v>
      </c>
    </row>
    <row r="5481" spans="1:10" ht="21" customHeight="1">
      <c r="A5481" s="2" t="s">
        <v>6482</v>
      </c>
      <c r="B5481" s="2" t="s">
        <v>48</v>
      </c>
      <c r="C5481" s="4">
        <v>45662.25</v>
      </c>
      <c r="D5481" s="4">
        <v>45662.250635381948</v>
      </c>
      <c r="E5481" s="2">
        <v>3.2</v>
      </c>
      <c r="F5481" s="2">
        <v>61.3</v>
      </c>
      <c r="G5481" s="2" t="s">
        <v>983</v>
      </c>
      <c r="H5481" s="2" t="s">
        <v>984</v>
      </c>
      <c r="I5481" s="2"/>
      <c r="J5481" s="2" t="s">
        <v>48</v>
      </c>
    </row>
    <row r="5482" spans="1:10" ht="21" customHeight="1">
      <c r="A5482" s="2" t="s">
        <v>6483</v>
      </c>
      <c r="B5482" s="2" t="s">
        <v>48</v>
      </c>
      <c r="C5482" s="4">
        <v>45663.25</v>
      </c>
      <c r="D5482" s="4">
        <v>45663.250593506949</v>
      </c>
      <c r="E5482" s="2"/>
      <c r="F5482" s="2"/>
      <c r="G5482" s="2" t="s">
        <v>983</v>
      </c>
      <c r="H5482" s="2" t="s">
        <v>1066</v>
      </c>
      <c r="I5482" s="2"/>
      <c r="J5482" s="2" t="s">
        <v>48</v>
      </c>
    </row>
    <row r="5483" spans="1:10" ht="21" customHeight="1">
      <c r="A5483" s="2" t="s">
        <v>6484</v>
      </c>
      <c r="B5483" s="2" t="s">
        <v>48</v>
      </c>
      <c r="C5483" s="4">
        <v>45664.25</v>
      </c>
      <c r="D5483" s="4">
        <v>45664.250033703705</v>
      </c>
      <c r="E5483" s="2">
        <v>2.5499999999999998</v>
      </c>
      <c r="F5483" s="2">
        <v>64.599999999999994</v>
      </c>
      <c r="G5483" s="2" t="s">
        <v>983</v>
      </c>
      <c r="H5483" s="2" t="s">
        <v>984</v>
      </c>
      <c r="I5483" s="2"/>
      <c r="J5483" s="2" t="s">
        <v>48</v>
      </c>
    </row>
    <row r="5484" spans="1:10" ht="21" customHeight="1">
      <c r="A5484" s="2" t="s">
        <v>6485</v>
      </c>
      <c r="B5484" s="2" t="s">
        <v>48</v>
      </c>
      <c r="C5484" s="4">
        <v>45665.25</v>
      </c>
      <c r="D5484" s="4">
        <v>45665.250279583328</v>
      </c>
      <c r="E5484" s="2">
        <v>3.18</v>
      </c>
      <c r="F5484" s="2">
        <v>61.6</v>
      </c>
      <c r="G5484" s="2" t="s">
        <v>983</v>
      </c>
      <c r="H5484" s="2" t="s">
        <v>984</v>
      </c>
      <c r="I5484" s="2"/>
      <c r="J5484" s="2" t="s">
        <v>48</v>
      </c>
    </row>
    <row r="5485" spans="1:10" ht="21" customHeight="1">
      <c r="A5485" s="2" t="s">
        <v>6486</v>
      </c>
      <c r="B5485" s="2" t="s">
        <v>48</v>
      </c>
      <c r="C5485" s="4">
        <v>45666.25</v>
      </c>
      <c r="D5485" s="4">
        <v>45666.250324652778</v>
      </c>
      <c r="E5485" s="2">
        <v>2.96</v>
      </c>
      <c r="F5485" s="2">
        <v>62.2</v>
      </c>
      <c r="G5485" s="2" t="s">
        <v>983</v>
      </c>
      <c r="H5485" s="2" t="s">
        <v>984</v>
      </c>
      <c r="I5485" s="2"/>
      <c r="J5485" s="2" t="s">
        <v>48</v>
      </c>
    </row>
    <row r="5486" spans="1:10" ht="21" customHeight="1">
      <c r="A5486" s="2" t="s">
        <v>6487</v>
      </c>
      <c r="B5486" s="2" t="s">
        <v>48</v>
      </c>
      <c r="C5486" s="4">
        <v>45667.25</v>
      </c>
      <c r="D5486" s="4">
        <v>45667.250672037037</v>
      </c>
      <c r="E5486" s="2">
        <v>2.77</v>
      </c>
      <c r="F5486" s="2">
        <v>62.4</v>
      </c>
      <c r="G5486" s="2" t="s">
        <v>983</v>
      </c>
      <c r="H5486" s="2" t="s">
        <v>984</v>
      </c>
      <c r="I5486" s="2"/>
      <c r="J5486" s="2" t="s">
        <v>48</v>
      </c>
    </row>
    <row r="5487" spans="1:10" ht="21" customHeight="1">
      <c r="A5487" s="2" t="s">
        <v>6488</v>
      </c>
      <c r="B5487" s="2" t="s">
        <v>48</v>
      </c>
      <c r="C5487" s="4">
        <v>45668.25</v>
      </c>
      <c r="D5487" s="4">
        <v>45668.250094027782</v>
      </c>
      <c r="E5487" s="2">
        <v>2.85</v>
      </c>
      <c r="F5487" s="2">
        <v>59</v>
      </c>
      <c r="G5487" s="2" t="s">
        <v>983</v>
      </c>
      <c r="H5487" s="2" t="s">
        <v>984</v>
      </c>
      <c r="I5487" s="2"/>
      <c r="J5487" s="2" t="s">
        <v>48</v>
      </c>
    </row>
    <row r="5488" spans="1:10" ht="21" customHeight="1">
      <c r="A5488" s="2" t="s">
        <v>6489</v>
      </c>
      <c r="B5488" s="2" t="s">
        <v>48</v>
      </c>
      <c r="C5488" s="4">
        <v>45669.25</v>
      </c>
      <c r="D5488" s="4">
        <v>45669.250269756943</v>
      </c>
      <c r="E5488" s="2">
        <v>2.33</v>
      </c>
      <c r="F5488" s="2">
        <v>64.3</v>
      </c>
      <c r="G5488" s="2" t="s">
        <v>983</v>
      </c>
      <c r="H5488" s="2" t="s">
        <v>984</v>
      </c>
      <c r="I5488" s="2"/>
      <c r="J5488" s="2" t="s">
        <v>48</v>
      </c>
    </row>
    <row r="5489" spans="1:10" ht="21" customHeight="1">
      <c r="A5489" s="2" t="s">
        <v>6490</v>
      </c>
      <c r="B5489" s="2" t="s">
        <v>48</v>
      </c>
      <c r="C5489" s="4">
        <v>45670.25</v>
      </c>
      <c r="D5489" s="4">
        <v>45670.250280902779</v>
      </c>
      <c r="E5489" s="2">
        <v>2.48</v>
      </c>
      <c r="F5489" s="2">
        <v>61.4</v>
      </c>
      <c r="G5489" s="2" t="s">
        <v>983</v>
      </c>
      <c r="H5489" s="2" t="s">
        <v>984</v>
      </c>
      <c r="I5489" s="2"/>
      <c r="J5489" s="2" t="s">
        <v>48</v>
      </c>
    </row>
    <row r="5490" spans="1:10" ht="21" customHeight="1">
      <c r="A5490" s="2" t="s">
        <v>6491</v>
      </c>
      <c r="B5490" s="2" t="s">
        <v>48</v>
      </c>
      <c r="C5490" s="4">
        <v>45671.25</v>
      </c>
      <c r="D5490" s="4">
        <v>45671.250440509262</v>
      </c>
      <c r="E5490" s="2">
        <v>2.65</v>
      </c>
      <c r="F5490" s="2">
        <v>62.4</v>
      </c>
      <c r="G5490" s="2" t="s">
        <v>983</v>
      </c>
      <c r="H5490" s="2" t="s">
        <v>984</v>
      </c>
      <c r="I5490" s="2"/>
      <c r="J5490" s="2" t="s">
        <v>48</v>
      </c>
    </row>
    <row r="5491" spans="1:10" ht="21" customHeight="1">
      <c r="A5491" s="2" t="s">
        <v>6492</v>
      </c>
      <c r="B5491" s="2" t="s">
        <v>48</v>
      </c>
      <c r="C5491" s="4">
        <v>45672.25</v>
      </c>
      <c r="D5491" s="4">
        <v>45672.250039305552</v>
      </c>
      <c r="E5491" s="2">
        <v>2.46</v>
      </c>
      <c r="F5491" s="2">
        <v>64.2</v>
      </c>
      <c r="G5491" s="2" t="s">
        <v>983</v>
      </c>
      <c r="H5491" s="2" t="s">
        <v>984</v>
      </c>
      <c r="I5491" s="2"/>
      <c r="J5491" s="2" t="s">
        <v>48</v>
      </c>
    </row>
    <row r="5492" spans="1:10" ht="21" customHeight="1">
      <c r="A5492" s="2" t="s">
        <v>6493</v>
      </c>
      <c r="B5492" s="2" t="s">
        <v>48</v>
      </c>
      <c r="C5492" s="4">
        <v>45673.25</v>
      </c>
      <c r="D5492" s="4">
        <v>45673.250638981481</v>
      </c>
      <c r="E5492" s="2">
        <v>2.31</v>
      </c>
      <c r="F5492" s="2">
        <v>64.3</v>
      </c>
      <c r="G5492" s="2" t="s">
        <v>983</v>
      </c>
      <c r="H5492" s="2" t="s">
        <v>984</v>
      </c>
      <c r="I5492" s="2"/>
      <c r="J5492" s="2" t="s">
        <v>48</v>
      </c>
    </row>
    <row r="5493" spans="1:10" ht="21" customHeight="1">
      <c r="A5493" s="2" t="s">
        <v>6494</v>
      </c>
      <c r="B5493" s="2" t="s">
        <v>48</v>
      </c>
      <c r="C5493" s="4">
        <v>45674.25</v>
      </c>
      <c r="D5493" s="4">
        <v>45674.250230254635</v>
      </c>
      <c r="E5493" s="2"/>
      <c r="F5493" s="2"/>
      <c r="G5493" s="2" t="s">
        <v>983</v>
      </c>
      <c r="H5493" s="2" t="s">
        <v>1066</v>
      </c>
      <c r="I5493" s="2"/>
      <c r="J5493" s="2" t="s">
        <v>48</v>
      </c>
    </row>
    <row r="5494" spans="1:10" ht="21" customHeight="1">
      <c r="A5494" s="2" t="s">
        <v>6495</v>
      </c>
      <c r="B5494" s="2" t="s">
        <v>48</v>
      </c>
      <c r="C5494" s="4">
        <v>45675.25</v>
      </c>
      <c r="D5494" s="4">
        <v>45675.250663819446</v>
      </c>
      <c r="E5494" s="2">
        <v>3.09</v>
      </c>
      <c r="F5494" s="2">
        <v>60.5</v>
      </c>
      <c r="G5494" s="2" t="s">
        <v>983</v>
      </c>
      <c r="H5494" s="2" t="s">
        <v>984</v>
      </c>
      <c r="I5494" s="2" t="s">
        <v>985</v>
      </c>
      <c r="J5494" s="2" t="s">
        <v>48</v>
      </c>
    </row>
    <row r="5495" spans="1:10" ht="21" customHeight="1">
      <c r="A5495" s="2" t="s">
        <v>6496</v>
      </c>
      <c r="B5495" s="2" t="s">
        <v>48</v>
      </c>
      <c r="C5495" s="4">
        <v>45676.25</v>
      </c>
      <c r="D5495" s="4">
        <v>45676.250531909725</v>
      </c>
      <c r="E5495" s="2">
        <v>2.69</v>
      </c>
      <c r="F5495" s="2">
        <v>62.6</v>
      </c>
      <c r="G5495" s="2" t="s">
        <v>983</v>
      </c>
      <c r="H5495" s="2" t="s">
        <v>984</v>
      </c>
      <c r="I5495" s="2"/>
      <c r="J5495" s="2" t="s">
        <v>48</v>
      </c>
    </row>
    <row r="5496" spans="1:10" ht="21" customHeight="1">
      <c r="A5496" s="2" t="s">
        <v>6497</v>
      </c>
      <c r="B5496" s="2" t="s">
        <v>6498</v>
      </c>
      <c r="C5496" s="4">
        <v>45677.25</v>
      </c>
      <c r="D5496" s="4">
        <v>45677.250045219909</v>
      </c>
      <c r="E5496" s="2">
        <v>3.16</v>
      </c>
      <c r="F5496" s="2">
        <v>64.400000000000006</v>
      </c>
      <c r="G5496" s="2" t="s">
        <v>983</v>
      </c>
      <c r="H5496" s="2" t="s">
        <v>984</v>
      </c>
      <c r="I5496" s="2"/>
      <c r="J5496" s="2" t="s">
        <v>48</v>
      </c>
    </row>
    <row r="5497" spans="1:10" ht="21" customHeight="1">
      <c r="A5497" s="2" t="s">
        <v>6499</v>
      </c>
      <c r="B5497" s="2" t="s">
        <v>48</v>
      </c>
      <c r="C5497" s="4">
        <v>45678.25</v>
      </c>
      <c r="D5497" s="4">
        <v>45678.250119988428</v>
      </c>
      <c r="E5497" s="2">
        <v>2.66</v>
      </c>
      <c r="F5497" s="2">
        <v>58.7</v>
      </c>
      <c r="G5497" s="2" t="s">
        <v>983</v>
      </c>
      <c r="H5497" s="2" t="s">
        <v>984</v>
      </c>
      <c r="I5497" s="2"/>
      <c r="J5497" s="2" t="s">
        <v>48</v>
      </c>
    </row>
    <row r="5498" spans="1:10" ht="21" customHeight="1">
      <c r="A5498" s="2" t="s">
        <v>6500</v>
      </c>
      <c r="B5498" s="2" t="s">
        <v>48</v>
      </c>
      <c r="C5498" s="4">
        <v>45679.25</v>
      </c>
      <c r="D5498" s="4">
        <v>45679.250153113426</v>
      </c>
      <c r="E5498" s="2">
        <v>2.98</v>
      </c>
      <c r="F5498" s="2">
        <v>59.6</v>
      </c>
      <c r="G5498" s="2" t="s">
        <v>983</v>
      </c>
      <c r="H5498" s="2" t="s">
        <v>984</v>
      </c>
      <c r="I5498" s="2"/>
      <c r="J5498" s="2" t="s">
        <v>48</v>
      </c>
    </row>
    <row r="5499" spans="1:10" ht="21" customHeight="1">
      <c r="A5499" s="2" t="s">
        <v>6501</v>
      </c>
      <c r="B5499" s="2" t="s">
        <v>48</v>
      </c>
      <c r="C5499" s="4">
        <v>45680.25</v>
      </c>
      <c r="D5499" s="4">
        <v>45680.250423935184</v>
      </c>
      <c r="E5499" s="2">
        <v>2.97</v>
      </c>
      <c r="F5499" s="2">
        <v>58.7</v>
      </c>
      <c r="G5499" s="2" t="s">
        <v>983</v>
      </c>
      <c r="H5499" s="2" t="s">
        <v>984</v>
      </c>
      <c r="I5499" s="2"/>
      <c r="J5499" s="2" t="s">
        <v>48</v>
      </c>
    </row>
    <row r="5500" spans="1:10" ht="21" customHeight="1">
      <c r="A5500" s="2" t="s">
        <v>6502</v>
      </c>
      <c r="B5500" s="2" t="s">
        <v>48</v>
      </c>
      <c r="C5500" s="4">
        <v>45681.25</v>
      </c>
      <c r="D5500" s="4">
        <v>45681.250062893523</v>
      </c>
      <c r="E5500" s="2">
        <v>2.44</v>
      </c>
      <c r="F5500" s="2">
        <v>62.9</v>
      </c>
      <c r="G5500" s="2" t="s">
        <v>983</v>
      </c>
      <c r="H5500" s="2" t="s">
        <v>984</v>
      </c>
      <c r="I5500" s="2"/>
      <c r="J5500" s="2" t="s">
        <v>48</v>
      </c>
    </row>
    <row r="5501" spans="1:10" ht="21" customHeight="1">
      <c r="A5501" s="2" t="s">
        <v>6503</v>
      </c>
      <c r="B5501" s="2" t="s">
        <v>48</v>
      </c>
      <c r="C5501" s="4">
        <v>45682.25</v>
      </c>
      <c r="D5501" s="4">
        <v>45682.250191273153</v>
      </c>
      <c r="E5501" s="2">
        <v>3.13</v>
      </c>
      <c r="F5501" s="2">
        <v>65.599999999999994</v>
      </c>
      <c r="G5501" s="2" t="s">
        <v>983</v>
      </c>
      <c r="H5501" s="2" t="s">
        <v>984</v>
      </c>
      <c r="I5501" s="2"/>
      <c r="J5501" s="2" t="s">
        <v>48</v>
      </c>
    </row>
    <row r="5502" spans="1:10" ht="21" customHeight="1">
      <c r="A5502" s="2" t="s">
        <v>6504</v>
      </c>
      <c r="B5502" s="2" t="s">
        <v>48</v>
      </c>
      <c r="C5502" s="4">
        <v>45683.25</v>
      </c>
      <c r="D5502" s="4">
        <v>45683.250190185187</v>
      </c>
      <c r="E5502" s="2">
        <v>2.41</v>
      </c>
      <c r="F5502" s="2">
        <v>61.4</v>
      </c>
      <c r="G5502" s="2" t="s">
        <v>983</v>
      </c>
      <c r="H5502" s="2" t="s">
        <v>984</v>
      </c>
      <c r="I5502" s="2"/>
      <c r="J5502" s="2" t="s">
        <v>48</v>
      </c>
    </row>
    <row r="5503" spans="1:10" ht="21" customHeight="1">
      <c r="A5503" s="2" t="s">
        <v>6505</v>
      </c>
      <c r="B5503" s="2" t="s">
        <v>48</v>
      </c>
      <c r="C5503" s="4">
        <v>45684.25</v>
      </c>
      <c r="D5503" s="4">
        <v>45684.250675532407</v>
      </c>
      <c r="E5503" s="2">
        <v>2.2400000000000002</v>
      </c>
      <c r="F5503" s="2">
        <v>58.9</v>
      </c>
      <c r="G5503" s="2" t="s">
        <v>983</v>
      </c>
      <c r="H5503" s="2" t="s">
        <v>984</v>
      </c>
      <c r="I5503" s="2"/>
      <c r="J5503" s="2" t="s">
        <v>48</v>
      </c>
    </row>
    <row r="5504" spans="1:10" ht="21" customHeight="1">
      <c r="A5504" s="2" t="s">
        <v>6506</v>
      </c>
      <c r="B5504" s="2" t="s">
        <v>48</v>
      </c>
      <c r="C5504" s="4">
        <v>45685.25</v>
      </c>
      <c r="D5504" s="4">
        <v>45685.250577129627</v>
      </c>
      <c r="E5504" s="2">
        <v>2.69</v>
      </c>
      <c r="F5504" s="2">
        <v>63.2</v>
      </c>
      <c r="G5504" s="2" t="s">
        <v>983</v>
      </c>
      <c r="H5504" s="2" t="s">
        <v>984</v>
      </c>
      <c r="I5504" s="2"/>
      <c r="J5504" s="2" t="s">
        <v>48</v>
      </c>
    </row>
    <row r="5505" spans="1:10" ht="21" customHeight="1">
      <c r="A5505" s="2" t="s">
        <v>6507</v>
      </c>
      <c r="B5505" s="2" t="s">
        <v>48</v>
      </c>
      <c r="C5505" s="4">
        <v>45686.25</v>
      </c>
      <c r="D5505" s="4">
        <v>45686.250510150465</v>
      </c>
      <c r="E5505" s="2">
        <v>2.61</v>
      </c>
      <c r="F5505" s="2">
        <v>64.3</v>
      </c>
      <c r="G5505" s="2" t="s">
        <v>983</v>
      </c>
      <c r="H5505" s="2" t="s">
        <v>984</v>
      </c>
      <c r="I5505" s="2"/>
      <c r="J5505" s="2" t="s">
        <v>48</v>
      </c>
    </row>
    <row r="5506" spans="1:10" ht="21" customHeight="1">
      <c r="A5506" s="2" t="s">
        <v>6508</v>
      </c>
      <c r="B5506" s="2" t="s">
        <v>48</v>
      </c>
      <c r="C5506" s="4">
        <v>45687.25</v>
      </c>
      <c r="D5506" s="4">
        <v>45687.250225925927</v>
      </c>
      <c r="E5506" s="2">
        <v>2.64</v>
      </c>
      <c r="F5506" s="2">
        <v>59.3</v>
      </c>
      <c r="G5506" s="2" t="s">
        <v>983</v>
      </c>
      <c r="H5506" s="2" t="s">
        <v>984</v>
      </c>
      <c r="I5506" s="2"/>
      <c r="J5506" s="2" t="s">
        <v>48</v>
      </c>
    </row>
    <row r="5507" spans="1:10" ht="21" customHeight="1">
      <c r="A5507" s="2" t="s">
        <v>6509</v>
      </c>
      <c r="B5507" s="2" t="s">
        <v>48</v>
      </c>
      <c r="C5507" s="4">
        <v>45688.25</v>
      </c>
      <c r="D5507" s="4">
        <v>45688.250228090277</v>
      </c>
      <c r="E5507" s="2">
        <v>3.27</v>
      </c>
      <c r="F5507" s="2">
        <v>61</v>
      </c>
      <c r="G5507" s="2" t="s">
        <v>983</v>
      </c>
      <c r="H5507" s="2" t="s">
        <v>984</v>
      </c>
      <c r="I5507" s="2"/>
      <c r="J5507" s="2" t="s">
        <v>48</v>
      </c>
    </row>
    <row r="5508" spans="1:10" ht="21" customHeight="1">
      <c r="A5508" s="2" t="s">
        <v>6510</v>
      </c>
      <c r="B5508" s="2" t="s">
        <v>48</v>
      </c>
      <c r="C5508" s="4">
        <v>45689.25</v>
      </c>
      <c r="D5508" s="4">
        <v>45689.250454907407</v>
      </c>
      <c r="E5508" s="2"/>
      <c r="F5508" s="2"/>
      <c r="G5508" s="2" t="s">
        <v>983</v>
      </c>
      <c r="H5508" s="2" t="s">
        <v>1066</v>
      </c>
      <c r="I5508" s="2"/>
      <c r="J5508" s="2" t="s">
        <v>48</v>
      </c>
    </row>
    <row r="5509" spans="1:10" ht="21" customHeight="1">
      <c r="A5509" s="2" t="s">
        <v>6511</v>
      </c>
      <c r="B5509" s="2" t="s">
        <v>48</v>
      </c>
      <c r="C5509" s="4">
        <v>45690.25</v>
      </c>
      <c r="D5509" s="4">
        <v>45690.250064016203</v>
      </c>
      <c r="E5509" s="2">
        <v>6.05</v>
      </c>
      <c r="F5509" s="2">
        <v>69.7</v>
      </c>
      <c r="G5509" s="2" t="s">
        <v>983</v>
      </c>
      <c r="H5509" s="2" t="s">
        <v>984</v>
      </c>
      <c r="I5509" s="2" t="s">
        <v>1053</v>
      </c>
      <c r="J5509" s="2" t="s">
        <v>48</v>
      </c>
    </row>
    <row r="5510" spans="1:10" ht="21" customHeight="1">
      <c r="A5510" s="2" t="s">
        <v>6512</v>
      </c>
      <c r="B5510" s="2" t="s">
        <v>48</v>
      </c>
      <c r="C5510" s="4">
        <v>45691.25</v>
      </c>
      <c r="D5510" s="4">
        <v>45691.25000104167</v>
      </c>
      <c r="E5510" s="2">
        <v>4.59</v>
      </c>
      <c r="F5510" s="2">
        <v>66.599999999999994</v>
      </c>
      <c r="G5510" s="2" t="s">
        <v>983</v>
      </c>
      <c r="H5510" s="2" t="s">
        <v>984</v>
      </c>
      <c r="I5510" s="2"/>
      <c r="J5510" s="2" t="s">
        <v>48</v>
      </c>
    </row>
    <row r="5511" spans="1:10" ht="21" customHeight="1">
      <c r="A5511" s="2" t="s">
        <v>6513</v>
      </c>
      <c r="B5511" s="2" t="s">
        <v>48</v>
      </c>
      <c r="C5511" s="4">
        <v>45692.25</v>
      </c>
      <c r="D5511" s="4">
        <v>45692.250221747687</v>
      </c>
      <c r="E5511" s="2">
        <v>5.38</v>
      </c>
      <c r="F5511" s="2">
        <v>75.2</v>
      </c>
      <c r="G5511" s="2" t="s">
        <v>983</v>
      </c>
      <c r="H5511" s="2" t="s">
        <v>984</v>
      </c>
      <c r="I5511" s="2" t="s">
        <v>1053</v>
      </c>
      <c r="J5511" s="2" t="s">
        <v>48</v>
      </c>
    </row>
    <row r="5512" spans="1:10" ht="21" customHeight="1">
      <c r="A5512" s="2" t="s">
        <v>6514</v>
      </c>
      <c r="B5512" s="2" t="s">
        <v>48</v>
      </c>
      <c r="C5512" s="4">
        <v>45693.25</v>
      </c>
      <c r="D5512" s="4">
        <v>45693.250140636577</v>
      </c>
      <c r="E5512" s="2">
        <v>0</v>
      </c>
      <c r="F5512" s="2">
        <v>65.900000000000006</v>
      </c>
      <c r="G5512" s="2" t="s">
        <v>1175</v>
      </c>
      <c r="H5512" s="2" t="s">
        <v>984</v>
      </c>
      <c r="I5512" s="2"/>
      <c r="J5512" s="2" t="s">
        <v>48</v>
      </c>
    </row>
    <row r="5513" spans="1:10" ht="21" customHeight="1">
      <c r="A5513" s="2" t="s">
        <v>6515</v>
      </c>
      <c r="B5513" s="2" t="s">
        <v>48</v>
      </c>
      <c r="C5513" s="4">
        <v>45694.25</v>
      </c>
      <c r="D5513" s="4">
        <v>45694.250301898152</v>
      </c>
      <c r="E5513" s="2"/>
      <c r="F5513" s="2"/>
      <c r="G5513" s="2" t="s">
        <v>983</v>
      </c>
      <c r="H5513" s="2" t="s">
        <v>1066</v>
      </c>
      <c r="I5513" s="2"/>
      <c r="J5513" s="2" t="s">
        <v>48</v>
      </c>
    </row>
    <row r="5514" spans="1:10" ht="21" customHeight="1">
      <c r="A5514" s="2" t="s">
        <v>6516</v>
      </c>
      <c r="B5514" s="2" t="s">
        <v>48</v>
      </c>
      <c r="C5514" s="4">
        <v>45695.25</v>
      </c>
      <c r="D5514" s="4">
        <v>45695.250649456022</v>
      </c>
      <c r="E5514" s="2">
        <v>3.25</v>
      </c>
      <c r="F5514" s="2">
        <v>60.9</v>
      </c>
      <c r="G5514" s="2" t="s">
        <v>983</v>
      </c>
      <c r="H5514" s="2" t="s">
        <v>984</v>
      </c>
      <c r="I5514" s="2"/>
      <c r="J5514" s="2" t="s">
        <v>48</v>
      </c>
    </row>
    <row r="5515" spans="1:10" ht="21" customHeight="1">
      <c r="A5515" s="2" t="s">
        <v>6517</v>
      </c>
      <c r="B5515" s="2" t="s">
        <v>48</v>
      </c>
      <c r="C5515" s="4">
        <v>45696.25</v>
      </c>
      <c r="D5515" s="4">
        <v>45696.250215902779</v>
      </c>
      <c r="E5515" s="2">
        <v>2.52</v>
      </c>
      <c r="F5515" s="2">
        <v>63.7</v>
      </c>
      <c r="G5515" s="2" t="s">
        <v>983</v>
      </c>
      <c r="H5515" s="2" t="s">
        <v>984</v>
      </c>
      <c r="I5515" s="2"/>
      <c r="J5515" s="2" t="s">
        <v>48</v>
      </c>
    </row>
    <row r="5516" spans="1:10" ht="21" customHeight="1">
      <c r="A5516" s="2" t="s">
        <v>6518</v>
      </c>
      <c r="B5516" s="2" t="s">
        <v>48</v>
      </c>
      <c r="C5516" s="4">
        <v>45697.25</v>
      </c>
      <c r="D5516" s="4">
        <v>45697.250427280094</v>
      </c>
      <c r="E5516" s="2">
        <v>3.13</v>
      </c>
      <c r="F5516" s="2">
        <v>60.2</v>
      </c>
      <c r="G5516" s="2" t="s">
        <v>983</v>
      </c>
      <c r="H5516" s="2" t="s">
        <v>984</v>
      </c>
      <c r="I5516" s="2"/>
      <c r="J5516" s="2" t="s">
        <v>48</v>
      </c>
    </row>
    <row r="5517" spans="1:10" ht="21" customHeight="1">
      <c r="A5517" s="2" t="s">
        <v>6519</v>
      </c>
      <c r="B5517" s="2" t="s">
        <v>48</v>
      </c>
      <c r="C5517" s="4">
        <v>45698.25</v>
      </c>
      <c r="D5517" s="4">
        <v>45698.250552418976</v>
      </c>
      <c r="E5517" s="2">
        <v>2.44</v>
      </c>
      <c r="F5517" s="2">
        <v>58.2</v>
      </c>
      <c r="G5517" s="2" t="s">
        <v>983</v>
      </c>
      <c r="H5517" s="2" t="s">
        <v>984</v>
      </c>
      <c r="I5517" s="2"/>
      <c r="J5517" s="2" t="s">
        <v>48</v>
      </c>
    </row>
    <row r="5518" spans="1:10" ht="21" customHeight="1">
      <c r="A5518" s="2" t="s">
        <v>6520</v>
      </c>
      <c r="B5518" s="2" t="s">
        <v>48</v>
      </c>
      <c r="C5518" s="4">
        <v>45699.25</v>
      </c>
      <c r="D5518" s="4">
        <v>45699.25058028935</v>
      </c>
      <c r="E5518" s="2">
        <v>2.17</v>
      </c>
      <c r="F5518" s="2">
        <v>63.3</v>
      </c>
      <c r="G5518" s="2" t="s">
        <v>983</v>
      </c>
      <c r="H5518" s="2" t="s">
        <v>984</v>
      </c>
      <c r="I5518" s="2"/>
      <c r="J5518" s="2" t="s">
        <v>48</v>
      </c>
    </row>
    <row r="5519" spans="1:10" ht="21" customHeight="1">
      <c r="A5519" s="2" t="s">
        <v>6521</v>
      </c>
      <c r="B5519" s="2" t="s">
        <v>48</v>
      </c>
      <c r="C5519" s="4">
        <v>45700.25</v>
      </c>
      <c r="D5519" s="4">
        <v>45700.250505902775</v>
      </c>
      <c r="E5519" s="2">
        <v>2.5499999999999998</v>
      </c>
      <c r="F5519" s="2">
        <v>58.8</v>
      </c>
      <c r="G5519" s="2" t="s">
        <v>983</v>
      </c>
      <c r="H5519" s="2" t="s">
        <v>984</v>
      </c>
      <c r="I5519" s="2"/>
      <c r="J5519" s="2" t="s">
        <v>48</v>
      </c>
    </row>
    <row r="5520" spans="1:10" ht="21" customHeight="1">
      <c r="A5520" s="2" t="s">
        <v>6522</v>
      </c>
      <c r="B5520" s="2" t="s">
        <v>48</v>
      </c>
      <c r="C5520" s="4">
        <v>45701.25</v>
      </c>
      <c r="D5520" s="4">
        <v>45701.250180659721</v>
      </c>
      <c r="E5520" s="2">
        <v>2.13</v>
      </c>
      <c r="F5520" s="2">
        <v>59.2</v>
      </c>
      <c r="G5520" s="2" t="s">
        <v>983</v>
      </c>
      <c r="H5520" s="2" t="s">
        <v>984</v>
      </c>
      <c r="I5520" s="2"/>
      <c r="J5520" s="2" t="s">
        <v>48</v>
      </c>
    </row>
    <row r="5521" spans="1:10" ht="21" customHeight="1">
      <c r="A5521" s="2" t="s">
        <v>6523</v>
      </c>
      <c r="B5521" s="2" t="s">
        <v>48</v>
      </c>
      <c r="C5521" s="4">
        <v>45702.25</v>
      </c>
      <c r="D5521" s="4">
        <v>45702.250428368061</v>
      </c>
      <c r="E5521" s="2">
        <v>3.13</v>
      </c>
      <c r="F5521" s="2">
        <v>61</v>
      </c>
      <c r="G5521" s="2" t="s">
        <v>983</v>
      </c>
      <c r="H5521" s="2" t="s">
        <v>984</v>
      </c>
      <c r="I5521" s="2"/>
      <c r="J5521" s="2" t="s">
        <v>48</v>
      </c>
    </row>
    <row r="5522" spans="1:10" ht="21" customHeight="1">
      <c r="A5522" s="2" t="s">
        <v>6524</v>
      </c>
      <c r="B5522" s="2" t="s">
        <v>48</v>
      </c>
      <c r="C5522" s="4">
        <v>45703.25</v>
      </c>
      <c r="D5522" s="4">
        <v>45703.250426979168</v>
      </c>
      <c r="E5522" s="2">
        <v>3.13</v>
      </c>
      <c r="F5522" s="2">
        <v>63.4</v>
      </c>
      <c r="G5522" s="2" t="s">
        <v>983</v>
      </c>
      <c r="H5522" s="2" t="s">
        <v>984</v>
      </c>
      <c r="I5522" s="2"/>
      <c r="J5522" s="2" t="s">
        <v>48</v>
      </c>
    </row>
    <row r="5523" spans="1:10" ht="21" customHeight="1">
      <c r="A5523" s="2" t="s">
        <v>6525</v>
      </c>
      <c r="B5523" s="2" t="s">
        <v>48</v>
      </c>
      <c r="C5523" s="4">
        <v>45704.25</v>
      </c>
      <c r="D5523" s="4">
        <v>45704.250288541662</v>
      </c>
      <c r="E5523" s="2">
        <v>2.13</v>
      </c>
      <c r="F5523" s="2">
        <v>65.599999999999994</v>
      </c>
      <c r="G5523" s="2" t="s">
        <v>983</v>
      </c>
      <c r="H5523" s="2" t="s">
        <v>984</v>
      </c>
      <c r="I5523" s="2"/>
      <c r="J5523" s="2" t="s">
        <v>48</v>
      </c>
    </row>
    <row r="5524" spans="1:10" ht="21" customHeight="1">
      <c r="A5524" s="2" t="s">
        <v>6526</v>
      </c>
      <c r="B5524" s="2" t="s">
        <v>48</v>
      </c>
      <c r="C5524" s="4">
        <v>45705.25</v>
      </c>
      <c r="D5524" s="4">
        <v>45705.250258449072</v>
      </c>
      <c r="E5524" s="2">
        <v>2.72</v>
      </c>
      <c r="F5524" s="2">
        <v>64.5</v>
      </c>
      <c r="G5524" s="2" t="s">
        <v>983</v>
      </c>
      <c r="H5524" s="2" t="s">
        <v>984</v>
      </c>
      <c r="I5524" s="2"/>
      <c r="J5524" s="2" t="s">
        <v>48</v>
      </c>
    </row>
    <row r="5525" spans="1:10" ht="21" customHeight="1">
      <c r="A5525" s="2" t="s">
        <v>6527</v>
      </c>
      <c r="B5525" s="2" t="s">
        <v>48</v>
      </c>
      <c r="C5525" s="4">
        <v>45706.25</v>
      </c>
      <c r="D5525" s="4">
        <v>45706.250315613426</v>
      </c>
      <c r="E5525" s="2">
        <v>3.24</v>
      </c>
      <c r="F5525" s="2">
        <v>61.6</v>
      </c>
      <c r="G5525" s="2" t="s">
        <v>983</v>
      </c>
      <c r="H5525" s="2" t="s">
        <v>984</v>
      </c>
      <c r="I5525" s="2"/>
      <c r="J5525" s="2" t="s">
        <v>48</v>
      </c>
    </row>
    <row r="5526" spans="1:10" ht="21" customHeight="1">
      <c r="A5526" s="2" t="s">
        <v>6528</v>
      </c>
      <c r="B5526" s="2" t="s">
        <v>48</v>
      </c>
      <c r="C5526" s="4">
        <v>45707.25</v>
      </c>
      <c r="D5526" s="4">
        <v>45707.250016134261</v>
      </c>
      <c r="E5526" s="2">
        <v>3.13</v>
      </c>
      <c r="F5526" s="2">
        <v>65.5</v>
      </c>
      <c r="G5526" s="2" t="s">
        <v>983</v>
      </c>
      <c r="H5526" s="2" t="s">
        <v>984</v>
      </c>
      <c r="I5526" s="2"/>
      <c r="J5526" s="2" t="s">
        <v>48</v>
      </c>
    </row>
    <row r="5527" spans="1:10" ht="21" customHeight="1">
      <c r="A5527" s="2" t="s">
        <v>6529</v>
      </c>
      <c r="B5527" s="2" t="s">
        <v>48</v>
      </c>
      <c r="C5527" s="4">
        <v>45708.25</v>
      </c>
      <c r="D5527" s="4">
        <v>45708.25063811343</v>
      </c>
      <c r="E5527" s="2">
        <v>3.04</v>
      </c>
      <c r="F5527" s="2">
        <v>64.400000000000006</v>
      </c>
      <c r="G5527" s="2" t="s">
        <v>983</v>
      </c>
      <c r="H5527" s="2" t="s">
        <v>984</v>
      </c>
      <c r="I5527" s="2"/>
      <c r="J5527" s="2" t="s">
        <v>48</v>
      </c>
    </row>
    <row r="5528" spans="1:10" ht="21" customHeight="1">
      <c r="A5528" s="2" t="s">
        <v>6530</v>
      </c>
      <c r="B5528" s="2" t="s">
        <v>48</v>
      </c>
      <c r="C5528" s="4">
        <v>45709.25</v>
      </c>
      <c r="D5528" s="4">
        <v>45709.250049201393</v>
      </c>
      <c r="E5528" s="2">
        <v>2.2200000000000002</v>
      </c>
      <c r="F5528" s="2">
        <v>65.400000000000006</v>
      </c>
      <c r="G5528" s="2" t="s">
        <v>983</v>
      </c>
      <c r="H5528" s="2" t="s">
        <v>984</v>
      </c>
      <c r="I5528" s="2" t="s">
        <v>985</v>
      </c>
      <c r="J5528" s="2" t="s">
        <v>48</v>
      </c>
    </row>
    <row r="5529" spans="1:10" ht="21" customHeight="1">
      <c r="A5529" s="2" t="s">
        <v>6531</v>
      </c>
      <c r="B5529" s="2" t="s">
        <v>48</v>
      </c>
      <c r="C5529" s="4">
        <v>45710.25</v>
      </c>
      <c r="D5529" s="4">
        <v>45710.250375277777</v>
      </c>
      <c r="E5529" s="2">
        <v>2.46</v>
      </c>
      <c r="F5529" s="2">
        <v>59.1</v>
      </c>
      <c r="G5529" s="2" t="s">
        <v>983</v>
      </c>
      <c r="H5529" s="2" t="s">
        <v>984</v>
      </c>
      <c r="I5529" s="2"/>
      <c r="J5529" s="2" t="s">
        <v>48</v>
      </c>
    </row>
    <row r="5530" spans="1:10" ht="21" customHeight="1">
      <c r="A5530" s="2" t="s">
        <v>6532</v>
      </c>
      <c r="B5530" s="2" t="s">
        <v>48</v>
      </c>
      <c r="C5530" s="4">
        <v>45711.25</v>
      </c>
      <c r="D5530" s="4">
        <v>45711.250151388886</v>
      </c>
      <c r="E5530" s="2">
        <v>3.15</v>
      </c>
      <c r="F5530" s="2">
        <v>61.4</v>
      </c>
      <c r="G5530" s="2" t="s">
        <v>983</v>
      </c>
      <c r="H5530" s="2" t="s">
        <v>984</v>
      </c>
      <c r="I5530" s="2"/>
      <c r="J5530" s="2" t="s">
        <v>48</v>
      </c>
    </row>
    <row r="5531" spans="1:10" ht="21" customHeight="1">
      <c r="A5531" s="2" t="s">
        <v>6533</v>
      </c>
      <c r="B5531" s="2" t="s">
        <v>48</v>
      </c>
      <c r="C5531" s="4">
        <v>45712.25</v>
      </c>
      <c r="D5531" s="4">
        <v>45712.250593645833</v>
      </c>
      <c r="E5531" s="2">
        <v>2.67</v>
      </c>
      <c r="F5531" s="2">
        <v>64.2</v>
      </c>
      <c r="G5531" s="2" t="s">
        <v>983</v>
      </c>
      <c r="H5531" s="2" t="s">
        <v>984</v>
      </c>
      <c r="I5531" s="2"/>
      <c r="J5531" s="2" t="s">
        <v>48</v>
      </c>
    </row>
    <row r="5532" spans="1:10" ht="21" customHeight="1">
      <c r="A5532" s="2" t="s">
        <v>6534</v>
      </c>
      <c r="B5532" s="2" t="s">
        <v>48</v>
      </c>
      <c r="C5532" s="4">
        <v>45713.25</v>
      </c>
      <c r="D5532" s="4">
        <v>45713.250680902776</v>
      </c>
      <c r="E5532" s="2">
        <v>2.96</v>
      </c>
      <c r="F5532" s="2">
        <v>64.5</v>
      </c>
      <c r="G5532" s="2" t="s">
        <v>983</v>
      </c>
      <c r="H5532" s="2" t="s">
        <v>984</v>
      </c>
      <c r="I5532" s="2"/>
      <c r="J5532" s="2" t="s">
        <v>48</v>
      </c>
    </row>
    <row r="5533" spans="1:10" ht="21" customHeight="1">
      <c r="A5533" s="2" t="s">
        <v>6535</v>
      </c>
      <c r="B5533" s="2" t="s">
        <v>48</v>
      </c>
      <c r="C5533" s="4">
        <v>45714.25</v>
      </c>
      <c r="D5533" s="4">
        <v>45714.250405914354</v>
      </c>
      <c r="E5533" s="2">
        <v>2.19</v>
      </c>
      <c r="F5533" s="2">
        <v>64.7</v>
      </c>
      <c r="G5533" s="2" t="s">
        <v>983</v>
      </c>
      <c r="H5533" s="2" t="s">
        <v>984</v>
      </c>
      <c r="I5533" s="2"/>
      <c r="J5533" s="2" t="s">
        <v>48</v>
      </c>
    </row>
    <row r="5534" spans="1:10" ht="21" customHeight="1">
      <c r="A5534" s="2" t="s">
        <v>6536</v>
      </c>
      <c r="B5534" s="2" t="s">
        <v>48</v>
      </c>
      <c r="C5534" s="4">
        <v>45715.25</v>
      </c>
      <c r="D5534" s="4">
        <v>45715.250649155088</v>
      </c>
      <c r="E5534" s="2">
        <v>2.34</v>
      </c>
      <c r="F5534" s="2">
        <v>65.8</v>
      </c>
      <c r="G5534" s="2" t="s">
        <v>983</v>
      </c>
      <c r="H5534" s="2" t="s">
        <v>984</v>
      </c>
      <c r="I5534" s="2"/>
      <c r="J5534" s="2" t="s">
        <v>48</v>
      </c>
    </row>
    <row r="5535" spans="1:10" ht="21" customHeight="1">
      <c r="A5535" s="2" t="s">
        <v>6537</v>
      </c>
      <c r="B5535" s="2" t="s">
        <v>48</v>
      </c>
      <c r="C5535" s="4">
        <v>45716.25</v>
      </c>
      <c r="D5535" s="4">
        <v>45716.250679444449</v>
      </c>
      <c r="E5535" s="2">
        <v>2.27</v>
      </c>
      <c r="F5535" s="2">
        <v>66</v>
      </c>
      <c r="G5535" s="2" t="s">
        <v>983</v>
      </c>
      <c r="H5535" s="2" t="s">
        <v>984</v>
      </c>
      <c r="I5535" s="2"/>
      <c r="J5535" s="2" t="s">
        <v>48</v>
      </c>
    </row>
    <row r="5536" spans="1:10" ht="21" customHeight="1">
      <c r="A5536" s="2" t="s">
        <v>6538</v>
      </c>
      <c r="B5536" s="2" t="s">
        <v>48</v>
      </c>
      <c r="C5536" s="4">
        <v>45717.25</v>
      </c>
      <c r="D5536" s="4">
        <v>45717.250230347221</v>
      </c>
      <c r="E5536" s="2">
        <v>2.67</v>
      </c>
      <c r="F5536" s="2">
        <v>59.1</v>
      </c>
      <c r="G5536" s="2" t="s">
        <v>983</v>
      </c>
      <c r="H5536" s="2" t="s">
        <v>984</v>
      </c>
      <c r="I5536" s="2"/>
      <c r="J5536" s="2" t="s">
        <v>48</v>
      </c>
    </row>
    <row r="5537" spans="1:10" ht="21" customHeight="1">
      <c r="A5537" s="2" t="s">
        <v>6539</v>
      </c>
      <c r="B5537" s="2" t="s">
        <v>6498</v>
      </c>
      <c r="C5537" s="4">
        <v>45718.25</v>
      </c>
      <c r="D5537" s="4">
        <v>45718.250243506947</v>
      </c>
      <c r="E5537" s="2">
        <v>2.7</v>
      </c>
      <c r="F5537" s="2">
        <v>64.5</v>
      </c>
      <c r="G5537" s="2" t="s">
        <v>983</v>
      </c>
      <c r="H5537" s="2" t="s">
        <v>984</v>
      </c>
      <c r="I5537" s="2"/>
      <c r="J5537" s="2" t="s">
        <v>48</v>
      </c>
    </row>
    <row r="5538" spans="1:10" ht="21" customHeight="1">
      <c r="A5538" s="2" t="s">
        <v>6540</v>
      </c>
      <c r="B5538" s="2" t="s">
        <v>48</v>
      </c>
      <c r="C5538" s="4">
        <v>45719.25</v>
      </c>
      <c r="D5538" s="4">
        <v>45719.250471851847</v>
      </c>
      <c r="E5538" s="2">
        <v>2.89</v>
      </c>
      <c r="F5538" s="2">
        <v>63.8</v>
      </c>
      <c r="G5538" s="2" t="s">
        <v>983</v>
      </c>
      <c r="H5538" s="2" t="s">
        <v>984</v>
      </c>
      <c r="I5538" s="2"/>
      <c r="J5538" s="2" t="s">
        <v>48</v>
      </c>
    </row>
    <row r="5539" spans="1:10" ht="21" customHeight="1">
      <c r="A5539" s="2" t="s">
        <v>6541</v>
      </c>
      <c r="B5539" s="2" t="s">
        <v>48</v>
      </c>
      <c r="C5539" s="4">
        <v>45720.25</v>
      </c>
      <c r="D5539" s="4">
        <v>45720.250111284724</v>
      </c>
      <c r="E5539" s="2"/>
      <c r="F5539" s="2"/>
      <c r="G5539" s="2" t="s">
        <v>983</v>
      </c>
      <c r="H5539" s="2" t="s">
        <v>1066</v>
      </c>
      <c r="I5539" s="2"/>
      <c r="J5539" s="2" t="s">
        <v>48</v>
      </c>
    </row>
    <row r="5540" spans="1:10" ht="21" customHeight="1">
      <c r="A5540" s="2" t="s">
        <v>6542</v>
      </c>
      <c r="B5540" s="2" t="s">
        <v>48</v>
      </c>
      <c r="C5540" s="4">
        <v>45721.25</v>
      </c>
      <c r="D5540" s="4">
        <v>45721.25030216435</v>
      </c>
      <c r="E5540" s="2">
        <v>3.18</v>
      </c>
      <c r="F5540" s="2">
        <v>59.9</v>
      </c>
      <c r="G5540" s="2" t="s">
        <v>983</v>
      </c>
      <c r="H5540" s="2" t="s">
        <v>984</v>
      </c>
      <c r="I5540" s="2"/>
      <c r="J5540" s="2" t="s">
        <v>48</v>
      </c>
    </row>
    <row r="5541" spans="1:10" ht="21" customHeight="1">
      <c r="A5541" s="2" t="s">
        <v>6543</v>
      </c>
      <c r="B5541" s="2" t="s">
        <v>48</v>
      </c>
      <c r="C5541" s="4">
        <v>45722.25</v>
      </c>
      <c r="D5541" s="4">
        <v>45722.250579884261</v>
      </c>
      <c r="E5541" s="2">
        <v>2.5099999999999998</v>
      </c>
      <c r="F5541" s="2">
        <v>60.8</v>
      </c>
      <c r="G5541" s="2" t="s">
        <v>983</v>
      </c>
      <c r="H5541" s="2" t="s">
        <v>984</v>
      </c>
      <c r="I5541" s="2"/>
      <c r="J5541" s="2" t="s">
        <v>48</v>
      </c>
    </row>
    <row r="5542" spans="1:10" ht="21" customHeight="1">
      <c r="A5542" s="2" t="s">
        <v>6544</v>
      </c>
      <c r="B5542" s="2" t="s">
        <v>48</v>
      </c>
      <c r="C5542" s="4">
        <v>45723.25</v>
      </c>
      <c r="D5542" s="4">
        <v>45723.250664155094</v>
      </c>
      <c r="E5542" s="2">
        <v>2.6</v>
      </c>
      <c r="F5542" s="2">
        <v>63.6</v>
      </c>
      <c r="G5542" s="2" t="s">
        <v>983</v>
      </c>
      <c r="H5542" s="2" t="s">
        <v>984</v>
      </c>
      <c r="I5542" s="2"/>
      <c r="J5542" s="2" t="s">
        <v>48</v>
      </c>
    </row>
    <row r="5543" spans="1:10" ht="21" customHeight="1">
      <c r="A5543" s="2" t="s">
        <v>6545</v>
      </c>
      <c r="B5543" s="2" t="s">
        <v>48</v>
      </c>
      <c r="C5543" s="4">
        <v>45724.25</v>
      </c>
      <c r="D5543" s="4">
        <v>45724.250082175931</v>
      </c>
      <c r="E5543" s="2">
        <v>5.42</v>
      </c>
      <c r="F5543" s="2">
        <v>69.5</v>
      </c>
      <c r="G5543" s="2" t="s">
        <v>983</v>
      </c>
      <c r="H5543" s="2" t="s">
        <v>984</v>
      </c>
      <c r="I5543" s="2" t="s">
        <v>1053</v>
      </c>
      <c r="J5543" s="2" t="s">
        <v>48</v>
      </c>
    </row>
    <row r="5544" spans="1:10" ht="21" customHeight="1">
      <c r="A5544" s="2" t="s">
        <v>6546</v>
      </c>
      <c r="B5544" s="2" t="s">
        <v>48</v>
      </c>
      <c r="C5544" s="4">
        <v>45725.25</v>
      </c>
      <c r="D5544" s="4">
        <v>45725.250003043984</v>
      </c>
      <c r="E5544" s="2">
        <v>5.5</v>
      </c>
      <c r="F5544" s="2">
        <v>64.7</v>
      </c>
      <c r="G5544" s="2" t="s">
        <v>983</v>
      </c>
      <c r="H5544" s="2" t="s">
        <v>984</v>
      </c>
      <c r="I5544" s="2"/>
      <c r="J5544" s="2" t="s">
        <v>48</v>
      </c>
    </row>
    <row r="5545" spans="1:10" ht="21" customHeight="1">
      <c r="A5545" s="2" t="s">
        <v>6547</v>
      </c>
      <c r="B5545" s="2" t="s">
        <v>48</v>
      </c>
      <c r="C5545" s="4">
        <v>45726.25</v>
      </c>
      <c r="D5545" s="4">
        <v>45726.25030216435</v>
      </c>
      <c r="E5545" s="2">
        <v>6.04</v>
      </c>
      <c r="F5545" s="2">
        <v>66</v>
      </c>
      <c r="G5545" s="2" t="s">
        <v>983</v>
      </c>
      <c r="H5545" s="2" t="s">
        <v>984</v>
      </c>
      <c r="I5545" s="2" t="s">
        <v>1053</v>
      </c>
      <c r="J5545" s="2" t="s">
        <v>48</v>
      </c>
    </row>
    <row r="5546" spans="1:10" ht="21" customHeight="1">
      <c r="A5546" s="2" t="s">
        <v>6548</v>
      </c>
      <c r="B5546" s="2" t="s">
        <v>48</v>
      </c>
      <c r="C5546" s="4">
        <v>45727.25</v>
      </c>
      <c r="D5546" s="4">
        <v>45727.250590520838</v>
      </c>
      <c r="E5546" s="2">
        <v>0</v>
      </c>
      <c r="F5546" s="2">
        <v>60.3</v>
      </c>
      <c r="G5546" s="2" t="s">
        <v>1175</v>
      </c>
      <c r="H5546" s="2" t="s">
        <v>984</v>
      </c>
      <c r="I5546" s="2"/>
      <c r="J5546" s="2" t="s">
        <v>48</v>
      </c>
    </row>
    <row r="5547" spans="1:10" ht="21" customHeight="1">
      <c r="A5547" s="2" t="s">
        <v>6549</v>
      </c>
      <c r="B5547" s="2" t="s">
        <v>48</v>
      </c>
      <c r="C5547" s="4">
        <v>45728.25</v>
      </c>
      <c r="D5547" s="4">
        <v>45728.250318865743</v>
      </c>
      <c r="E5547" s="2">
        <v>2.82</v>
      </c>
      <c r="F5547" s="2">
        <v>58.2</v>
      </c>
      <c r="G5547" s="2" t="s">
        <v>983</v>
      </c>
      <c r="H5547" s="2" t="s">
        <v>984</v>
      </c>
      <c r="I5547" s="2"/>
      <c r="J5547" s="2" t="s">
        <v>48</v>
      </c>
    </row>
    <row r="5548" spans="1:10" ht="21" customHeight="1">
      <c r="A5548" s="2" t="s">
        <v>6550</v>
      </c>
      <c r="B5548" s="2" t="s">
        <v>48</v>
      </c>
      <c r="C5548" s="4">
        <v>45729.25</v>
      </c>
      <c r="D5548" s="4">
        <v>45729.250505787037</v>
      </c>
      <c r="E5548" s="2">
        <v>2.81</v>
      </c>
      <c r="F5548" s="2">
        <v>61.8</v>
      </c>
      <c r="G5548" s="2" t="s">
        <v>983</v>
      </c>
      <c r="H5548" s="2" t="s">
        <v>984</v>
      </c>
      <c r="I5548" s="2"/>
      <c r="J5548" s="2" t="s">
        <v>48</v>
      </c>
    </row>
    <row r="5549" spans="1:10" ht="21" customHeight="1">
      <c r="A5549" s="2" t="s">
        <v>6551</v>
      </c>
      <c r="B5549" s="2" t="s">
        <v>48</v>
      </c>
      <c r="C5549" s="4">
        <v>45730.25</v>
      </c>
      <c r="D5549" s="4">
        <v>45730.250661805556</v>
      </c>
      <c r="E5549" s="2">
        <v>3.22</v>
      </c>
      <c r="F5549" s="2">
        <v>65.400000000000006</v>
      </c>
      <c r="G5549" s="2" t="s">
        <v>983</v>
      </c>
      <c r="H5549" s="2" t="s">
        <v>984</v>
      </c>
      <c r="I5549" s="2"/>
      <c r="J5549" s="2" t="s">
        <v>48</v>
      </c>
    </row>
    <row r="5550" spans="1:10" ht="21" customHeight="1">
      <c r="A5550" s="2" t="s">
        <v>6552</v>
      </c>
      <c r="B5550" s="2" t="s">
        <v>48</v>
      </c>
      <c r="C5550" s="4">
        <v>45731.25</v>
      </c>
      <c r="D5550" s="4">
        <v>45731.250431307868</v>
      </c>
      <c r="E5550" s="2">
        <v>2.98</v>
      </c>
      <c r="F5550" s="2">
        <v>59.3</v>
      </c>
      <c r="G5550" s="2" t="s">
        <v>983</v>
      </c>
      <c r="H5550" s="2" t="s">
        <v>984</v>
      </c>
      <c r="I5550" s="2"/>
      <c r="J5550" s="2" t="s">
        <v>48</v>
      </c>
    </row>
    <row r="5551" spans="1:10" ht="21" customHeight="1">
      <c r="A5551" s="2" t="s">
        <v>6553</v>
      </c>
      <c r="B5551" s="2" t="s">
        <v>48</v>
      </c>
      <c r="C5551" s="4">
        <v>45732.25</v>
      </c>
      <c r="D5551" s="4">
        <v>45732.250058807869</v>
      </c>
      <c r="E5551" s="2">
        <v>2.61</v>
      </c>
      <c r="F5551" s="2">
        <v>65.900000000000006</v>
      </c>
      <c r="G5551" s="2" t="s">
        <v>983</v>
      </c>
      <c r="H5551" s="2" t="s">
        <v>984</v>
      </c>
      <c r="I5551" s="2"/>
      <c r="J5551" s="2" t="s">
        <v>48</v>
      </c>
    </row>
    <row r="5552" spans="1:10" ht="21" customHeight="1">
      <c r="A5552" s="2" t="s">
        <v>6554</v>
      </c>
      <c r="B5552" s="2" t="s">
        <v>48</v>
      </c>
      <c r="C5552" s="4">
        <v>45733.25</v>
      </c>
      <c r="D5552" s="4">
        <v>45733.250405081024</v>
      </c>
      <c r="E5552" s="2">
        <v>2.5099999999999998</v>
      </c>
      <c r="F5552" s="2">
        <v>62.2</v>
      </c>
      <c r="G5552" s="2" t="s">
        <v>983</v>
      </c>
      <c r="H5552" s="2" t="s">
        <v>984</v>
      </c>
      <c r="I5552" s="2"/>
      <c r="J5552" s="2" t="s">
        <v>48</v>
      </c>
    </row>
    <row r="5553" spans="1:10" ht="21" customHeight="1">
      <c r="A5553" s="2" t="s">
        <v>6555</v>
      </c>
      <c r="B5553" s="2" t="s">
        <v>48</v>
      </c>
      <c r="C5553" s="4">
        <v>45734.25</v>
      </c>
      <c r="D5553" s="4">
        <v>45734.250530972218</v>
      </c>
      <c r="E5553" s="2">
        <v>3.1</v>
      </c>
      <c r="F5553" s="2">
        <v>60.6</v>
      </c>
      <c r="G5553" s="2" t="s">
        <v>983</v>
      </c>
      <c r="H5553" s="2" t="s">
        <v>984</v>
      </c>
      <c r="I5553" s="2"/>
      <c r="J5553" s="2" t="s">
        <v>48</v>
      </c>
    </row>
    <row r="5554" spans="1:10" ht="21" customHeight="1">
      <c r="A5554" s="2" t="s">
        <v>6556</v>
      </c>
      <c r="B5554" s="2" t="s">
        <v>48</v>
      </c>
      <c r="C5554" s="4">
        <v>45735.25</v>
      </c>
      <c r="D5554" s="4">
        <v>45735.250061666666</v>
      </c>
      <c r="E5554" s="2">
        <v>2.21</v>
      </c>
      <c r="F5554" s="2">
        <v>60.6</v>
      </c>
      <c r="G5554" s="2" t="s">
        <v>983</v>
      </c>
      <c r="H5554" s="2" t="s">
        <v>984</v>
      </c>
      <c r="I5554" s="2"/>
      <c r="J5554" s="2" t="s">
        <v>48</v>
      </c>
    </row>
    <row r="5555" spans="1:10" ht="21" customHeight="1">
      <c r="A5555" s="2" t="s">
        <v>6557</v>
      </c>
      <c r="B5555" s="2" t="s">
        <v>48</v>
      </c>
      <c r="C5555" s="4">
        <v>45736.25</v>
      </c>
      <c r="D5555" s="4">
        <v>45736.250106585649</v>
      </c>
      <c r="E5555" s="2">
        <v>2.4900000000000002</v>
      </c>
      <c r="F5555" s="2">
        <v>58.7</v>
      </c>
      <c r="G5555" s="2" t="s">
        <v>983</v>
      </c>
      <c r="H5555" s="2" t="s">
        <v>984</v>
      </c>
      <c r="I5555" s="2"/>
      <c r="J5555" s="2" t="s">
        <v>48</v>
      </c>
    </row>
    <row r="5556" spans="1:10" ht="21" customHeight="1">
      <c r="A5556" s="2" t="s">
        <v>6558</v>
      </c>
      <c r="B5556" s="2" t="s">
        <v>48</v>
      </c>
      <c r="C5556" s="4">
        <v>45737.25</v>
      </c>
      <c r="D5556" s="4">
        <v>45737.250191053245</v>
      </c>
      <c r="E5556" s="2">
        <v>2.76</v>
      </c>
      <c r="F5556" s="2">
        <v>58.7</v>
      </c>
      <c r="G5556" s="2" t="s">
        <v>983</v>
      </c>
      <c r="H5556" s="2" t="s">
        <v>984</v>
      </c>
      <c r="I5556" s="2"/>
      <c r="J5556" s="2" t="s">
        <v>48</v>
      </c>
    </row>
    <row r="5557" spans="1:10" ht="21" customHeight="1">
      <c r="A5557" s="2" t="s">
        <v>6559</v>
      </c>
      <c r="B5557" s="2" t="s">
        <v>48</v>
      </c>
      <c r="C5557" s="4">
        <v>45738.25</v>
      </c>
      <c r="D5557" s="4">
        <v>45738.25055243056</v>
      </c>
      <c r="E5557" s="2">
        <v>2.33</v>
      </c>
      <c r="F5557" s="2">
        <v>60.5</v>
      </c>
      <c r="G5557" s="2" t="s">
        <v>983</v>
      </c>
      <c r="H5557" s="2" t="s">
        <v>984</v>
      </c>
      <c r="I5557" s="2"/>
      <c r="J5557" s="2" t="s">
        <v>48</v>
      </c>
    </row>
    <row r="5558" spans="1:10" ht="21" customHeight="1">
      <c r="A5558" s="2" t="s">
        <v>6560</v>
      </c>
      <c r="B5558" s="2" t="s">
        <v>48</v>
      </c>
      <c r="C5558" s="4">
        <v>45739.25</v>
      </c>
      <c r="D5558" s="4">
        <v>45739.25007465278</v>
      </c>
      <c r="E5558" s="2">
        <v>2.8</v>
      </c>
      <c r="F5558" s="2">
        <v>64.7</v>
      </c>
      <c r="G5558" s="2" t="s">
        <v>983</v>
      </c>
      <c r="H5558" s="2" t="s">
        <v>984</v>
      </c>
      <c r="I5558" s="2"/>
      <c r="J5558" s="2" t="s">
        <v>48</v>
      </c>
    </row>
    <row r="5559" spans="1:10" ht="21" customHeight="1">
      <c r="A5559" s="2" t="s">
        <v>6561</v>
      </c>
      <c r="B5559" s="2" t="s">
        <v>48</v>
      </c>
      <c r="C5559" s="4">
        <v>45740.25</v>
      </c>
      <c r="D5559" s="4">
        <v>45740.250608761577</v>
      </c>
      <c r="E5559" s="2">
        <v>3.04</v>
      </c>
      <c r="F5559" s="2">
        <v>61.6</v>
      </c>
      <c r="G5559" s="2" t="s">
        <v>983</v>
      </c>
      <c r="H5559" s="2" t="s">
        <v>984</v>
      </c>
      <c r="I5559" s="2"/>
      <c r="J5559" s="2" t="s">
        <v>48</v>
      </c>
    </row>
    <row r="5560" spans="1:10" ht="21" customHeight="1">
      <c r="A5560" s="2" t="s">
        <v>6562</v>
      </c>
      <c r="B5560" s="2" t="s">
        <v>48</v>
      </c>
      <c r="C5560" s="4">
        <v>45741.25</v>
      </c>
      <c r="D5560" s="4">
        <v>45741.250154976849</v>
      </c>
      <c r="E5560" s="2">
        <v>3.27</v>
      </c>
      <c r="F5560" s="2">
        <v>58.8</v>
      </c>
      <c r="G5560" s="2" t="s">
        <v>983</v>
      </c>
      <c r="H5560" s="2" t="s">
        <v>984</v>
      </c>
      <c r="I5560" s="2"/>
      <c r="J5560" s="2" t="s">
        <v>48</v>
      </c>
    </row>
    <row r="5561" spans="1:10" ht="21" customHeight="1">
      <c r="A5561" s="2" t="s">
        <v>6563</v>
      </c>
      <c r="B5561" s="2" t="s">
        <v>48</v>
      </c>
      <c r="C5561" s="4">
        <v>45742.25</v>
      </c>
      <c r="D5561" s="4">
        <v>45742.250461111107</v>
      </c>
      <c r="E5561" s="2">
        <v>2.74</v>
      </c>
      <c r="F5561" s="2">
        <v>58.3</v>
      </c>
      <c r="G5561" s="2" t="s">
        <v>983</v>
      </c>
      <c r="H5561" s="2" t="s">
        <v>984</v>
      </c>
      <c r="I5561" s="2"/>
      <c r="J5561" s="2" t="s">
        <v>48</v>
      </c>
    </row>
    <row r="5562" spans="1:10" ht="21" customHeight="1">
      <c r="A5562" s="2" t="s">
        <v>6564</v>
      </c>
      <c r="B5562" s="2" t="s">
        <v>48</v>
      </c>
      <c r="C5562" s="4">
        <v>45743.25</v>
      </c>
      <c r="D5562" s="4">
        <v>45743.250620775463</v>
      </c>
      <c r="E5562" s="2">
        <v>2.9</v>
      </c>
      <c r="F5562" s="2">
        <v>61.4</v>
      </c>
      <c r="G5562" s="2" t="s">
        <v>983</v>
      </c>
      <c r="H5562" s="2" t="s">
        <v>984</v>
      </c>
      <c r="I5562" s="2" t="s">
        <v>985</v>
      </c>
      <c r="J5562" s="2" t="s">
        <v>48</v>
      </c>
    </row>
    <row r="5563" spans="1:10" ht="21" customHeight="1">
      <c r="A5563" s="2" t="s">
        <v>6565</v>
      </c>
      <c r="B5563" s="2" t="s">
        <v>48</v>
      </c>
      <c r="C5563" s="4">
        <v>45744.25</v>
      </c>
      <c r="D5563" s="4">
        <v>45744.250083842591</v>
      </c>
      <c r="E5563" s="2">
        <v>2.77</v>
      </c>
      <c r="F5563" s="2">
        <v>60.4</v>
      </c>
      <c r="G5563" s="2" t="s">
        <v>983</v>
      </c>
      <c r="H5563" s="2" t="s">
        <v>984</v>
      </c>
      <c r="I5563" s="2"/>
      <c r="J5563" s="2" t="s">
        <v>48</v>
      </c>
    </row>
    <row r="5564" spans="1:10" ht="21" customHeight="1">
      <c r="A5564" s="2" t="s">
        <v>6566</v>
      </c>
      <c r="B5564" s="2" t="s">
        <v>48</v>
      </c>
      <c r="C5564" s="4">
        <v>45745.25</v>
      </c>
      <c r="D5564" s="4">
        <v>45745.250572141202</v>
      </c>
      <c r="E5564" s="2"/>
      <c r="F5564" s="2"/>
      <c r="G5564" s="2" t="s">
        <v>983</v>
      </c>
      <c r="H5564" s="2" t="s">
        <v>1066</v>
      </c>
      <c r="I5564" s="2"/>
      <c r="J5564" s="2" t="s">
        <v>48</v>
      </c>
    </row>
    <row r="5565" spans="1:10" ht="21" customHeight="1">
      <c r="A5565" s="2" t="s">
        <v>6567</v>
      </c>
      <c r="B5565" s="2" t="s">
        <v>48</v>
      </c>
      <c r="C5565" s="4">
        <v>45746.25</v>
      </c>
      <c r="D5565" s="4">
        <v>45746.250398553238</v>
      </c>
      <c r="E5565" s="2">
        <v>2.4700000000000002</v>
      </c>
      <c r="F5565" s="2">
        <v>62.6</v>
      </c>
      <c r="G5565" s="2" t="s">
        <v>983</v>
      </c>
      <c r="H5565" s="2" t="s">
        <v>984</v>
      </c>
      <c r="I5565" s="2"/>
      <c r="J5565" s="2" t="s">
        <v>48</v>
      </c>
    </row>
    <row r="5566" spans="1:10" ht="21" customHeight="1">
      <c r="A5566" s="2" t="s">
        <v>6568</v>
      </c>
      <c r="B5566" s="2" t="s">
        <v>48</v>
      </c>
      <c r="C5566" s="4">
        <v>45747.25</v>
      </c>
      <c r="D5566" s="4">
        <v>45747.250479722221</v>
      </c>
      <c r="E5566" s="2">
        <v>2.69</v>
      </c>
      <c r="F5566" s="2">
        <v>60.5</v>
      </c>
      <c r="G5566" s="2" t="s">
        <v>983</v>
      </c>
      <c r="H5566" s="2" t="s">
        <v>984</v>
      </c>
      <c r="I5566" s="2"/>
      <c r="J5566" s="2" t="s">
        <v>48</v>
      </c>
    </row>
    <row r="5567" spans="1:10" ht="21" customHeight="1">
      <c r="A5567" s="2" t="s">
        <v>6569</v>
      </c>
      <c r="B5567" s="2" t="s">
        <v>48</v>
      </c>
      <c r="C5567" s="4">
        <v>45748.25</v>
      </c>
      <c r="D5567" s="4">
        <v>45748.2501428588</v>
      </c>
      <c r="E5567" s="2">
        <v>2.2999999999999998</v>
      </c>
      <c r="F5567" s="2">
        <v>61.7</v>
      </c>
      <c r="G5567" s="2" t="s">
        <v>983</v>
      </c>
      <c r="H5567" s="2" t="s">
        <v>984</v>
      </c>
      <c r="I5567" s="2"/>
      <c r="J5567" s="2" t="s">
        <v>48</v>
      </c>
    </row>
    <row r="5568" spans="1:10" ht="21" customHeight="1">
      <c r="A5568" s="2" t="s">
        <v>6570</v>
      </c>
      <c r="B5568" s="2" t="s">
        <v>48</v>
      </c>
      <c r="C5568" s="4">
        <v>45749.25</v>
      </c>
      <c r="D5568" s="4">
        <v>45749.250252847225</v>
      </c>
      <c r="E5568" s="2">
        <v>4.8600000000000003</v>
      </c>
      <c r="F5568" s="2">
        <v>70.8</v>
      </c>
      <c r="G5568" s="2" t="s">
        <v>983</v>
      </c>
      <c r="H5568" s="2" t="s">
        <v>984</v>
      </c>
      <c r="I5568" s="2"/>
      <c r="J5568" s="2" t="s">
        <v>48</v>
      </c>
    </row>
    <row r="5569" spans="1:10" ht="21" customHeight="1">
      <c r="A5569" s="2" t="s">
        <v>6571</v>
      </c>
      <c r="B5569" s="2" t="s">
        <v>48</v>
      </c>
      <c r="C5569" s="4">
        <v>45750.25</v>
      </c>
      <c r="D5569" s="4">
        <v>45750.250509699079</v>
      </c>
      <c r="E5569" s="2">
        <v>5.3</v>
      </c>
      <c r="F5569" s="2">
        <v>65.8</v>
      </c>
      <c r="G5569" s="2" t="s">
        <v>983</v>
      </c>
      <c r="H5569" s="2" t="s">
        <v>984</v>
      </c>
      <c r="I5569" s="2" t="s">
        <v>1053</v>
      </c>
      <c r="J5569" s="2" t="s">
        <v>48</v>
      </c>
    </row>
    <row r="5570" spans="1:10" ht="21" customHeight="1">
      <c r="A5570" s="2" t="s">
        <v>6572</v>
      </c>
      <c r="B5570" s="2" t="s">
        <v>48</v>
      </c>
      <c r="C5570" s="4">
        <v>45751.25</v>
      </c>
      <c r="D5570" s="4">
        <v>45751.250392893518</v>
      </c>
      <c r="E5570" s="2">
        <v>4.8600000000000003</v>
      </c>
      <c r="F5570" s="2">
        <v>67.7</v>
      </c>
      <c r="G5570" s="2" t="s">
        <v>983</v>
      </c>
      <c r="H5570" s="2" t="s">
        <v>984</v>
      </c>
      <c r="I5570" s="2"/>
      <c r="J5570" s="2" t="s">
        <v>48</v>
      </c>
    </row>
    <row r="5571" spans="1:10" ht="21" customHeight="1">
      <c r="A5571" s="2" t="s">
        <v>6573</v>
      </c>
      <c r="B5571" s="2" t="s">
        <v>48</v>
      </c>
      <c r="C5571" s="4">
        <v>45752.25</v>
      </c>
      <c r="D5571" s="4">
        <v>45752.250122881946</v>
      </c>
      <c r="E5571" s="2">
        <v>3.04</v>
      </c>
      <c r="F5571" s="2">
        <v>58.3</v>
      </c>
      <c r="G5571" s="2" t="s">
        <v>983</v>
      </c>
      <c r="H5571" s="2" t="s">
        <v>984</v>
      </c>
      <c r="I5571" s="2"/>
      <c r="J5571" s="2" t="s">
        <v>48</v>
      </c>
    </row>
    <row r="5572" spans="1:10" ht="21" customHeight="1">
      <c r="A5572" s="2" t="s">
        <v>6574</v>
      </c>
      <c r="B5572" s="2" t="s">
        <v>48</v>
      </c>
      <c r="C5572" s="4">
        <v>45753.25</v>
      </c>
      <c r="D5572" s="4">
        <v>45753.250208020836</v>
      </c>
      <c r="E5572" s="2">
        <v>2.5299999999999998</v>
      </c>
      <c r="F5572" s="2">
        <v>60.8</v>
      </c>
      <c r="G5572" s="2" t="s">
        <v>983</v>
      </c>
      <c r="H5572" s="2" t="s">
        <v>984</v>
      </c>
      <c r="I5572" s="2"/>
      <c r="J5572" s="2" t="s">
        <v>48</v>
      </c>
    </row>
    <row r="5573" spans="1:10" ht="21" customHeight="1">
      <c r="A5573" s="2" t="s">
        <v>6575</v>
      </c>
      <c r="B5573" s="2" t="s">
        <v>48</v>
      </c>
      <c r="C5573" s="4">
        <v>45754.25</v>
      </c>
      <c r="D5573" s="4">
        <v>45754.25046549768</v>
      </c>
      <c r="E5573" s="2">
        <v>2.66</v>
      </c>
      <c r="F5573" s="2">
        <v>62.8</v>
      </c>
      <c r="G5573" s="2" t="s">
        <v>983</v>
      </c>
      <c r="H5573" s="2" t="s">
        <v>984</v>
      </c>
      <c r="I5573" s="2"/>
      <c r="J5573" s="2" t="s">
        <v>48</v>
      </c>
    </row>
    <row r="5574" spans="1:10" ht="21" customHeight="1">
      <c r="A5574" s="2" t="s">
        <v>6576</v>
      </c>
      <c r="B5574" s="2" t="s">
        <v>48</v>
      </c>
      <c r="C5574" s="4">
        <v>45755.25</v>
      </c>
      <c r="D5574" s="4">
        <v>45755.250092974537</v>
      </c>
      <c r="E5574" s="2"/>
      <c r="F5574" s="2"/>
      <c r="G5574" s="2" t="s">
        <v>983</v>
      </c>
      <c r="H5574" s="2" t="s">
        <v>1066</v>
      </c>
      <c r="I5574" s="2"/>
      <c r="J5574" s="2" t="s">
        <v>48</v>
      </c>
    </row>
    <row r="5575" spans="1:10" ht="21" customHeight="1">
      <c r="A5575" s="2" t="s">
        <v>6577</v>
      </c>
      <c r="B5575" s="2" t="s">
        <v>48</v>
      </c>
      <c r="C5575" s="4">
        <v>45756.25</v>
      </c>
      <c r="D5575" s="4">
        <v>45756.250003553243</v>
      </c>
      <c r="E5575" s="2">
        <v>2.2400000000000002</v>
      </c>
      <c r="F5575" s="2">
        <v>63</v>
      </c>
      <c r="G5575" s="2" t="s">
        <v>983</v>
      </c>
      <c r="H5575" s="2" t="s">
        <v>984</v>
      </c>
      <c r="I5575" s="2"/>
      <c r="J5575" s="2" t="s">
        <v>48</v>
      </c>
    </row>
    <row r="5576" spans="1:10" ht="21" customHeight="1">
      <c r="A5576" s="2" t="s">
        <v>6578</v>
      </c>
      <c r="B5576" s="2" t="s">
        <v>48</v>
      </c>
      <c r="C5576" s="4">
        <v>45757.25</v>
      </c>
      <c r="D5576" s="4">
        <v>45757.250570868055</v>
      </c>
      <c r="E5576" s="2">
        <v>2.21</v>
      </c>
      <c r="F5576" s="2">
        <v>65.400000000000006</v>
      </c>
      <c r="G5576" s="2" t="s">
        <v>983</v>
      </c>
      <c r="H5576" s="2" t="s">
        <v>984</v>
      </c>
      <c r="I5576" s="2"/>
      <c r="J5576" s="2" t="s">
        <v>48</v>
      </c>
    </row>
    <row r="5577" spans="1:10" ht="21" customHeight="1">
      <c r="A5577" s="2" t="s">
        <v>6579</v>
      </c>
      <c r="B5577" s="2" t="s">
        <v>48</v>
      </c>
      <c r="C5577" s="4">
        <v>45758.25</v>
      </c>
      <c r="D5577" s="4">
        <v>45758.250101030091</v>
      </c>
      <c r="E5577" s="2">
        <v>2.98</v>
      </c>
      <c r="F5577" s="2">
        <v>58.6</v>
      </c>
      <c r="G5577" s="2" t="s">
        <v>983</v>
      </c>
      <c r="H5577" s="2" t="s">
        <v>984</v>
      </c>
      <c r="I5577" s="2"/>
      <c r="J5577" s="2" t="s">
        <v>48</v>
      </c>
    </row>
    <row r="5578" spans="1:10" ht="21" customHeight="1">
      <c r="A5578" s="2" t="s">
        <v>6580</v>
      </c>
      <c r="B5578" s="2" t="s">
        <v>6498</v>
      </c>
      <c r="C5578" s="4">
        <v>45759.25</v>
      </c>
      <c r="D5578" s="4">
        <v>45759.250098946759</v>
      </c>
      <c r="E5578" s="2">
        <v>3.08</v>
      </c>
      <c r="F5578" s="2">
        <v>59.7</v>
      </c>
      <c r="G5578" s="2" t="s">
        <v>983</v>
      </c>
      <c r="H5578" s="2" t="s">
        <v>984</v>
      </c>
      <c r="I5578" s="2"/>
      <c r="J5578" s="2" t="s">
        <v>48</v>
      </c>
    </row>
    <row r="5579" spans="1:10" ht="21" customHeight="1">
      <c r="A5579" s="2" t="s">
        <v>6581</v>
      </c>
      <c r="B5579" s="2" t="s">
        <v>48</v>
      </c>
      <c r="C5579" s="4">
        <v>45760.25</v>
      </c>
      <c r="D5579" s="4">
        <v>45760.25029556713</v>
      </c>
      <c r="E5579" s="2">
        <v>2.85</v>
      </c>
      <c r="F5579" s="2">
        <v>65.3</v>
      </c>
      <c r="G5579" s="2" t="s">
        <v>983</v>
      </c>
      <c r="H5579" s="2" t="s">
        <v>984</v>
      </c>
      <c r="I5579" s="2" t="s">
        <v>985</v>
      </c>
      <c r="J5579" s="2" t="s">
        <v>48</v>
      </c>
    </row>
    <row r="5580" spans="1:10" ht="21" customHeight="1">
      <c r="A5580" s="2" t="s">
        <v>6582</v>
      </c>
      <c r="B5580" s="2" t="s">
        <v>48</v>
      </c>
      <c r="C5580" s="4">
        <v>45761.25</v>
      </c>
      <c r="D5580" s="4">
        <v>45761.250044733795</v>
      </c>
      <c r="E5580" s="2">
        <v>2.7</v>
      </c>
      <c r="F5580" s="2">
        <v>62.3</v>
      </c>
      <c r="G5580" s="2" t="s">
        <v>983</v>
      </c>
      <c r="H5580" s="2" t="s">
        <v>984</v>
      </c>
      <c r="I5580" s="2"/>
      <c r="J5580" s="2" t="s">
        <v>48</v>
      </c>
    </row>
    <row r="5581" spans="1:10" ht="21" customHeight="1">
      <c r="A5581" s="2" t="s">
        <v>6583</v>
      </c>
      <c r="B5581" s="2" t="s">
        <v>48</v>
      </c>
      <c r="C5581" s="4">
        <v>45762.25</v>
      </c>
      <c r="D5581" s="4">
        <v>45762.250369791669</v>
      </c>
      <c r="E5581" s="2">
        <v>2.76</v>
      </c>
      <c r="F5581" s="2">
        <v>60.6</v>
      </c>
      <c r="G5581" s="2" t="s">
        <v>983</v>
      </c>
      <c r="H5581" s="2" t="s">
        <v>984</v>
      </c>
      <c r="I5581" s="2"/>
      <c r="J5581" s="2" t="s">
        <v>48</v>
      </c>
    </row>
    <row r="5582" spans="1:10" ht="21" customHeight="1">
      <c r="A5582" s="2" t="s">
        <v>6584</v>
      </c>
      <c r="B5582" s="2" t="s">
        <v>48</v>
      </c>
      <c r="C5582" s="4">
        <v>45763.25</v>
      </c>
      <c r="D5582" s="4">
        <v>45763.25018195602</v>
      </c>
      <c r="E5582" s="2">
        <v>2.4700000000000002</v>
      </c>
      <c r="F5582" s="2">
        <v>62.8</v>
      </c>
      <c r="G5582" s="2" t="s">
        <v>983</v>
      </c>
      <c r="H5582" s="2" t="s">
        <v>984</v>
      </c>
      <c r="I5582" s="2"/>
      <c r="J5582" s="2" t="s">
        <v>48</v>
      </c>
    </row>
    <row r="5583" spans="1:10" ht="21" customHeight="1">
      <c r="A5583" s="2" t="s">
        <v>6585</v>
      </c>
      <c r="B5583" s="2" t="s">
        <v>48</v>
      </c>
      <c r="C5583" s="4">
        <v>45764.25</v>
      </c>
      <c r="D5583" s="4">
        <v>45764.250217615743</v>
      </c>
      <c r="E5583" s="2">
        <v>2.96</v>
      </c>
      <c r="F5583" s="2">
        <v>60.2</v>
      </c>
      <c r="G5583" s="2" t="s">
        <v>983</v>
      </c>
      <c r="H5583" s="2" t="s">
        <v>984</v>
      </c>
      <c r="I5583" s="2"/>
      <c r="J5583" s="2" t="s">
        <v>48</v>
      </c>
    </row>
    <row r="5584" spans="1:10" ht="21" customHeight="1">
      <c r="A5584" s="2" t="s">
        <v>6586</v>
      </c>
      <c r="B5584" s="2" t="s">
        <v>48</v>
      </c>
      <c r="C5584" s="4">
        <v>45765.25</v>
      </c>
      <c r="D5584" s="4">
        <v>45765.25008356481</v>
      </c>
      <c r="E5584" s="2">
        <v>2.33</v>
      </c>
      <c r="F5584" s="2">
        <v>61.5</v>
      </c>
      <c r="G5584" s="2" t="s">
        <v>983</v>
      </c>
      <c r="H5584" s="2" t="s">
        <v>984</v>
      </c>
      <c r="I5584" s="2"/>
      <c r="J5584" s="2" t="s">
        <v>48</v>
      </c>
    </row>
    <row r="5585" spans="1:10" ht="21" customHeight="1">
      <c r="A5585" s="2" t="s">
        <v>6587</v>
      </c>
      <c r="B5585" s="2" t="s">
        <v>48</v>
      </c>
      <c r="C5585" s="4">
        <v>45766.25</v>
      </c>
      <c r="D5585" s="4">
        <v>45766.250676736112</v>
      </c>
      <c r="E5585" s="2">
        <v>2.27</v>
      </c>
      <c r="F5585" s="2">
        <v>60.4</v>
      </c>
      <c r="G5585" s="2" t="s">
        <v>983</v>
      </c>
      <c r="H5585" s="2" t="s">
        <v>984</v>
      </c>
      <c r="I5585" s="2"/>
      <c r="J5585" s="2" t="s">
        <v>48</v>
      </c>
    </row>
    <row r="5586" spans="1:10" ht="21" customHeight="1">
      <c r="A5586" s="2" t="s">
        <v>6588</v>
      </c>
      <c r="B5586" s="2" t="s">
        <v>48</v>
      </c>
      <c r="C5586" s="4">
        <v>45767.25</v>
      </c>
      <c r="D5586" s="4">
        <v>45767.250118206022</v>
      </c>
      <c r="E5586" s="2">
        <v>3.25</v>
      </c>
      <c r="F5586" s="2">
        <v>60.1</v>
      </c>
      <c r="G5586" s="2" t="s">
        <v>983</v>
      </c>
      <c r="H5586" s="2" t="s">
        <v>984</v>
      </c>
      <c r="I5586" s="2"/>
      <c r="J5586" s="2" t="s">
        <v>48</v>
      </c>
    </row>
    <row r="5587" spans="1:10" ht="21" customHeight="1">
      <c r="A5587" s="2" t="s">
        <v>6589</v>
      </c>
      <c r="B5587" s="2" t="s">
        <v>48</v>
      </c>
      <c r="C5587" s="4">
        <v>45768.25</v>
      </c>
      <c r="D5587" s="4">
        <v>45768.250052048606</v>
      </c>
      <c r="E5587" s="2">
        <v>2.4</v>
      </c>
      <c r="F5587" s="2">
        <v>59.2</v>
      </c>
      <c r="G5587" s="2" t="s">
        <v>983</v>
      </c>
      <c r="H5587" s="2" t="s">
        <v>984</v>
      </c>
      <c r="I5587" s="2"/>
      <c r="J5587" s="2" t="s">
        <v>48</v>
      </c>
    </row>
    <row r="5588" spans="1:10" ht="21" customHeight="1">
      <c r="A5588" s="2" t="s">
        <v>6590</v>
      </c>
      <c r="B5588" s="2" t="s">
        <v>48</v>
      </c>
      <c r="C5588" s="4">
        <v>45769.25</v>
      </c>
      <c r="D5588" s="4">
        <v>45769.250501550923</v>
      </c>
      <c r="E5588" s="2">
        <v>2.17</v>
      </c>
      <c r="F5588" s="2">
        <v>61.2</v>
      </c>
      <c r="G5588" s="2" t="s">
        <v>983</v>
      </c>
      <c r="H5588" s="2" t="s">
        <v>984</v>
      </c>
      <c r="I5588" s="2"/>
      <c r="J5588" s="2" t="s">
        <v>48</v>
      </c>
    </row>
    <row r="5589" spans="1:10" ht="21" customHeight="1">
      <c r="A5589" s="2" t="s">
        <v>6591</v>
      </c>
      <c r="B5589" s="2" t="s">
        <v>48</v>
      </c>
      <c r="C5589" s="4">
        <v>45770.25</v>
      </c>
      <c r="D5589" s="4">
        <v>45770.250130706016</v>
      </c>
      <c r="E5589" s="2">
        <v>2.14</v>
      </c>
      <c r="F5589" s="2">
        <v>64</v>
      </c>
      <c r="G5589" s="2" t="s">
        <v>983</v>
      </c>
      <c r="H5589" s="2" t="s">
        <v>984</v>
      </c>
      <c r="I5589" s="2"/>
      <c r="J5589" s="2" t="s">
        <v>48</v>
      </c>
    </row>
    <row r="5590" spans="1:10" ht="21" customHeight="1">
      <c r="A5590" s="2" t="s">
        <v>6592</v>
      </c>
      <c r="B5590" s="2" t="s">
        <v>48</v>
      </c>
      <c r="C5590" s="4">
        <v>45771.25</v>
      </c>
      <c r="D5590" s="4">
        <v>45771.250107141204</v>
      </c>
      <c r="E5590" s="2">
        <v>2.93</v>
      </c>
      <c r="F5590" s="2">
        <v>65.099999999999994</v>
      </c>
      <c r="G5590" s="2" t="s">
        <v>983</v>
      </c>
      <c r="H5590" s="2" t="s">
        <v>984</v>
      </c>
      <c r="I5590" s="2"/>
      <c r="J5590" s="2" t="s">
        <v>48</v>
      </c>
    </row>
    <row r="5591" spans="1:10" ht="21" customHeight="1">
      <c r="A5591" s="2" t="s">
        <v>6593</v>
      </c>
      <c r="B5591" s="2" t="s">
        <v>48</v>
      </c>
      <c r="C5591" s="4">
        <v>45772.25</v>
      </c>
      <c r="D5591" s="4">
        <v>45772.250534733801</v>
      </c>
      <c r="E5591" s="2">
        <v>2.41</v>
      </c>
      <c r="F5591" s="2">
        <v>59</v>
      </c>
      <c r="G5591" s="2" t="s">
        <v>983</v>
      </c>
      <c r="H5591" s="2" t="s">
        <v>984</v>
      </c>
      <c r="I5591" s="2"/>
      <c r="J5591" s="2" t="s">
        <v>48</v>
      </c>
    </row>
    <row r="5592" spans="1:10" ht="21" customHeight="1">
      <c r="A5592" s="2" t="s">
        <v>6594</v>
      </c>
      <c r="B5592" s="2" t="s">
        <v>48</v>
      </c>
      <c r="C5592" s="4">
        <v>45773.25</v>
      </c>
      <c r="D5592" s="4">
        <v>45773.250108668981</v>
      </c>
      <c r="E5592" s="2">
        <v>3.27</v>
      </c>
      <c r="F5592" s="2">
        <v>62.3</v>
      </c>
      <c r="G5592" s="2" t="s">
        <v>983</v>
      </c>
      <c r="H5592" s="2" t="s">
        <v>984</v>
      </c>
      <c r="I5592" s="2"/>
      <c r="J5592" s="2" t="s">
        <v>48</v>
      </c>
    </row>
    <row r="5593" spans="1:10" ht="21" customHeight="1">
      <c r="A5593" s="2" t="s">
        <v>6595</v>
      </c>
      <c r="B5593" s="2" t="s">
        <v>48</v>
      </c>
      <c r="C5593" s="4">
        <v>45774.25</v>
      </c>
      <c r="D5593" s="4">
        <v>45774.250429814812</v>
      </c>
      <c r="E5593" s="2">
        <v>24.32</v>
      </c>
      <c r="F5593" s="2">
        <v>59.6</v>
      </c>
      <c r="G5593" s="2" t="s">
        <v>983</v>
      </c>
      <c r="H5593" s="2" t="s">
        <v>1022</v>
      </c>
      <c r="I5593" s="2"/>
      <c r="J5593" s="2" t="s">
        <v>48</v>
      </c>
    </row>
    <row r="5594" spans="1:10" ht="21" customHeight="1">
      <c r="A5594" s="2" t="s">
        <v>6596</v>
      </c>
      <c r="B5594" s="2" t="s">
        <v>48</v>
      </c>
      <c r="C5594" s="4">
        <v>45775.25</v>
      </c>
      <c r="D5594" s="4">
        <v>45775.250217291672</v>
      </c>
      <c r="E5594" s="2">
        <v>2.92</v>
      </c>
      <c r="F5594" s="2">
        <v>60.8</v>
      </c>
      <c r="G5594" s="2" t="s">
        <v>983</v>
      </c>
      <c r="H5594" s="2" t="s">
        <v>984</v>
      </c>
      <c r="I5594" s="2"/>
      <c r="J5594" s="2" t="s">
        <v>48</v>
      </c>
    </row>
    <row r="5595" spans="1:10" ht="21" customHeight="1">
      <c r="A5595" s="2" t="s">
        <v>6597</v>
      </c>
      <c r="B5595" s="2" t="s">
        <v>48</v>
      </c>
      <c r="C5595" s="4">
        <v>45776.25</v>
      </c>
      <c r="D5595" s="4">
        <v>45776.25002950232</v>
      </c>
      <c r="E5595" s="2">
        <v>2.78</v>
      </c>
      <c r="F5595" s="2">
        <v>61.9</v>
      </c>
      <c r="G5595" s="2" t="s">
        <v>983</v>
      </c>
      <c r="H5595" s="2" t="s">
        <v>984</v>
      </c>
      <c r="I5595" s="2"/>
      <c r="J5595" s="2" t="s">
        <v>48</v>
      </c>
    </row>
    <row r="5596" spans="1:10" ht="21" customHeight="1">
      <c r="A5596" s="2" t="s">
        <v>6598</v>
      </c>
      <c r="B5596" s="2" t="s">
        <v>48</v>
      </c>
      <c r="C5596" s="4">
        <v>45777.25</v>
      </c>
      <c r="D5596" s="4">
        <v>45777.250361030092</v>
      </c>
      <c r="E5596" s="2">
        <v>2.93</v>
      </c>
      <c r="F5596" s="2">
        <v>62</v>
      </c>
      <c r="G5596" s="2" t="s">
        <v>983</v>
      </c>
      <c r="H5596" s="2" t="s">
        <v>984</v>
      </c>
      <c r="I5596" s="2" t="s">
        <v>985</v>
      </c>
      <c r="J5596" s="2" t="s">
        <v>48</v>
      </c>
    </row>
    <row r="5597" spans="1:10" ht="21" customHeight="1">
      <c r="A5597" s="2" t="s">
        <v>6599</v>
      </c>
      <c r="B5597" s="2" t="s">
        <v>48</v>
      </c>
      <c r="C5597" s="4">
        <v>45778.25</v>
      </c>
      <c r="D5597" s="4">
        <v>45778.250101296297</v>
      </c>
      <c r="E5597" s="2">
        <v>3.29</v>
      </c>
      <c r="F5597" s="2">
        <v>60.6</v>
      </c>
      <c r="G5597" s="2" t="s">
        <v>983</v>
      </c>
      <c r="H5597" s="2" t="s">
        <v>984</v>
      </c>
      <c r="I5597" s="2"/>
      <c r="J5597" s="2" t="s">
        <v>48</v>
      </c>
    </row>
    <row r="5598" spans="1:10" ht="21" customHeight="1">
      <c r="A5598" s="2" t="s">
        <v>6600</v>
      </c>
      <c r="B5598" s="2" t="s">
        <v>48</v>
      </c>
      <c r="C5598" s="4">
        <v>45779.25</v>
      </c>
      <c r="D5598" s="4">
        <v>45779.250618101854</v>
      </c>
      <c r="E5598" s="2">
        <v>2.5</v>
      </c>
      <c r="F5598" s="2">
        <v>60.6</v>
      </c>
      <c r="G5598" s="2" t="s">
        <v>983</v>
      </c>
      <c r="H5598" s="2" t="s">
        <v>984</v>
      </c>
      <c r="I5598" s="2"/>
      <c r="J5598" s="2" t="s">
        <v>48</v>
      </c>
    </row>
    <row r="5599" spans="1:10" ht="21" customHeight="1">
      <c r="A5599" s="2" t="s">
        <v>6601</v>
      </c>
      <c r="B5599" s="2" t="s">
        <v>48</v>
      </c>
      <c r="C5599" s="4">
        <v>45780.25</v>
      </c>
      <c r="D5599" s="4">
        <v>45780.250613391203</v>
      </c>
      <c r="E5599" s="2">
        <v>2.2999999999999998</v>
      </c>
      <c r="F5599" s="2">
        <v>59.8</v>
      </c>
      <c r="G5599" s="2" t="s">
        <v>983</v>
      </c>
      <c r="H5599" s="2" t="s">
        <v>984</v>
      </c>
      <c r="I5599" s="2"/>
      <c r="J5599" s="2" t="s">
        <v>48</v>
      </c>
    </row>
    <row r="5600" spans="1:10" ht="21" customHeight="1">
      <c r="A5600" s="2" t="s">
        <v>6602</v>
      </c>
      <c r="B5600" s="2" t="s">
        <v>48</v>
      </c>
      <c r="C5600" s="4">
        <v>45781.25</v>
      </c>
      <c r="D5600" s="4">
        <v>45781.250403402781</v>
      </c>
      <c r="E5600" s="2">
        <v>2.2400000000000002</v>
      </c>
      <c r="F5600" s="2">
        <v>58.8</v>
      </c>
      <c r="G5600" s="2" t="s">
        <v>983</v>
      </c>
      <c r="H5600" s="2" t="s">
        <v>984</v>
      </c>
      <c r="I5600" s="2"/>
      <c r="J5600" s="2" t="s">
        <v>48</v>
      </c>
    </row>
    <row r="5601" spans="1:10" ht="21" customHeight="1">
      <c r="A5601" s="2" t="s">
        <v>6603</v>
      </c>
      <c r="B5601" s="2" t="s">
        <v>48</v>
      </c>
      <c r="C5601" s="4">
        <v>45782.25</v>
      </c>
      <c r="D5601" s="4">
        <v>45782.25022991898</v>
      </c>
      <c r="E5601" s="2">
        <v>2.44</v>
      </c>
      <c r="F5601" s="2">
        <v>59.4</v>
      </c>
      <c r="G5601" s="2" t="s">
        <v>983</v>
      </c>
      <c r="H5601" s="2" t="s">
        <v>984</v>
      </c>
      <c r="I5601" s="2"/>
      <c r="J5601" s="2" t="s">
        <v>48</v>
      </c>
    </row>
    <row r="5602" spans="1:10" ht="21" customHeight="1">
      <c r="A5602" s="2" t="s">
        <v>6604</v>
      </c>
      <c r="B5602" s="2" t="s">
        <v>48</v>
      </c>
      <c r="C5602" s="4">
        <v>45783.25</v>
      </c>
      <c r="D5602" s="4">
        <v>45783.250102569444</v>
      </c>
      <c r="E5602" s="2">
        <v>2.73</v>
      </c>
      <c r="F5602" s="2">
        <v>58.4</v>
      </c>
      <c r="G5602" s="2" t="s">
        <v>983</v>
      </c>
      <c r="H5602" s="2" t="s">
        <v>984</v>
      </c>
      <c r="I5602" s="2"/>
      <c r="J5602" s="2" t="s">
        <v>48</v>
      </c>
    </row>
    <row r="5603" spans="1:10" ht="21" customHeight="1">
      <c r="A5603" s="2" t="s">
        <v>6605</v>
      </c>
      <c r="B5603" s="2" t="s">
        <v>48</v>
      </c>
      <c r="C5603" s="4">
        <v>45784.25</v>
      </c>
      <c r="D5603" s="4">
        <v>45784.250044849541</v>
      </c>
      <c r="E5603" s="2">
        <v>2.59</v>
      </c>
      <c r="F5603" s="2">
        <v>59.6</v>
      </c>
      <c r="G5603" s="2" t="s">
        <v>983</v>
      </c>
      <c r="H5603" s="2" t="s">
        <v>984</v>
      </c>
      <c r="I5603" s="2"/>
      <c r="J5603" s="2" t="s">
        <v>48</v>
      </c>
    </row>
    <row r="5604" spans="1:10" ht="21" customHeight="1">
      <c r="A5604" s="2" t="s">
        <v>6606</v>
      </c>
      <c r="B5604" s="2" t="s">
        <v>48</v>
      </c>
      <c r="C5604" s="4">
        <v>45785.25</v>
      </c>
      <c r="D5604" s="4">
        <v>45785.250508020836</v>
      </c>
      <c r="E5604" s="2">
        <v>2.5099999999999998</v>
      </c>
      <c r="F5604" s="2">
        <v>64.7</v>
      </c>
      <c r="G5604" s="2" t="s">
        <v>983</v>
      </c>
      <c r="H5604" s="2" t="s">
        <v>984</v>
      </c>
      <c r="I5604" s="2"/>
      <c r="J5604" s="2" t="s">
        <v>48</v>
      </c>
    </row>
    <row r="5605" spans="1:10" ht="21" customHeight="1">
      <c r="A5605" s="2" t="s">
        <v>6607</v>
      </c>
      <c r="B5605" s="2" t="s">
        <v>48</v>
      </c>
      <c r="C5605" s="4">
        <v>45786.25</v>
      </c>
      <c r="D5605" s="4">
        <v>45786.250049432871</v>
      </c>
      <c r="E5605" s="2">
        <v>3.16</v>
      </c>
      <c r="F5605" s="2">
        <v>62.5</v>
      </c>
      <c r="G5605" s="2" t="s">
        <v>983</v>
      </c>
      <c r="H5605" s="2" t="s">
        <v>984</v>
      </c>
      <c r="I5605" s="2"/>
      <c r="J5605" s="2" t="s">
        <v>48</v>
      </c>
    </row>
    <row r="5606" spans="1:10" ht="21" customHeight="1">
      <c r="A5606" s="2" t="s">
        <v>6608</v>
      </c>
      <c r="B5606" s="2" t="s">
        <v>48</v>
      </c>
      <c r="C5606" s="4">
        <v>45787.25</v>
      </c>
      <c r="D5606" s="4">
        <v>45787.250022326392</v>
      </c>
      <c r="E5606" s="2">
        <v>2.41</v>
      </c>
      <c r="F5606" s="2">
        <v>64.400000000000006</v>
      </c>
      <c r="G5606" s="2" t="s">
        <v>983</v>
      </c>
      <c r="H5606" s="2" t="s">
        <v>984</v>
      </c>
      <c r="I5606" s="2"/>
      <c r="J5606" s="2" t="s">
        <v>48</v>
      </c>
    </row>
    <row r="5607" spans="1:10" ht="21" customHeight="1">
      <c r="A5607" s="2" t="s">
        <v>6609</v>
      </c>
      <c r="B5607" s="2" t="s">
        <v>48</v>
      </c>
      <c r="C5607" s="4">
        <v>45788.25</v>
      </c>
      <c r="D5607" s="4">
        <v>45788.250662789353</v>
      </c>
      <c r="E5607" s="2">
        <v>0</v>
      </c>
      <c r="F5607" s="2">
        <v>61.1</v>
      </c>
      <c r="G5607" s="2" t="s">
        <v>1175</v>
      </c>
      <c r="H5607" s="2" t="s">
        <v>984</v>
      </c>
      <c r="I5607" s="2"/>
      <c r="J5607" s="2" t="s">
        <v>48</v>
      </c>
    </row>
    <row r="5608" spans="1:10" ht="21" customHeight="1">
      <c r="A5608" s="2" t="s">
        <v>6610</v>
      </c>
      <c r="B5608" s="2" t="s">
        <v>48</v>
      </c>
      <c r="C5608" s="4">
        <v>45789.25</v>
      </c>
      <c r="D5608" s="4">
        <v>45789.250337442129</v>
      </c>
      <c r="E5608" s="2">
        <v>2.95</v>
      </c>
      <c r="F5608" s="2">
        <v>60.1</v>
      </c>
      <c r="G5608" s="2" t="s">
        <v>983</v>
      </c>
      <c r="H5608" s="2" t="s">
        <v>984</v>
      </c>
      <c r="I5608" s="2"/>
      <c r="J5608" s="2" t="s">
        <v>48</v>
      </c>
    </row>
    <row r="5609" spans="1:10" ht="21" customHeight="1">
      <c r="A5609" s="2" t="s">
        <v>6611</v>
      </c>
      <c r="B5609" s="2" t="s">
        <v>48</v>
      </c>
      <c r="C5609" s="4">
        <v>45790.25</v>
      </c>
      <c r="D5609" s="4">
        <v>45790.250515833337</v>
      </c>
      <c r="E5609" s="2">
        <v>2.36</v>
      </c>
      <c r="F5609" s="2">
        <v>59.2</v>
      </c>
      <c r="G5609" s="2" t="s">
        <v>983</v>
      </c>
      <c r="H5609" s="2" t="s">
        <v>984</v>
      </c>
      <c r="I5609" s="2"/>
      <c r="J5609" s="2" t="s">
        <v>48</v>
      </c>
    </row>
    <row r="5610" spans="1:10" ht="21" customHeight="1">
      <c r="A5610" s="2" t="s">
        <v>6612</v>
      </c>
      <c r="B5610" s="2" t="s">
        <v>48</v>
      </c>
      <c r="C5610" s="4">
        <v>45791.25</v>
      </c>
      <c r="D5610" s="4">
        <v>45791.250075763892</v>
      </c>
      <c r="E5610" s="2">
        <v>2.5099999999999998</v>
      </c>
      <c r="F5610" s="2">
        <v>61.9</v>
      </c>
      <c r="G5610" s="2" t="s">
        <v>983</v>
      </c>
      <c r="H5610" s="2" t="s">
        <v>984</v>
      </c>
      <c r="I5610" s="2"/>
      <c r="J5610" s="2" t="s">
        <v>48</v>
      </c>
    </row>
    <row r="5611" spans="1:10" ht="21" customHeight="1">
      <c r="A5611" s="2" t="s">
        <v>6613</v>
      </c>
      <c r="B5611" s="2" t="s">
        <v>48</v>
      </c>
      <c r="C5611" s="4">
        <v>45792.25</v>
      </c>
      <c r="D5611" s="4">
        <v>45792.250237129629</v>
      </c>
      <c r="E5611" s="2">
        <v>2.27</v>
      </c>
      <c r="F5611" s="2">
        <v>64.900000000000006</v>
      </c>
      <c r="G5611" s="2" t="s">
        <v>983</v>
      </c>
      <c r="H5611" s="2" t="s">
        <v>984</v>
      </c>
      <c r="I5611" s="2"/>
      <c r="J5611" s="2" t="s">
        <v>48</v>
      </c>
    </row>
    <row r="5612" spans="1:10" ht="21" customHeight="1">
      <c r="A5612" s="2" t="s">
        <v>6614</v>
      </c>
      <c r="B5612" s="2" t="s">
        <v>48</v>
      </c>
      <c r="C5612" s="4">
        <v>45793.25</v>
      </c>
      <c r="D5612" s="4">
        <v>45793.250530636578</v>
      </c>
      <c r="E5612" s="2">
        <v>3.19</v>
      </c>
      <c r="F5612" s="2">
        <v>63.1</v>
      </c>
      <c r="G5612" s="2" t="s">
        <v>983</v>
      </c>
      <c r="H5612" s="2" t="s">
        <v>984</v>
      </c>
      <c r="I5612" s="2"/>
      <c r="J5612" s="2" t="s">
        <v>48</v>
      </c>
    </row>
    <row r="5613" spans="1:10" ht="21" customHeight="1">
      <c r="A5613" s="2" t="s">
        <v>6615</v>
      </c>
      <c r="B5613" s="2" t="s">
        <v>48</v>
      </c>
      <c r="C5613" s="4">
        <v>45794.25</v>
      </c>
      <c r="D5613" s="4">
        <v>45794.250252962964</v>
      </c>
      <c r="E5613" s="2">
        <v>2.92</v>
      </c>
      <c r="F5613" s="2">
        <v>63.8</v>
      </c>
      <c r="G5613" s="2" t="s">
        <v>983</v>
      </c>
      <c r="H5613" s="2" t="s">
        <v>984</v>
      </c>
      <c r="I5613" s="2" t="s">
        <v>985</v>
      </c>
      <c r="J5613" s="2" t="s">
        <v>48</v>
      </c>
    </row>
    <row r="5614" spans="1:10" ht="21" customHeight="1">
      <c r="A5614" s="2" t="s">
        <v>6616</v>
      </c>
      <c r="B5614" s="2" t="s">
        <v>48</v>
      </c>
      <c r="C5614" s="4">
        <v>45795.25</v>
      </c>
      <c r="D5614" s="4">
        <v>45795.250503506948</v>
      </c>
      <c r="E5614" s="2">
        <v>2.86</v>
      </c>
      <c r="F5614" s="2">
        <v>63.4</v>
      </c>
      <c r="G5614" s="2" t="s">
        <v>983</v>
      </c>
      <c r="H5614" s="2" t="s">
        <v>984</v>
      </c>
      <c r="I5614" s="2"/>
      <c r="J5614" s="2" t="s">
        <v>48</v>
      </c>
    </row>
    <row r="5615" spans="1:10" ht="21" customHeight="1">
      <c r="A5615" s="2" t="s">
        <v>6617</v>
      </c>
      <c r="B5615" s="2" t="s">
        <v>48</v>
      </c>
      <c r="C5615" s="4">
        <v>45796.25</v>
      </c>
      <c r="D5615" s="4">
        <v>45796.250051180556</v>
      </c>
      <c r="E5615" s="2"/>
      <c r="F5615" s="2"/>
      <c r="G5615" s="2" t="s">
        <v>983</v>
      </c>
      <c r="H5615" s="2" t="s">
        <v>1066</v>
      </c>
      <c r="I5615" s="2"/>
      <c r="J5615" s="2" t="s">
        <v>48</v>
      </c>
    </row>
    <row r="5616" spans="1:10" ht="21" customHeight="1">
      <c r="A5616" s="2" t="s">
        <v>6618</v>
      </c>
      <c r="B5616" s="2" t="s">
        <v>48</v>
      </c>
      <c r="C5616" s="4">
        <v>45797.25</v>
      </c>
      <c r="D5616" s="4">
        <v>45797.250291284727</v>
      </c>
      <c r="E5616" s="2">
        <v>2.52</v>
      </c>
      <c r="F5616" s="2">
        <v>59.6</v>
      </c>
      <c r="G5616" s="2" t="s">
        <v>983</v>
      </c>
      <c r="H5616" s="2" t="s">
        <v>984</v>
      </c>
      <c r="I5616" s="2"/>
      <c r="J5616" s="2" t="s">
        <v>48</v>
      </c>
    </row>
    <row r="5617" spans="1:10" ht="21" customHeight="1">
      <c r="A5617" s="2" t="s">
        <v>6619</v>
      </c>
      <c r="B5617" s="2" t="s">
        <v>48</v>
      </c>
      <c r="C5617" s="4">
        <v>45798.25</v>
      </c>
      <c r="D5617" s="4">
        <v>45798.250171215273</v>
      </c>
      <c r="E5617" s="2">
        <v>2.59</v>
      </c>
      <c r="F5617" s="2">
        <v>60.3</v>
      </c>
      <c r="G5617" s="2" t="s">
        <v>983</v>
      </c>
      <c r="H5617" s="2" t="s">
        <v>984</v>
      </c>
      <c r="I5617" s="2"/>
      <c r="J5617" s="2" t="s">
        <v>48</v>
      </c>
    </row>
    <row r="5618" spans="1:10" ht="21" customHeight="1">
      <c r="A5618" s="2" t="s">
        <v>6620</v>
      </c>
      <c r="B5618" s="2" t="s">
        <v>48</v>
      </c>
      <c r="C5618" s="4">
        <v>45799.25</v>
      </c>
      <c r="D5618" s="4">
        <v>45799.250465092591</v>
      </c>
      <c r="E5618" s="2">
        <v>3.3</v>
      </c>
      <c r="F5618" s="2">
        <v>65.900000000000006</v>
      </c>
      <c r="G5618" s="2" t="s">
        <v>983</v>
      </c>
      <c r="H5618" s="2" t="s">
        <v>984</v>
      </c>
      <c r="I5618" s="2"/>
      <c r="J5618" s="2" t="s">
        <v>48</v>
      </c>
    </row>
    <row r="5619" spans="1:10" ht="21" customHeight="1">
      <c r="A5619" s="2" t="s">
        <v>6621</v>
      </c>
      <c r="B5619" s="2" t="s">
        <v>6498</v>
      </c>
      <c r="C5619" s="4">
        <v>45800.25</v>
      </c>
      <c r="D5619" s="4">
        <v>45800.250200046299</v>
      </c>
      <c r="E5619" s="2">
        <v>3.16</v>
      </c>
      <c r="F5619" s="2">
        <v>62.4</v>
      </c>
      <c r="G5619" s="2" t="s">
        <v>983</v>
      </c>
      <c r="H5619" s="2" t="s">
        <v>984</v>
      </c>
      <c r="I5619" s="2"/>
      <c r="J5619" s="2" t="s">
        <v>48</v>
      </c>
    </row>
    <row r="5620" spans="1:10" ht="21" customHeight="1">
      <c r="A5620" s="2" t="s">
        <v>6622</v>
      </c>
      <c r="B5620" s="2" t="s">
        <v>48</v>
      </c>
      <c r="C5620" s="4">
        <v>45801.25</v>
      </c>
      <c r="D5620" s="4">
        <v>45801.25049431713</v>
      </c>
      <c r="E5620" s="2">
        <v>2.6</v>
      </c>
      <c r="F5620" s="2">
        <v>58.9</v>
      </c>
      <c r="G5620" s="2" t="s">
        <v>983</v>
      </c>
      <c r="H5620" s="2" t="s">
        <v>984</v>
      </c>
      <c r="I5620" s="2"/>
      <c r="J5620" s="2" t="s">
        <v>48</v>
      </c>
    </row>
    <row r="5621" spans="1:10" ht="21" customHeight="1">
      <c r="A5621" s="2" t="s">
        <v>6623</v>
      </c>
      <c r="B5621" s="2" t="s">
        <v>48</v>
      </c>
      <c r="C5621" s="4">
        <v>45802.25</v>
      </c>
      <c r="D5621" s="4">
        <v>45802.250450798616</v>
      </c>
      <c r="E5621" s="2">
        <v>3.25</v>
      </c>
      <c r="F5621" s="2">
        <v>63.1</v>
      </c>
      <c r="G5621" s="2" t="s">
        <v>983</v>
      </c>
      <c r="H5621" s="2" t="s">
        <v>984</v>
      </c>
      <c r="I5621" s="2"/>
      <c r="J5621" s="2" t="s">
        <v>48</v>
      </c>
    </row>
    <row r="5622" spans="1:10" ht="21" customHeight="1">
      <c r="A5622" s="2" t="s">
        <v>6624</v>
      </c>
      <c r="B5622" s="2" t="s">
        <v>48</v>
      </c>
      <c r="C5622" s="4">
        <v>45803.25</v>
      </c>
      <c r="D5622" s="4">
        <v>45803.250203171294</v>
      </c>
      <c r="E5622" s="2">
        <v>2.17</v>
      </c>
      <c r="F5622" s="2">
        <v>63.6</v>
      </c>
      <c r="G5622" s="2" t="s">
        <v>983</v>
      </c>
      <c r="H5622" s="2" t="s">
        <v>984</v>
      </c>
      <c r="I5622" s="2"/>
      <c r="J5622" s="2" t="s">
        <v>48</v>
      </c>
    </row>
    <row r="5623" spans="1:10" ht="21" customHeight="1">
      <c r="A5623" s="2" t="s">
        <v>6625</v>
      </c>
      <c r="B5623" s="2" t="s">
        <v>48</v>
      </c>
      <c r="C5623" s="4">
        <v>45804.25</v>
      </c>
      <c r="D5623" s="4">
        <v>45804.250605092588</v>
      </c>
      <c r="E5623" s="2">
        <v>3.14</v>
      </c>
      <c r="F5623" s="2">
        <v>58.9</v>
      </c>
      <c r="G5623" s="2" t="s">
        <v>983</v>
      </c>
      <c r="H5623" s="2" t="s">
        <v>984</v>
      </c>
      <c r="I5623" s="2"/>
      <c r="J5623" s="2" t="s">
        <v>48</v>
      </c>
    </row>
    <row r="5624" spans="1:10" ht="21" customHeight="1">
      <c r="A5624" s="2" t="s">
        <v>6626</v>
      </c>
      <c r="B5624" s="2" t="s">
        <v>48</v>
      </c>
      <c r="C5624" s="4">
        <v>45805.25</v>
      </c>
      <c r="D5624" s="4">
        <v>45805.250212210653</v>
      </c>
      <c r="E5624" s="2">
        <v>3.04</v>
      </c>
      <c r="F5624" s="2">
        <v>59.8</v>
      </c>
      <c r="G5624" s="2" t="s">
        <v>983</v>
      </c>
      <c r="H5624" s="2" t="s">
        <v>984</v>
      </c>
      <c r="I5624" s="2"/>
      <c r="J5624" s="2" t="s">
        <v>48</v>
      </c>
    </row>
    <row r="5625" spans="1:10" ht="21" customHeight="1">
      <c r="A5625" s="2" t="s">
        <v>6627</v>
      </c>
      <c r="B5625" s="2" t="s">
        <v>48</v>
      </c>
      <c r="C5625" s="4">
        <v>45806.25</v>
      </c>
      <c r="D5625" s="4">
        <v>45806.250143275465</v>
      </c>
      <c r="E5625" s="2">
        <v>2.88</v>
      </c>
      <c r="F5625" s="2">
        <v>62.2</v>
      </c>
      <c r="G5625" s="2" t="s">
        <v>983</v>
      </c>
      <c r="H5625" s="2" t="s">
        <v>984</v>
      </c>
      <c r="I5625" s="2"/>
      <c r="J5625" s="2" t="s">
        <v>48</v>
      </c>
    </row>
    <row r="5626" spans="1:10" ht="21" customHeight="1">
      <c r="A5626" s="2" t="s">
        <v>6628</v>
      </c>
      <c r="B5626" s="2" t="s">
        <v>48</v>
      </c>
      <c r="C5626" s="4">
        <v>45807.25</v>
      </c>
      <c r="D5626" s="4">
        <v>45807.250191990737</v>
      </c>
      <c r="E5626" s="2">
        <v>2.36</v>
      </c>
      <c r="F5626" s="2">
        <v>63.5</v>
      </c>
      <c r="G5626" s="2" t="s">
        <v>983</v>
      </c>
      <c r="H5626" s="2" t="s">
        <v>984</v>
      </c>
      <c r="I5626" s="2"/>
      <c r="J5626" s="2" t="s">
        <v>48</v>
      </c>
    </row>
    <row r="5627" spans="1:10" ht="21" customHeight="1">
      <c r="A5627" s="2" t="s">
        <v>6629</v>
      </c>
      <c r="B5627" s="2" t="s">
        <v>48</v>
      </c>
      <c r="C5627" s="4">
        <v>45808.25</v>
      </c>
      <c r="D5627" s="4">
        <v>45808.250030057869</v>
      </c>
      <c r="E5627" s="2">
        <v>2.4700000000000002</v>
      </c>
      <c r="F5627" s="2">
        <v>61.2</v>
      </c>
      <c r="G5627" s="2" t="s">
        <v>983</v>
      </c>
      <c r="H5627" s="2" t="s">
        <v>984</v>
      </c>
      <c r="I5627" s="2"/>
      <c r="J5627" s="2" t="s">
        <v>48</v>
      </c>
    </row>
    <row r="5628" spans="1:10" ht="21" customHeight="1">
      <c r="A5628" s="2" t="s">
        <v>6630</v>
      </c>
      <c r="B5628" s="2" t="s">
        <v>48</v>
      </c>
      <c r="C5628" s="4">
        <v>45809.25</v>
      </c>
      <c r="D5628" s="4">
        <v>45809.250430590277</v>
      </c>
      <c r="E5628" s="2">
        <v>2.6</v>
      </c>
      <c r="F5628" s="2">
        <v>63.2</v>
      </c>
      <c r="G5628" s="2" t="s">
        <v>983</v>
      </c>
      <c r="H5628" s="2" t="s">
        <v>984</v>
      </c>
      <c r="I5628" s="2"/>
      <c r="J5628" s="2" t="s">
        <v>48</v>
      </c>
    </row>
    <row r="5629" spans="1:10" ht="21" customHeight="1">
      <c r="A5629" s="2" t="s">
        <v>6631</v>
      </c>
      <c r="B5629" s="2" t="s">
        <v>48</v>
      </c>
      <c r="C5629" s="4">
        <v>45810.25</v>
      </c>
      <c r="D5629" s="4">
        <v>45810.250096944445</v>
      </c>
      <c r="E5629" s="2">
        <v>2.67</v>
      </c>
      <c r="F5629" s="2">
        <v>66</v>
      </c>
      <c r="G5629" s="2" t="s">
        <v>983</v>
      </c>
      <c r="H5629" s="2" t="s">
        <v>984</v>
      </c>
      <c r="I5629" s="2"/>
      <c r="J5629" s="2" t="s">
        <v>48</v>
      </c>
    </row>
    <row r="5630" spans="1:10" ht="21" customHeight="1">
      <c r="A5630" s="2" t="s">
        <v>6632</v>
      </c>
      <c r="B5630" s="2" t="s">
        <v>48</v>
      </c>
      <c r="C5630" s="4">
        <v>45811.25</v>
      </c>
      <c r="D5630" s="4">
        <v>45811.250362430554</v>
      </c>
      <c r="E5630" s="2">
        <v>2.66</v>
      </c>
      <c r="F5630" s="2">
        <v>65.900000000000006</v>
      </c>
      <c r="G5630" s="2" t="s">
        <v>983</v>
      </c>
      <c r="H5630" s="2" t="s">
        <v>984</v>
      </c>
      <c r="I5630" s="2" t="s">
        <v>985</v>
      </c>
      <c r="J5630" s="2" t="s">
        <v>48</v>
      </c>
    </row>
    <row r="5631" spans="1:10" ht="21" customHeight="1">
      <c r="A5631" s="2" t="s">
        <v>6633</v>
      </c>
      <c r="B5631" s="2" t="s">
        <v>48</v>
      </c>
      <c r="C5631" s="4">
        <v>45812.25</v>
      </c>
      <c r="D5631" s="4">
        <v>45812.250140567128</v>
      </c>
      <c r="E5631" s="2">
        <v>2.86</v>
      </c>
      <c r="F5631" s="2">
        <v>62.7</v>
      </c>
      <c r="G5631" s="2" t="s">
        <v>983</v>
      </c>
      <c r="H5631" s="2" t="s">
        <v>984</v>
      </c>
      <c r="I5631" s="2"/>
      <c r="J5631" s="2" t="s">
        <v>48</v>
      </c>
    </row>
    <row r="5632" spans="1:10" ht="21" customHeight="1">
      <c r="A5632" s="2" t="s">
        <v>6634</v>
      </c>
      <c r="B5632" s="2" t="s">
        <v>48</v>
      </c>
      <c r="C5632" s="4">
        <v>45813.25</v>
      </c>
      <c r="D5632" s="4">
        <v>45813.250423923615</v>
      </c>
      <c r="E5632" s="2">
        <v>3.22</v>
      </c>
      <c r="F5632" s="2">
        <v>65.5</v>
      </c>
      <c r="G5632" s="2" t="s">
        <v>983</v>
      </c>
      <c r="H5632" s="2" t="s">
        <v>984</v>
      </c>
      <c r="I5632" s="2"/>
      <c r="J5632" s="2" t="s">
        <v>48</v>
      </c>
    </row>
    <row r="5633" spans="1:10" ht="21" customHeight="1">
      <c r="A5633" s="2" t="s">
        <v>6635</v>
      </c>
      <c r="B5633" s="2" t="s">
        <v>48</v>
      </c>
      <c r="C5633" s="4">
        <v>45814.25</v>
      </c>
      <c r="D5633" s="4">
        <v>45814.250362511579</v>
      </c>
      <c r="E5633" s="2">
        <v>3.03</v>
      </c>
      <c r="F5633" s="2">
        <v>59.6</v>
      </c>
      <c r="G5633" s="2" t="s">
        <v>983</v>
      </c>
      <c r="H5633" s="2" t="s">
        <v>984</v>
      </c>
      <c r="I5633" s="2"/>
      <c r="J5633" s="2" t="s">
        <v>48</v>
      </c>
    </row>
    <row r="5634" spans="1:10" ht="21" customHeight="1">
      <c r="A5634" s="2" t="s">
        <v>6636</v>
      </c>
      <c r="B5634" s="2" t="s">
        <v>48</v>
      </c>
      <c r="C5634" s="4">
        <v>45815.25</v>
      </c>
      <c r="D5634" s="4">
        <v>45815.25058644676</v>
      </c>
      <c r="E5634" s="2"/>
      <c r="F5634" s="2"/>
      <c r="G5634" s="2" t="s">
        <v>983</v>
      </c>
      <c r="H5634" s="2" t="s">
        <v>1066</v>
      </c>
      <c r="I5634" s="2"/>
      <c r="J5634" s="2" t="s">
        <v>48</v>
      </c>
    </row>
    <row r="5635" spans="1:10" ht="21" customHeight="1">
      <c r="A5635" s="2" t="s">
        <v>6637</v>
      </c>
      <c r="B5635" s="2" t="s">
        <v>48</v>
      </c>
      <c r="C5635" s="4">
        <v>45816.25</v>
      </c>
      <c r="D5635" s="4">
        <v>45816.250295150458</v>
      </c>
      <c r="E5635" s="2">
        <v>0</v>
      </c>
      <c r="F5635" s="2">
        <v>59.8</v>
      </c>
      <c r="G5635" s="2" t="s">
        <v>1175</v>
      </c>
      <c r="H5635" s="2" t="s">
        <v>984</v>
      </c>
      <c r="I5635" s="2"/>
      <c r="J5635" s="2" t="s">
        <v>48</v>
      </c>
    </row>
    <row r="5636" spans="1:10" ht="21" customHeight="1">
      <c r="A5636" s="2" t="s">
        <v>6638</v>
      </c>
      <c r="B5636" s="2" t="s">
        <v>48</v>
      </c>
      <c r="C5636" s="4">
        <v>45817.25</v>
      </c>
      <c r="D5636" s="4">
        <v>45817.250213738429</v>
      </c>
      <c r="E5636" s="2">
        <v>2.58</v>
      </c>
      <c r="F5636" s="2">
        <v>58.6</v>
      </c>
      <c r="G5636" s="2" t="s">
        <v>983</v>
      </c>
      <c r="H5636" s="2" t="s">
        <v>984</v>
      </c>
      <c r="I5636" s="2"/>
      <c r="J5636" s="2" t="s">
        <v>48</v>
      </c>
    </row>
    <row r="5637" spans="1:10" ht="21" customHeight="1">
      <c r="A5637" s="2" t="s">
        <v>6639</v>
      </c>
      <c r="B5637" s="2" t="s">
        <v>48</v>
      </c>
      <c r="C5637" s="4">
        <v>45818.25</v>
      </c>
      <c r="D5637" s="4">
        <v>45818.250076168981</v>
      </c>
      <c r="E5637" s="2">
        <v>2.29</v>
      </c>
      <c r="F5637" s="2">
        <v>65.400000000000006</v>
      </c>
      <c r="G5637" s="2" t="s">
        <v>983</v>
      </c>
      <c r="H5637" s="2" t="s">
        <v>984</v>
      </c>
      <c r="I5637" s="2"/>
      <c r="J5637" s="2" t="s">
        <v>48</v>
      </c>
    </row>
    <row r="5638" spans="1:10" ht="21" customHeight="1">
      <c r="A5638" s="2" t="s">
        <v>6640</v>
      </c>
      <c r="B5638" s="2" t="s">
        <v>48</v>
      </c>
      <c r="C5638" s="4">
        <v>45819.25</v>
      </c>
      <c r="D5638" s="4">
        <v>45819.250304930552</v>
      </c>
      <c r="E5638" s="2">
        <v>2.91</v>
      </c>
      <c r="F5638" s="2">
        <v>59.4</v>
      </c>
      <c r="G5638" s="2" t="s">
        <v>983</v>
      </c>
      <c r="H5638" s="2" t="s">
        <v>984</v>
      </c>
      <c r="I5638" s="2"/>
      <c r="J5638" s="2" t="s">
        <v>48</v>
      </c>
    </row>
    <row r="5639" spans="1:10" ht="21" customHeight="1">
      <c r="A5639" s="2" t="s">
        <v>6641</v>
      </c>
      <c r="B5639" s="2" t="s">
        <v>48</v>
      </c>
      <c r="C5639" s="4">
        <v>45820.25</v>
      </c>
      <c r="D5639" s="4">
        <v>45820.250179363429</v>
      </c>
      <c r="E5639" s="2">
        <v>3.06</v>
      </c>
      <c r="F5639" s="2">
        <v>63.4</v>
      </c>
      <c r="G5639" s="2" t="s">
        <v>983</v>
      </c>
      <c r="H5639" s="2" t="s">
        <v>984</v>
      </c>
      <c r="I5639" s="2"/>
      <c r="J5639" s="2" t="s">
        <v>48</v>
      </c>
    </row>
    <row r="5640" spans="1:10" ht="21" customHeight="1">
      <c r="A5640" s="2" t="s">
        <v>6642</v>
      </c>
      <c r="B5640" s="2" t="s">
        <v>48</v>
      </c>
      <c r="C5640" s="4">
        <v>45821.25</v>
      </c>
      <c r="D5640" s="4">
        <v>45821.250483124997</v>
      </c>
      <c r="E5640" s="2">
        <v>3</v>
      </c>
      <c r="F5640" s="2">
        <v>64.599999999999994</v>
      </c>
      <c r="G5640" s="2" t="s">
        <v>983</v>
      </c>
      <c r="H5640" s="2" t="s">
        <v>984</v>
      </c>
      <c r="I5640" s="2"/>
      <c r="J5640" s="2" t="s">
        <v>48</v>
      </c>
    </row>
    <row r="5641" spans="1:10" ht="21" customHeight="1">
      <c r="A5641" s="2" t="s">
        <v>6643</v>
      </c>
      <c r="B5641" s="2" t="s">
        <v>48</v>
      </c>
      <c r="C5641" s="4">
        <v>45822.25</v>
      </c>
      <c r="D5641" s="4">
        <v>45822.25035170139</v>
      </c>
      <c r="E5641" s="2">
        <v>2.56</v>
      </c>
      <c r="F5641" s="2">
        <v>64</v>
      </c>
      <c r="G5641" s="2" t="s">
        <v>983</v>
      </c>
      <c r="H5641" s="2" t="s">
        <v>984</v>
      </c>
      <c r="I5641" s="2"/>
      <c r="J5641" s="2" t="s">
        <v>48</v>
      </c>
    </row>
    <row r="5642" spans="1:10" ht="21" customHeight="1">
      <c r="A5642" s="2" t="s">
        <v>6644</v>
      </c>
      <c r="B5642" s="2" t="s">
        <v>48</v>
      </c>
      <c r="C5642" s="4">
        <v>45823.25</v>
      </c>
      <c r="D5642" s="4">
        <v>45823.250217974535</v>
      </c>
      <c r="E5642" s="2">
        <v>3.05</v>
      </c>
      <c r="F5642" s="2">
        <v>59.8</v>
      </c>
      <c r="G5642" s="2" t="s">
        <v>983</v>
      </c>
      <c r="H5642" s="2" t="s">
        <v>984</v>
      </c>
      <c r="I5642" s="2"/>
      <c r="J5642" s="2" t="s">
        <v>48</v>
      </c>
    </row>
    <row r="5643" spans="1:10" ht="21" customHeight="1">
      <c r="A5643" s="2" t="s">
        <v>6645</v>
      </c>
      <c r="B5643" s="2" t="s">
        <v>48</v>
      </c>
      <c r="C5643" s="4">
        <v>45824.25</v>
      </c>
      <c r="D5643" s="4">
        <v>45824.25048456018</v>
      </c>
      <c r="E5643" s="2">
        <v>2.59</v>
      </c>
      <c r="F5643" s="2">
        <v>61.9</v>
      </c>
      <c r="G5643" s="2" t="s">
        <v>983</v>
      </c>
      <c r="H5643" s="2" t="s">
        <v>984</v>
      </c>
      <c r="I5643" s="2"/>
      <c r="J5643" s="2" t="s">
        <v>48</v>
      </c>
    </row>
    <row r="5644" spans="1:10" ht="21" customHeight="1">
      <c r="A5644" s="2" t="s">
        <v>6646</v>
      </c>
      <c r="B5644" s="2" t="s">
        <v>48</v>
      </c>
      <c r="C5644" s="4">
        <v>45825.25</v>
      </c>
      <c r="D5644" s="4">
        <v>45825.250071458329</v>
      </c>
      <c r="E5644" s="2">
        <v>4.4800000000000004</v>
      </c>
      <c r="F5644" s="2">
        <v>69.5</v>
      </c>
      <c r="G5644" s="2" t="s">
        <v>983</v>
      </c>
      <c r="H5644" s="2" t="s">
        <v>984</v>
      </c>
      <c r="I5644" s="2"/>
      <c r="J5644" s="2" t="s">
        <v>48</v>
      </c>
    </row>
    <row r="5645" spans="1:10" ht="21" customHeight="1">
      <c r="A5645" s="2" t="s">
        <v>6647</v>
      </c>
      <c r="B5645" s="2" t="s">
        <v>48</v>
      </c>
      <c r="C5645" s="4">
        <v>45826.25</v>
      </c>
      <c r="D5645" s="4">
        <v>45826.25066583333</v>
      </c>
      <c r="E5645" s="2">
        <v>5.91</v>
      </c>
      <c r="F5645" s="2">
        <v>71.900000000000006</v>
      </c>
      <c r="G5645" s="2" t="s">
        <v>983</v>
      </c>
      <c r="H5645" s="2" t="s">
        <v>984</v>
      </c>
      <c r="I5645" s="2" t="s">
        <v>1053</v>
      </c>
      <c r="J5645" s="2" t="s">
        <v>48</v>
      </c>
    </row>
    <row r="5646" spans="1:10" ht="21" customHeight="1">
      <c r="A5646" s="2" t="s">
        <v>6648</v>
      </c>
      <c r="B5646" s="2" t="s">
        <v>48</v>
      </c>
      <c r="C5646" s="4">
        <v>45827.25</v>
      </c>
      <c r="D5646" s="4">
        <v>45827.250058136575</v>
      </c>
      <c r="E5646" s="2">
        <v>6.21</v>
      </c>
      <c r="F5646" s="2">
        <v>70</v>
      </c>
      <c r="G5646" s="2" t="s">
        <v>983</v>
      </c>
      <c r="H5646" s="2" t="s">
        <v>984</v>
      </c>
      <c r="I5646" s="2"/>
      <c r="J5646" s="2" t="s">
        <v>48</v>
      </c>
    </row>
    <row r="5647" spans="1:10" ht="21" customHeight="1">
      <c r="A5647" s="2" t="s">
        <v>6649</v>
      </c>
      <c r="B5647" s="2" t="s">
        <v>48</v>
      </c>
      <c r="C5647" s="4">
        <v>45828.25</v>
      </c>
      <c r="D5647" s="4">
        <v>45828.250340752318</v>
      </c>
      <c r="E5647" s="2">
        <v>0</v>
      </c>
      <c r="F5647" s="2">
        <v>61.2</v>
      </c>
      <c r="G5647" s="2" t="s">
        <v>1175</v>
      </c>
      <c r="H5647" s="2" t="s">
        <v>984</v>
      </c>
      <c r="I5647" s="2" t="s">
        <v>985</v>
      </c>
      <c r="J5647" s="2" t="s">
        <v>48</v>
      </c>
    </row>
    <row r="5648" spans="1:10" ht="21" customHeight="1">
      <c r="A5648" s="2" t="s">
        <v>6650</v>
      </c>
      <c r="B5648" s="2" t="s">
        <v>48</v>
      </c>
      <c r="C5648" s="4">
        <v>45829.25</v>
      </c>
      <c r="D5648" s="4">
        <v>45829.250474120374</v>
      </c>
      <c r="E5648" s="2">
        <v>2.34</v>
      </c>
      <c r="F5648" s="2">
        <v>64.7</v>
      </c>
      <c r="G5648" s="2" t="s">
        <v>983</v>
      </c>
      <c r="H5648" s="2" t="s">
        <v>984</v>
      </c>
      <c r="I5648" s="2"/>
      <c r="J5648" s="2" t="s">
        <v>48</v>
      </c>
    </row>
    <row r="5649" spans="1:10" ht="21" customHeight="1">
      <c r="A5649" s="2" t="s">
        <v>6651</v>
      </c>
      <c r="B5649" s="2" t="s">
        <v>48</v>
      </c>
      <c r="C5649" s="4">
        <v>45830.25</v>
      </c>
      <c r="D5649" s="4">
        <v>45830.250142951394</v>
      </c>
      <c r="E5649" s="2">
        <v>3.26</v>
      </c>
      <c r="F5649" s="2">
        <v>60</v>
      </c>
      <c r="G5649" s="2" t="s">
        <v>983</v>
      </c>
      <c r="H5649" s="2" t="s">
        <v>984</v>
      </c>
      <c r="I5649" s="2"/>
      <c r="J5649" s="2" t="s">
        <v>48</v>
      </c>
    </row>
    <row r="5650" spans="1:10" ht="21" customHeight="1">
      <c r="A5650" s="2" t="s">
        <v>6652</v>
      </c>
      <c r="B5650" s="2" t="s">
        <v>48</v>
      </c>
      <c r="C5650" s="4">
        <v>45831.25</v>
      </c>
      <c r="D5650" s="4">
        <v>45831.250039965278</v>
      </c>
      <c r="E5650" s="2">
        <v>2.71</v>
      </c>
      <c r="F5650" s="2">
        <v>59.6</v>
      </c>
      <c r="G5650" s="2" t="s">
        <v>983</v>
      </c>
      <c r="H5650" s="2" t="s">
        <v>984</v>
      </c>
      <c r="I5650" s="2"/>
      <c r="J5650" s="2" t="s">
        <v>48</v>
      </c>
    </row>
    <row r="5651" spans="1:10" ht="21" customHeight="1">
      <c r="A5651" s="2" t="s">
        <v>6653</v>
      </c>
      <c r="B5651" s="2" t="s">
        <v>48</v>
      </c>
      <c r="C5651" s="4">
        <v>45832.25</v>
      </c>
      <c r="D5651" s="4">
        <v>45832.250324641209</v>
      </c>
      <c r="E5651" s="2">
        <v>2.61</v>
      </c>
      <c r="F5651" s="2">
        <v>60.9</v>
      </c>
      <c r="G5651" s="2" t="s">
        <v>983</v>
      </c>
      <c r="H5651" s="2" t="s">
        <v>984</v>
      </c>
      <c r="I5651" s="2"/>
      <c r="J5651" s="2" t="s">
        <v>48</v>
      </c>
    </row>
    <row r="5652" spans="1:10" ht="21" customHeight="1">
      <c r="A5652" s="2" t="s">
        <v>6654</v>
      </c>
      <c r="B5652" s="2" t="s">
        <v>48</v>
      </c>
      <c r="C5652" s="4">
        <v>45833.25</v>
      </c>
      <c r="D5652" s="4">
        <v>45833.250203495365</v>
      </c>
      <c r="E5652" s="2">
        <v>3.06</v>
      </c>
      <c r="F5652" s="2">
        <v>58</v>
      </c>
      <c r="G5652" s="2" t="s">
        <v>983</v>
      </c>
      <c r="H5652" s="2" t="s">
        <v>984</v>
      </c>
      <c r="I5652" s="2"/>
      <c r="J5652" s="2" t="s">
        <v>48</v>
      </c>
    </row>
    <row r="5653" spans="1:10" ht="21" customHeight="1">
      <c r="A5653" s="2" t="s">
        <v>6655</v>
      </c>
      <c r="B5653" s="2" t="s">
        <v>48</v>
      </c>
      <c r="C5653" s="4">
        <v>45834.25</v>
      </c>
      <c r="D5653" s="4">
        <v>45834.250460821757</v>
      </c>
      <c r="E5653" s="2">
        <v>2.4500000000000002</v>
      </c>
      <c r="F5653" s="2">
        <v>61.3</v>
      </c>
      <c r="G5653" s="2" t="s">
        <v>983</v>
      </c>
      <c r="H5653" s="2" t="s">
        <v>984</v>
      </c>
      <c r="I5653" s="2"/>
      <c r="J5653" s="2" t="s">
        <v>48</v>
      </c>
    </row>
    <row r="5654" spans="1:10" ht="21" customHeight="1">
      <c r="A5654" s="2" t="s">
        <v>6656</v>
      </c>
      <c r="B5654" s="2" t="s">
        <v>48</v>
      </c>
      <c r="C5654" s="4">
        <v>45835.25</v>
      </c>
      <c r="D5654" s="4">
        <v>45835.250291296295</v>
      </c>
      <c r="E5654" s="2">
        <v>3.03</v>
      </c>
      <c r="F5654" s="2">
        <v>61.1</v>
      </c>
      <c r="G5654" s="2" t="s">
        <v>983</v>
      </c>
      <c r="H5654" s="2" t="s">
        <v>984</v>
      </c>
      <c r="I5654" s="2"/>
      <c r="J5654" s="2" t="s">
        <v>48</v>
      </c>
    </row>
    <row r="5655" spans="1:10" ht="21" customHeight="1">
      <c r="A5655" s="2" t="s">
        <v>6657</v>
      </c>
      <c r="B5655" s="2" t="s">
        <v>48</v>
      </c>
      <c r="C5655" s="4">
        <v>45836.25</v>
      </c>
      <c r="D5655" s="4">
        <v>45836.25037415509</v>
      </c>
      <c r="E5655" s="2">
        <v>2.61</v>
      </c>
      <c r="F5655" s="2">
        <v>61.5</v>
      </c>
      <c r="G5655" s="2" t="s">
        <v>983</v>
      </c>
      <c r="H5655" s="2" t="s">
        <v>984</v>
      </c>
      <c r="I5655" s="2"/>
      <c r="J5655" s="2" t="s">
        <v>48</v>
      </c>
    </row>
    <row r="5656" spans="1:10" ht="21" customHeight="1">
      <c r="A5656" s="2" t="s">
        <v>6658</v>
      </c>
      <c r="B5656" s="2" t="s">
        <v>48</v>
      </c>
      <c r="C5656" s="4">
        <v>45837.25</v>
      </c>
      <c r="D5656" s="4">
        <v>45837.25025813657</v>
      </c>
      <c r="E5656" s="2">
        <v>2.63</v>
      </c>
      <c r="F5656" s="2">
        <v>58.3</v>
      </c>
      <c r="G5656" s="2" t="s">
        <v>983</v>
      </c>
      <c r="H5656" s="2" t="s">
        <v>984</v>
      </c>
      <c r="I5656" s="2"/>
      <c r="J5656" s="2" t="s">
        <v>48</v>
      </c>
    </row>
    <row r="5657" spans="1:10" ht="21" customHeight="1">
      <c r="A5657" s="2" t="s">
        <v>6659</v>
      </c>
      <c r="B5657" s="2" t="s">
        <v>48</v>
      </c>
      <c r="C5657" s="4">
        <v>45838.25</v>
      </c>
      <c r="D5657" s="4">
        <v>45838.250088148146</v>
      </c>
      <c r="E5657" s="2">
        <v>2.98</v>
      </c>
      <c r="F5657" s="2">
        <v>62.7</v>
      </c>
      <c r="G5657" s="2" t="s">
        <v>983</v>
      </c>
      <c r="H5657" s="2" t="s">
        <v>984</v>
      </c>
      <c r="I5657" s="2"/>
      <c r="J5657" s="2" t="s">
        <v>48</v>
      </c>
    </row>
    <row r="5658" spans="1:10" ht="21" customHeight="1">
      <c r="A5658" s="2" t="s">
        <v>6660</v>
      </c>
      <c r="B5658" s="2" t="s">
        <v>48</v>
      </c>
      <c r="C5658" s="4">
        <v>45839.25</v>
      </c>
      <c r="D5658" s="4">
        <v>45839.250638333338</v>
      </c>
      <c r="E5658" s="2">
        <v>2.17</v>
      </c>
      <c r="F5658" s="2">
        <v>58.3</v>
      </c>
      <c r="G5658" s="2" t="s">
        <v>983</v>
      </c>
      <c r="H5658" s="2" t="s">
        <v>984</v>
      </c>
      <c r="I5658" s="2"/>
      <c r="J5658" s="2" t="s">
        <v>48</v>
      </c>
    </row>
    <row r="5659" spans="1:10" ht="21" customHeight="1">
      <c r="A5659" s="2" t="s">
        <v>6661</v>
      </c>
      <c r="B5659" s="2" t="s">
        <v>48</v>
      </c>
      <c r="C5659" s="4">
        <v>45840.25</v>
      </c>
      <c r="D5659" s="4">
        <v>45840.250341412037</v>
      </c>
      <c r="E5659" s="2">
        <v>3.18</v>
      </c>
      <c r="F5659" s="2">
        <v>62.1</v>
      </c>
      <c r="G5659" s="2" t="s">
        <v>983</v>
      </c>
      <c r="H5659" s="2" t="s">
        <v>984</v>
      </c>
      <c r="I5659" s="2"/>
      <c r="J5659" s="2" t="s">
        <v>48</v>
      </c>
    </row>
    <row r="5660" spans="1:10" ht="21" customHeight="1">
      <c r="A5660" s="2" t="s">
        <v>6662</v>
      </c>
      <c r="B5660" s="2" t="s">
        <v>6498</v>
      </c>
      <c r="C5660" s="4">
        <v>45841.25</v>
      </c>
      <c r="D5660" s="4">
        <v>45841.250105347222</v>
      </c>
      <c r="E5660" s="2">
        <v>2.14</v>
      </c>
      <c r="F5660" s="2">
        <v>63.1</v>
      </c>
      <c r="G5660" s="2" t="s">
        <v>983</v>
      </c>
      <c r="H5660" s="2" t="s">
        <v>984</v>
      </c>
      <c r="I5660" s="2"/>
      <c r="J5660" s="2" t="s">
        <v>48</v>
      </c>
    </row>
    <row r="5661" spans="1:10" ht="21" customHeight="1">
      <c r="A5661" s="2" t="s">
        <v>6663</v>
      </c>
      <c r="B5661" s="2" t="s">
        <v>48</v>
      </c>
      <c r="C5661" s="4">
        <v>45842.25</v>
      </c>
      <c r="D5661" s="4">
        <v>45842.250651076392</v>
      </c>
      <c r="E5661" s="2">
        <v>2.37</v>
      </c>
      <c r="F5661" s="2">
        <v>61.2</v>
      </c>
      <c r="G5661" s="2" t="s">
        <v>983</v>
      </c>
      <c r="H5661" s="2" t="s">
        <v>984</v>
      </c>
      <c r="I5661" s="2"/>
      <c r="J5661" s="2" t="s">
        <v>48</v>
      </c>
    </row>
    <row r="5662" spans="1:10" ht="21" customHeight="1">
      <c r="A5662" s="2" t="s">
        <v>6664</v>
      </c>
      <c r="B5662" s="2" t="s">
        <v>48</v>
      </c>
      <c r="C5662" s="4">
        <v>45843.25</v>
      </c>
      <c r="D5662" s="4">
        <v>45843.25028043981</v>
      </c>
      <c r="E5662" s="2">
        <v>2.4</v>
      </c>
      <c r="F5662" s="2">
        <v>61.3</v>
      </c>
      <c r="G5662" s="2" t="s">
        <v>983</v>
      </c>
      <c r="H5662" s="2" t="s">
        <v>984</v>
      </c>
      <c r="I5662" s="2"/>
      <c r="J5662" s="2" t="s">
        <v>48</v>
      </c>
    </row>
    <row r="5663" spans="1:10" ht="21" customHeight="1">
      <c r="A5663" s="2" t="s">
        <v>6665</v>
      </c>
      <c r="B5663" s="2" t="s">
        <v>48</v>
      </c>
      <c r="C5663" s="4">
        <v>45844.25</v>
      </c>
      <c r="D5663" s="4">
        <v>45844.250265960647</v>
      </c>
      <c r="E5663" s="2">
        <v>6</v>
      </c>
      <c r="F5663" s="2">
        <v>69.3</v>
      </c>
      <c r="G5663" s="2" t="s">
        <v>983</v>
      </c>
      <c r="H5663" s="2" t="s">
        <v>984</v>
      </c>
      <c r="I5663" s="2" t="s">
        <v>1053</v>
      </c>
      <c r="J5663" s="2" t="s">
        <v>48</v>
      </c>
    </row>
    <row r="5664" spans="1:10" ht="21" customHeight="1">
      <c r="A5664" s="2" t="s">
        <v>6666</v>
      </c>
      <c r="B5664" s="2" t="s">
        <v>48</v>
      </c>
      <c r="C5664" s="4">
        <v>45845.25</v>
      </c>
      <c r="D5664" s="4">
        <v>45845.250240104171</v>
      </c>
      <c r="E5664" s="2">
        <v>6.31</v>
      </c>
      <c r="F5664" s="2">
        <v>71.900000000000006</v>
      </c>
      <c r="G5664" s="2" t="s">
        <v>983</v>
      </c>
      <c r="H5664" s="2" t="s">
        <v>984</v>
      </c>
      <c r="I5664" s="2" t="s">
        <v>985</v>
      </c>
      <c r="J5664" s="2" t="s">
        <v>48</v>
      </c>
    </row>
    <row r="5665" spans="1:10" ht="21" customHeight="1">
      <c r="A5665" s="2" t="s">
        <v>6667</v>
      </c>
      <c r="B5665" s="2" t="s">
        <v>48</v>
      </c>
      <c r="C5665" s="4">
        <v>45846.25</v>
      </c>
      <c r="D5665" s="4">
        <v>45846.250653043986</v>
      </c>
      <c r="E5665" s="2">
        <v>4.42</v>
      </c>
      <c r="F5665" s="2">
        <v>69.8</v>
      </c>
      <c r="G5665" s="2" t="s">
        <v>983</v>
      </c>
      <c r="H5665" s="2" t="s">
        <v>984</v>
      </c>
      <c r="I5665" s="2" t="s">
        <v>1053</v>
      </c>
      <c r="J5665" s="2" t="s">
        <v>48</v>
      </c>
    </row>
    <row r="5666" spans="1:10" ht="21" customHeight="1">
      <c r="A5666" s="2" t="s">
        <v>6668</v>
      </c>
      <c r="B5666" s="2" t="s">
        <v>48</v>
      </c>
      <c r="C5666" s="4">
        <v>45847.25</v>
      </c>
      <c r="D5666" s="4">
        <v>45847.25044956019</v>
      </c>
      <c r="E5666" s="2">
        <v>0</v>
      </c>
      <c r="F5666" s="2">
        <v>62.8</v>
      </c>
      <c r="G5666" s="2" t="s">
        <v>1175</v>
      </c>
      <c r="H5666" s="2" t="s">
        <v>984</v>
      </c>
      <c r="I5666" s="2"/>
      <c r="J5666" s="2" t="s">
        <v>48</v>
      </c>
    </row>
    <row r="5667" spans="1:10" ht="21" customHeight="1">
      <c r="A5667" s="2" t="s">
        <v>6669</v>
      </c>
      <c r="B5667" s="2" t="s">
        <v>48</v>
      </c>
      <c r="C5667" s="4">
        <v>45848.25</v>
      </c>
      <c r="D5667" s="4">
        <v>45848.250691805559</v>
      </c>
      <c r="E5667" s="2">
        <v>3.08</v>
      </c>
      <c r="F5667" s="2">
        <v>65.900000000000006</v>
      </c>
      <c r="G5667" s="2" t="s">
        <v>983</v>
      </c>
      <c r="H5667" s="2" t="s">
        <v>984</v>
      </c>
      <c r="I5667" s="2"/>
      <c r="J5667" s="2" t="s">
        <v>48</v>
      </c>
    </row>
    <row r="5668" spans="1:10" ht="21" customHeight="1">
      <c r="A5668" s="2" t="s">
        <v>6670</v>
      </c>
      <c r="B5668" s="2" t="s">
        <v>48</v>
      </c>
      <c r="C5668" s="4">
        <v>45849.25</v>
      </c>
      <c r="D5668" s="4">
        <v>45849.25053917824</v>
      </c>
      <c r="E5668" s="2">
        <v>2.33</v>
      </c>
      <c r="F5668" s="2">
        <v>62.3</v>
      </c>
      <c r="G5668" s="2" t="s">
        <v>983</v>
      </c>
      <c r="H5668" s="2" t="s">
        <v>984</v>
      </c>
      <c r="I5668" s="2"/>
      <c r="J5668" s="2" t="s">
        <v>48</v>
      </c>
    </row>
    <row r="5669" spans="1:10" ht="21" customHeight="1">
      <c r="A5669" s="2" t="s">
        <v>6671</v>
      </c>
      <c r="B5669" s="2" t="s">
        <v>48</v>
      </c>
      <c r="C5669" s="4">
        <v>45850.25</v>
      </c>
      <c r="D5669" s="4">
        <v>45850.250598043982</v>
      </c>
      <c r="E5669" s="2">
        <v>2.31</v>
      </c>
      <c r="F5669" s="2">
        <v>64.5</v>
      </c>
      <c r="G5669" s="2" t="s">
        <v>983</v>
      </c>
      <c r="H5669" s="2" t="s">
        <v>984</v>
      </c>
      <c r="I5669" s="2"/>
      <c r="J5669" s="2" t="s">
        <v>48</v>
      </c>
    </row>
    <row r="5670" spans="1:10" ht="21" customHeight="1">
      <c r="A5670" s="2" t="s">
        <v>6672</v>
      </c>
      <c r="B5670" s="2" t="s">
        <v>48</v>
      </c>
      <c r="C5670" s="4">
        <v>45851.25</v>
      </c>
      <c r="D5670" s="4">
        <v>45851.2504109375</v>
      </c>
      <c r="E5670" s="2">
        <v>2.39</v>
      </c>
      <c r="F5670" s="2">
        <v>61.7</v>
      </c>
      <c r="G5670" s="2" t="s">
        <v>983</v>
      </c>
      <c r="H5670" s="2" t="s">
        <v>984</v>
      </c>
      <c r="I5670" s="2"/>
      <c r="J5670" s="2" t="s">
        <v>48</v>
      </c>
    </row>
    <row r="5671" spans="1:10" ht="21" customHeight="1">
      <c r="A5671" s="2" t="s">
        <v>6673</v>
      </c>
      <c r="B5671" s="2" t="s">
        <v>48</v>
      </c>
      <c r="C5671" s="4">
        <v>45852.25</v>
      </c>
      <c r="D5671" s="4">
        <v>45852.250281261571</v>
      </c>
      <c r="E5671" s="2">
        <v>2.3199999999999998</v>
      </c>
      <c r="F5671" s="2">
        <v>59.6</v>
      </c>
      <c r="G5671" s="2" t="s">
        <v>983</v>
      </c>
      <c r="H5671" s="2" t="s">
        <v>984</v>
      </c>
      <c r="I5671" s="2"/>
      <c r="J5671" s="2" t="s">
        <v>48</v>
      </c>
    </row>
    <row r="5672" spans="1:10" ht="21" customHeight="1">
      <c r="A5672" s="2" t="s">
        <v>6674</v>
      </c>
      <c r="B5672" s="2" t="s">
        <v>48</v>
      </c>
      <c r="C5672" s="4">
        <v>45853.25</v>
      </c>
      <c r="D5672" s="4">
        <v>45853.250116828705</v>
      </c>
      <c r="E5672" s="2">
        <v>2.69</v>
      </c>
      <c r="F5672" s="2">
        <v>60.4</v>
      </c>
      <c r="G5672" s="2" t="s">
        <v>983</v>
      </c>
      <c r="H5672" s="2" t="s">
        <v>984</v>
      </c>
      <c r="I5672" s="2"/>
      <c r="J5672" s="2" t="s">
        <v>48</v>
      </c>
    </row>
    <row r="5673" spans="1:10" ht="21" customHeight="1">
      <c r="A5673" s="2" t="s">
        <v>6675</v>
      </c>
      <c r="B5673" s="2" t="s">
        <v>48</v>
      </c>
      <c r="C5673" s="4">
        <v>45854.25</v>
      </c>
      <c r="D5673" s="4">
        <v>45854.250032118056</v>
      </c>
      <c r="E5673" s="2">
        <v>2.4900000000000002</v>
      </c>
      <c r="F5673" s="2">
        <v>64.8</v>
      </c>
      <c r="G5673" s="2" t="s">
        <v>983</v>
      </c>
      <c r="H5673" s="2" t="s">
        <v>984</v>
      </c>
      <c r="I5673" s="2"/>
      <c r="J5673" s="2" t="s">
        <v>48</v>
      </c>
    </row>
    <row r="5674" spans="1:10" ht="21" customHeight="1">
      <c r="A5674" s="2" t="s">
        <v>6676</v>
      </c>
      <c r="B5674" s="2" t="s">
        <v>48</v>
      </c>
      <c r="C5674" s="4">
        <v>45855.25</v>
      </c>
      <c r="D5674" s="4">
        <v>45855.250583043977</v>
      </c>
      <c r="E5674" s="2">
        <v>6.5</v>
      </c>
      <c r="F5674" s="2">
        <v>68.5</v>
      </c>
      <c r="G5674" s="2" t="s">
        <v>983</v>
      </c>
      <c r="H5674" s="2" t="s">
        <v>984</v>
      </c>
      <c r="I5674" s="2"/>
      <c r="J5674" s="2" t="s">
        <v>48</v>
      </c>
    </row>
    <row r="5675" spans="1:10" ht="21" customHeight="1">
      <c r="A5675" s="2" t="s">
        <v>6677</v>
      </c>
      <c r="B5675" s="2" t="s">
        <v>48</v>
      </c>
      <c r="C5675" s="4">
        <v>45856.25</v>
      </c>
      <c r="D5675" s="4">
        <v>45856.250140509263</v>
      </c>
      <c r="E5675" s="2">
        <v>4.91</v>
      </c>
      <c r="F5675" s="2">
        <v>72.5</v>
      </c>
      <c r="G5675" s="2" t="s">
        <v>983</v>
      </c>
      <c r="H5675" s="2" t="s">
        <v>984</v>
      </c>
      <c r="I5675" s="2" t="s">
        <v>1053</v>
      </c>
      <c r="J5675" s="2" t="s">
        <v>48</v>
      </c>
    </row>
    <row r="5676" spans="1:10" ht="21" customHeight="1">
      <c r="A5676" s="2" t="s">
        <v>6678</v>
      </c>
      <c r="B5676" s="2" t="s">
        <v>48</v>
      </c>
      <c r="C5676" s="4">
        <v>45857.25</v>
      </c>
      <c r="D5676" s="4">
        <v>45857.250508668978</v>
      </c>
      <c r="E5676" s="2">
        <v>24.18</v>
      </c>
      <c r="F5676" s="2">
        <v>70.900000000000006</v>
      </c>
      <c r="G5676" s="2" t="s">
        <v>983</v>
      </c>
      <c r="H5676" s="2" t="s">
        <v>1022</v>
      </c>
      <c r="I5676" s="2"/>
      <c r="J5676" s="2" t="s">
        <v>48</v>
      </c>
    </row>
    <row r="5677" spans="1:10" ht="21" customHeight="1">
      <c r="A5677" s="2" t="s">
        <v>6679</v>
      </c>
      <c r="B5677" s="2" t="s">
        <v>48</v>
      </c>
      <c r="C5677" s="4">
        <v>45858.25</v>
      </c>
      <c r="D5677" s="4">
        <v>45858.25055704861</v>
      </c>
      <c r="E5677" s="2">
        <v>2.66</v>
      </c>
      <c r="F5677" s="2">
        <v>61.7</v>
      </c>
      <c r="G5677" s="2" t="s">
        <v>983</v>
      </c>
      <c r="H5677" s="2" t="s">
        <v>984</v>
      </c>
      <c r="I5677" s="2"/>
      <c r="J5677" s="2" t="s">
        <v>48</v>
      </c>
    </row>
    <row r="5678" spans="1:10" ht="21" customHeight="1">
      <c r="A5678" s="2" t="s">
        <v>6680</v>
      </c>
      <c r="B5678" s="2" t="s">
        <v>48</v>
      </c>
      <c r="C5678" s="4">
        <v>45859.25</v>
      </c>
      <c r="D5678" s="4">
        <v>45859.250291909717</v>
      </c>
      <c r="E5678" s="2">
        <v>2.88</v>
      </c>
      <c r="F5678" s="2">
        <v>60.1</v>
      </c>
      <c r="G5678" s="2" t="s">
        <v>983</v>
      </c>
      <c r="H5678" s="2" t="s">
        <v>984</v>
      </c>
      <c r="I5678" s="2"/>
      <c r="J5678" s="2" t="s">
        <v>48</v>
      </c>
    </row>
    <row r="5679" spans="1:10" ht="21" customHeight="1">
      <c r="A5679" s="2" t="s">
        <v>6681</v>
      </c>
      <c r="B5679" s="2" t="s">
        <v>48</v>
      </c>
      <c r="C5679" s="4">
        <v>45860.25</v>
      </c>
      <c r="D5679" s="4">
        <v>45860.250446122685</v>
      </c>
      <c r="E5679" s="2">
        <v>2.72</v>
      </c>
      <c r="F5679" s="2">
        <v>61.5</v>
      </c>
      <c r="G5679" s="2" t="s">
        <v>983</v>
      </c>
      <c r="H5679" s="2" t="s">
        <v>984</v>
      </c>
      <c r="I5679" s="2"/>
      <c r="J5679" s="2" t="s">
        <v>48</v>
      </c>
    </row>
    <row r="5680" spans="1:10" ht="21" customHeight="1">
      <c r="A5680" s="2" t="s">
        <v>6682</v>
      </c>
      <c r="B5680" s="2" t="s">
        <v>48</v>
      </c>
      <c r="C5680" s="4">
        <v>45861.25</v>
      </c>
      <c r="D5680" s="4">
        <v>45861.250361157407</v>
      </c>
      <c r="E5680" s="2">
        <v>2.6</v>
      </c>
      <c r="F5680" s="2">
        <v>58.5</v>
      </c>
      <c r="G5680" s="2" t="s">
        <v>983</v>
      </c>
      <c r="H5680" s="2" t="s">
        <v>984</v>
      </c>
      <c r="I5680" s="2"/>
      <c r="J5680" s="2" t="s">
        <v>48</v>
      </c>
    </row>
    <row r="5681" spans="1:10" ht="21" customHeight="1">
      <c r="A5681" s="2" t="s">
        <v>6683</v>
      </c>
      <c r="B5681" s="2" t="s">
        <v>48</v>
      </c>
      <c r="C5681" s="4">
        <v>45862.25</v>
      </c>
      <c r="D5681" s="4">
        <v>45862.250631793984</v>
      </c>
      <c r="E5681" s="2">
        <v>2.9</v>
      </c>
      <c r="F5681" s="2">
        <v>64</v>
      </c>
      <c r="G5681" s="2" t="s">
        <v>983</v>
      </c>
      <c r="H5681" s="2" t="s">
        <v>984</v>
      </c>
      <c r="I5681" s="2" t="s">
        <v>985</v>
      </c>
      <c r="J5681" s="2" t="s">
        <v>48</v>
      </c>
    </row>
    <row r="5682" spans="1:10" ht="21" customHeight="1">
      <c r="A5682" s="2" t="s">
        <v>6684</v>
      </c>
      <c r="B5682" s="2" t="s">
        <v>48</v>
      </c>
      <c r="C5682" s="4">
        <v>45863.25</v>
      </c>
      <c r="D5682" s="4">
        <v>45863.250146967592</v>
      </c>
      <c r="E5682" s="2">
        <v>17.68</v>
      </c>
      <c r="F5682" s="2">
        <v>60.6</v>
      </c>
      <c r="G5682" s="2" t="s">
        <v>983</v>
      </c>
      <c r="H5682" s="2" t="s">
        <v>1022</v>
      </c>
      <c r="I5682" s="2"/>
      <c r="J5682" s="2" t="s">
        <v>48</v>
      </c>
    </row>
    <row r="5683" spans="1:10" ht="21" customHeight="1">
      <c r="A5683" s="2" t="s">
        <v>6685</v>
      </c>
      <c r="B5683" s="2" t="s">
        <v>48</v>
      </c>
      <c r="C5683" s="4">
        <v>45864.25</v>
      </c>
      <c r="D5683" s="4">
        <v>45864.250226273143</v>
      </c>
      <c r="E5683" s="2">
        <v>2.39</v>
      </c>
      <c r="F5683" s="2">
        <v>63.6</v>
      </c>
      <c r="G5683" s="2" t="s">
        <v>983</v>
      </c>
      <c r="H5683" s="2" t="s">
        <v>984</v>
      </c>
      <c r="I5683" s="2"/>
      <c r="J5683" s="2" t="s">
        <v>48</v>
      </c>
    </row>
    <row r="5684" spans="1:10" ht="21" customHeight="1">
      <c r="A5684" s="2" t="s">
        <v>6686</v>
      </c>
      <c r="B5684" s="2" t="s">
        <v>48</v>
      </c>
      <c r="C5684" s="4">
        <v>45865.25</v>
      </c>
      <c r="D5684" s="4">
        <v>45865.250453460649</v>
      </c>
      <c r="E5684" s="2">
        <v>2.97</v>
      </c>
      <c r="F5684" s="2">
        <v>65.599999999999994</v>
      </c>
      <c r="G5684" s="2" t="s">
        <v>983</v>
      </c>
      <c r="H5684" s="2" t="s">
        <v>984</v>
      </c>
      <c r="I5684" s="2"/>
      <c r="J5684" s="2" t="s">
        <v>48</v>
      </c>
    </row>
    <row r="5685" spans="1:10" ht="21" customHeight="1">
      <c r="A5685" s="2" t="s">
        <v>6687</v>
      </c>
      <c r="B5685" s="2" t="s">
        <v>48</v>
      </c>
      <c r="C5685" s="4">
        <v>45866.25</v>
      </c>
      <c r="D5685" s="4">
        <v>45866.250255439816</v>
      </c>
      <c r="E5685" s="2">
        <v>2.86</v>
      </c>
      <c r="F5685" s="2">
        <v>60.5</v>
      </c>
      <c r="G5685" s="2" t="s">
        <v>983</v>
      </c>
      <c r="H5685" s="2" t="s">
        <v>984</v>
      </c>
      <c r="I5685" s="2"/>
      <c r="J5685" s="2" t="s">
        <v>48</v>
      </c>
    </row>
    <row r="5686" spans="1:10" ht="21" customHeight="1">
      <c r="A5686" s="2" t="s">
        <v>6688</v>
      </c>
      <c r="B5686" s="2" t="s">
        <v>48</v>
      </c>
      <c r="C5686" s="4">
        <v>45867.25</v>
      </c>
      <c r="D5686" s="4">
        <v>45867.250000752319</v>
      </c>
      <c r="E5686" s="2">
        <v>2.81</v>
      </c>
      <c r="F5686" s="2">
        <v>65.099999999999994</v>
      </c>
      <c r="G5686" s="2" t="s">
        <v>983</v>
      </c>
      <c r="H5686" s="2" t="s">
        <v>984</v>
      </c>
      <c r="I5686" s="2"/>
      <c r="J5686" s="2" t="s">
        <v>48</v>
      </c>
    </row>
    <row r="5687" spans="1:10" ht="21" customHeight="1">
      <c r="A5687" s="2" t="s">
        <v>6689</v>
      </c>
      <c r="B5687" s="2" t="s">
        <v>48</v>
      </c>
      <c r="C5687" s="4">
        <v>45868.25</v>
      </c>
      <c r="D5687" s="4">
        <v>45868.250647962966</v>
      </c>
      <c r="E5687" s="2">
        <v>3.04</v>
      </c>
      <c r="F5687" s="2">
        <v>59.6</v>
      </c>
      <c r="G5687" s="2" t="s">
        <v>983</v>
      </c>
      <c r="H5687" s="2" t="s">
        <v>984</v>
      </c>
      <c r="I5687" s="2"/>
      <c r="J5687" s="2" t="s">
        <v>48</v>
      </c>
    </row>
    <row r="5688" spans="1:10" ht="21" customHeight="1">
      <c r="A5688" s="2" t="s">
        <v>6690</v>
      </c>
      <c r="B5688" s="2" t="s">
        <v>48</v>
      </c>
      <c r="C5688" s="4">
        <v>45869.25</v>
      </c>
      <c r="D5688" s="4">
        <v>45869.250562037036</v>
      </c>
      <c r="E5688" s="2">
        <v>3.01</v>
      </c>
      <c r="F5688" s="2">
        <v>65.8</v>
      </c>
      <c r="G5688" s="2" t="s">
        <v>983</v>
      </c>
      <c r="H5688" s="2" t="s">
        <v>984</v>
      </c>
      <c r="I5688" s="2"/>
      <c r="J5688" s="2" t="s">
        <v>48</v>
      </c>
    </row>
    <row r="5689" spans="1:10" ht="21" customHeight="1">
      <c r="A5689" s="2" t="s">
        <v>6691</v>
      </c>
      <c r="B5689" s="2" t="s">
        <v>48</v>
      </c>
      <c r="C5689" s="4">
        <v>45870.25</v>
      </c>
      <c r="D5689" s="4">
        <v>45870.250170613421</v>
      </c>
      <c r="E5689" s="2">
        <v>3.03</v>
      </c>
      <c r="F5689" s="2">
        <v>62.7</v>
      </c>
      <c r="G5689" s="2" t="s">
        <v>983</v>
      </c>
      <c r="H5689" s="2" t="s">
        <v>984</v>
      </c>
      <c r="I5689" s="2"/>
      <c r="J5689" s="2" t="s">
        <v>48</v>
      </c>
    </row>
    <row r="5690" spans="1:10" ht="21" customHeight="1">
      <c r="A5690" s="2" t="s">
        <v>6692</v>
      </c>
      <c r="B5690" s="2" t="s">
        <v>48</v>
      </c>
      <c r="C5690" s="4">
        <v>45871.25</v>
      </c>
      <c r="D5690" s="4">
        <v>45871.250306793983</v>
      </c>
      <c r="E5690" s="2">
        <v>2.58</v>
      </c>
      <c r="F5690" s="2">
        <v>58.9</v>
      </c>
      <c r="G5690" s="2" t="s">
        <v>983</v>
      </c>
      <c r="H5690" s="2" t="s">
        <v>984</v>
      </c>
      <c r="I5690" s="2"/>
      <c r="J5690" s="2" t="s">
        <v>48</v>
      </c>
    </row>
    <row r="5691" spans="1:10" ht="21" customHeight="1">
      <c r="A5691" s="2" t="s">
        <v>6693</v>
      </c>
      <c r="B5691" s="2" t="s">
        <v>48</v>
      </c>
      <c r="C5691" s="4">
        <v>45872.25</v>
      </c>
      <c r="D5691" s="4">
        <v>45872.250563379625</v>
      </c>
      <c r="E5691" s="2">
        <v>3.25</v>
      </c>
      <c r="F5691" s="2">
        <v>63.1</v>
      </c>
      <c r="G5691" s="2" t="s">
        <v>983</v>
      </c>
      <c r="H5691" s="2" t="s">
        <v>984</v>
      </c>
      <c r="I5691" s="2"/>
      <c r="J5691" s="2" t="s">
        <v>48</v>
      </c>
    </row>
    <row r="5692" spans="1:10" ht="21" customHeight="1">
      <c r="A5692" s="2" t="s">
        <v>6694</v>
      </c>
      <c r="B5692" s="2" t="s">
        <v>48</v>
      </c>
      <c r="C5692" s="4">
        <v>45873.25</v>
      </c>
      <c r="D5692" s="4">
        <v>45873.250464884259</v>
      </c>
      <c r="E5692" s="2">
        <v>2.2400000000000002</v>
      </c>
      <c r="F5692" s="2">
        <v>65.8</v>
      </c>
      <c r="G5692" s="2" t="s">
        <v>983</v>
      </c>
      <c r="H5692" s="2" t="s">
        <v>984</v>
      </c>
      <c r="I5692" s="2"/>
      <c r="J5692" s="2" t="s">
        <v>48</v>
      </c>
    </row>
    <row r="5693" spans="1:10" ht="21" customHeight="1">
      <c r="A5693" s="2" t="s">
        <v>6695</v>
      </c>
      <c r="B5693" s="2" t="s">
        <v>48</v>
      </c>
      <c r="C5693" s="4">
        <v>45874.25</v>
      </c>
      <c r="D5693" s="4">
        <v>45874.250008020834</v>
      </c>
      <c r="E5693" s="2">
        <v>2.48</v>
      </c>
      <c r="F5693" s="2">
        <v>59.9</v>
      </c>
      <c r="G5693" s="2" t="s">
        <v>983</v>
      </c>
      <c r="H5693" s="2" t="s">
        <v>984</v>
      </c>
      <c r="I5693" s="2"/>
      <c r="J5693" s="2" t="s">
        <v>48</v>
      </c>
    </row>
    <row r="5694" spans="1:10" ht="21" customHeight="1">
      <c r="A5694" s="2" t="s">
        <v>6696</v>
      </c>
      <c r="B5694" s="2" t="s">
        <v>48</v>
      </c>
      <c r="C5694" s="4">
        <v>45875.25</v>
      </c>
      <c r="D5694" s="4">
        <v>45875.250673958333</v>
      </c>
      <c r="E5694" s="2">
        <v>2.21</v>
      </c>
      <c r="F5694" s="2">
        <v>64.400000000000006</v>
      </c>
      <c r="G5694" s="2" t="s">
        <v>983</v>
      </c>
      <c r="H5694" s="2" t="s">
        <v>984</v>
      </c>
      <c r="I5694" s="2"/>
      <c r="J5694" s="2" t="s">
        <v>48</v>
      </c>
    </row>
    <row r="5695" spans="1:10" ht="21" customHeight="1">
      <c r="A5695" s="2" t="s">
        <v>6697</v>
      </c>
      <c r="B5695" s="2" t="s">
        <v>48</v>
      </c>
      <c r="C5695" s="4">
        <v>45876.25</v>
      </c>
      <c r="D5695" s="4">
        <v>45876.250645266206</v>
      </c>
      <c r="E5695" s="2">
        <v>2.71</v>
      </c>
      <c r="F5695" s="2">
        <v>60.1</v>
      </c>
      <c r="G5695" s="2" t="s">
        <v>983</v>
      </c>
      <c r="H5695" s="2" t="s">
        <v>984</v>
      </c>
      <c r="I5695" s="2"/>
      <c r="J5695" s="2" t="s">
        <v>48</v>
      </c>
    </row>
    <row r="5696" spans="1:10" ht="21" customHeight="1">
      <c r="A5696" s="2" t="s">
        <v>6698</v>
      </c>
      <c r="B5696" s="2" t="s">
        <v>48</v>
      </c>
      <c r="C5696" s="4">
        <v>45877.25</v>
      </c>
      <c r="D5696" s="4">
        <v>45877.250612534721</v>
      </c>
      <c r="E5696" s="2">
        <v>2.5099999999999998</v>
      </c>
      <c r="F5696" s="2">
        <v>61.4</v>
      </c>
      <c r="G5696" s="2" t="s">
        <v>983</v>
      </c>
      <c r="H5696" s="2" t="s">
        <v>984</v>
      </c>
      <c r="I5696" s="2"/>
      <c r="J5696" s="2" t="s">
        <v>48</v>
      </c>
    </row>
    <row r="5697" spans="1:10" ht="21" customHeight="1">
      <c r="A5697" s="2" t="s">
        <v>6699</v>
      </c>
      <c r="B5697" s="2" t="s">
        <v>48</v>
      </c>
      <c r="C5697" s="4">
        <v>45878.25</v>
      </c>
      <c r="D5697" s="4">
        <v>45878.250691712965</v>
      </c>
      <c r="E5697" s="2">
        <v>2.36</v>
      </c>
      <c r="F5697" s="2">
        <v>61.7</v>
      </c>
      <c r="G5697" s="2" t="s">
        <v>983</v>
      </c>
      <c r="H5697" s="2" t="s">
        <v>984</v>
      </c>
      <c r="I5697" s="2"/>
      <c r="J5697" s="2" t="s">
        <v>48</v>
      </c>
    </row>
    <row r="5698" spans="1:10" ht="21" customHeight="1">
      <c r="A5698" s="2" t="s">
        <v>6700</v>
      </c>
      <c r="B5698" s="2" t="s">
        <v>48</v>
      </c>
      <c r="C5698" s="4">
        <v>45879.25</v>
      </c>
      <c r="D5698" s="4">
        <v>45879.250581863424</v>
      </c>
      <c r="E5698" s="2">
        <v>3.08</v>
      </c>
      <c r="F5698" s="2">
        <v>58.4</v>
      </c>
      <c r="G5698" s="2" t="s">
        <v>983</v>
      </c>
      <c r="H5698" s="2" t="s">
        <v>984</v>
      </c>
      <c r="I5698" s="2" t="s">
        <v>985</v>
      </c>
      <c r="J5698" s="2" t="s">
        <v>48</v>
      </c>
    </row>
    <row r="5699" spans="1:10" ht="21" customHeight="1">
      <c r="A5699" s="2" t="s">
        <v>6701</v>
      </c>
      <c r="B5699" s="2" t="s">
        <v>48</v>
      </c>
      <c r="C5699" s="4">
        <v>45880.25</v>
      </c>
      <c r="D5699" s="4">
        <v>45880.250098182871</v>
      </c>
      <c r="E5699" s="2">
        <v>2.29</v>
      </c>
      <c r="F5699" s="2">
        <v>61.1</v>
      </c>
      <c r="G5699" s="2" t="s">
        <v>983</v>
      </c>
      <c r="H5699" s="2" t="s">
        <v>984</v>
      </c>
      <c r="I5699" s="2"/>
      <c r="J5699" s="2" t="s">
        <v>48</v>
      </c>
    </row>
    <row r="5700" spans="1:10" ht="21" customHeight="1">
      <c r="A5700" s="2" t="s">
        <v>6702</v>
      </c>
      <c r="B5700" s="2" t="s">
        <v>48</v>
      </c>
      <c r="C5700" s="4">
        <v>45881.25</v>
      </c>
      <c r="D5700" s="4">
        <v>45881.250449409723</v>
      </c>
      <c r="E5700" s="2"/>
      <c r="F5700" s="2"/>
      <c r="G5700" s="2" t="s">
        <v>983</v>
      </c>
      <c r="H5700" s="2" t="s">
        <v>1066</v>
      </c>
      <c r="I5700" s="2"/>
      <c r="J5700" s="2" t="s">
        <v>48</v>
      </c>
    </row>
    <row r="5701" spans="1:10" ht="21" customHeight="1">
      <c r="A5701" s="2" t="s">
        <v>6703</v>
      </c>
      <c r="B5701" s="2" t="s">
        <v>6498</v>
      </c>
      <c r="C5701" s="4">
        <v>45882.25</v>
      </c>
      <c r="D5701" s="4">
        <v>45882.250035046294</v>
      </c>
      <c r="E5701" s="2"/>
      <c r="F5701" s="2"/>
      <c r="G5701" s="2" t="s">
        <v>983</v>
      </c>
      <c r="H5701" s="2" t="s">
        <v>1066</v>
      </c>
      <c r="I5701" s="2"/>
      <c r="J5701" s="2" t="s">
        <v>48</v>
      </c>
    </row>
    <row r="5702" spans="1:10" ht="21" customHeight="1">
      <c r="A5702" s="2" t="s">
        <v>6704</v>
      </c>
      <c r="B5702" s="2" t="s">
        <v>48</v>
      </c>
      <c r="C5702" s="4">
        <v>45883.25</v>
      </c>
      <c r="D5702" s="4">
        <v>45883.250474282409</v>
      </c>
      <c r="E5702" s="2">
        <v>3.14</v>
      </c>
      <c r="F5702" s="2">
        <v>61.4</v>
      </c>
      <c r="G5702" s="2" t="s">
        <v>983</v>
      </c>
      <c r="H5702" s="2" t="s">
        <v>984</v>
      </c>
      <c r="I5702" s="2"/>
      <c r="J5702" s="2" t="s">
        <v>48</v>
      </c>
    </row>
    <row r="5703" spans="1:10" ht="21" customHeight="1">
      <c r="A5703" s="2" t="s">
        <v>6705</v>
      </c>
      <c r="B5703" s="2" t="s">
        <v>48</v>
      </c>
      <c r="C5703" s="4">
        <v>45884.25</v>
      </c>
      <c r="D5703" s="4">
        <v>45884.250169490741</v>
      </c>
      <c r="E5703" s="2">
        <v>3.17</v>
      </c>
      <c r="F5703" s="2">
        <v>63.9</v>
      </c>
      <c r="G5703" s="2" t="s">
        <v>983</v>
      </c>
      <c r="H5703" s="2" t="s">
        <v>984</v>
      </c>
      <c r="I5703" s="2"/>
      <c r="J5703" s="2" t="s">
        <v>48</v>
      </c>
    </row>
    <row r="5704" spans="1:10" ht="21" customHeight="1">
      <c r="A5704" s="2" t="s">
        <v>6706</v>
      </c>
      <c r="B5704" s="2" t="s">
        <v>48</v>
      </c>
      <c r="C5704" s="4">
        <v>45885.25</v>
      </c>
      <c r="D5704" s="4">
        <v>45885.25001625</v>
      </c>
      <c r="E5704" s="2">
        <v>2.94</v>
      </c>
      <c r="F5704" s="2">
        <v>59.5</v>
      </c>
      <c r="G5704" s="2" t="s">
        <v>983</v>
      </c>
      <c r="H5704" s="2" t="s">
        <v>984</v>
      </c>
      <c r="I5704" s="2"/>
      <c r="J5704" s="2" t="s">
        <v>48</v>
      </c>
    </row>
    <row r="5705" spans="1:10" ht="21" customHeight="1">
      <c r="A5705" s="2" t="s">
        <v>6707</v>
      </c>
      <c r="B5705" s="2" t="s">
        <v>48</v>
      </c>
      <c r="C5705" s="4">
        <v>45886.25</v>
      </c>
      <c r="D5705" s="4">
        <v>45886.250529756944</v>
      </c>
      <c r="E5705" s="2">
        <v>2.19</v>
      </c>
      <c r="F5705" s="2">
        <v>64.900000000000006</v>
      </c>
      <c r="G5705" s="2" t="s">
        <v>983</v>
      </c>
      <c r="H5705" s="2" t="s">
        <v>984</v>
      </c>
      <c r="I5705" s="2"/>
      <c r="J5705" s="2" t="s">
        <v>48</v>
      </c>
    </row>
    <row r="5706" spans="1:10" ht="21" customHeight="1">
      <c r="A5706" s="2" t="s">
        <v>6708</v>
      </c>
      <c r="B5706" s="2" t="s">
        <v>48</v>
      </c>
      <c r="C5706" s="4">
        <v>45887.25</v>
      </c>
      <c r="D5706" s="4">
        <v>45887.250542048612</v>
      </c>
      <c r="E5706" s="2">
        <v>2.2999999999999998</v>
      </c>
      <c r="F5706" s="2">
        <v>58.5</v>
      </c>
      <c r="G5706" s="2" t="s">
        <v>983</v>
      </c>
      <c r="H5706" s="2" t="s">
        <v>984</v>
      </c>
      <c r="I5706" s="2"/>
      <c r="J5706" s="2" t="s">
        <v>48</v>
      </c>
    </row>
    <row r="5707" spans="1:10" ht="21" customHeight="1">
      <c r="A5707" s="2" t="s">
        <v>6709</v>
      </c>
      <c r="B5707" s="2" t="s">
        <v>48</v>
      </c>
      <c r="C5707" s="4">
        <v>45888.25</v>
      </c>
      <c r="D5707" s="4">
        <v>45888.250420810189</v>
      </c>
      <c r="E5707" s="2">
        <v>3.21</v>
      </c>
      <c r="F5707" s="2">
        <v>62.8</v>
      </c>
      <c r="G5707" s="2" t="s">
        <v>983</v>
      </c>
      <c r="H5707" s="2" t="s">
        <v>984</v>
      </c>
      <c r="I5707" s="2"/>
      <c r="J5707" s="2" t="s">
        <v>48</v>
      </c>
    </row>
    <row r="5708" spans="1:10" ht="21" customHeight="1">
      <c r="A5708" s="2" t="s">
        <v>6710</v>
      </c>
      <c r="B5708" s="2" t="s">
        <v>48</v>
      </c>
      <c r="C5708" s="4">
        <v>45889.25</v>
      </c>
      <c r="D5708" s="4">
        <v>45889.250506018521</v>
      </c>
      <c r="E5708" s="2">
        <v>0</v>
      </c>
      <c r="F5708" s="2">
        <v>58.4</v>
      </c>
      <c r="G5708" s="2" t="s">
        <v>1175</v>
      </c>
      <c r="H5708" s="2" t="s">
        <v>984</v>
      </c>
      <c r="I5708" s="2"/>
      <c r="J5708" s="2" t="s">
        <v>48</v>
      </c>
    </row>
    <row r="5709" spans="1:10" ht="21" customHeight="1">
      <c r="A5709" s="2" t="s">
        <v>6711</v>
      </c>
      <c r="B5709" s="2" t="s">
        <v>48</v>
      </c>
      <c r="C5709" s="4">
        <v>45890.25</v>
      </c>
      <c r="D5709" s="4">
        <v>45890.250374247684</v>
      </c>
      <c r="E5709" s="2">
        <v>2.57</v>
      </c>
      <c r="F5709" s="2">
        <v>60.1</v>
      </c>
      <c r="G5709" s="2" t="s">
        <v>983</v>
      </c>
      <c r="H5709" s="2" t="s">
        <v>984</v>
      </c>
      <c r="I5709" s="2"/>
      <c r="J5709" s="2" t="s">
        <v>48</v>
      </c>
    </row>
    <row r="5710" spans="1:10" ht="21" customHeight="1">
      <c r="A5710" s="2" t="s">
        <v>6712</v>
      </c>
      <c r="B5710" s="2" t="s">
        <v>48</v>
      </c>
      <c r="C5710" s="4">
        <v>45891.25</v>
      </c>
      <c r="D5710" s="4">
        <v>45891.250461516203</v>
      </c>
      <c r="E5710" s="2">
        <v>3.15</v>
      </c>
      <c r="F5710" s="2">
        <v>58.9</v>
      </c>
      <c r="G5710" s="2" t="s">
        <v>983</v>
      </c>
      <c r="H5710" s="2" t="s">
        <v>984</v>
      </c>
      <c r="I5710" s="2"/>
      <c r="J5710" s="2" t="s">
        <v>48</v>
      </c>
    </row>
    <row r="5711" spans="1:10" ht="21" customHeight="1">
      <c r="A5711" s="2" t="s">
        <v>6713</v>
      </c>
      <c r="B5711" s="2" t="s">
        <v>48</v>
      </c>
      <c r="C5711" s="4">
        <v>45892.25</v>
      </c>
      <c r="D5711" s="4">
        <v>45892.250531307873</v>
      </c>
      <c r="E5711" s="2">
        <v>2.46</v>
      </c>
      <c r="F5711" s="2">
        <v>62.2</v>
      </c>
      <c r="G5711" s="2" t="s">
        <v>983</v>
      </c>
      <c r="H5711" s="2" t="s">
        <v>984</v>
      </c>
      <c r="I5711" s="2"/>
      <c r="J5711" s="2" t="s">
        <v>48</v>
      </c>
    </row>
    <row r="5712" spans="1:10" ht="21" customHeight="1">
      <c r="A5712" s="2" t="s">
        <v>6714</v>
      </c>
      <c r="B5712" s="2" t="s">
        <v>48</v>
      </c>
      <c r="C5712" s="4">
        <v>45893.25</v>
      </c>
      <c r="D5712" s="4">
        <v>45893.250529120371</v>
      </c>
      <c r="E5712" s="2"/>
      <c r="F5712" s="2"/>
      <c r="G5712" s="2" t="s">
        <v>983</v>
      </c>
      <c r="H5712" s="2" t="s">
        <v>1066</v>
      </c>
      <c r="I5712" s="2"/>
      <c r="J5712" s="2" t="s">
        <v>48</v>
      </c>
    </row>
    <row r="5713" spans="1:10" ht="21" customHeight="1">
      <c r="A5713" s="2" t="s">
        <v>6715</v>
      </c>
      <c r="B5713" s="2" t="s">
        <v>48</v>
      </c>
      <c r="C5713" s="4">
        <v>45894.25</v>
      </c>
      <c r="D5713" s="4">
        <v>45894.250043356486</v>
      </c>
      <c r="E5713" s="2">
        <v>2.77</v>
      </c>
      <c r="F5713" s="2">
        <v>59.7</v>
      </c>
      <c r="G5713" s="2" t="s">
        <v>983</v>
      </c>
      <c r="H5713" s="2" t="s">
        <v>984</v>
      </c>
      <c r="I5713" s="2"/>
      <c r="J5713" s="2" t="s">
        <v>48</v>
      </c>
    </row>
    <row r="5714" spans="1:10" ht="21" customHeight="1">
      <c r="A5714" s="2" t="s">
        <v>6716</v>
      </c>
      <c r="B5714" s="2" t="s">
        <v>48</v>
      </c>
      <c r="C5714" s="4">
        <v>45895.25</v>
      </c>
      <c r="D5714" s="4">
        <v>45895.250055960649</v>
      </c>
      <c r="E5714" s="2">
        <v>2.2200000000000002</v>
      </c>
      <c r="F5714" s="2">
        <v>59.8</v>
      </c>
      <c r="G5714" s="2" t="s">
        <v>983</v>
      </c>
      <c r="H5714" s="2" t="s">
        <v>984</v>
      </c>
      <c r="I5714" s="2"/>
      <c r="J5714" s="2" t="s">
        <v>48</v>
      </c>
    </row>
    <row r="5715" spans="1:10" ht="21" customHeight="1">
      <c r="A5715" s="2" t="s">
        <v>6717</v>
      </c>
      <c r="B5715" s="2" t="s">
        <v>48</v>
      </c>
      <c r="C5715" s="4">
        <v>45896.25</v>
      </c>
      <c r="D5715" s="4">
        <v>45896.250438796298</v>
      </c>
      <c r="E5715" s="2"/>
      <c r="F5715" s="2"/>
      <c r="G5715" s="2" t="s">
        <v>983</v>
      </c>
      <c r="H5715" s="2" t="s">
        <v>1066</v>
      </c>
      <c r="I5715" s="2" t="s">
        <v>985</v>
      </c>
      <c r="J5715" s="2" t="s">
        <v>48</v>
      </c>
    </row>
    <row r="5716" spans="1:10" ht="21" customHeight="1">
      <c r="A5716" s="2" t="s">
        <v>6718</v>
      </c>
      <c r="B5716" s="2" t="s">
        <v>48</v>
      </c>
      <c r="C5716" s="4">
        <v>45897.25</v>
      </c>
      <c r="D5716" s="4">
        <v>45897.25029491898</v>
      </c>
      <c r="E5716" s="2">
        <v>3.21</v>
      </c>
      <c r="F5716" s="2">
        <v>63.4</v>
      </c>
      <c r="G5716" s="2" t="s">
        <v>983</v>
      </c>
      <c r="H5716" s="2" t="s">
        <v>984</v>
      </c>
      <c r="I5716" s="2"/>
      <c r="J5716" s="2" t="s">
        <v>48</v>
      </c>
    </row>
    <row r="5717" spans="1:10" ht="21" customHeight="1">
      <c r="A5717" s="2" t="s">
        <v>6719</v>
      </c>
      <c r="B5717" s="2" t="s">
        <v>48</v>
      </c>
      <c r="C5717" s="4">
        <v>45898.25</v>
      </c>
      <c r="D5717" s="4">
        <v>45898.250625833331</v>
      </c>
      <c r="E5717" s="2">
        <v>2.66</v>
      </c>
      <c r="F5717" s="2">
        <v>60.1</v>
      </c>
      <c r="G5717" s="2" t="s">
        <v>983</v>
      </c>
      <c r="H5717" s="2" t="s">
        <v>984</v>
      </c>
      <c r="I5717" s="2"/>
      <c r="J5717" s="2" t="s">
        <v>48</v>
      </c>
    </row>
    <row r="5718" spans="1:10" ht="21" customHeight="1">
      <c r="A5718" s="2" t="s">
        <v>6720</v>
      </c>
      <c r="B5718" s="2" t="s">
        <v>48</v>
      </c>
      <c r="C5718" s="4">
        <v>45899.25</v>
      </c>
      <c r="D5718" s="4">
        <v>45899.250326643523</v>
      </c>
      <c r="E5718" s="2">
        <v>2.44</v>
      </c>
      <c r="F5718" s="2">
        <v>60.6</v>
      </c>
      <c r="G5718" s="2" t="s">
        <v>983</v>
      </c>
      <c r="H5718" s="2" t="s">
        <v>984</v>
      </c>
      <c r="I5718" s="2"/>
      <c r="J5718" s="2" t="s">
        <v>48</v>
      </c>
    </row>
    <row r="5719" spans="1:10" ht="21" customHeight="1">
      <c r="A5719" s="2" t="s">
        <v>6721</v>
      </c>
      <c r="B5719" s="2" t="s">
        <v>48</v>
      </c>
      <c r="C5719" s="4">
        <v>45900.25</v>
      </c>
      <c r="D5719" s="4">
        <v>45900.250131574074</v>
      </c>
      <c r="E5719" s="2">
        <v>3.26</v>
      </c>
      <c r="F5719" s="2">
        <v>64.099999999999994</v>
      </c>
      <c r="G5719" s="2" t="s">
        <v>983</v>
      </c>
      <c r="H5719" s="2" t="s">
        <v>984</v>
      </c>
      <c r="I5719" s="2"/>
      <c r="J5719" s="2" t="s">
        <v>48</v>
      </c>
    </row>
    <row r="5720" spans="1:10" ht="21" customHeight="1">
      <c r="A5720" s="2" t="s">
        <v>6722</v>
      </c>
      <c r="B5720" s="2" t="s">
        <v>48</v>
      </c>
      <c r="C5720" s="4">
        <v>45901.25</v>
      </c>
      <c r="D5720" s="4">
        <v>45901.250395555558</v>
      </c>
      <c r="E5720" s="2">
        <v>2.37</v>
      </c>
      <c r="F5720" s="2">
        <v>62.1</v>
      </c>
      <c r="G5720" s="2" t="s">
        <v>983</v>
      </c>
      <c r="H5720" s="2" t="s">
        <v>984</v>
      </c>
      <c r="I5720" s="2"/>
      <c r="J5720" s="2" t="s">
        <v>48</v>
      </c>
    </row>
    <row r="5721" spans="1:10" ht="21" customHeight="1">
      <c r="A5721" s="2" t="s">
        <v>6723</v>
      </c>
      <c r="B5721" s="2" t="s">
        <v>48</v>
      </c>
      <c r="C5721" s="4">
        <v>45902.25</v>
      </c>
      <c r="D5721" s="4">
        <v>45902.250190486113</v>
      </c>
      <c r="E5721" s="2">
        <v>3.02</v>
      </c>
      <c r="F5721" s="2">
        <v>63.1</v>
      </c>
      <c r="G5721" s="2" t="s">
        <v>983</v>
      </c>
      <c r="H5721" s="2" t="s">
        <v>984</v>
      </c>
      <c r="I5721" s="2"/>
      <c r="J5721" s="2" t="s">
        <v>48</v>
      </c>
    </row>
    <row r="5722" spans="1:10" ht="21" customHeight="1">
      <c r="A5722" s="2" t="s">
        <v>6724</v>
      </c>
      <c r="B5722" s="2" t="s">
        <v>48</v>
      </c>
      <c r="C5722" s="4">
        <v>45903.25</v>
      </c>
      <c r="D5722" s="4">
        <v>45903.250306932867</v>
      </c>
      <c r="E5722" s="2"/>
      <c r="F5722" s="2"/>
      <c r="G5722" s="2" t="s">
        <v>983</v>
      </c>
      <c r="H5722" s="2" t="s">
        <v>1066</v>
      </c>
      <c r="I5722" s="2"/>
      <c r="J5722" s="2" t="s">
        <v>48</v>
      </c>
    </row>
    <row r="5723" spans="1:10" ht="21" customHeight="1">
      <c r="A5723" s="2" t="s">
        <v>6725</v>
      </c>
      <c r="B5723" s="2" t="s">
        <v>48</v>
      </c>
      <c r="C5723" s="4">
        <v>45904.25</v>
      </c>
      <c r="D5723" s="4">
        <v>45904.250577581013</v>
      </c>
      <c r="E5723" s="2">
        <v>3.2</v>
      </c>
      <c r="F5723" s="2">
        <v>62.6</v>
      </c>
      <c r="G5723" s="2" t="s">
        <v>983</v>
      </c>
      <c r="H5723" s="2" t="s">
        <v>984</v>
      </c>
      <c r="I5723" s="2"/>
      <c r="J5723" s="2" t="s">
        <v>48</v>
      </c>
    </row>
    <row r="5724" spans="1:10" ht="21" customHeight="1">
      <c r="A5724" s="2" t="s">
        <v>6726</v>
      </c>
      <c r="B5724" s="2" t="s">
        <v>48</v>
      </c>
      <c r="C5724" s="4">
        <v>45905.25</v>
      </c>
      <c r="D5724" s="4">
        <v>45905.250171250002</v>
      </c>
      <c r="E5724" s="2">
        <v>6.11</v>
      </c>
      <c r="F5724" s="2">
        <v>66.7</v>
      </c>
      <c r="G5724" s="2" t="s">
        <v>983</v>
      </c>
      <c r="H5724" s="2" t="s">
        <v>984</v>
      </c>
      <c r="I5724" s="2"/>
      <c r="J5724" s="2" t="s">
        <v>48</v>
      </c>
    </row>
    <row r="5725" spans="1:10" ht="21" customHeight="1">
      <c r="A5725" s="2" t="s">
        <v>6727</v>
      </c>
      <c r="B5725" s="2" t="s">
        <v>48</v>
      </c>
      <c r="C5725" s="4">
        <v>45906.25</v>
      </c>
      <c r="D5725" s="4">
        <v>45906.250432094908</v>
      </c>
      <c r="E5725" s="2">
        <v>5.29</v>
      </c>
      <c r="F5725" s="2">
        <v>72</v>
      </c>
      <c r="G5725" s="2" t="s">
        <v>983</v>
      </c>
      <c r="H5725" s="2" t="s">
        <v>984</v>
      </c>
      <c r="I5725" s="2" t="s">
        <v>1053</v>
      </c>
      <c r="J5725" s="2" t="s">
        <v>48</v>
      </c>
    </row>
    <row r="5726" spans="1:10" ht="21" customHeight="1">
      <c r="A5726" s="2" t="s">
        <v>6728</v>
      </c>
      <c r="B5726" s="2" t="s">
        <v>48</v>
      </c>
      <c r="C5726" s="4">
        <v>45907.25</v>
      </c>
      <c r="D5726" s="4">
        <v>45907.250159166666</v>
      </c>
      <c r="E5726" s="2">
        <v>4.5</v>
      </c>
      <c r="F5726" s="2">
        <v>70.3</v>
      </c>
      <c r="G5726" s="2" t="s">
        <v>983</v>
      </c>
      <c r="H5726" s="2" t="s">
        <v>984</v>
      </c>
      <c r="I5726" s="2"/>
      <c r="J5726" s="2" t="s">
        <v>48</v>
      </c>
    </row>
    <row r="5727" spans="1:10" ht="21" customHeight="1">
      <c r="A5727" s="2" t="s">
        <v>6729</v>
      </c>
      <c r="B5727" s="2" t="s">
        <v>48</v>
      </c>
      <c r="C5727" s="4">
        <v>45908.25</v>
      </c>
      <c r="D5727" s="4">
        <v>45908.250030092589</v>
      </c>
      <c r="E5727" s="2">
        <v>3.27</v>
      </c>
      <c r="F5727" s="2">
        <v>60.3</v>
      </c>
      <c r="G5727" s="2" t="s">
        <v>983</v>
      </c>
      <c r="H5727" s="2" t="s">
        <v>984</v>
      </c>
      <c r="I5727" s="2"/>
      <c r="J5727" s="2" t="s">
        <v>48</v>
      </c>
    </row>
    <row r="5728" spans="1:10" ht="21" customHeight="1">
      <c r="A5728" s="2" t="s">
        <v>6730</v>
      </c>
      <c r="B5728" s="2" t="s">
        <v>48</v>
      </c>
      <c r="C5728" s="4">
        <v>45909.25</v>
      </c>
      <c r="D5728" s="4">
        <v>45909.25059596065</v>
      </c>
      <c r="E5728" s="2">
        <v>2.44</v>
      </c>
      <c r="F5728" s="2">
        <v>61.2</v>
      </c>
      <c r="G5728" s="2" t="s">
        <v>983</v>
      </c>
      <c r="H5728" s="2" t="s">
        <v>984</v>
      </c>
      <c r="I5728" s="2"/>
      <c r="J5728" s="2" t="s">
        <v>48</v>
      </c>
    </row>
    <row r="5729" spans="1:10" ht="21" customHeight="1">
      <c r="A5729" s="2" t="s">
        <v>6731</v>
      </c>
      <c r="B5729" s="2" t="s">
        <v>48</v>
      </c>
      <c r="C5729" s="4">
        <v>45910.25</v>
      </c>
      <c r="D5729" s="4">
        <v>45910.250281168977</v>
      </c>
      <c r="E5729" s="2">
        <v>3.08</v>
      </c>
      <c r="F5729" s="2">
        <v>65</v>
      </c>
      <c r="G5729" s="2" t="s">
        <v>983</v>
      </c>
      <c r="H5729" s="2" t="s">
        <v>984</v>
      </c>
      <c r="I5729" s="2"/>
      <c r="J5729" s="2" t="s">
        <v>48</v>
      </c>
    </row>
    <row r="5730" spans="1:10" ht="21" customHeight="1">
      <c r="A5730" s="2" t="s">
        <v>6732</v>
      </c>
      <c r="B5730" s="2" t="s">
        <v>48</v>
      </c>
      <c r="C5730" s="4">
        <v>45911.25</v>
      </c>
      <c r="D5730" s="4">
        <v>45911.250439826385</v>
      </c>
      <c r="E5730" s="2"/>
      <c r="F5730" s="2"/>
      <c r="G5730" s="2" t="s">
        <v>983</v>
      </c>
      <c r="H5730" s="2" t="s">
        <v>1066</v>
      </c>
      <c r="I5730" s="2"/>
      <c r="J5730" s="2" t="s">
        <v>48</v>
      </c>
    </row>
    <row r="5731" spans="1:10" ht="21" customHeight="1">
      <c r="A5731" s="2" t="s">
        <v>6733</v>
      </c>
      <c r="B5731" s="2" t="s">
        <v>48</v>
      </c>
      <c r="C5731" s="4">
        <v>45912.25</v>
      </c>
      <c r="D5731" s="4">
        <v>45912.250326331021</v>
      </c>
      <c r="E5731" s="2">
        <v>2.93</v>
      </c>
      <c r="F5731" s="2">
        <v>61.4</v>
      </c>
      <c r="G5731" s="2" t="s">
        <v>983</v>
      </c>
      <c r="H5731" s="2" t="s">
        <v>984</v>
      </c>
      <c r="I5731" s="2"/>
      <c r="J5731" s="2" t="s">
        <v>48</v>
      </c>
    </row>
    <row r="5732" spans="1:10" ht="21" customHeight="1">
      <c r="A5732" s="2" t="s">
        <v>6734</v>
      </c>
      <c r="B5732" s="2" t="s">
        <v>48</v>
      </c>
      <c r="C5732" s="4">
        <v>45913.25</v>
      </c>
      <c r="D5732" s="4">
        <v>45913.250044849541</v>
      </c>
      <c r="E5732" s="2">
        <v>2.58</v>
      </c>
      <c r="F5732" s="2">
        <v>64</v>
      </c>
      <c r="G5732" s="2" t="s">
        <v>983</v>
      </c>
      <c r="H5732" s="2" t="s">
        <v>984</v>
      </c>
      <c r="I5732" s="2" t="s">
        <v>985</v>
      </c>
      <c r="J5732" s="2" t="s">
        <v>48</v>
      </c>
    </row>
    <row r="5733" spans="1:10" ht="21" customHeight="1">
      <c r="A5733" s="2" t="s">
        <v>6735</v>
      </c>
      <c r="B5733" s="2" t="s">
        <v>48</v>
      </c>
      <c r="C5733" s="4">
        <v>45914.25</v>
      </c>
      <c r="D5733" s="4">
        <v>45914.250694189817</v>
      </c>
      <c r="E5733" s="2">
        <v>2.96</v>
      </c>
      <c r="F5733" s="2">
        <v>65</v>
      </c>
      <c r="G5733" s="2" t="s">
        <v>983</v>
      </c>
      <c r="H5733" s="2" t="s">
        <v>984</v>
      </c>
      <c r="I5733" s="2"/>
      <c r="J5733" s="2" t="s">
        <v>48</v>
      </c>
    </row>
    <row r="5734" spans="1:10" ht="21" customHeight="1">
      <c r="A5734" s="2" t="s">
        <v>6736</v>
      </c>
      <c r="B5734" s="2" t="s">
        <v>48</v>
      </c>
      <c r="C5734" s="4">
        <v>45915.25</v>
      </c>
      <c r="D5734" s="4">
        <v>45915.2501256713</v>
      </c>
      <c r="E5734" s="2"/>
      <c r="F5734" s="2"/>
      <c r="G5734" s="2" t="s">
        <v>983</v>
      </c>
      <c r="H5734" s="2" t="s">
        <v>1066</v>
      </c>
      <c r="I5734" s="2"/>
      <c r="J5734" s="2" t="s">
        <v>48</v>
      </c>
    </row>
    <row r="5735" spans="1:10" ht="21" customHeight="1">
      <c r="A5735" s="2" t="s">
        <v>6737</v>
      </c>
      <c r="B5735" s="2" t="s">
        <v>48</v>
      </c>
      <c r="C5735" s="4">
        <v>45916.25</v>
      </c>
      <c r="D5735" s="4">
        <v>45916.250169490741</v>
      </c>
      <c r="E5735" s="2">
        <v>2.94</v>
      </c>
      <c r="F5735" s="2">
        <v>61.8</v>
      </c>
      <c r="G5735" s="2" t="s">
        <v>983</v>
      </c>
      <c r="H5735" s="2" t="s">
        <v>984</v>
      </c>
      <c r="I5735" s="2"/>
      <c r="J5735" s="2" t="s">
        <v>48</v>
      </c>
    </row>
    <row r="5736" spans="1:10" ht="21" customHeight="1">
      <c r="A5736" s="2" t="s">
        <v>6738</v>
      </c>
      <c r="B5736" s="2" t="s">
        <v>48</v>
      </c>
      <c r="C5736" s="4">
        <v>45917.25</v>
      </c>
      <c r="D5736" s="4">
        <v>45917.250472847227</v>
      </c>
      <c r="E5736" s="2">
        <v>2.4900000000000002</v>
      </c>
      <c r="F5736" s="2">
        <v>61.3</v>
      </c>
      <c r="G5736" s="2" t="s">
        <v>983</v>
      </c>
      <c r="H5736" s="2" t="s">
        <v>984</v>
      </c>
      <c r="I5736" s="2"/>
      <c r="J5736" s="2" t="s">
        <v>48</v>
      </c>
    </row>
    <row r="5737" spans="1:10" ht="21" customHeight="1">
      <c r="A5737" s="2" t="s">
        <v>6739</v>
      </c>
      <c r="B5737" s="2" t="s">
        <v>48</v>
      </c>
      <c r="C5737" s="4">
        <v>45918.25</v>
      </c>
      <c r="D5737" s="4">
        <v>45918.250119837961</v>
      </c>
      <c r="E5737" s="2">
        <v>2.27</v>
      </c>
      <c r="F5737" s="2">
        <v>59.6</v>
      </c>
      <c r="G5737" s="2" t="s">
        <v>983</v>
      </c>
      <c r="H5737" s="2" t="s">
        <v>984</v>
      </c>
      <c r="I5737" s="2"/>
      <c r="J5737" s="2" t="s">
        <v>48</v>
      </c>
    </row>
    <row r="5738" spans="1:10" ht="21" customHeight="1">
      <c r="A5738" s="2" t="s">
        <v>6740</v>
      </c>
      <c r="B5738" s="2" t="s">
        <v>48</v>
      </c>
      <c r="C5738" s="4">
        <v>45919.25</v>
      </c>
      <c r="D5738" s="4">
        <v>45919.250617210651</v>
      </c>
      <c r="E5738" s="2">
        <v>2.94</v>
      </c>
      <c r="F5738" s="2">
        <v>58.3</v>
      </c>
      <c r="G5738" s="2" t="s">
        <v>983</v>
      </c>
      <c r="H5738" s="2" t="s">
        <v>984</v>
      </c>
      <c r="I5738" s="2"/>
      <c r="J5738" s="2" t="s">
        <v>48</v>
      </c>
    </row>
    <row r="5739" spans="1:10" ht="21" customHeight="1">
      <c r="A5739" s="2" t="s">
        <v>6741</v>
      </c>
      <c r="B5739" s="2" t="s">
        <v>48</v>
      </c>
      <c r="C5739" s="4">
        <v>45920.25</v>
      </c>
      <c r="D5739" s="4">
        <v>45920.250539791668</v>
      </c>
      <c r="E5739" s="2">
        <v>2.87</v>
      </c>
      <c r="F5739" s="2">
        <v>65.900000000000006</v>
      </c>
      <c r="G5739" s="2" t="s">
        <v>983</v>
      </c>
      <c r="H5739" s="2" t="s">
        <v>984</v>
      </c>
      <c r="I5739" s="2"/>
      <c r="J5739" s="2" t="s">
        <v>48</v>
      </c>
    </row>
    <row r="5740" spans="1:10" ht="21" customHeight="1">
      <c r="A5740" s="2" t="s">
        <v>6742</v>
      </c>
      <c r="B5740" s="2" t="s">
        <v>48</v>
      </c>
      <c r="C5740" s="4">
        <v>45921.25</v>
      </c>
      <c r="D5740" s="4">
        <v>45921.250279745371</v>
      </c>
      <c r="E5740" s="2">
        <v>2.2400000000000002</v>
      </c>
      <c r="F5740" s="2">
        <v>59.2</v>
      </c>
      <c r="G5740" s="2" t="s">
        <v>983</v>
      </c>
      <c r="H5740" s="2" t="s">
        <v>984</v>
      </c>
      <c r="I5740" s="2"/>
      <c r="J5740" s="2" t="s">
        <v>48</v>
      </c>
    </row>
    <row r="5741" spans="1:10" ht="21" customHeight="1">
      <c r="A5741" s="2" t="s">
        <v>6743</v>
      </c>
      <c r="B5741" s="2" t="s">
        <v>48</v>
      </c>
      <c r="C5741" s="4">
        <v>45922.25</v>
      </c>
      <c r="D5741" s="4">
        <v>45922.250627303241</v>
      </c>
      <c r="E5741" s="2">
        <v>2.2200000000000002</v>
      </c>
      <c r="F5741" s="2">
        <v>60.6</v>
      </c>
      <c r="G5741" s="2" t="s">
        <v>983</v>
      </c>
      <c r="H5741" s="2" t="s">
        <v>984</v>
      </c>
      <c r="I5741" s="2"/>
      <c r="J5741" s="2" t="s">
        <v>48</v>
      </c>
    </row>
    <row r="5742" spans="1:10" ht="21" customHeight="1">
      <c r="A5742" s="2" t="s">
        <v>6744</v>
      </c>
      <c r="B5742" s="2" t="s">
        <v>6498</v>
      </c>
      <c r="C5742" s="4">
        <v>45923.25</v>
      </c>
      <c r="D5742" s="4">
        <v>45923.250611678246</v>
      </c>
      <c r="E5742" s="2">
        <v>2.89</v>
      </c>
      <c r="F5742" s="2">
        <v>59</v>
      </c>
      <c r="G5742" s="2" t="s">
        <v>983</v>
      </c>
      <c r="H5742" s="2" t="s">
        <v>984</v>
      </c>
      <c r="I5742" s="2"/>
      <c r="J5742" s="2" t="s">
        <v>48</v>
      </c>
    </row>
    <row r="5743" spans="1:10" ht="21" customHeight="1">
      <c r="A5743" s="2" t="s">
        <v>6745</v>
      </c>
      <c r="B5743" s="2" t="s">
        <v>48</v>
      </c>
      <c r="C5743" s="4">
        <v>45924.25</v>
      </c>
      <c r="D5743" s="4">
        <v>45924.250321203705</v>
      </c>
      <c r="E5743" s="2">
        <v>2.19</v>
      </c>
      <c r="F5743" s="2">
        <v>60.6</v>
      </c>
      <c r="G5743" s="2" t="s">
        <v>983</v>
      </c>
      <c r="H5743" s="2" t="s">
        <v>984</v>
      </c>
      <c r="I5743" s="2"/>
      <c r="J5743" s="2" t="s">
        <v>48</v>
      </c>
    </row>
    <row r="5744" spans="1:10" ht="21" customHeight="1">
      <c r="A5744" s="2" t="s">
        <v>6746</v>
      </c>
      <c r="B5744" s="2" t="s">
        <v>48</v>
      </c>
      <c r="C5744" s="4">
        <v>45925.25</v>
      </c>
      <c r="D5744" s="4">
        <v>45925.250639120371</v>
      </c>
      <c r="E5744" s="2">
        <v>3.24</v>
      </c>
      <c r="F5744" s="2">
        <v>62</v>
      </c>
      <c r="G5744" s="2" t="s">
        <v>983</v>
      </c>
      <c r="H5744" s="2" t="s">
        <v>984</v>
      </c>
      <c r="I5744" s="2"/>
      <c r="J5744" s="2" t="s">
        <v>48</v>
      </c>
    </row>
    <row r="5745" spans="1:10" ht="21" customHeight="1">
      <c r="A5745" s="2" t="s">
        <v>6747</v>
      </c>
      <c r="B5745" s="2" t="s">
        <v>48</v>
      </c>
      <c r="C5745" s="4">
        <v>45926.25</v>
      </c>
      <c r="D5745" s="4">
        <v>45926.250142881945</v>
      </c>
      <c r="E5745" s="2">
        <v>3.14</v>
      </c>
      <c r="F5745" s="2">
        <v>60.8</v>
      </c>
      <c r="G5745" s="2" t="s">
        <v>983</v>
      </c>
      <c r="H5745" s="2" t="s">
        <v>984</v>
      </c>
      <c r="I5745" s="2"/>
      <c r="J5745" s="2" t="s">
        <v>48</v>
      </c>
    </row>
    <row r="5746" spans="1:10" ht="21" customHeight="1">
      <c r="A5746" s="2" t="s">
        <v>6748</v>
      </c>
      <c r="B5746" s="2" t="s">
        <v>48</v>
      </c>
      <c r="C5746" s="4">
        <v>45927.25</v>
      </c>
      <c r="D5746" s="4">
        <v>45927.250351562499</v>
      </c>
      <c r="E5746" s="2">
        <v>2.72</v>
      </c>
      <c r="F5746" s="2">
        <v>58.2</v>
      </c>
      <c r="G5746" s="2" t="s">
        <v>983</v>
      </c>
      <c r="H5746" s="2" t="s">
        <v>984</v>
      </c>
      <c r="I5746" s="2"/>
      <c r="J5746" s="2" t="s">
        <v>48</v>
      </c>
    </row>
    <row r="5747" spans="1:10" ht="21" customHeight="1">
      <c r="A5747" s="2" t="s">
        <v>6749</v>
      </c>
      <c r="B5747" s="2" t="s">
        <v>48</v>
      </c>
      <c r="C5747" s="4">
        <v>45928.25</v>
      </c>
      <c r="D5747" s="4">
        <v>45928.250188402773</v>
      </c>
      <c r="E5747" s="2">
        <v>2.17</v>
      </c>
      <c r="F5747" s="2">
        <v>59.6</v>
      </c>
      <c r="G5747" s="2" t="s">
        <v>983</v>
      </c>
      <c r="H5747" s="2" t="s">
        <v>984</v>
      </c>
      <c r="I5747" s="2"/>
      <c r="J5747" s="2" t="s">
        <v>48</v>
      </c>
    </row>
    <row r="5748" spans="1:10" ht="21" customHeight="1">
      <c r="A5748" s="2" t="s">
        <v>6750</v>
      </c>
      <c r="B5748" s="2" t="s">
        <v>48</v>
      </c>
      <c r="C5748" s="4">
        <v>45929.25</v>
      </c>
      <c r="D5748" s="4">
        <v>45929.250406145831</v>
      </c>
      <c r="E5748" s="2">
        <v>2.14</v>
      </c>
      <c r="F5748" s="2">
        <v>63.5</v>
      </c>
      <c r="G5748" s="2" t="s">
        <v>983</v>
      </c>
      <c r="H5748" s="2" t="s">
        <v>984</v>
      </c>
      <c r="I5748" s="2"/>
      <c r="J5748" s="2" t="s">
        <v>48</v>
      </c>
    </row>
    <row r="5749" spans="1:10" ht="21" customHeight="1">
      <c r="A5749" s="2" t="s">
        <v>6751</v>
      </c>
      <c r="B5749" s="2" t="s">
        <v>48</v>
      </c>
      <c r="C5749" s="4">
        <v>45930.25</v>
      </c>
      <c r="D5749" s="4">
        <v>45930.250563657406</v>
      </c>
      <c r="E5749" s="2">
        <v>3.25</v>
      </c>
      <c r="F5749" s="2">
        <v>63.9</v>
      </c>
      <c r="G5749" s="2" t="s">
        <v>983</v>
      </c>
      <c r="H5749" s="2" t="s">
        <v>984</v>
      </c>
      <c r="I5749" s="2" t="s">
        <v>985</v>
      </c>
      <c r="J5749" s="2" t="s">
        <v>48</v>
      </c>
    </row>
    <row r="5750" spans="1:10" ht="21" customHeight="1">
      <c r="A5750" s="2" t="s">
        <v>6752</v>
      </c>
      <c r="B5750" s="2" t="s">
        <v>48</v>
      </c>
      <c r="C5750" s="4">
        <v>45931.25</v>
      </c>
      <c r="D5750" s="4">
        <v>45931.250030856478</v>
      </c>
      <c r="E5750" s="2">
        <v>3.14</v>
      </c>
      <c r="F5750" s="2">
        <v>63.3</v>
      </c>
      <c r="G5750" s="2" t="s">
        <v>983</v>
      </c>
      <c r="H5750" s="2" t="s">
        <v>984</v>
      </c>
      <c r="I5750" s="2"/>
      <c r="J5750" s="2" t="s">
        <v>48</v>
      </c>
    </row>
    <row r="5751" spans="1:10" ht="21" customHeight="1">
      <c r="A5751" s="2" t="s">
        <v>6753</v>
      </c>
      <c r="B5751" s="2" t="s">
        <v>48</v>
      </c>
      <c r="C5751" s="4">
        <v>45932.25</v>
      </c>
      <c r="D5751" s="4">
        <v>45932.250648576388</v>
      </c>
      <c r="E5751" s="2">
        <v>2.14</v>
      </c>
      <c r="F5751" s="2">
        <v>60.3</v>
      </c>
      <c r="G5751" s="2" t="s">
        <v>983</v>
      </c>
      <c r="H5751" s="2" t="s">
        <v>984</v>
      </c>
      <c r="I5751" s="2"/>
      <c r="J5751" s="2" t="s">
        <v>48</v>
      </c>
    </row>
    <row r="5752" spans="1:10" ht="21" customHeight="1">
      <c r="A5752" s="2" t="s">
        <v>6754</v>
      </c>
      <c r="B5752" s="2" t="s">
        <v>48</v>
      </c>
      <c r="C5752" s="4">
        <v>45933.25</v>
      </c>
      <c r="D5752" s="4">
        <v>45933.250205844903</v>
      </c>
      <c r="E5752" s="2">
        <v>3.28</v>
      </c>
      <c r="F5752" s="2">
        <v>65.099999999999994</v>
      </c>
      <c r="G5752" s="2" t="s">
        <v>983</v>
      </c>
      <c r="H5752" s="2" t="s">
        <v>984</v>
      </c>
      <c r="I5752" s="2"/>
      <c r="J5752" s="2" t="s">
        <v>48</v>
      </c>
    </row>
    <row r="5753" spans="1:10" ht="21" customHeight="1">
      <c r="A5753" s="2" t="s">
        <v>6755</v>
      </c>
      <c r="B5753" s="2" t="s">
        <v>48</v>
      </c>
      <c r="C5753" s="4">
        <v>45934.25</v>
      </c>
      <c r="D5753" s="4">
        <v>45934.250180057876</v>
      </c>
      <c r="E5753" s="2"/>
      <c r="F5753" s="2"/>
      <c r="G5753" s="2" t="s">
        <v>983</v>
      </c>
      <c r="H5753" s="2" t="s">
        <v>1066</v>
      </c>
      <c r="I5753" s="2"/>
      <c r="J5753" s="2" t="s">
        <v>48</v>
      </c>
    </row>
    <row r="5754" spans="1:10" ht="21" customHeight="1">
      <c r="A5754" s="2" t="s">
        <v>6756</v>
      </c>
      <c r="B5754" s="2" t="s">
        <v>48</v>
      </c>
      <c r="C5754" s="4">
        <v>45935.25</v>
      </c>
      <c r="D5754" s="4">
        <v>45935.250449340281</v>
      </c>
      <c r="E5754" s="2">
        <v>2.4700000000000002</v>
      </c>
      <c r="F5754" s="2">
        <v>58.9</v>
      </c>
      <c r="G5754" s="2" t="s">
        <v>983</v>
      </c>
      <c r="H5754" s="2" t="s">
        <v>984</v>
      </c>
      <c r="I5754" s="2"/>
      <c r="J5754" s="2" t="s">
        <v>48</v>
      </c>
    </row>
    <row r="5755" spans="1:10" ht="21" customHeight="1">
      <c r="A5755" s="2" t="s">
        <v>6757</v>
      </c>
      <c r="B5755" s="2" t="s">
        <v>48</v>
      </c>
      <c r="C5755" s="4">
        <v>45936.25</v>
      </c>
      <c r="D5755" s="4">
        <v>45936.250118171301</v>
      </c>
      <c r="E5755" s="2">
        <v>4.32</v>
      </c>
      <c r="F5755" s="2">
        <v>73.599999999999994</v>
      </c>
      <c r="G5755" s="2" t="s">
        <v>983</v>
      </c>
      <c r="H5755" s="2" t="s">
        <v>984</v>
      </c>
      <c r="I5755" s="2" t="s">
        <v>1053</v>
      </c>
      <c r="J5755" s="2" t="s">
        <v>48</v>
      </c>
    </row>
    <row r="5756" spans="1:10" ht="21" customHeight="1">
      <c r="A5756" s="2" t="s">
        <v>6758</v>
      </c>
      <c r="B5756" s="2" t="s">
        <v>48</v>
      </c>
      <c r="C5756" s="4">
        <v>45937.25</v>
      </c>
      <c r="D5756" s="4">
        <v>45937.250510532409</v>
      </c>
      <c r="E5756" s="2">
        <v>5.91</v>
      </c>
      <c r="F5756" s="2">
        <v>70.3</v>
      </c>
      <c r="G5756" s="2" t="s">
        <v>983</v>
      </c>
      <c r="H5756" s="2" t="s">
        <v>984</v>
      </c>
      <c r="I5756" s="2"/>
      <c r="J5756" s="2" t="s">
        <v>48</v>
      </c>
    </row>
    <row r="5757" spans="1:10" ht="21" customHeight="1">
      <c r="A5757" s="2" t="s">
        <v>6759</v>
      </c>
      <c r="B5757" s="2" t="s">
        <v>48</v>
      </c>
      <c r="C5757" s="4">
        <v>45938.25</v>
      </c>
      <c r="D5757" s="4">
        <v>45938.250268749995</v>
      </c>
      <c r="E5757" s="2">
        <v>4.45</v>
      </c>
      <c r="F5757" s="2">
        <v>68.2</v>
      </c>
      <c r="G5757" s="2" t="s">
        <v>983</v>
      </c>
      <c r="H5757" s="2" t="s">
        <v>984</v>
      </c>
      <c r="I5757" s="2" t="s">
        <v>1053</v>
      </c>
      <c r="J5757" s="2" t="s">
        <v>48</v>
      </c>
    </row>
    <row r="5758" spans="1:10" ht="21" customHeight="1">
      <c r="A5758" s="2" t="s">
        <v>6760</v>
      </c>
      <c r="B5758" s="2" t="s">
        <v>48</v>
      </c>
      <c r="C5758" s="4">
        <v>45939.25</v>
      </c>
      <c r="D5758" s="4">
        <v>45939.250321296291</v>
      </c>
      <c r="E5758" s="2">
        <v>2.77</v>
      </c>
      <c r="F5758" s="2">
        <v>58.6</v>
      </c>
      <c r="G5758" s="2" t="s">
        <v>983</v>
      </c>
      <c r="H5758" s="2" t="s">
        <v>984</v>
      </c>
      <c r="I5758" s="2"/>
      <c r="J5758" s="2" t="s">
        <v>48</v>
      </c>
    </row>
    <row r="5759" spans="1:10" ht="21" customHeight="1">
      <c r="A5759" s="2" t="s">
        <v>6761</v>
      </c>
      <c r="B5759" s="2" t="s">
        <v>48</v>
      </c>
      <c r="C5759" s="4">
        <v>45940.25</v>
      </c>
      <c r="D5759" s="4">
        <v>45940.25036273148</v>
      </c>
      <c r="E5759" s="2">
        <v>3.03</v>
      </c>
      <c r="F5759" s="2">
        <v>65.5</v>
      </c>
      <c r="G5759" s="2" t="s">
        <v>983</v>
      </c>
      <c r="H5759" s="2" t="s">
        <v>984</v>
      </c>
      <c r="I5759" s="2"/>
      <c r="J5759" s="2" t="s">
        <v>48</v>
      </c>
    </row>
    <row r="5760" spans="1:10" ht="21" customHeight="1">
      <c r="A5760" s="2" t="s">
        <v>6762</v>
      </c>
      <c r="B5760" s="2" t="s">
        <v>48</v>
      </c>
      <c r="C5760" s="4">
        <v>45941.25</v>
      </c>
      <c r="D5760" s="4">
        <v>45941.250586608796</v>
      </c>
      <c r="E5760" s="2">
        <v>3.03</v>
      </c>
      <c r="F5760" s="2">
        <v>61.5</v>
      </c>
      <c r="G5760" s="2" t="s">
        <v>983</v>
      </c>
      <c r="H5760" s="2" t="s">
        <v>984</v>
      </c>
      <c r="I5760" s="2"/>
      <c r="J5760" s="2" t="s">
        <v>48</v>
      </c>
    </row>
    <row r="5761" spans="1:10" ht="21" customHeight="1">
      <c r="A5761" s="2" t="s">
        <v>6763</v>
      </c>
      <c r="B5761" s="2" t="s">
        <v>48</v>
      </c>
      <c r="C5761" s="4">
        <v>45942.25</v>
      </c>
      <c r="D5761" s="4">
        <v>45942.250072268522</v>
      </c>
      <c r="E5761" s="2">
        <v>2.91</v>
      </c>
      <c r="F5761" s="2">
        <v>59.4</v>
      </c>
      <c r="G5761" s="2" t="s">
        <v>983</v>
      </c>
      <c r="H5761" s="2" t="s">
        <v>984</v>
      </c>
      <c r="I5761" s="2"/>
      <c r="J5761" s="2" t="s">
        <v>48</v>
      </c>
    </row>
    <row r="5762" spans="1:10" ht="21" customHeight="1">
      <c r="A5762" s="2" t="s">
        <v>6764</v>
      </c>
      <c r="B5762" s="2" t="s">
        <v>48</v>
      </c>
      <c r="C5762" s="4">
        <v>45943.25</v>
      </c>
      <c r="D5762" s="4">
        <v>45943.250565532406</v>
      </c>
      <c r="E5762" s="2">
        <v>3.26</v>
      </c>
      <c r="F5762" s="2">
        <v>63.2</v>
      </c>
      <c r="G5762" s="2" t="s">
        <v>983</v>
      </c>
      <c r="H5762" s="2" t="s">
        <v>984</v>
      </c>
      <c r="I5762" s="2"/>
      <c r="J5762" s="2" t="s">
        <v>48</v>
      </c>
    </row>
    <row r="5763" spans="1:10" ht="21" customHeight="1">
      <c r="A5763" s="2" t="s">
        <v>6765</v>
      </c>
      <c r="B5763" s="2" t="s">
        <v>48</v>
      </c>
      <c r="C5763" s="4">
        <v>45944.25</v>
      </c>
      <c r="D5763" s="4">
        <v>45944.250658680554</v>
      </c>
      <c r="E5763" s="2">
        <v>2.9</v>
      </c>
      <c r="F5763" s="2">
        <v>60.3</v>
      </c>
      <c r="G5763" s="2" t="s">
        <v>983</v>
      </c>
      <c r="H5763" s="2" t="s">
        <v>984</v>
      </c>
      <c r="I5763" s="2"/>
      <c r="J5763" s="2" t="s">
        <v>48</v>
      </c>
    </row>
    <row r="5764" spans="1:10" ht="21" customHeight="1">
      <c r="A5764" s="2" t="s">
        <v>6766</v>
      </c>
      <c r="B5764" s="2" t="s">
        <v>48</v>
      </c>
      <c r="C5764" s="4">
        <v>45945.25</v>
      </c>
      <c r="D5764" s="4">
        <v>45945.250340856481</v>
      </c>
      <c r="E5764" s="2">
        <v>3.27</v>
      </c>
      <c r="F5764" s="2">
        <v>59.1</v>
      </c>
      <c r="G5764" s="2" t="s">
        <v>983</v>
      </c>
      <c r="H5764" s="2" t="s">
        <v>984</v>
      </c>
      <c r="I5764" s="2"/>
      <c r="J5764" s="2" t="s">
        <v>48</v>
      </c>
    </row>
    <row r="5765" spans="1:10" ht="21" customHeight="1">
      <c r="A5765" s="2" t="s">
        <v>6767</v>
      </c>
      <c r="B5765" s="2" t="s">
        <v>48</v>
      </c>
      <c r="C5765" s="4">
        <v>45946.25</v>
      </c>
      <c r="D5765" s="4">
        <v>45946.250116631942</v>
      </c>
      <c r="E5765" s="2">
        <v>2.2200000000000002</v>
      </c>
      <c r="F5765" s="2">
        <v>64.900000000000006</v>
      </c>
      <c r="G5765" s="2" t="s">
        <v>983</v>
      </c>
      <c r="H5765" s="2" t="s">
        <v>984</v>
      </c>
      <c r="I5765" s="2"/>
      <c r="J5765" s="2" t="s">
        <v>48</v>
      </c>
    </row>
    <row r="5766" spans="1:10" ht="21" customHeight="1">
      <c r="A5766" s="2" t="s">
        <v>6768</v>
      </c>
      <c r="B5766" s="2" t="s">
        <v>48</v>
      </c>
      <c r="C5766" s="4">
        <v>45947.25</v>
      </c>
      <c r="D5766" s="4">
        <v>45947.250643298612</v>
      </c>
      <c r="E5766" s="2">
        <v>2.7</v>
      </c>
      <c r="F5766" s="2">
        <v>61.8</v>
      </c>
      <c r="G5766" s="2" t="s">
        <v>983</v>
      </c>
      <c r="H5766" s="2" t="s">
        <v>984</v>
      </c>
      <c r="I5766" s="2" t="s">
        <v>985</v>
      </c>
      <c r="J5766" s="2" t="s">
        <v>48</v>
      </c>
    </row>
    <row r="5767" spans="1:10" ht="21" customHeight="1">
      <c r="A5767" s="2" t="s">
        <v>6769</v>
      </c>
      <c r="B5767" s="2" t="s">
        <v>48</v>
      </c>
      <c r="C5767" s="4">
        <v>45948.25</v>
      </c>
      <c r="D5767" s="4">
        <v>45948.250070451388</v>
      </c>
      <c r="E5767" s="2">
        <v>3.24</v>
      </c>
      <c r="F5767" s="2">
        <v>62.5</v>
      </c>
      <c r="G5767" s="2" t="s">
        <v>983</v>
      </c>
      <c r="H5767" s="2" t="s">
        <v>984</v>
      </c>
      <c r="I5767" s="2"/>
      <c r="J5767" s="2" t="s">
        <v>48</v>
      </c>
    </row>
    <row r="5768" spans="1:10" ht="21" customHeight="1">
      <c r="A5768" s="2" t="s">
        <v>6770</v>
      </c>
      <c r="B5768" s="2" t="s">
        <v>48</v>
      </c>
      <c r="C5768" s="4">
        <v>45949.25</v>
      </c>
      <c r="D5768" s="4">
        <v>45949.250242627313</v>
      </c>
      <c r="E5768" s="2">
        <v>2.5499999999999998</v>
      </c>
      <c r="F5768" s="2">
        <v>64.3</v>
      </c>
      <c r="G5768" s="2" t="s">
        <v>983</v>
      </c>
      <c r="H5768" s="2" t="s">
        <v>984</v>
      </c>
      <c r="I5768" s="2"/>
      <c r="J5768" s="2" t="s">
        <v>48</v>
      </c>
    </row>
    <row r="5769" spans="1:10" ht="21" customHeight="1">
      <c r="A5769" s="2" t="s">
        <v>6771</v>
      </c>
      <c r="B5769" s="2" t="s">
        <v>48</v>
      </c>
      <c r="C5769" s="4">
        <v>45950.25</v>
      </c>
      <c r="D5769" s="4">
        <v>45950.250170995372</v>
      </c>
      <c r="E5769" s="2">
        <v>2.21</v>
      </c>
      <c r="F5769" s="2">
        <v>65.3</v>
      </c>
      <c r="G5769" s="2" t="s">
        <v>983</v>
      </c>
      <c r="H5769" s="2" t="s">
        <v>984</v>
      </c>
      <c r="I5769" s="2"/>
      <c r="J5769" s="2" t="s">
        <v>48</v>
      </c>
    </row>
    <row r="5770" spans="1:10" ht="21" customHeight="1">
      <c r="A5770" s="2" t="s">
        <v>6772</v>
      </c>
      <c r="B5770" s="2" t="s">
        <v>48</v>
      </c>
      <c r="C5770" s="4">
        <v>45951.25</v>
      </c>
      <c r="D5770" s="4">
        <v>45951.250534826388</v>
      </c>
      <c r="E5770" s="2">
        <v>2.77</v>
      </c>
      <c r="F5770" s="2">
        <v>60.3</v>
      </c>
      <c r="G5770" s="2" t="s">
        <v>983</v>
      </c>
      <c r="H5770" s="2" t="s">
        <v>984</v>
      </c>
      <c r="I5770" s="2"/>
      <c r="J5770" s="2" t="s">
        <v>48</v>
      </c>
    </row>
    <row r="5771" spans="1:10" ht="21" customHeight="1">
      <c r="A5771" s="2" t="s">
        <v>6773</v>
      </c>
      <c r="B5771" s="2" t="s">
        <v>48</v>
      </c>
      <c r="C5771" s="4">
        <v>45952.25</v>
      </c>
      <c r="D5771" s="4">
        <v>45952.250016851853</v>
      </c>
      <c r="E5771" s="2">
        <v>3.16</v>
      </c>
      <c r="F5771" s="2">
        <v>59.2</v>
      </c>
      <c r="G5771" s="2" t="s">
        <v>983</v>
      </c>
      <c r="H5771" s="2" t="s">
        <v>984</v>
      </c>
      <c r="I5771" s="2"/>
      <c r="J5771" s="2" t="s">
        <v>48</v>
      </c>
    </row>
    <row r="5772" spans="1:10" ht="21" customHeight="1">
      <c r="A5772" s="2" t="s">
        <v>6774</v>
      </c>
      <c r="B5772" s="2" t="s">
        <v>48</v>
      </c>
      <c r="C5772" s="4">
        <v>45953.25</v>
      </c>
      <c r="D5772" s="4">
        <v>45953.250534849532</v>
      </c>
      <c r="E5772" s="2">
        <v>2.75</v>
      </c>
      <c r="F5772" s="2">
        <v>65.7</v>
      </c>
      <c r="G5772" s="2" t="s">
        <v>983</v>
      </c>
      <c r="H5772" s="2" t="s">
        <v>984</v>
      </c>
      <c r="I5772" s="2"/>
      <c r="J5772" s="2" t="s">
        <v>48</v>
      </c>
    </row>
    <row r="5773" spans="1:10" ht="21" customHeight="1">
      <c r="A5773" s="2" t="s">
        <v>6775</v>
      </c>
      <c r="B5773" s="2" t="s">
        <v>48</v>
      </c>
      <c r="C5773" s="4">
        <v>45954.25</v>
      </c>
      <c r="D5773" s="4">
        <v>45954.250048877315</v>
      </c>
      <c r="E5773" s="2">
        <v>2.36</v>
      </c>
      <c r="F5773" s="2">
        <v>63.5</v>
      </c>
      <c r="G5773" s="2" t="s">
        <v>983</v>
      </c>
      <c r="H5773" s="2" t="s">
        <v>984</v>
      </c>
      <c r="I5773" s="2"/>
      <c r="J5773" s="2" t="s">
        <v>48</v>
      </c>
    </row>
    <row r="5774" spans="1:10" ht="21" customHeight="1">
      <c r="A5774" s="2" t="s">
        <v>6776</v>
      </c>
      <c r="B5774" s="2" t="s">
        <v>48</v>
      </c>
      <c r="C5774" s="4">
        <v>45955.25</v>
      </c>
      <c r="D5774" s="4">
        <v>45955.250405451385</v>
      </c>
      <c r="E5774" s="2">
        <v>2.3199999999999998</v>
      </c>
      <c r="F5774" s="2">
        <v>60</v>
      </c>
      <c r="G5774" s="2" t="s">
        <v>983</v>
      </c>
      <c r="H5774" s="2" t="s">
        <v>984</v>
      </c>
      <c r="I5774" s="2"/>
      <c r="J5774" s="2" t="s">
        <v>48</v>
      </c>
    </row>
    <row r="5775" spans="1:10" ht="21" customHeight="1">
      <c r="A5775" s="2" t="s">
        <v>6777</v>
      </c>
      <c r="B5775" s="2" t="s">
        <v>48</v>
      </c>
      <c r="C5775" s="4">
        <v>45956.25</v>
      </c>
      <c r="D5775" s="4">
        <v>45956.250235462961</v>
      </c>
      <c r="E5775" s="2">
        <v>3.02</v>
      </c>
      <c r="F5775" s="2">
        <v>63.9</v>
      </c>
      <c r="G5775" s="2" t="s">
        <v>983</v>
      </c>
      <c r="H5775" s="2" t="s">
        <v>984</v>
      </c>
      <c r="I5775" s="2"/>
      <c r="J5775" s="2" t="s">
        <v>48</v>
      </c>
    </row>
    <row r="5776" spans="1:10" ht="21" customHeight="1">
      <c r="A5776" s="2" t="s">
        <v>6778</v>
      </c>
      <c r="B5776" s="2" t="s">
        <v>48</v>
      </c>
      <c r="C5776" s="4">
        <v>45957.25</v>
      </c>
      <c r="D5776" s="4">
        <v>45957.250237997687</v>
      </c>
      <c r="E5776" s="2">
        <v>3.28</v>
      </c>
      <c r="F5776" s="2">
        <v>60.4</v>
      </c>
      <c r="G5776" s="2" t="s">
        <v>983</v>
      </c>
      <c r="H5776" s="2" t="s">
        <v>984</v>
      </c>
      <c r="I5776" s="2"/>
      <c r="J5776" s="2" t="s">
        <v>48</v>
      </c>
    </row>
    <row r="5777" spans="1:10" ht="21" customHeight="1">
      <c r="A5777" s="2" t="s">
        <v>6779</v>
      </c>
      <c r="B5777" s="2" t="s">
        <v>48</v>
      </c>
      <c r="C5777" s="4">
        <v>45958.25</v>
      </c>
      <c r="D5777" s="4">
        <v>45958.250178773145</v>
      </c>
      <c r="E5777" s="2">
        <v>3.18</v>
      </c>
      <c r="F5777" s="2">
        <v>65.5</v>
      </c>
      <c r="G5777" s="2" t="s">
        <v>983</v>
      </c>
      <c r="H5777" s="2" t="s">
        <v>984</v>
      </c>
      <c r="I5777" s="2"/>
      <c r="J5777" s="2" t="s">
        <v>48</v>
      </c>
    </row>
    <row r="5778" spans="1:10" ht="21" customHeight="1">
      <c r="A5778" s="2" t="s">
        <v>6780</v>
      </c>
      <c r="B5778" s="2" t="s">
        <v>48</v>
      </c>
      <c r="C5778" s="4">
        <v>45959.25</v>
      </c>
      <c r="D5778" s="4">
        <v>45959.250628692127</v>
      </c>
      <c r="E5778" s="2">
        <v>2.2799999999999998</v>
      </c>
      <c r="F5778" s="2">
        <v>63.7</v>
      </c>
      <c r="G5778" s="2" t="s">
        <v>983</v>
      </c>
      <c r="H5778" s="2" t="s">
        <v>984</v>
      </c>
      <c r="I5778" s="2"/>
      <c r="J5778" s="2" t="s">
        <v>48</v>
      </c>
    </row>
    <row r="5779" spans="1:10" ht="21" customHeight="1">
      <c r="A5779" s="2" t="s">
        <v>6781</v>
      </c>
      <c r="B5779" s="2" t="s">
        <v>48</v>
      </c>
      <c r="C5779" s="4">
        <v>45960.25</v>
      </c>
      <c r="D5779" s="4">
        <v>45960.250323414351</v>
      </c>
      <c r="E5779" s="2"/>
      <c r="F5779" s="2"/>
      <c r="G5779" s="2" t="s">
        <v>983</v>
      </c>
      <c r="H5779" s="2" t="s">
        <v>1066</v>
      </c>
      <c r="I5779" s="2"/>
      <c r="J5779" s="2" t="s">
        <v>48</v>
      </c>
    </row>
    <row r="5780" spans="1:10" ht="21" customHeight="1">
      <c r="A5780" s="2" t="s">
        <v>6782</v>
      </c>
      <c r="B5780" s="2" t="s">
        <v>48</v>
      </c>
      <c r="C5780" s="4">
        <v>45961.25</v>
      </c>
      <c r="D5780" s="4">
        <v>45961.250588738425</v>
      </c>
      <c r="E5780" s="2">
        <v>3.09</v>
      </c>
      <c r="F5780" s="2">
        <v>62.4</v>
      </c>
      <c r="G5780" s="2" t="s">
        <v>983</v>
      </c>
      <c r="H5780" s="2" t="s">
        <v>984</v>
      </c>
      <c r="I5780" s="2"/>
      <c r="J5780" s="2" t="s">
        <v>48</v>
      </c>
    </row>
    <row r="5781" spans="1:10" ht="21" customHeight="1">
      <c r="A5781" s="2" t="s">
        <v>6783</v>
      </c>
      <c r="B5781" s="2" t="s">
        <v>48</v>
      </c>
      <c r="C5781" s="4">
        <v>45962.25</v>
      </c>
      <c r="D5781" s="4">
        <v>45962.250656261574</v>
      </c>
      <c r="E5781" s="2">
        <v>2.35</v>
      </c>
      <c r="F5781" s="2">
        <v>65.7</v>
      </c>
      <c r="G5781" s="2" t="s">
        <v>983</v>
      </c>
      <c r="H5781" s="2" t="s">
        <v>984</v>
      </c>
      <c r="I5781" s="2"/>
      <c r="J5781" s="2" t="s">
        <v>48</v>
      </c>
    </row>
    <row r="5782" spans="1:10" ht="21" customHeight="1">
      <c r="A5782" s="2" t="s">
        <v>6784</v>
      </c>
      <c r="B5782" s="2" t="s">
        <v>48</v>
      </c>
      <c r="C5782" s="4">
        <v>45963.25</v>
      </c>
      <c r="D5782" s="4">
        <v>45963.250179791663</v>
      </c>
      <c r="E5782" s="2">
        <v>2.66</v>
      </c>
      <c r="F5782" s="2">
        <v>62.8</v>
      </c>
      <c r="G5782" s="2" t="s">
        <v>983</v>
      </c>
      <c r="H5782" s="2" t="s">
        <v>984</v>
      </c>
      <c r="I5782" s="2"/>
      <c r="J5782" s="2" t="s">
        <v>48</v>
      </c>
    </row>
    <row r="5783" spans="1:10" ht="21" customHeight="1">
      <c r="A5783" s="2" t="s">
        <v>6785</v>
      </c>
      <c r="B5783" s="2" t="s">
        <v>6498</v>
      </c>
      <c r="C5783" s="4">
        <v>45964.25</v>
      </c>
      <c r="D5783" s="4">
        <v>45964.250415995368</v>
      </c>
      <c r="E5783" s="2">
        <v>2.97</v>
      </c>
      <c r="F5783" s="2">
        <v>59.3</v>
      </c>
      <c r="G5783" s="2" t="s">
        <v>983</v>
      </c>
      <c r="H5783" s="2" t="s">
        <v>984</v>
      </c>
      <c r="I5783" s="2" t="s">
        <v>985</v>
      </c>
      <c r="J5783" s="2" t="s">
        <v>48</v>
      </c>
    </row>
    <row r="5784" spans="1:10" ht="21" customHeight="1">
      <c r="A5784" s="2" t="s">
        <v>6786</v>
      </c>
      <c r="B5784" s="2" t="s">
        <v>48</v>
      </c>
      <c r="C5784" s="4">
        <v>45965.25</v>
      </c>
      <c r="D5784" s="4">
        <v>45965.250539305554</v>
      </c>
      <c r="E5784" s="2">
        <v>2.83</v>
      </c>
      <c r="F5784" s="2">
        <v>60.3</v>
      </c>
      <c r="G5784" s="2" t="s">
        <v>983</v>
      </c>
      <c r="H5784" s="2" t="s">
        <v>984</v>
      </c>
      <c r="I5784" s="2"/>
      <c r="J5784" s="2" t="s">
        <v>48</v>
      </c>
    </row>
    <row r="5785" spans="1:10" ht="21" customHeight="1">
      <c r="A5785" s="2" t="s">
        <v>6787</v>
      </c>
      <c r="B5785" s="2" t="s">
        <v>48</v>
      </c>
      <c r="C5785" s="4">
        <v>45966.25</v>
      </c>
      <c r="D5785" s="4">
        <v>45966.25013403935</v>
      </c>
      <c r="E5785" s="2">
        <v>2.66</v>
      </c>
      <c r="F5785" s="2">
        <v>65.2</v>
      </c>
      <c r="G5785" s="2" t="s">
        <v>983</v>
      </c>
      <c r="H5785" s="2" t="s">
        <v>984</v>
      </c>
      <c r="I5785" s="2"/>
      <c r="J5785" s="2" t="s">
        <v>48</v>
      </c>
    </row>
    <row r="5786" spans="1:10" ht="21" customHeight="1">
      <c r="A5786" s="2" t="s">
        <v>6788</v>
      </c>
      <c r="B5786" s="2" t="s">
        <v>48</v>
      </c>
      <c r="C5786" s="4">
        <v>45967.25</v>
      </c>
      <c r="D5786" s="4">
        <v>45967.250094328701</v>
      </c>
      <c r="E5786" s="2">
        <v>2.61</v>
      </c>
      <c r="F5786" s="2">
        <v>61.9</v>
      </c>
      <c r="G5786" s="2" t="s">
        <v>983</v>
      </c>
      <c r="H5786" s="2" t="s">
        <v>984</v>
      </c>
      <c r="I5786" s="2"/>
      <c r="J5786" s="2" t="s">
        <v>48</v>
      </c>
    </row>
    <row r="5787" spans="1:10" ht="21" customHeight="1">
      <c r="A5787" s="2" t="s">
        <v>6789</v>
      </c>
      <c r="B5787" s="2" t="s">
        <v>48</v>
      </c>
      <c r="C5787" s="4">
        <v>45968.25</v>
      </c>
      <c r="D5787" s="4">
        <v>45968.250016111109</v>
      </c>
      <c r="E5787" s="2">
        <v>2.77</v>
      </c>
      <c r="F5787" s="2">
        <v>65.2</v>
      </c>
      <c r="G5787" s="2" t="s">
        <v>983</v>
      </c>
      <c r="H5787" s="2" t="s">
        <v>984</v>
      </c>
      <c r="I5787" s="2"/>
      <c r="J5787" s="2" t="s">
        <v>48</v>
      </c>
    </row>
    <row r="5788" spans="1:10" ht="21" customHeight="1">
      <c r="A5788" s="2" t="s">
        <v>6790</v>
      </c>
      <c r="B5788" s="2" t="s">
        <v>48</v>
      </c>
      <c r="C5788" s="4">
        <v>45969.25</v>
      </c>
      <c r="D5788" s="4">
        <v>45969.250193252316</v>
      </c>
      <c r="E5788" s="2">
        <v>4.4800000000000004</v>
      </c>
      <c r="F5788" s="2">
        <v>70.900000000000006</v>
      </c>
      <c r="G5788" s="2" t="s">
        <v>983</v>
      </c>
      <c r="H5788" s="2" t="s">
        <v>984</v>
      </c>
      <c r="I5788" s="2"/>
      <c r="J5788" s="2" t="s">
        <v>48</v>
      </c>
    </row>
    <row r="5789" spans="1:10" ht="21" customHeight="1">
      <c r="A5789" s="2" t="s">
        <v>6791</v>
      </c>
      <c r="B5789" s="2" t="s">
        <v>48</v>
      </c>
      <c r="C5789" s="4">
        <v>45970.25</v>
      </c>
      <c r="D5789" s="4">
        <v>45970.250459930554</v>
      </c>
      <c r="E5789" s="2">
        <v>5.44</v>
      </c>
      <c r="F5789" s="2">
        <v>73.8</v>
      </c>
      <c r="G5789" s="2" t="s">
        <v>983</v>
      </c>
      <c r="H5789" s="2" t="s">
        <v>984</v>
      </c>
      <c r="I5789" s="2" t="s">
        <v>1053</v>
      </c>
      <c r="J5789" s="2" t="s">
        <v>48</v>
      </c>
    </row>
    <row r="5790" spans="1:10" ht="21" customHeight="1">
      <c r="A5790" s="2" t="s">
        <v>6792</v>
      </c>
      <c r="B5790" s="2" t="s">
        <v>48</v>
      </c>
      <c r="C5790" s="4">
        <v>45971.25</v>
      </c>
      <c r="D5790" s="4">
        <v>45971.250331006944</v>
      </c>
      <c r="E5790" s="2">
        <v>5.37</v>
      </c>
      <c r="F5790" s="2">
        <v>68.3</v>
      </c>
      <c r="G5790" s="2" t="s">
        <v>983</v>
      </c>
      <c r="H5790" s="2" t="s">
        <v>984</v>
      </c>
      <c r="I5790" s="2"/>
      <c r="J5790" s="2" t="s">
        <v>48</v>
      </c>
    </row>
    <row r="5791" spans="1:10" ht="21" customHeight="1">
      <c r="A5791" s="2" t="s">
        <v>6793</v>
      </c>
      <c r="B5791" s="2" t="s">
        <v>48</v>
      </c>
      <c r="C5791" s="4">
        <v>45972.25</v>
      </c>
      <c r="D5791" s="4">
        <v>45972.250282175926</v>
      </c>
      <c r="E5791" s="2">
        <v>0</v>
      </c>
      <c r="F5791" s="2">
        <v>59.7</v>
      </c>
      <c r="G5791" s="2" t="s">
        <v>1175</v>
      </c>
      <c r="H5791" s="2" t="s">
        <v>984</v>
      </c>
      <c r="I5791" s="2"/>
      <c r="J5791" s="2" t="s">
        <v>48</v>
      </c>
    </row>
    <row r="5792" spans="1:10" ht="21" customHeight="1">
      <c r="A5792" s="2" t="s">
        <v>6794</v>
      </c>
      <c r="B5792" s="2" t="s">
        <v>48</v>
      </c>
      <c r="C5792" s="4">
        <v>45973.25</v>
      </c>
      <c r="D5792" s="4">
        <v>45973.250077349541</v>
      </c>
      <c r="E5792" s="2">
        <v>3.09</v>
      </c>
      <c r="F5792" s="2">
        <v>59</v>
      </c>
      <c r="G5792" s="2" t="s">
        <v>983</v>
      </c>
      <c r="H5792" s="2" t="s">
        <v>984</v>
      </c>
      <c r="I5792" s="2"/>
      <c r="J5792" s="2" t="s">
        <v>48</v>
      </c>
    </row>
    <row r="5793" spans="1:10" ht="21" customHeight="1">
      <c r="A5793" s="2" t="s">
        <v>6795</v>
      </c>
      <c r="B5793" s="2" t="s">
        <v>48</v>
      </c>
      <c r="C5793" s="4">
        <v>45974.25</v>
      </c>
      <c r="D5793" s="4">
        <v>45974.250146620368</v>
      </c>
      <c r="E5793" s="2">
        <v>2.59</v>
      </c>
      <c r="F5793" s="2">
        <v>58.8</v>
      </c>
      <c r="G5793" s="2" t="s">
        <v>983</v>
      </c>
      <c r="H5793" s="2" t="s">
        <v>984</v>
      </c>
      <c r="I5793" s="2"/>
      <c r="J5793" s="2" t="s">
        <v>48</v>
      </c>
    </row>
    <row r="5794" spans="1:10" ht="21" customHeight="1">
      <c r="A5794" s="2" t="s">
        <v>6796</v>
      </c>
      <c r="B5794" s="2" t="s">
        <v>48</v>
      </c>
      <c r="C5794" s="4">
        <v>45975.25</v>
      </c>
      <c r="D5794" s="4">
        <v>45975.25056601852</v>
      </c>
      <c r="E5794" s="2">
        <v>3.2</v>
      </c>
      <c r="F5794" s="2">
        <v>62.4</v>
      </c>
      <c r="G5794" s="2" t="s">
        <v>983</v>
      </c>
      <c r="H5794" s="2" t="s">
        <v>984</v>
      </c>
      <c r="I5794" s="2"/>
      <c r="J5794" s="2" t="s">
        <v>48</v>
      </c>
    </row>
    <row r="5795" spans="1:10" ht="21" customHeight="1">
      <c r="A5795" s="2" t="s">
        <v>6797</v>
      </c>
      <c r="B5795" s="2" t="s">
        <v>48</v>
      </c>
      <c r="C5795" s="4">
        <v>45976.25</v>
      </c>
      <c r="D5795" s="4">
        <v>45976.250536817126</v>
      </c>
      <c r="E5795" s="2"/>
      <c r="F5795" s="2"/>
      <c r="G5795" s="2" t="s">
        <v>983</v>
      </c>
      <c r="H5795" s="2" t="s">
        <v>1066</v>
      </c>
      <c r="I5795" s="2"/>
      <c r="J5795" s="2" t="s">
        <v>48</v>
      </c>
    </row>
    <row r="5796" spans="1:10" ht="21" customHeight="1">
      <c r="A5796" s="2" t="s">
        <v>6798</v>
      </c>
      <c r="B5796" s="2" t="s">
        <v>48</v>
      </c>
      <c r="C5796" s="4">
        <v>45977.25</v>
      </c>
      <c r="D5796" s="4">
        <v>45977.25011497685</v>
      </c>
      <c r="E5796" s="2">
        <v>2.54</v>
      </c>
      <c r="F5796" s="2">
        <v>65.099999999999994</v>
      </c>
      <c r="G5796" s="2" t="s">
        <v>983</v>
      </c>
      <c r="H5796" s="2" t="s">
        <v>984</v>
      </c>
      <c r="I5796" s="2"/>
      <c r="J5796" s="2" t="s">
        <v>48</v>
      </c>
    </row>
    <row r="5797" spans="1:10" ht="21" customHeight="1">
      <c r="A5797" s="2" t="s">
        <v>6799</v>
      </c>
      <c r="B5797" s="2" t="s">
        <v>48</v>
      </c>
      <c r="C5797" s="4">
        <v>45978.25</v>
      </c>
      <c r="D5797" s="4">
        <v>45978.250346909721</v>
      </c>
      <c r="E5797" s="2">
        <v>2.68</v>
      </c>
      <c r="F5797" s="2">
        <v>66</v>
      </c>
      <c r="G5797" s="2" t="s">
        <v>983</v>
      </c>
      <c r="H5797" s="2" t="s">
        <v>984</v>
      </c>
      <c r="I5797" s="2"/>
      <c r="J5797" s="2" t="s">
        <v>48</v>
      </c>
    </row>
    <row r="5798" spans="1:10" ht="21" customHeight="1">
      <c r="A5798" s="2" t="s">
        <v>6800</v>
      </c>
      <c r="B5798" s="2" t="s">
        <v>48</v>
      </c>
      <c r="C5798" s="4">
        <v>45979.25</v>
      </c>
      <c r="D5798" s="4">
        <v>45979.250521226852</v>
      </c>
      <c r="E5798" s="2">
        <v>2.7</v>
      </c>
      <c r="F5798" s="2">
        <v>63.5</v>
      </c>
      <c r="G5798" s="2" t="s">
        <v>983</v>
      </c>
      <c r="H5798" s="2" t="s">
        <v>984</v>
      </c>
      <c r="I5798" s="2"/>
      <c r="J5798" s="2" t="s">
        <v>48</v>
      </c>
    </row>
    <row r="5799" spans="1:10" ht="21" customHeight="1">
      <c r="A5799" s="2" t="s">
        <v>6801</v>
      </c>
      <c r="B5799" s="2" t="s">
        <v>48</v>
      </c>
      <c r="C5799" s="4">
        <v>45980.25</v>
      </c>
      <c r="D5799" s="4">
        <v>45980.250522129631</v>
      </c>
      <c r="E5799" s="2">
        <v>2.63</v>
      </c>
      <c r="F5799" s="2">
        <v>60.1</v>
      </c>
      <c r="G5799" s="2" t="s">
        <v>983</v>
      </c>
      <c r="H5799" s="2" t="s">
        <v>984</v>
      </c>
      <c r="I5799" s="2"/>
      <c r="J5799" s="2" t="s">
        <v>48</v>
      </c>
    </row>
    <row r="5800" spans="1:10" ht="21" customHeight="1">
      <c r="A5800" s="2" t="s">
        <v>6802</v>
      </c>
      <c r="B5800" s="2" t="s">
        <v>48</v>
      </c>
      <c r="C5800" s="4">
        <v>45981.25</v>
      </c>
      <c r="D5800" s="4">
        <v>45981.250231597223</v>
      </c>
      <c r="E5800" s="2">
        <v>2.63</v>
      </c>
      <c r="F5800" s="2">
        <v>65</v>
      </c>
      <c r="G5800" s="2" t="s">
        <v>983</v>
      </c>
      <c r="H5800" s="2" t="s">
        <v>984</v>
      </c>
      <c r="I5800" s="2" t="s">
        <v>985</v>
      </c>
      <c r="J5800" s="2" t="s">
        <v>48</v>
      </c>
    </row>
    <row r="5801" spans="1:10" ht="21" customHeight="1">
      <c r="A5801" s="2" t="s">
        <v>6803</v>
      </c>
      <c r="B5801" s="2" t="s">
        <v>48</v>
      </c>
      <c r="C5801" s="4">
        <v>45982.25</v>
      </c>
      <c r="D5801" s="4">
        <v>45982.250288379626</v>
      </c>
      <c r="E5801" s="2">
        <v>2.97</v>
      </c>
      <c r="F5801" s="2">
        <v>64.3</v>
      </c>
      <c r="G5801" s="2" t="s">
        <v>983</v>
      </c>
      <c r="H5801" s="2" t="s">
        <v>984</v>
      </c>
      <c r="I5801" s="2"/>
      <c r="J5801" s="2" t="s">
        <v>48</v>
      </c>
    </row>
    <row r="5802" spans="1:10" ht="21" customHeight="1">
      <c r="A5802" s="2" t="s">
        <v>6804</v>
      </c>
      <c r="B5802" s="2" t="s">
        <v>48</v>
      </c>
      <c r="C5802" s="4">
        <v>45983.25</v>
      </c>
      <c r="D5802" s="4">
        <v>45983.250255706022</v>
      </c>
      <c r="E5802" s="2">
        <v>2.3199999999999998</v>
      </c>
      <c r="F5802" s="2">
        <v>65.099999999999994</v>
      </c>
      <c r="G5802" s="2" t="s">
        <v>983</v>
      </c>
      <c r="H5802" s="2" t="s">
        <v>984</v>
      </c>
      <c r="I5802" s="2"/>
      <c r="J5802" s="2" t="s">
        <v>48</v>
      </c>
    </row>
    <row r="5803" spans="1:10" ht="21" customHeight="1">
      <c r="A5803" s="2" t="s">
        <v>6805</v>
      </c>
      <c r="B5803" s="2" t="s">
        <v>48</v>
      </c>
      <c r="C5803" s="4">
        <v>45984.25</v>
      </c>
      <c r="D5803" s="4">
        <v>45984.250567731477</v>
      </c>
      <c r="E5803" s="2">
        <v>2.37</v>
      </c>
      <c r="F5803" s="2">
        <v>62</v>
      </c>
      <c r="G5803" s="2" t="s">
        <v>983</v>
      </c>
      <c r="H5803" s="2" t="s">
        <v>984</v>
      </c>
      <c r="I5803" s="2"/>
      <c r="J5803" s="2" t="s">
        <v>48</v>
      </c>
    </row>
    <row r="5804" spans="1:10" ht="21" customHeight="1">
      <c r="A5804" s="2" t="s">
        <v>6806</v>
      </c>
      <c r="B5804" s="2" t="s">
        <v>48</v>
      </c>
      <c r="C5804" s="4">
        <v>45985.25</v>
      </c>
      <c r="D5804" s="4">
        <v>45985.250081261576</v>
      </c>
      <c r="E5804" s="2">
        <v>3.26</v>
      </c>
      <c r="F5804" s="2">
        <v>60.2</v>
      </c>
      <c r="G5804" s="2" t="s">
        <v>983</v>
      </c>
      <c r="H5804" s="2" t="s">
        <v>984</v>
      </c>
      <c r="I5804" s="2"/>
      <c r="J5804" s="2" t="s">
        <v>48</v>
      </c>
    </row>
    <row r="5805" spans="1:10" ht="21" customHeight="1">
      <c r="A5805" s="2" t="s">
        <v>6807</v>
      </c>
      <c r="B5805" s="2" t="s">
        <v>48</v>
      </c>
      <c r="C5805" s="4">
        <v>45986.25</v>
      </c>
      <c r="D5805" s="4">
        <v>45986.250635231481</v>
      </c>
      <c r="E5805" s="2">
        <v>2.21</v>
      </c>
      <c r="F5805" s="2">
        <v>61.6</v>
      </c>
      <c r="G5805" s="2" t="s">
        <v>983</v>
      </c>
      <c r="H5805" s="2" t="s">
        <v>984</v>
      </c>
      <c r="I5805" s="2"/>
      <c r="J5805" s="2" t="s">
        <v>48</v>
      </c>
    </row>
    <row r="5806" spans="1:10" ht="21" customHeight="1">
      <c r="A5806" s="2" t="s">
        <v>6808</v>
      </c>
      <c r="B5806" s="2" t="s">
        <v>48</v>
      </c>
      <c r="C5806" s="4">
        <v>45987.25</v>
      </c>
      <c r="D5806" s="4">
        <v>45987.25012931713</v>
      </c>
      <c r="E5806" s="2">
        <v>2.2999999999999998</v>
      </c>
      <c r="F5806" s="2">
        <v>59.7</v>
      </c>
      <c r="G5806" s="2" t="s">
        <v>983</v>
      </c>
      <c r="H5806" s="2" t="s">
        <v>984</v>
      </c>
      <c r="I5806" s="2"/>
      <c r="J5806" s="2" t="s">
        <v>48</v>
      </c>
    </row>
    <row r="5807" spans="1:10" ht="21" customHeight="1">
      <c r="A5807" s="2" t="s">
        <v>6809</v>
      </c>
      <c r="B5807" s="2" t="s">
        <v>48</v>
      </c>
      <c r="C5807" s="4">
        <v>45988.25</v>
      </c>
      <c r="D5807" s="4">
        <v>45988.250489363425</v>
      </c>
      <c r="E5807" s="2">
        <v>3.28</v>
      </c>
      <c r="F5807" s="2">
        <v>58.2</v>
      </c>
      <c r="G5807" s="2" t="s">
        <v>983</v>
      </c>
      <c r="H5807" s="2" t="s">
        <v>984</v>
      </c>
      <c r="I5807" s="2"/>
      <c r="J5807" s="2" t="s">
        <v>48</v>
      </c>
    </row>
    <row r="5808" spans="1:10" ht="21" customHeight="1">
      <c r="A5808" s="2" t="s">
        <v>6810</v>
      </c>
      <c r="B5808" s="2" t="s">
        <v>48</v>
      </c>
      <c r="C5808" s="4">
        <v>45989.25</v>
      </c>
      <c r="D5808" s="4">
        <v>45989.250011597222</v>
      </c>
      <c r="E5808" s="2">
        <v>3.23</v>
      </c>
      <c r="F5808" s="2">
        <v>64.599999999999994</v>
      </c>
      <c r="G5808" s="2" t="s">
        <v>983</v>
      </c>
      <c r="H5808" s="2" t="s">
        <v>984</v>
      </c>
      <c r="I5808" s="2"/>
      <c r="J5808" s="2" t="s">
        <v>48</v>
      </c>
    </row>
    <row r="5809" spans="1:10" ht="21" customHeight="1">
      <c r="A5809" s="2" t="s">
        <v>6811</v>
      </c>
      <c r="B5809" s="2" t="s">
        <v>48</v>
      </c>
      <c r="C5809" s="4">
        <v>45990.25</v>
      </c>
      <c r="D5809" s="4">
        <v>45990.250087569446</v>
      </c>
      <c r="E5809" s="2">
        <v>2.79</v>
      </c>
      <c r="F5809" s="2">
        <v>64.400000000000006</v>
      </c>
      <c r="G5809" s="2" t="s">
        <v>983</v>
      </c>
      <c r="H5809" s="2" t="s">
        <v>984</v>
      </c>
      <c r="I5809" s="2"/>
      <c r="J5809" s="2" t="s">
        <v>48</v>
      </c>
    </row>
    <row r="5810" spans="1:10" ht="21" customHeight="1">
      <c r="A5810" s="2" t="s">
        <v>6812</v>
      </c>
      <c r="B5810" s="2" t="s">
        <v>48</v>
      </c>
      <c r="C5810" s="4">
        <v>45991.25</v>
      </c>
      <c r="D5810" s="4">
        <v>45991.250394212962</v>
      </c>
      <c r="E5810" s="2">
        <v>2.11</v>
      </c>
      <c r="F5810" s="2">
        <v>65.7</v>
      </c>
      <c r="G5810" s="2" t="s">
        <v>983</v>
      </c>
      <c r="H5810" s="2" t="s">
        <v>984</v>
      </c>
      <c r="I5810" s="2"/>
      <c r="J5810" s="2" t="s">
        <v>48</v>
      </c>
    </row>
    <row r="5811" spans="1:10" ht="21" customHeight="1">
      <c r="A5811" s="2" t="s">
        <v>6813</v>
      </c>
      <c r="B5811" s="2" t="s">
        <v>48</v>
      </c>
      <c r="C5811" s="4">
        <v>45992.25</v>
      </c>
      <c r="D5811" s="4">
        <v>45992.250569016207</v>
      </c>
      <c r="E5811" s="2">
        <v>3.1</v>
      </c>
      <c r="F5811" s="2">
        <v>60.1</v>
      </c>
      <c r="G5811" s="2" t="s">
        <v>983</v>
      </c>
      <c r="H5811" s="2" t="s">
        <v>984</v>
      </c>
      <c r="I5811" s="2"/>
      <c r="J5811" s="2" t="s">
        <v>48</v>
      </c>
    </row>
    <row r="5812" spans="1:10" ht="21" customHeight="1">
      <c r="A5812" s="2" t="s">
        <v>6814</v>
      </c>
      <c r="B5812" s="2" t="s">
        <v>48</v>
      </c>
      <c r="C5812" s="4">
        <v>45993.25</v>
      </c>
      <c r="D5812" s="4">
        <v>45993.25029207176</v>
      </c>
      <c r="E5812" s="2">
        <v>2.23</v>
      </c>
      <c r="F5812" s="2">
        <v>61.2</v>
      </c>
      <c r="G5812" s="2" t="s">
        <v>983</v>
      </c>
      <c r="H5812" s="2" t="s">
        <v>984</v>
      </c>
      <c r="I5812" s="2"/>
      <c r="J5812" s="2" t="s">
        <v>48</v>
      </c>
    </row>
    <row r="5813" spans="1:10" ht="21" customHeight="1">
      <c r="A5813" s="2" t="s">
        <v>6815</v>
      </c>
      <c r="B5813" s="2" t="s">
        <v>48</v>
      </c>
      <c r="C5813" s="4">
        <v>45994.25</v>
      </c>
      <c r="D5813" s="4">
        <v>45994.250087685185</v>
      </c>
      <c r="E5813" s="2">
        <v>3.14</v>
      </c>
      <c r="F5813" s="2">
        <v>58.7</v>
      </c>
      <c r="G5813" s="2" t="s">
        <v>983</v>
      </c>
      <c r="H5813" s="2" t="s">
        <v>984</v>
      </c>
      <c r="I5813" s="2"/>
      <c r="J5813" s="2" t="s">
        <v>48</v>
      </c>
    </row>
    <row r="5814" spans="1:10" ht="21" customHeight="1">
      <c r="A5814" s="2" t="s">
        <v>6816</v>
      </c>
      <c r="B5814" s="2" t="s">
        <v>48</v>
      </c>
      <c r="C5814" s="4">
        <v>45995.25</v>
      </c>
      <c r="D5814" s="4">
        <v>45995.250431516208</v>
      </c>
      <c r="E5814" s="2">
        <v>2.84</v>
      </c>
      <c r="F5814" s="2">
        <v>65.5</v>
      </c>
      <c r="G5814" s="2" t="s">
        <v>983</v>
      </c>
      <c r="H5814" s="2" t="s">
        <v>984</v>
      </c>
      <c r="I5814" s="2"/>
      <c r="J5814" s="2" t="s">
        <v>48</v>
      </c>
    </row>
    <row r="5815" spans="1:10" ht="21" customHeight="1">
      <c r="A5815" s="2" t="s">
        <v>6817</v>
      </c>
      <c r="B5815" s="2" t="s">
        <v>48</v>
      </c>
      <c r="C5815" s="4">
        <v>45996.25</v>
      </c>
      <c r="D5815" s="4">
        <v>45996.250105231476</v>
      </c>
      <c r="E5815" s="2">
        <v>2.67</v>
      </c>
      <c r="F5815" s="2">
        <v>59.6</v>
      </c>
      <c r="G5815" s="2" t="s">
        <v>983</v>
      </c>
      <c r="H5815" s="2" t="s">
        <v>984</v>
      </c>
      <c r="I5815" s="2"/>
      <c r="J5815" s="2" t="s">
        <v>48</v>
      </c>
    </row>
    <row r="5816" spans="1:10" ht="21" customHeight="1">
      <c r="A5816" s="2" t="s">
        <v>6818</v>
      </c>
      <c r="B5816" s="2" t="s">
        <v>48</v>
      </c>
      <c r="C5816" s="4">
        <v>45997.25</v>
      </c>
      <c r="D5816" s="4">
        <v>45997.250058148144</v>
      </c>
      <c r="E5816" s="2">
        <v>2.59</v>
      </c>
      <c r="F5816" s="2">
        <v>64</v>
      </c>
      <c r="G5816" s="2" t="s">
        <v>983</v>
      </c>
      <c r="H5816" s="2" t="s">
        <v>984</v>
      </c>
      <c r="I5816" s="2"/>
      <c r="J5816" s="2" t="s">
        <v>48</v>
      </c>
    </row>
    <row r="5817" spans="1:10" ht="21" customHeight="1">
      <c r="A5817" s="2" t="s">
        <v>6819</v>
      </c>
      <c r="B5817" s="2" t="s">
        <v>48</v>
      </c>
      <c r="C5817" s="4">
        <v>45998.25</v>
      </c>
      <c r="D5817" s="4">
        <v>45998.25017190972</v>
      </c>
      <c r="E5817" s="2">
        <v>4.84</v>
      </c>
      <c r="F5817" s="2">
        <v>69.8</v>
      </c>
      <c r="G5817" s="2" t="s">
        <v>983</v>
      </c>
      <c r="H5817" s="2" t="s">
        <v>984</v>
      </c>
      <c r="I5817" s="2" t="s">
        <v>1053</v>
      </c>
      <c r="J5817" s="2" t="s">
        <v>48</v>
      </c>
    </row>
    <row r="5818" spans="1:10" ht="21" customHeight="1">
      <c r="A5818" s="2" t="s">
        <v>6820</v>
      </c>
      <c r="B5818" s="2" t="s">
        <v>48</v>
      </c>
      <c r="C5818" s="4">
        <v>45999.25</v>
      </c>
      <c r="D5818" s="4">
        <v>45999.250283831017</v>
      </c>
      <c r="E5818" s="2">
        <v>4.49</v>
      </c>
      <c r="F5818" s="2">
        <v>65.5</v>
      </c>
      <c r="G5818" s="2" t="s">
        <v>983</v>
      </c>
      <c r="H5818" s="2" t="s">
        <v>984</v>
      </c>
      <c r="I5818" s="2"/>
      <c r="J5818" s="2" t="s">
        <v>48</v>
      </c>
    </row>
    <row r="5819" spans="1:10" ht="21" customHeight="1">
      <c r="A5819" s="2" t="s">
        <v>6821</v>
      </c>
      <c r="B5819" s="2" t="s">
        <v>48</v>
      </c>
      <c r="C5819" s="4">
        <v>46000.25</v>
      </c>
      <c r="D5819" s="4">
        <v>46000.250556377316</v>
      </c>
      <c r="E5819" s="2">
        <v>4.7</v>
      </c>
      <c r="F5819" s="2">
        <v>71.400000000000006</v>
      </c>
      <c r="G5819" s="2" t="s">
        <v>983</v>
      </c>
      <c r="H5819" s="2" t="s">
        <v>984</v>
      </c>
      <c r="I5819" s="2" t="s">
        <v>1053</v>
      </c>
      <c r="J5819" s="2" t="s">
        <v>48</v>
      </c>
    </row>
    <row r="5820" spans="1:10" ht="21" customHeight="1">
      <c r="A5820" s="2" t="s">
        <v>6822</v>
      </c>
      <c r="B5820" s="2" t="s">
        <v>48</v>
      </c>
      <c r="C5820" s="4">
        <v>46001.25</v>
      </c>
      <c r="D5820" s="4">
        <v>46001.25053582176</v>
      </c>
      <c r="E5820" s="2">
        <v>2.11</v>
      </c>
      <c r="F5820" s="2">
        <v>64.8</v>
      </c>
      <c r="G5820" s="2" t="s">
        <v>983</v>
      </c>
      <c r="H5820" s="2" t="s">
        <v>984</v>
      </c>
      <c r="I5820" s="2"/>
      <c r="J5820" s="2" t="s">
        <v>48</v>
      </c>
    </row>
    <row r="5821" spans="1:10" ht="21" customHeight="1">
      <c r="A5821" s="2" t="s">
        <v>6823</v>
      </c>
      <c r="B5821" s="2" t="s">
        <v>48</v>
      </c>
      <c r="C5821" s="4">
        <v>46002.25</v>
      </c>
      <c r="D5821" s="4">
        <v>46002.250092175927</v>
      </c>
      <c r="E5821" s="2"/>
      <c r="F5821" s="2"/>
      <c r="G5821" s="2" t="s">
        <v>983</v>
      </c>
      <c r="H5821" s="2" t="s">
        <v>1066</v>
      </c>
      <c r="I5821" s="2"/>
      <c r="J5821" s="2" t="s">
        <v>48</v>
      </c>
    </row>
    <row r="5822" spans="1:10" ht="21" customHeight="1">
      <c r="A5822" s="2" t="s">
        <v>6824</v>
      </c>
      <c r="B5822" s="2" t="s">
        <v>48</v>
      </c>
      <c r="C5822" s="4">
        <v>46003.25</v>
      </c>
      <c r="D5822" s="4">
        <v>46003.250469907405</v>
      </c>
      <c r="E5822" s="2">
        <v>2.71</v>
      </c>
      <c r="F5822" s="2">
        <v>63.2</v>
      </c>
      <c r="G5822" s="2" t="s">
        <v>983</v>
      </c>
      <c r="H5822" s="2" t="s">
        <v>984</v>
      </c>
      <c r="I5822" s="2"/>
      <c r="J5822" s="2" t="s">
        <v>48</v>
      </c>
    </row>
    <row r="5823" spans="1:10" ht="21" customHeight="1">
      <c r="A5823" s="2" t="s">
        <v>6825</v>
      </c>
      <c r="B5823" s="2" t="s">
        <v>48</v>
      </c>
      <c r="C5823" s="4">
        <v>46004.25</v>
      </c>
      <c r="D5823" s="4">
        <v>46004.250523078706</v>
      </c>
      <c r="E5823" s="2">
        <v>2.96</v>
      </c>
      <c r="F5823" s="2">
        <v>60.7</v>
      </c>
      <c r="G5823" s="2" t="s">
        <v>983</v>
      </c>
      <c r="H5823" s="2" t="s">
        <v>984</v>
      </c>
      <c r="I5823" s="2"/>
      <c r="J5823" s="2" t="s">
        <v>48</v>
      </c>
    </row>
    <row r="5824" spans="1:10" ht="21" customHeight="1">
      <c r="A5824" s="2" t="s">
        <v>6826</v>
      </c>
      <c r="B5824" s="2" t="s">
        <v>6498</v>
      </c>
      <c r="C5824" s="4">
        <v>46005.25</v>
      </c>
      <c r="D5824" s="4">
        <v>46005.250169409723</v>
      </c>
      <c r="E5824" s="2"/>
      <c r="F5824" s="2"/>
      <c r="G5824" s="2" t="s">
        <v>983</v>
      </c>
      <c r="H5824" s="2" t="s">
        <v>1066</v>
      </c>
      <c r="I5824" s="2"/>
      <c r="J5824" s="2" t="s">
        <v>48</v>
      </c>
    </row>
    <row r="5825" spans="1:10" ht="21" customHeight="1">
      <c r="A5825" s="2" t="s">
        <v>6827</v>
      </c>
      <c r="B5825" s="2" t="s">
        <v>48</v>
      </c>
      <c r="C5825" s="4">
        <v>46006.25</v>
      </c>
      <c r="D5825" s="4">
        <v>46006.250587881943</v>
      </c>
      <c r="E5825" s="2">
        <v>3</v>
      </c>
      <c r="F5825" s="2">
        <v>60.4</v>
      </c>
      <c r="G5825" s="2" t="s">
        <v>983</v>
      </c>
      <c r="H5825" s="2" t="s">
        <v>984</v>
      </c>
      <c r="I5825" s="2"/>
      <c r="J5825" s="2" t="s">
        <v>48</v>
      </c>
    </row>
    <row r="5826" spans="1:10" ht="21" customHeight="1">
      <c r="A5826" s="2" t="s">
        <v>6828</v>
      </c>
      <c r="B5826" s="2" t="s">
        <v>48</v>
      </c>
      <c r="C5826" s="4">
        <v>46007.25</v>
      </c>
      <c r="D5826" s="4">
        <v>46007.250208171296</v>
      </c>
      <c r="E5826" s="2">
        <v>2.56</v>
      </c>
      <c r="F5826" s="2">
        <v>61.6</v>
      </c>
      <c r="G5826" s="2" t="s">
        <v>983</v>
      </c>
      <c r="H5826" s="2" t="s">
        <v>984</v>
      </c>
      <c r="I5826" s="2"/>
      <c r="J5826" s="2" t="s">
        <v>48</v>
      </c>
    </row>
    <row r="5827" spans="1:10" ht="21" customHeight="1">
      <c r="A5827" s="2" t="s">
        <v>6829</v>
      </c>
      <c r="B5827" s="2" t="s">
        <v>48</v>
      </c>
      <c r="C5827" s="4">
        <v>46008.25</v>
      </c>
      <c r="D5827" s="4">
        <v>46008.250131134264</v>
      </c>
      <c r="E5827" s="2">
        <v>3.06</v>
      </c>
      <c r="F5827" s="2">
        <v>60.2</v>
      </c>
      <c r="G5827" s="2" t="s">
        <v>983</v>
      </c>
      <c r="H5827" s="2" t="s">
        <v>984</v>
      </c>
      <c r="I5827" s="2"/>
      <c r="J5827" s="2" t="s">
        <v>48</v>
      </c>
    </row>
    <row r="5828" spans="1:10" ht="21" customHeight="1">
      <c r="A5828" s="2" t="s">
        <v>6830</v>
      </c>
      <c r="B5828" s="2" t="s">
        <v>48</v>
      </c>
      <c r="C5828" s="4">
        <v>46009.25</v>
      </c>
      <c r="D5828" s="4">
        <v>46009.250667986111</v>
      </c>
      <c r="E5828" s="2">
        <v>3.13</v>
      </c>
      <c r="F5828" s="2">
        <v>62.4</v>
      </c>
      <c r="G5828" s="2" t="s">
        <v>983</v>
      </c>
      <c r="H5828" s="2" t="s">
        <v>984</v>
      </c>
      <c r="I5828" s="2"/>
      <c r="J5828" s="2" t="s">
        <v>48</v>
      </c>
    </row>
    <row r="5829" spans="1:10" ht="21" customHeight="1">
      <c r="A5829" s="2" t="s">
        <v>6831</v>
      </c>
      <c r="B5829" s="2" t="s">
        <v>48</v>
      </c>
      <c r="C5829" s="4">
        <v>46010.25</v>
      </c>
      <c r="D5829" s="4">
        <v>46010.250416423616</v>
      </c>
      <c r="E5829" s="2">
        <v>3.16</v>
      </c>
      <c r="F5829" s="2">
        <v>59.4</v>
      </c>
      <c r="G5829" s="2" t="s">
        <v>983</v>
      </c>
      <c r="H5829" s="2" t="s">
        <v>984</v>
      </c>
      <c r="I5829" s="2"/>
      <c r="J5829" s="2" t="s">
        <v>48</v>
      </c>
    </row>
    <row r="5830" spans="1:10" ht="21" customHeight="1">
      <c r="A5830" s="2" t="s">
        <v>6832</v>
      </c>
      <c r="B5830" s="2" t="s">
        <v>48</v>
      </c>
      <c r="C5830" s="4">
        <v>46011.25</v>
      </c>
      <c r="D5830" s="4">
        <v>46011.250299212959</v>
      </c>
      <c r="E5830" s="2">
        <v>3.07</v>
      </c>
      <c r="F5830" s="2">
        <v>63.3</v>
      </c>
      <c r="G5830" s="2" t="s">
        <v>983</v>
      </c>
      <c r="H5830" s="2" t="s">
        <v>984</v>
      </c>
      <c r="I5830" s="2"/>
      <c r="J5830" s="2" t="s">
        <v>48</v>
      </c>
    </row>
    <row r="5831" spans="1:10" ht="21" customHeight="1">
      <c r="A5831" s="2" t="s">
        <v>6833</v>
      </c>
      <c r="B5831" s="2" t="s">
        <v>48</v>
      </c>
      <c r="C5831" s="4">
        <v>46012.25</v>
      </c>
      <c r="D5831" s="4">
        <v>46012.250247407406</v>
      </c>
      <c r="E5831" s="2">
        <v>3.02</v>
      </c>
      <c r="F5831" s="2">
        <v>60.5</v>
      </c>
      <c r="G5831" s="2" t="s">
        <v>983</v>
      </c>
      <c r="H5831" s="2" t="s">
        <v>984</v>
      </c>
      <c r="I5831" s="2"/>
      <c r="J5831" s="2" t="s">
        <v>48</v>
      </c>
    </row>
    <row r="5832" spans="1:10" ht="21" customHeight="1">
      <c r="A5832" s="2" t="s">
        <v>6834</v>
      </c>
      <c r="B5832" s="2" t="s">
        <v>48</v>
      </c>
      <c r="C5832" s="4">
        <v>46013.25</v>
      </c>
      <c r="D5832" s="4">
        <v>46013.250630497685</v>
      </c>
      <c r="E5832" s="2"/>
      <c r="F5832" s="2"/>
      <c r="G5832" s="2" t="s">
        <v>983</v>
      </c>
      <c r="H5832" s="2" t="s">
        <v>1066</v>
      </c>
      <c r="I5832" s="2"/>
      <c r="J5832" s="2" t="s">
        <v>48</v>
      </c>
    </row>
    <row r="5833" spans="1:10" ht="21" customHeight="1">
      <c r="A5833" s="2" t="s">
        <v>6835</v>
      </c>
      <c r="B5833" s="2" t="s">
        <v>48</v>
      </c>
      <c r="C5833" s="4">
        <v>46014.25</v>
      </c>
      <c r="D5833" s="4">
        <v>46014.250567175928</v>
      </c>
      <c r="E5833" s="2">
        <v>2.78</v>
      </c>
      <c r="F5833" s="2">
        <v>60</v>
      </c>
      <c r="G5833" s="2" t="s">
        <v>983</v>
      </c>
      <c r="H5833" s="2" t="s">
        <v>984</v>
      </c>
      <c r="I5833" s="2"/>
      <c r="J5833" s="2" t="s">
        <v>48</v>
      </c>
    </row>
    <row r="5834" spans="1:10" ht="21" customHeight="1">
      <c r="A5834" s="2" t="s">
        <v>6836</v>
      </c>
      <c r="B5834" s="2" t="s">
        <v>48</v>
      </c>
      <c r="C5834" s="4">
        <v>46015.25</v>
      </c>
      <c r="D5834" s="4">
        <v>46015.250484328702</v>
      </c>
      <c r="E5834" s="2">
        <v>2.36</v>
      </c>
      <c r="F5834" s="2">
        <v>64.7</v>
      </c>
      <c r="G5834" s="2" t="s">
        <v>983</v>
      </c>
      <c r="H5834" s="2" t="s">
        <v>984</v>
      </c>
      <c r="I5834" s="2" t="s">
        <v>985</v>
      </c>
      <c r="J5834" s="2" t="s">
        <v>48</v>
      </c>
    </row>
    <row r="5835" spans="1:10" ht="21" customHeight="1">
      <c r="A5835" s="2" t="s">
        <v>6837</v>
      </c>
      <c r="B5835" s="2" t="s">
        <v>48</v>
      </c>
      <c r="C5835" s="4">
        <v>46016.25</v>
      </c>
      <c r="D5835" s="4">
        <v>46016.25057355324</v>
      </c>
      <c r="E5835" s="2">
        <v>3.07</v>
      </c>
      <c r="F5835" s="2">
        <v>62.1</v>
      </c>
      <c r="G5835" s="2" t="s">
        <v>983</v>
      </c>
      <c r="H5835" s="2" t="s">
        <v>984</v>
      </c>
      <c r="I5835" s="2"/>
      <c r="J5835" s="2" t="s">
        <v>48</v>
      </c>
    </row>
    <row r="5836" spans="1:10" ht="21" customHeight="1">
      <c r="A5836" s="2" t="s">
        <v>6838</v>
      </c>
      <c r="B5836" s="2" t="s">
        <v>48</v>
      </c>
      <c r="C5836" s="4">
        <v>46017.25</v>
      </c>
      <c r="D5836" s="4">
        <v>46017.250109016204</v>
      </c>
      <c r="E5836" s="2">
        <v>2.6</v>
      </c>
      <c r="F5836" s="2">
        <v>59.1</v>
      </c>
      <c r="G5836" s="2" t="s">
        <v>983</v>
      </c>
      <c r="H5836" s="2" t="s">
        <v>984</v>
      </c>
      <c r="I5836" s="2"/>
      <c r="J5836" s="2" t="s">
        <v>48</v>
      </c>
    </row>
    <row r="5837" spans="1:10" ht="21" customHeight="1">
      <c r="A5837" s="2" t="s">
        <v>6839</v>
      </c>
      <c r="B5837" s="2" t="s">
        <v>48</v>
      </c>
      <c r="C5837" s="4">
        <v>46018.25</v>
      </c>
      <c r="D5837" s="4">
        <v>46018.250609872688</v>
      </c>
      <c r="E5837" s="2">
        <v>2.59</v>
      </c>
      <c r="F5837" s="2">
        <v>58.4</v>
      </c>
      <c r="G5837" s="2" t="s">
        <v>983</v>
      </c>
      <c r="H5837" s="2" t="s">
        <v>984</v>
      </c>
      <c r="I5837" s="2"/>
      <c r="J5837" s="2" t="s">
        <v>48</v>
      </c>
    </row>
    <row r="5838" spans="1:10" ht="21" customHeight="1">
      <c r="A5838" s="2" t="s">
        <v>6840</v>
      </c>
      <c r="B5838" s="2" t="s">
        <v>48</v>
      </c>
      <c r="C5838" s="4">
        <v>46019.25</v>
      </c>
      <c r="D5838" s="4">
        <v>46019.250211458333</v>
      </c>
      <c r="E5838" s="2">
        <v>3</v>
      </c>
      <c r="F5838" s="2">
        <v>64.900000000000006</v>
      </c>
      <c r="G5838" s="2" t="s">
        <v>983</v>
      </c>
      <c r="H5838" s="2" t="s">
        <v>984</v>
      </c>
      <c r="I5838" s="2"/>
      <c r="J5838" s="2" t="s">
        <v>48</v>
      </c>
    </row>
    <row r="5839" spans="1:10" ht="21" customHeight="1">
      <c r="A5839" s="2" t="s">
        <v>6841</v>
      </c>
      <c r="B5839" s="2" t="s">
        <v>48</v>
      </c>
      <c r="C5839" s="4">
        <v>46020.25</v>
      </c>
      <c r="D5839" s="4">
        <v>46020.250377048607</v>
      </c>
      <c r="E5839" s="2">
        <v>3.03</v>
      </c>
      <c r="F5839" s="2">
        <v>64.3</v>
      </c>
      <c r="G5839" s="2" t="s">
        <v>983</v>
      </c>
      <c r="H5839" s="2" t="s">
        <v>984</v>
      </c>
      <c r="I5839" s="2"/>
      <c r="J5839" s="2" t="s">
        <v>48</v>
      </c>
    </row>
    <row r="5840" spans="1:10" ht="21" customHeight="1">
      <c r="A5840" s="2" t="s">
        <v>6842</v>
      </c>
      <c r="B5840" s="2" t="s">
        <v>48</v>
      </c>
      <c r="C5840" s="4">
        <v>46021.25</v>
      </c>
      <c r="D5840" s="4">
        <v>46021.250270034725</v>
      </c>
      <c r="E5840" s="2">
        <v>2.99</v>
      </c>
      <c r="F5840" s="2">
        <v>58.2</v>
      </c>
      <c r="G5840" s="2" t="s">
        <v>983</v>
      </c>
      <c r="H5840" s="2" t="s">
        <v>984</v>
      </c>
      <c r="I5840" s="2"/>
      <c r="J5840" s="2" t="s">
        <v>48</v>
      </c>
    </row>
    <row r="5841" spans="1:10" ht="21" customHeight="1">
      <c r="A5841" s="2" t="s">
        <v>6843</v>
      </c>
      <c r="B5841" s="2" t="s">
        <v>48</v>
      </c>
      <c r="C5841" s="4">
        <v>46022.25</v>
      </c>
      <c r="D5841" s="4">
        <v>46022.250615381941</v>
      </c>
      <c r="E5841" s="2">
        <v>2.27</v>
      </c>
      <c r="F5841" s="2">
        <v>63.8</v>
      </c>
      <c r="G5841" s="2" t="s">
        <v>983</v>
      </c>
      <c r="H5841" s="2" t="s">
        <v>984</v>
      </c>
      <c r="I5841" s="2"/>
      <c r="J5841" s="2" t="s">
        <v>48</v>
      </c>
    </row>
    <row r="5842" spans="1:10" ht="21" customHeight="1">
      <c r="A5842" s="2" t="s">
        <v>6844</v>
      </c>
      <c r="B5842" s="2" t="s">
        <v>51</v>
      </c>
      <c r="C5842" s="4">
        <v>45658.25</v>
      </c>
      <c r="D5842" s="4">
        <v>45658.25061880787</v>
      </c>
      <c r="E5842" s="2">
        <v>3.15</v>
      </c>
      <c r="F5842" s="2">
        <v>64.5</v>
      </c>
      <c r="G5842" s="2" t="s">
        <v>983</v>
      </c>
      <c r="H5842" s="2" t="s">
        <v>984</v>
      </c>
      <c r="I5842" s="2" t="s">
        <v>985</v>
      </c>
      <c r="J5842" s="2" t="s">
        <v>51</v>
      </c>
    </row>
    <row r="5843" spans="1:10" ht="21" customHeight="1">
      <c r="A5843" s="2" t="s">
        <v>6845</v>
      </c>
      <c r="B5843" s="2" t="s">
        <v>51</v>
      </c>
      <c r="C5843" s="4">
        <v>45659.25</v>
      </c>
      <c r="D5843" s="4">
        <v>45659.250421701392</v>
      </c>
      <c r="E5843" s="2">
        <v>2.6</v>
      </c>
      <c r="F5843" s="2">
        <v>58.5</v>
      </c>
      <c r="G5843" s="2" t="s">
        <v>983</v>
      </c>
      <c r="H5843" s="2" t="s">
        <v>984</v>
      </c>
      <c r="I5843" s="2"/>
      <c r="J5843" s="2" t="s">
        <v>51</v>
      </c>
    </row>
    <row r="5844" spans="1:10" ht="21" customHeight="1">
      <c r="A5844" s="2" t="s">
        <v>6846</v>
      </c>
      <c r="B5844" s="2" t="s">
        <v>51</v>
      </c>
      <c r="C5844" s="4">
        <v>45660.25</v>
      </c>
      <c r="D5844" s="4">
        <v>45660.250042708329</v>
      </c>
      <c r="E5844" s="2">
        <v>2.38</v>
      </c>
      <c r="F5844" s="2">
        <v>60.1</v>
      </c>
      <c r="G5844" s="2" t="s">
        <v>983</v>
      </c>
      <c r="H5844" s="2" t="s">
        <v>984</v>
      </c>
      <c r="I5844" s="2"/>
      <c r="J5844" s="2" t="s">
        <v>51</v>
      </c>
    </row>
    <row r="5845" spans="1:10" ht="21" customHeight="1">
      <c r="A5845" s="2" t="s">
        <v>6847</v>
      </c>
      <c r="B5845" s="2" t="s">
        <v>51</v>
      </c>
      <c r="C5845" s="4">
        <v>45661.25</v>
      </c>
      <c r="D5845" s="4">
        <v>45661.250635787037</v>
      </c>
      <c r="E5845" s="2">
        <v>3.16</v>
      </c>
      <c r="F5845" s="2">
        <v>64.099999999999994</v>
      </c>
      <c r="G5845" s="2" t="s">
        <v>983</v>
      </c>
      <c r="H5845" s="2" t="s">
        <v>984</v>
      </c>
      <c r="I5845" s="2"/>
      <c r="J5845" s="2" t="s">
        <v>51</v>
      </c>
    </row>
    <row r="5846" spans="1:10" ht="21" customHeight="1">
      <c r="A5846" s="2" t="s">
        <v>6848</v>
      </c>
      <c r="B5846" s="2" t="s">
        <v>51</v>
      </c>
      <c r="C5846" s="4">
        <v>45662.25</v>
      </c>
      <c r="D5846" s="4">
        <v>45662.250364236112</v>
      </c>
      <c r="E5846" s="2">
        <v>2.15</v>
      </c>
      <c r="F5846" s="2">
        <v>63.3</v>
      </c>
      <c r="G5846" s="2" t="s">
        <v>983</v>
      </c>
      <c r="H5846" s="2" t="s">
        <v>984</v>
      </c>
      <c r="I5846" s="2"/>
      <c r="J5846" s="2" t="s">
        <v>51</v>
      </c>
    </row>
    <row r="5847" spans="1:10" ht="21" customHeight="1">
      <c r="A5847" s="2" t="s">
        <v>6849</v>
      </c>
      <c r="B5847" s="2" t="s">
        <v>51</v>
      </c>
      <c r="C5847" s="4">
        <v>45663.25</v>
      </c>
      <c r="D5847" s="4">
        <v>45663.250596701386</v>
      </c>
      <c r="E5847" s="2">
        <v>3.03</v>
      </c>
      <c r="F5847" s="2">
        <v>63.2</v>
      </c>
      <c r="G5847" s="2" t="s">
        <v>983</v>
      </c>
      <c r="H5847" s="2" t="s">
        <v>984</v>
      </c>
      <c r="I5847" s="2"/>
      <c r="J5847" s="2" t="s">
        <v>51</v>
      </c>
    </row>
    <row r="5848" spans="1:10" ht="21" customHeight="1">
      <c r="A5848" s="2" t="s">
        <v>6850</v>
      </c>
      <c r="B5848" s="2" t="s">
        <v>51</v>
      </c>
      <c r="C5848" s="4">
        <v>45664.25</v>
      </c>
      <c r="D5848" s="4">
        <v>45664.250355023149</v>
      </c>
      <c r="E5848" s="2">
        <v>2.85</v>
      </c>
      <c r="F5848" s="2">
        <v>58.7</v>
      </c>
      <c r="G5848" s="2" t="s">
        <v>983</v>
      </c>
      <c r="H5848" s="2" t="s">
        <v>984</v>
      </c>
      <c r="I5848" s="2"/>
      <c r="J5848" s="2" t="s">
        <v>51</v>
      </c>
    </row>
    <row r="5849" spans="1:10" ht="21" customHeight="1">
      <c r="A5849" s="2" t="s">
        <v>6851</v>
      </c>
      <c r="B5849" s="2" t="s">
        <v>51</v>
      </c>
      <c r="C5849" s="4">
        <v>45665.25</v>
      </c>
      <c r="D5849" s="4">
        <v>45665.250131180554</v>
      </c>
      <c r="E5849" s="2">
        <v>5.73</v>
      </c>
      <c r="F5849" s="2">
        <v>65.400000000000006</v>
      </c>
      <c r="G5849" s="2" t="s">
        <v>983</v>
      </c>
      <c r="H5849" s="2" t="s">
        <v>984</v>
      </c>
      <c r="I5849" s="2"/>
      <c r="J5849" s="2" t="s">
        <v>51</v>
      </c>
    </row>
    <row r="5850" spans="1:10" ht="21" customHeight="1">
      <c r="A5850" s="2" t="s">
        <v>6852</v>
      </c>
      <c r="B5850" s="2" t="s">
        <v>51</v>
      </c>
      <c r="C5850" s="4">
        <v>45666.25</v>
      </c>
      <c r="D5850" s="4">
        <v>45666.250397546297</v>
      </c>
      <c r="E5850" s="2">
        <v>4.38</v>
      </c>
      <c r="F5850" s="2">
        <v>74.3</v>
      </c>
      <c r="G5850" s="2" t="s">
        <v>983</v>
      </c>
      <c r="H5850" s="2" t="s">
        <v>984</v>
      </c>
      <c r="I5850" s="2" t="s">
        <v>1053</v>
      </c>
      <c r="J5850" s="2" t="s">
        <v>51</v>
      </c>
    </row>
    <row r="5851" spans="1:10" ht="21" customHeight="1">
      <c r="A5851" s="2" t="s">
        <v>6853</v>
      </c>
      <c r="B5851" s="2" t="s">
        <v>51</v>
      </c>
      <c r="C5851" s="4">
        <v>45667.25</v>
      </c>
      <c r="D5851" s="4">
        <v>45667.250553206017</v>
      </c>
      <c r="E5851" s="2">
        <v>5.3</v>
      </c>
      <c r="F5851" s="2">
        <v>70.8</v>
      </c>
      <c r="G5851" s="2" t="s">
        <v>983</v>
      </c>
      <c r="H5851" s="2" t="s">
        <v>984</v>
      </c>
      <c r="I5851" s="2"/>
      <c r="J5851" s="2" t="s">
        <v>51</v>
      </c>
    </row>
    <row r="5852" spans="1:10" ht="21" customHeight="1">
      <c r="A5852" s="2" t="s">
        <v>6854</v>
      </c>
      <c r="B5852" s="2" t="s">
        <v>51</v>
      </c>
      <c r="C5852" s="4">
        <v>45668.25</v>
      </c>
      <c r="D5852" s="4">
        <v>45668.250271608791</v>
      </c>
      <c r="E5852" s="2">
        <v>2.2400000000000002</v>
      </c>
      <c r="F5852" s="2">
        <v>65.8</v>
      </c>
      <c r="G5852" s="2" t="s">
        <v>983</v>
      </c>
      <c r="H5852" s="2" t="s">
        <v>984</v>
      </c>
      <c r="I5852" s="2"/>
      <c r="J5852" s="2" t="s">
        <v>51</v>
      </c>
    </row>
    <row r="5853" spans="1:10" ht="21" customHeight="1">
      <c r="A5853" s="2" t="s">
        <v>6855</v>
      </c>
      <c r="B5853" s="2" t="s">
        <v>51</v>
      </c>
      <c r="C5853" s="4">
        <v>45669.25</v>
      </c>
      <c r="D5853" s="4">
        <v>45669.250117118056</v>
      </c>
      <c r="E5853" s="2">
        <v>2.38</v>
      </c>
      <c r="F5853" s="2">
        <v>65.599999999999994</v>
      </c>
      <c r="G5853" s="2" t="s">
        <v>983</v>
      </c>
      <c r="H5853" s="2" t="s">
        <v>984</v>
      </c>
      <c r="I5853" s="2"/>
      <c r="J5853" s="2" t="s">
        <v>51</v>
      </c>
    </row>
    <row r="5854" spans="1:10" ht="21" customHeight="1">
      <c r="A5854" s="2" t="s">
        <v>6856</v>
      </c>
      <c r="B5854" s="2" t="s">
        <v>51</v>
      </c>
      <c r="C5854" s="4">
        <v>45670.25</v>
      </c>
      <c r="D5854" s="4">
        <v>45670.250182951393</v>
      </c>
      <c r="E5854" s="2">
        <v>2.69</v>
      </c>
      <c r="F5854" s="2">
        <v>65.099999999999994</v>
      </c>
      <c r="G5854" s="2" t="s">
        <v>983</v>
      </c>
      <c r="H5854" s="2" t="s">
        <v>984</v>
      </c>
      <c r="I5854" s="2"/>
      <c r="J5854" s="2" t="s">
        <v>51</v>
      </c>
    </row>
    <row r="5855" spans="1:10" ht="21" customHeight="1">
      <c r="A5855" s="2" t="s">
        <v>6857</v>
      </c>
      <c r="B5855" s="2" t="s">
        <v>51</v>
      </c>
      <c r="C5855" s="4">
        <v>45671.25</v>
      </c>
      <c r="D5855" s="4">
        <v>45671.250358564816</v>
      </c>
      <c r="E5855" s="2">
        <v>2.52</v>
      </c>
      <c r="F5855" s="2">
        <v>65</v>
      </c>
      <c r="G5855" s="2" t="s">
        <v>983</v>
      </c>
      <c r="H5855" s="2" t="s">
        <v>984</v>
      </c>
      <c r="I5855" s="2"/>
      <c r="J5855" s="2" t="s">
        <v>51</v>
      </c>
    </row>
    <row r="5856" spans="1:10" ht="21" customHeight="1">
      <c r="A5856" s="2" t="s">
        <v>6858</v>
      </c>
      <c r="B5856" s="2" t="s">
        <v>51</v>
      </c>
      <c r="C5856" s="4">
        <v>45672.25</v>
      </c>
      <c r="D5856" s="4">
        <v>45672.250563900467</v>
      </c>
      <c r="E5856" s="2">
        <v>2.52</v>
      </c>
      <c r="F5856" s="2">
        <v>58.9</v>
      </c>
      <c r="G5856" s="2" t="s">
        <v>983</v>
      </c>
      <c r="H5856" s="2" t="s">
        <v>984</v>
      </c>
      <c r="I5856" s="2"/>
      <c r="J5856" s="2" t="s">
        <v>51</v>
      </c>
    </row>
    <row r="5857" spans="1:10" ht="21" customHeight="1">
      <c r="A5857" s="2" t="s">
        <v>6859</v>
      </c>
      <c r="B5857" s="2" t="s">
        <v>51</v>
      </c>
      <c r="C5857" s="4">
        <v>45673.25</v>
      </c>
      <c r="D5857" s="4">
        <v>45673.250438935182</v>
      </c>
      <c r="E5857" s="2">
        <v>2.82</v>
      </c>
      <c r="F5857" s="2">
        <v>60.9</v>
      </c>
      <c r="G5857" s="2" t="s">
        <v>983</v>
      </c>
      <c r="H5857" s="2" t="s">
        <v>984</v>
      </c>
      <c r="I5857" s="2"/>
      <c r="J5857" s="2" t="s">
        <v>51</v>
      </c>
    </row>
    <row r="5858" spans="1:10" ht="21" customHeight="1">
      <c r="A5858" s="2" t="s">
        <v>6860</v>
      </c>
      <c r="B5858" s="2" t="s">
        <v>51</v>
      </c>
      <c r="C5858" s="4">
        <v>45674.25</v>
      </c>
      <c r="D5858" s="4">
        <v>45674.25064322917</v>
      </c>
      <c r="E5858" s="2">
        <v>3.08</v>
      </c>
      <c r="F5858" s="2">
        <v>62.7</v>
      </c>
      <c r="G5858" s="2" t="s">
        <v>983</v>
      </c>
      <c r="H5858" s="2" t="s">
        <v>984</v>
      </c>
      <c r="I5858" s="2"/>
      <c r="J5858" s="2" t="s">
        <v>51</v>
      </c>
    </row>
    <row r="5859" spans="1:10" ht="21" customHeight="1">
      <c r="A5859" s="2" t="s">
        <v>6861</v>
      </c>
      <c r="B5859" s="2" t="s">
        <v>51</v>
      </c>
      <c r="C5859" s="4">
        <v>45675.25</v>
      </c>
      <c r="D5859" s="4">
        <v>45675.2504940625</v>
      </c>
      <c r="E5859" s="2">
        <v>2.87</v>
      </c>
      <c r="F5859" s="2">
        <v>62.4</v>
      </c>
      <c r="G5859" s="2" t="s">
        <v>983</v>
      </c>
      <c r="H5859" s="2" t="s">
        <v>984</v>
      </c>
      <c r="I5859" s="2" t="s">
        <v>985</v>
      </c>
      <c r="J5859" s="2" t="s">
        <v>51</v>
      </c>
    </row>
    <row r="5860" spans="1:10" ht="21" customHeight="1">
      <c r="A5860" s="2" t="s">
        <v>6862</v>
      </c>
      <c r="B5860" s="2" t="s">
        <v>51</v>
      </c>
      <c r="C5860" s="4">
        <v>45676.25</v>
      </c>
      <c r="D5860" s="4">
        <v>45676.250505381948</v>
      </c>
      <c r="E5860" s="2">
        <v>2.19</v>
      </c>
      <c r="F5860" s="2">
        <v>61.3</v>
      </c>
      <c r="G5860" s="2" t="s">
        <v>983</v>
      </c>
      <c r="H5860" s="2" t="s">
        <v>984</v>
      </c>
      <c r="I5860" s="2"/>
      <c r="J5860" s="2" t="s">
        <v>51</v>
      </c>
    </row>
    <row r="5861" spans="1:10" ht="21" customHeight="1">
      <c r="A5861" s="2" t="s">
        <v>6863</v>
      </c>
      <c r="B5861" s="2" t="s">
        <v>51</v>
      </c>
      <c r="C5861" s="4">
        <v>45677.25</v>
      </c>
      <c r="D5861" s="4">
        <v>45677.25035988426</v>
      </c>
      <c r="E5861" s="2">
        <v>2.2599999999999998</v>
      </c>
      <c r="F5861" s="2">
        <v>63</v>
      </c>
      <c r="G5861" s="2" t="s">
        <v>983</v>
      </c>
      <c r="H5861" s="2" t="s">
        <v>984</v>
      </c>
      <c r="I5861" s="2"/>
      <c r="J5861" s="2" t="s">
        <v>51</v>
      </c>
    </row>
    <row r="5862" spans="1:10" ht="21" customHeight="1">
      <c r="A5862" s="2" t="s">
        <v>6864</v>
      </c>
      <c r="B5862" s="2" t="s">
        <v>51</v>
      </c>
      <c r="C5862" s="4">
        <v>45678.25</v>
      </c>
      <c r="D5862" s="4">
        <v>45678.250151689819</v>
      </c>
      <c r="E5862" s="2">
        <v>2.14</v>
      </c>
      <c r="F5862" s="2">
        <v>62.2</v>
      </c>
      <c r="G5862" s="2" t="s">
        <v>983</v>
      </c>
      <c r="H5862" s="2" t="s">
        <v>984</v>
      </c>
      <c r="I5862" s="2"/>
      <c r="J5862" s="2" t="s">
        <v>51</v>
      </c>
    </row>
    <row r="5863" spans="1:10" ht="21" customHeight="1">
      <c r="A5863" s="2" t="s">
        <v>6865</v>
      </c>
      <c r="B5863" s="2" t="s">
        <v>51</v>
      </c>
      <c r="C5863" s="4">
        <v>45679.25</v>
      </c>
      <c r="D5863" s="4">
        <v>45679.250063506945</v>
      </c>
      <c r="E5863" s="2">
        <v>2.5299999999999998</v>
      </c>
      <c r="F5863" s="2">
        <v>61.6</v>
      </c>
      <c r="G5863" s="2" t="s">
        <v>983</v>
      </c>
      <c r="H5863" s="2" t="s">
        <v>984</v>
      </c>
      <c r="I5863" s="2"/>
      <c r="J5863" s="2" t="s">
        <v>51</v>
      </c>
    </row>
    <row r="5864" spans="1:10" ht="21" customHeight="1">
      <c r="A5864" s="2" t="s">
        <v>6866</v>
      </c>
      <c r="B5864" s="2" t="s">
        <v>51</v>
      </c>
      <c r="C5864" s="4">
        <v>45680.25</v>
      </c>
      <c r="D5864" s="4">
        <v>45680.250451921296</v>
      </c>
      <c r="E5864" s="2">
        <v>2.71</v>
      </c>
      <c r="F5864" s="2">
        <v>64</v>
      </c>
      <c r="G5864" s="2" t="s">
        <v>983</v>
      </c>
      <c r="H5864" s="2" t="s">
        <v>984</v>
      </c>
      <c r="I5864" s="2"/>
      <c r="J5864" s="2" t="s">
        <v>51</v>
      </c>
    </row>
    <row r="5865" spans="1:10" ht="21" customHeight="1">
      <c r="A5865" s="2" t="s">
        <v>6867</v>
      </c>
      <c r="B5865" s="2" t="s">
        <v>6868</v>
      </c>
      <c r="C5865" s="4">
        <v>45681.25</v>
      </c>
      <c r="D5865" s="4">
        <v>45681.250524293981</v>
      </c>
      <c r="E5865" s="2">
        <v>2.71</v>
      </c>
      <c r="F5865" s="2">
        <v>65.7</v>
      </c>
      <c r="G5865" s="2" t="s">
        <v>983</v>
      </c>
      <c r="H5865" s="2" t="s">
        <v>984</v>
      </c>
      <c r="I5865" s="2"/>
      <c r="J5865" s="2" t="s">
        <v>51</v>
      </c>
    </row>
    <row r="5866" spans="1:10" ht="21" customHeight="1">
      <c r="A5866" s="2" t="s">
        <v>6869</v>
      </c>
      <c r="B5866" s="2" t="s">
        <v>51</v>
      </c>
      <c r="C5866" s="4">
        <v>45682.25</v>
      </c>
      <c r="D5866" s="4">
        <v>45682.250374594907</v>
      </c>
      <c r="E5866" s="2">
        <v>2.6</v>
      </c>
      <c r="F5866" s="2">
        <v>62.9</v>
      </c>
      <c r="G5866" s="2" t="s">
        <v>983</v>
      </c>
      <c r="H5866" s="2" t="s">
        <v>984</v>
      </c>
      <c r="I5866" s="2"/>
      <c r="J5866" s="2" t="s">
        <v>51</v>
      </c>
    </row>
    <row r="5867" spans="1:10" ht="21" customHeight="1">
      <c r="A5867" s="2" t="s">
        <v>6870</v>
      </c>
      <c r="B5867" s="2" t="s">
        <v>51</v>
      </c>
      <c r="C5867" s="4">
        <v>45683.25</v>
      </c>
      <c r="D5867" s="4">
        <v>45683.250137465278</v>
      </c>
      <c r="E5867" s="2">
        <v>2.31</v>
      </c>
      <c r="F5867" s="2">
        <v>63.2</v>
      </c>
      <c r="G5867" s="2" t="s">
        <v>983</v>
      </c>
      <c r="H5867" s="2" t="s">
        <v>984</v>
      </c>
      <c r="I5867" s="2"/>
      <c r="J5867" s="2" t="s">
        <v>51</v>
      </c>
    </row>
    <row r="5868" spans="1:10" ht="21" customHeight="1">
      <c r="A5868" s="2" t="s">
        <v>6871</v>
      </c>
      <c r="B5868" s="2" t="s">
        <v>51</v>
      </c>
      <c r="C5868" s="4">
        <v>45684.25</v>
      </c>
      <c r="D5868" s="4">
        <v>45684.250035833335</v>
      </c>
      <c r="E5868" s="2"/>
      <c r="F5868" s="2"/>
      <c r="G5868" s="2" t="s">
        <v>983</v>
      </c>
      <c r="H5868" s="2" t="s">
        <v>1066</v>
      </c>
      <c r="I5868" s="2"/>
      <c r="J5868" s="2" t="s">
        <v>51</v>
      </c>
    </row>
    <row r="5869" spans="1:10" ht="21" customHeight="1">
      <c r="A5869" s="2" t="s">
        <v>6872</v>
      </c>
      <c r="B5869" s="2" t="s">
        <v>51</v>
      </c>
      <c r="C5869" s="4">
        <v>45685.25</v>
      </c>
      <c r="D5869" s="4">
        <v>45685.250285671296</v>
      </c>
      <c r="E5869" s="2">
        <v>2.38</v>
      </c>
      <c r="F5869" s="2">
        <v>60.6</v>
      </c>
      <c r="G5869" s="2" t="s">
        <v>983</v>
      </c>
      <c r="H5869" s="2" t="s">
        <v>984</v>
      </c>
      <c r="I5869" s="2"/>
      <c r="J5869" s="2" t="s">
        <v>51</v>
      </c>
    </row>
    <row r="5870" spans="1:10" ht="21" customHeight="1">
      <c r="A5870" s="2" t="s">
        <v>6873</v>
      </c>
      <c r="B5870" s="2" t="s">
        <v>51</v>
      </c>
      <c r="C5870" s="4">
        <v>45686.25</v>
      </c>
      <c r="D5870" s="4">
        <v>45686.250039317129</v>
      </c>
      <c r="E5870" s="2">
        <v>2.79</v>
      </c>
      <c r="F5870" s="2">
        <v>63.2</v>
      </c>
      <c r="G5870" s="2" t="s">
        <v>983</v>
      </c>
      <c r="H5870" s="2" t="s">
        <v>984</v>
      </c>
      <c r="I5870" s="2"/>
      <c r="J5870" s="2" t="s">
        <v>51</v>
      </c>
    </row>
    <row r="5871" spans="1:10" ht="21" customHeight="1">
      <c r="A5871" s="2" t="s">
        <v>6874</v>
      </c>
      <c r="B5871" s="2" t="s">
        <v>51</v>
      </c>
      <c r="C5871" s="4">
        <v>45687.25</v>
      </c>
      <c r="D5871" s="4">
        <v>45687.250592523153</v>
      </c>
      <c r="E5871" s="2">
        <v>3.01</v>
      </c>
      <c r="F5871" s="2">
        <v>59.1</v>
      </c>
      <c r="G5871" s="2" t="s">
        <v>983</v>
      </c>
      <c r="H5871" s="2" t="s">
        <v>984</v>
      </c>
      <c r="I5871" s="2"/>
      <c r="J5871" s="2" t="s">
        <v>51</v>
      </c>
    </row>
    <row r="5872" spans="1:10" ht="21" customHeight="1">
      <c r="A5872" s="2" t="s">
        <v>6875</v>
      </c>
      <c r="B5872" s="2" t="s">
        <v>51</v>
      </c>
      <c r="C5872" s="4">
        <v>45688.25</v>
      </c>
      <c r="D5872" s="4">
        <v>45688.250485266202</v>
      </c>
      <c r="E5872" s="2">
        <v>2.91</v>
      </c>
      <c r="F5872" s="2">
        <v>60.6</v>
      </c>
      <c r="G5872" s="2" t="s">
        <v>983</v>
      </c>
      <c r="H5872" s="2" t="s">
        <v>984</v>
      </c>
      <c r="I5872" s="2"/>
      <c r="J5872" s="2" t="s">
        <v>51</v>
      </c>
    </row>
    <row r="5873" spans="1:10" ht="21" customHeight="1">
      <c r="A5873" s="2" t="s">
        <v>6876</v>
      </c>
      <c r="B5873" s="2" t="s">
        <v>51</v>
      </c>
      <c r="C5873" s="4">
        <v>45689.25</v>
      </c>
      <c r="D5873" s="4">
        <v>45689.250301284723</v>
      </c>
      <c r="E5873" s="2">
        <v>2.67</v>
      </c>
      <c r="F5873" s="2">
        <v>59.5</v>
      </c>
      <c r="G5873" s="2" t="s">
        <v>983</v>
      </c>
      <c r="H5873" s="2" t="s">
        <v>984</v>
      </c>
      <c r="I5873" s="2"/>
      <c r="J5873" s="2" t="s">
        <v>51</v>
      </c>
    </row>
    <row r="5874" spans="1:10" ht="21" customHeight="1">
      <c r="A5874" s="2" t="s">
        <v>6877</v>
      </c>
      <c r="B5874" s="2" t="s">
        <v>51</v>
      </c>
      <c r="C5874" s="4">
        <v>45690.25</v>
      </c>
      <c r="D5874" s="4">
        <v>45690.250550011573</v>
      </c>
      <c r="E5874" s="2">
        <v>2.74</v>
      </c>
      <c r="F5874" s="2">
        <v>62</v>
      </c>
      <c r="G5874" s="2" t="s">
        <v>983</v>
      </c>
      <c r="H5874" s="2" t="s">
        <v>984</v>
      </c>
      <c r="I5874" s="2"/>
      <c r="J5874" s="2" t="s">
        <v>51</v>
      </c>
    </row>
    <row r="5875" spans="1:10" ht="21" customHeight="1">
      <c r="A5875" s="2" t="s">
        <v>6878</v>
      </c>
      <c r="B5875" s="2" t="s">
        <v>51</v>
      </c>
      <c r="C5875" s="4">
        <v>45691.25</v>
      </c>
      <c r="D5875" s="4">
        <v>45691.250228171295</v>
      </c>
      <c r="E5875" s="2">
        <v>2.59</v>
      </c>
      <c r="F5875" s="2">
        <v>58.8</v>
      </c>
      <c r="G5875" s="2" t="s">
        <v>983</v>
      </c>
      <c r="H5875" s="2" t="s">
        <v>984</v>
      </c>
      <c r="I5875" s="2"/>
      <c r="J5875" s="2" t="s">
        <v>51</v>
      </c>
    </row>
    <row r="5876" spans="1:10" ht="21" customHeight="1">
      <c r="A5876" s="2" t="s">
        <v>6879</v>
      </c>
      <c r="B5876" s="2" t="s">
        <v>51</v>
      </c>
      <c r="C5876" s="4">
        <v>45692.25</v>
      </c>
      <c r="D5876" s="4">
        <v>45692.250648136571</v>
      </c>
      <c r="E5876" s="2">
        <v>3.09</v>
      </c>
      <c r="F5876" s="2">
        <v>64.900000000000006</v>
      </c>
      <c r="G5876" s="2" t="s">
        <v>983</v>
      </c>
      <c r="H5876" s="2" t="s">
        <v>984</v>
      </c>
      <c r="I5876" s="2" t="s">
        <v>985</v>
      </c>
      <c r="J5876" s="2" t="s">
        <v>51</v>
      </c>
    </row>
    <row r="5877" spans="1:10" ht="21" customHeight="1">
      <c r="A5877" s="2" t="s">
        <v>6880</v>
      </c>
      <c r="B5877" s="2" t="s">
        <v>51</v>
      </c>
      <c r="C5877" s="4">
        <v>45693.25</v>
      </c>
      <c r="D5877" s="4">
        <v>45693.250206562501</v>
      </c>
      <c r="E5877" s="2">
        <v>3.21</v>
      </c>
      <c r="F5877" s="2">
        <v>58.5</v>
      </c>
      <c r="G5877" s="2" t="s">
        <v>983</v>
      </c>
      <c r="H5877" s="2" t="s">
        <v>984</v>
      </c>
      <c r="I5877" s="2"/>
      <c r="J5877" s="2" t="s">
        <v>51</v>
      </c>
    </row>
    <row r="5878" spans="1:10" ht="21" customHeight="1">
      <c r="A5878" s="2" t="s">
        <v>6881</v>
      </c>
      <c r="B5878" s="2" t="s">
        <v>51</v>
      </c>
      <c r="C5878" s="4">
        <v>45694.25</v>
      </c>
      <c r="D5878" s="4">
        <v>45694.250560613422</v>
      </c>
      <c r="E5878" s="2">
        <v>2.71</v>
      </c>
      <c r="F5878" s="2">
        <v>59.5</v>
      </c>
      <c r="G5878" s="2" t="s">
        <v>983</v>
      </c>
      <c r="H5878" s="2" t="s">
        <v>984</v>
      </c>
      <c r="I5878" s="2"/>
      <c r="J5878" s="2" t="s">
        <v>51</v>
      </c>
    </row>
    <row r="5879" spans="1:10" ht="21" customHeight="1">
      <c r="A5879" s="2" t="s">
        <v>6882</v>
      </c>
      <c r="B5879" s="2" t="s">
        <v>51</v>
      </c>
      <c r="C5879" s="4">
        <v>45695.25</v>
      </c>
      <c r="D5879" s="4">
        <v>45695.250475856483</v>
      </c>
      <c r="E5879" s="2">
        <v>2.3199999999999998</v>
      </c>
      <c r="F5879" s="2">
        <v>61.4</v>
      </c>
      <c r="G5879" s="2" t="s">
        <v>983</v>
      </c>
      <c r="H5879" s="2" t="s">
        <v>984</v>
      </c>
      <c r="I5879" s="2"/>
      <c r="J5879" s="2" t="s">
        <v>51</v>
      </c>
    </row>
    <row r="5880" spans="1:10" ht="21" customHeight="1">
      <c r="A5880" s="2" t="s">
        <v>6883</v>
      </c>
      <c r="B5880" s="2" t="s">
        <v>51</v>
      </c>
      <c r="C5880" s="4">
        <v>45696.25</v>
      </c>
      <c r="D5880" s="4">
        <v>45696.250012731485</v>
      </c>
      <c r="E5880" s="2">
        <v>3.23</v>
      </c>
      <c r="F5880" s="2">
        <v>65.599999999999994</v>
      </c>
      <c r="G5880" s="2" t="s">
        <v>983</v>
      </c>
      <c r="H5880" s="2" t="s">
        <v>984</v>
      </c>
      <c r="I5880" s="2"/>
      <c r="J5880" s="2" t="s">
        <v>51</v>
      </c>
    </row>
    <row r="5881" spans="1:10" ht="21" customHeight="1">
      <c r="A5881" s="2" t="s">
        <v>6884</v>
      </c>
      <c r="B5881" s="2" t="s">
        <v>51</v>
      </c>
      <c r="C5881" s="4">
        <v>45697.25</v>
      </c>
      <c r="D5881" s="4">
        <v>45697.250451446758</v>
      </c>
      <c r="E5881" s="2">
        <v>2.48</v>
      </c>
      <c r="F5881" s="2">
        <v>64.599999999999994</v>
      </c>
      <c r="G5881" s="2" t="s">
        <v>983</v>
      </c>
      <c r="H5881" s="2" t="s">
        <v>984</v>
      </c>
      <c r="I5881" s="2"/>
      <c r="J5881" s="2" t="s">
        <v>51</v>
      </c>
    </row>
    <row r="5882" spans="1:10" ht="21" customHeight="1">
      <c r="A5882" s="2" t="s">
        <v>6885</v>
      </c>
      <c r="B5882" s="2" t="s">
        <v>51</v>
      </c>
      <c r="C5882" s="4">
        <v>45698.25</v>
      </c>
      <c r="D5882" s="4">
        <v>45698.250522951392</v>
      </c>
      <c r="E5882" s="2">
        <v>0</v>
      </c>
      <c r="F5882" s="2">
        <v>61.4</v>
      </c>
      <c r="G5882" s="2" t="s">
        <v>1175</v>
      </c>
      <c r="H5882" s="2" t="s">
        <v>984</v>
      </c>
      <c r="I5882" s="2"/>
      <c r="J5882" s="2" t="s">
        <v>51</v>
      </c>
    </row>
    <row r="5883" spans="1:10" ht="21" customHeight="1">
      <c r="A5883" s="2" t="s">
        <v>6886</v>
      </c>
      <c r="B5883" s="2" t="s">
        <v>51</v>
      </c>
      <c r="C5883" s="4">
        <v>45699.25</v>
      </c>
      <c r="D5883" s="4">
        <v>45699.250688703702</v>
      </c>
      <c r="E5883" s="2">
        <v>3.03</v>
      </c>
      <c r="F5883" s="2">
        <v>65.400000000000006</v>
      </c>
      <c r="G5883" s="2" t="s">
        <v>983</v>
      </c>
      <c r="H5883" s="2" t="s">
        <v>984</v>
      </c>
      <c r="I5883" s="2"/>
      <c r="J5883" s="2" t="s">
        <v>51</v>
      </c>
    </row>
    <row r="5884" spans="1:10" ht="21" customHeight="1">
      <c r="A5884" s="2" t="s">
        <v>6887</v>
      </c>
      <c r="B5884" s="2" t="s">
        <v>51</v>
      </c>
      <c r="C5884" s="4">
        <v>45700.25</v>
      </c>
      <c r="D5884" s="4">
        <v>45700.250662916667</v>
      </c>
      <c r="E5884" s="2">
        <v>2.12</v>
      </c>
      <c r="F5884" s="2">
        <v>59.5</v>
      </c>
      <c r="G5884" s="2" t="s">
        <v>983</v>
      </c>
      <c r="H5884" s="2" t="s">
        <v>984</v>
      </c>
      <c r="I5884" s="2"/>
      <c r="J5884" s="2" t="s">
        <v>51</v>
      </c>
    </row>
    <row r="5885" spans="1:10" ht="21" customHeight="1">
      <c r="A5885" s="2" t="s">
        <v>6888</v>
      </c>
      <c r="B5885" s="2" t="s">
        <v>51</v>
      </c>
      <c r="C5885" s="4">
        <v>45701.25</v>
      </c>
      <c r="D5885" s="4">
        <v>45701.250193217595</v>
      </c>
      <c r="E5885" s="2">
        <v>2.89</v>
      </c>
      <c r="F5885" s="2">
        <v>64.400000000000006</v>
      </c>
      <c r="G5885" s="2" t="s">
        <v>983</v>
      </c>
      <c r="H5885" s="2" t="s">
        <v>984</v>
      </c>
      <c r="I5885" s="2"/>
      <c r="J5885" s="2" t="s">
        <v>51</v>
      </c>
    </row>
    <row r="5886" spans="1:10" ht="21" customHeight="1">
      <c r="A5886" s="2" t="s">
        <v>6889</v>
      </c>
      <c r="B5886" s="2" t="s">
        <v>51</v>
      </c>
      <c r="C5886" s="4">
        <v>45702.25</v>
      </c>
      <c r="D5886" s="4">
        <v>45702.250207175923</v>
      </c>
      <c r="E5886" s="2">
        <v>3.23</v>
      </c>
      <c r="F5886" s="2">
        <v>61.9</v>
      </c>
      <c r="G5886" s="2" t="s">
        <v>983</v>
      </c>
      <c r="H5886" s="2" t="s">
        <v>984</v>
      </c>
      <c r="I5886" s="2"/>
      <c r="J5886" s="2" t="s">
        <v>51</v>
      </c>
    </row>
    <row r="5887" spans="1:10" ht="21" customHeight="1">
      <c r="A5887" s="2" t="s">
        <v>6890</v>
      </c>
      <c r="B5887" s="2" t="s">
        <v>51</v>
      </c>
      <c r="C5887" s="4">
        <v>45703.25</v>
      </c>
      <c r="D5887" s="4">
        <v>45703.250256909727</v>
      </c>
      <c r="E5887" s="2">
        <v>3.21</v>
      </c>
      <c r="F5887" s="2">
        <v>60.1</v>
      </c>
      <c r="G5887" s="2" t="s">
        <v>983</v>
      </c>
      <c r="H5887" s="2" t="s">
        <v>984</v>
      </c>
      <c r="I5887" s="2"/>
      <c r="J5887" s="2" t="s">
        <v>51</v>
      </c>
    </row>
    <row r="5888" spans="1:10" ht="21" customHeight="1">
      <c r="A5888" s="2" t="s">
        <v>6891</v>
      </c>
      <c r="B5888" s="2" t="s">
        <v>51</v>
      </c>
      <c r="C5888" s="4">
        <v>45704.25</v>
      </c>
      <c r="D5888" s="4">
        <v>45704.250279479165</v>
      </c>
      <c r="E5888" s="2">
        <v>2.38</v>
      </c>
      <c r="F5888" s="2">
        <v>58.4</v>
      </c>
      <c r="G5888" s="2" t="s">
        <v>983</v>
      </c>
      <c r="H5888" s="2" t="s">
        <v>984</v>
      </c>
      <c r="I5888" s="2"/>
      <c r="J5888" s="2" t="s">
        <v>51</v>
      </c>
    </row>
    <row r="5889" spans="1:10" ht="21" customHeight="1">
      <c r="A5889" s="2" t="s">
        <v>6892</v>
      </c>
      <c r="B5889" s="2" t="s">
        <v>51</v>
      </c>
      <c r="C5889" s="4">
        <v>45705.25</v>
      </c>
      <c r="D5889" s="4">
        <v>45705.250675000003</v>
      </c>
      <c r="E5889" s="2">
        <v>2.74</v>
      </c>
      <c r="F5889" s="2">
        <v>60.6</v>
      </c>
      <c r="G5889" s="2" t="s">
        <v>983</v>
      </c>
      <c r="H5889" s="2" t="s">
        <v>984</v>
      </c>
      <c r="I5889" s="2"/>
      <c r="J5889" s="2" t="s">
        <v>51</v>
      </c>
    </row>
    <row r="5890" spans="1:10" ht="21" customHeight="1">
      <c r="A5890" s="2" t="s">
        <v>6893</v>
      </c>
      <c r="B5890" s="2" t="s">
        <v>51</v>
      </c>
      <c r="C5890" s="4">
        <v>45706.25</v>
      </c>
      <c r="D5890" s="4">
        <v>45706.250142488425</v>
      </c>
      <c r="E5890" s="2">
        <v>2.19</v>
      </c>
      <c r="F5890" s="2">
        <v>63.5</v>
      </c>
      <c r="G5890" s="2" t="s">
        <v>983</v>
      </c>
      <c r="H5890" s="2" t="s">
        <v>984</v>
      </c>
      <c r="I5890" s="2"/>
      <c r="J5890" s="2" t="s">
        <v>51</v>
      </c>
    </row>
    <row r="5891" spans="1:10" ht="21" customHeight="1">
      <c r="A5891" s="2" t="s">
        <v>6894</v>
      </c>
      <c r="B5891" s="2" t="s">
        <v>51</v>
      </c>
      <c r="C5891" s="4">
        <v>45707.25</v>
      </c>
      <c r="D5891" s="4">
        <v>45707.250307060182</v>
      </c>
      <c r="E5891" s="2">
        <v>4.8899999999999997</v>
      </c>
      <c r="F5891" s="2">
        <v>68.8</v>
      </c>
      <c r="G5891" s="2" t="s">
        <v>983</v>
      </c>
      <c r="H5891" s="2" t="s">
        <v>984</v>
      </c>
      <c r="I5891" s="2"/>
      <c r="J5891" s="2" t="s">
        <v>51</v>
      </c>
    </row>
    <row r="5892" spans="1:10" ht="21" customHeight="1">
      <c r="A5892" s="2" t="s">
        <v>6895</v>
      </c>
      <c r="B5892" s="2" t="s">
        <v>51</v>
      </c>
      <c r="C5892" s="4">
        <v>45708.25</v>
      </c>
      <c r="D5892" s="4">
        <v>45708.250250590281</v>
      </c>
      <c r="E5892" s="2">
        <v>5.55</v>
      </c>
      <c r="F5892" s="2">
        <v>71</v>
      </c>
      <c r="G5892" s="2" t="s">
        <v>983</v>
      </c>
      <c r="H5892" s="2" t="s">
        <v>984</v>
      </c>
      <c r="I5892" s="2" t="s">
        <v>1053</v>
      </c>
      <c r="J5892" s="2" t="s">
        <v>51</v>
      </c>
    </row>
    <row r="5893" spans="1:10" ht="21" customHeight="1">
      <c r="A5893" s="2" t="s">
        <v>6896</v>
      </c>
      <c r="B5893" s="2" t="s">
        <v>51</v>
      </c>
      <c r="C5893" s="4">
        <v>45709.25</v>
      </c>
      <c r="D5893" s="4">
        <v>45709.250454374996</v>
      </c>
      <c r="E5893" s="2">
        <v>5.19</v>
      </c>
      <c r="F5893" s="2">
        <v>71</v>
      </c>
      <c r="G5893" s="2" t="s">
        <v>983</v>
      </c>
      <c r="H5893" s="2" t="s">
        <v>984</v>
      </c>
      <c r="I5893" s="2" t="s">
        <v>985</v>
      </c>
      <c r="J5893" s="2" t="s">
        <v>51</v>
      </c>
    </row>
    <row r="5894" spans="1:10" ht="21" customHeight="1">
      <c r="A5894" s="2" t="s">
        <v>6897</v>
      </c>
      <c r="B5894" s="2" t="s">
        <v>51</v>
      </c>
      <c r="C5894" s="4">
        <v>45710.25</v>
      </c>
      <c r="D5894" s="4">
        <v>45710.250340810184</v>
      </c>
      <c r="E5894" s="2">
        <v>0</v>
      </c>
      <c r="F5894" s="2">
        <v>63.4</v>
      </c>
      <c r="G5894" s="2" t="s">
        <v>1175</v>
      </c>
      <c r="H5894" s="2" t="s">
        <v>984</v>
      </c>
      <c r="I5894" s="2"/>
      <c r="J5894" s="2" t="s">
        <v>51</v>
      </c>
    </row>
    <row r="5895" spans="1:10" ht="21" customHeight="1">
      <c r="A5895" s="2" t="s">
        <v>6898</v>
      </c>
      <c r="B5895" s="2" t="s">
        <v>51</v>
      </c>
      <c r="C5895" s="4">
        <v>45711.25</v>
      </c>
      <c r="D5895" s="4">
        <v>45711.250030775467</v>
      </c>
      <c r="E5895" s="2">
        <v>2.6</v>
      </c>
      <c r="F5895" s="2">
        <v>63.4</v>
      </c>
      <c r="G5895" s="2" t="s">
        <v>983</v>
      </c>
      <c r="H5895" s="2" t="s">
        <v>984</v>
      </c>
      <c r="I5895" s="2"/>
      <c r="J5895" s="2" t="s">
        <v>51</v>
      </c>
    </row>
    <row r="5896" spans="1:10" ht="21" customHeight="1">
      <c r="A5896" s="2" t="s">
        <v>6899</v>
      </c>
      <c r="B5896" s="2" t="s">
        <v>51</v>
      </c>
      <c r="C5896" s="4">
        <v>45712.25</v>
      </c>
      <c r="D5896" s="4">
        <v>45712.250183993056</v>
      </c>
      <c r="E5896" s="2">
        <v>2.2000000000000002</v>
      </c>
      <c r="F5896" s="2">
        <v>63.2</v>
      </c>
      <c r="G5896" s="2" t="s">
        <v>983</v>
      </c>
      <c r="H5896" s="2" t="s">
        <v>984</v>
      </c>
      <c r="I5896" s="2"/>
      <c r="J5896" s="2" t="s">
        <v>51</v>
      </c>
    </row>
    <row r="5897" spans="1:10" ht="21" customHeight="1">
      <c r="A5897" s="2" t="s">
        <v>6900</v>
      </c>
      <c r="B5897" s="2" t="s">
        <v>51</v>
      </c>
      <c r="C5897" s="4">
        <v>45713.25</v>
      </c>
      <c r="D5897" s="4">
        <v>45713.25016210648</v>
      </c>
      <c r="E5897" s="2">
        <v>2.4700000000000002</v>
      </c>
      <c r="F5897" s="2">
        <v>61.8</v>
      </c>
      <c r="G5897" s="2" t="s">
        <v>983</v>
      </c>
      <c r="H5897" s="2" t="s">
        <v>984</v>
      </c>
      <c r="I5897" s="2"/>
      <c r="J5897" s="2" t="s">
        <v>51</v>
      </c>
    </row>
    <row r="5898" spans="1:10" ht="21" customHeight="1">
      <c r="A5898" s="2" t="s">
        <v>6901</v>
      </c>
      <c r="B5898" s="2" t="s">
        <v>51</v>
      </c>
      <c r="C5898" s="4">
        <v>45714.25</v>
      </c>
      <c r="D5898" s="4">
        <v>45714.250192291671</v>
      </c>
      <c r="E5898" s="2">
        <v>2.56</v>
      </c>
      <c r="F5898" s="2">
        <v>62.8</v>
      </c>
      <c r="G5898" s="2" t="s">
        <v>983</v>
      </c>
      <c r="H5898" s="2" t="s">
        <v>984</v>
      </c>
      <c r="I5898" s="2"/>
      <c r="J5898" s="2" t="s">
        <v>51</v>
      </c>
    </row>
    <row r="5899" spans="1:10" ht="21" customHeight="1">
      <c r="A5899" s="2" t="s">
        <v>6902</v>
      </c>
      <c r="B5899" s="2" t="s">
        <v>51</v>
      </c>
      <c r="C5899" s="4">
        <v>45715.25</v>
      </c>
      <c r="D5899" s="4">
        <v>45715.25011627315</v>
      </c>
      <c r="E5899" s="2"/>
      <c r="F5899" s="2"/>
      <c r="G5899" s="2" t="s">
        <v>983</v>
      </c>
      <c r="H5899" s="2" t="s">
        <v>1066</v>
      </c>
      <c r="I5899" s="2"/>
      <c r="J5899" s="2" t="s">
        <v>51</v>
      </c>
    </row>
    <row r="5900" spans="1:10" ht="21" customHeight="1">
      <c r="A5900" s="2" t="s">
        <v>6903</v>
      </c>
      <c r="B5900" s="2" t="s">
        <v>51</v>
      </c>
      <c r="C5900" s="4">
        <v>45716.25</v>
      </c>
      <c r="D5900" s="4">
        <v>45716.25007587963</v>
      </c>
      <c r="E5900" s="2">
        <v>2.87</v>
      </c>
      <c r="F5900" s="2">
        <v>59.8</v>
      </c>
      <c r="G5900" s="2" t="s">
        <v>983</v>
      </c>
      <c r="H5900" s="2" t="s">
        <v>984</v>
      </c>
      <c r="I5900" s="2"/>
      <c r="J5900" s="2" t="s">
        <v>51</v>
      </c>
    </row>
    <row r="5901" spans="1:10" ht="21" customHeight="1">
      <c r="A5901" s="2" t="s">
        <v>6904</v>
      </c>
      <c r="B5901" s="2" t="s">
        <v>51</v>
      </c>
      <c r="C5901" s="4">
        <v>45717.25</v>
      </c>
      <c r="D5901" s="4">
        <v>45717.250198981477</v>
      </c>
      <c r="E5901" s="2">
        <v>3.28</v>
      </c>
      <c r="F5901" s="2">
        <v>58.1</v>
      </c>
      <c r="G5901" s="2" t="s">
        <v>983</v>
      </c>
      <c r="H5901" s="2" t="s">
        <v>984</v>
      </c>
      <c r="I5901" s="2"/>
      <c r="J5901" s="2" t="s">
        <v>51</v>
      </c>
    </row>
    <row r="5902" spans="1:10" ht="21" customHeight="1">
      <c r="A5902" s="2" t="s">
        <v>6905</v>
      </c>
      <c r="B5902" s="2" t="s">
        <v>51</v>
      </c>
      <c r="C5902" s="4">
        <v>45718.25</v>
      </c>
      <c r="D5902" s="4">
        <v>45718.250073726856</v>
      </c>
      <c r="E5902" s="2">
        <v>2.98</v>
      </c>
      <c r="F5902" s="2">
        <v>65.2</v>
      </c>
      <c r="G5902" s="2" t="s">
        <v>983</v>
      </c>
      <c r="H5902" s="2" t="s">
        <v>984</v>
      </c>
      <c r="I5902" s="2"/>
      <c r="J5902" s="2" t="s">
        <v>51</v>
      </c>
    </row>
    <row r="5903" spans="1:10" ht="21" customHeight="1">
      <c r="A5903" s="2" t="s">
        <v>6906</v>
      </c>
      <c r="B5903" s="2" t="s">
        <v>51</v>
      </c>
      <c r="C5903" s="4">
        <v>45719.25</v>
      </c>
      <c r="D5903" s="4">
        <v>45719.250130555556</v>
      </c>
      <c r="E5903" s="2">
        <v>2.6</v>
      </c>
      <c r="F5903" s="2">
        <v>58.9</v>
      </c>
      <c r="G5903" s="2" t="s">
        <v>983</v>
      </c>
      <c r="H5903" s="2" t="s">
        <v>984</v>
      </c>
      <c r="I5903" s="2"/>
      <c r="J5903" s="2" t="s">
        <v>51</v>
      </c>
    </row>
    <row r="5904" spans="1:10" ht="21" customHeight="1">
      <c r="A5904" s="2" t="s">
        <v>6907</v>
      </c>
      <c r="B5904" s="2" t="s">
        <v>51</v>
      </c>
      <c r="C5904" s="4">
        <v>45720.25</v>
      </c>
      <c r="D5904" s="4">
        <v>45720.250476643516</v>
      </c>
      <c r="E5904" s="2">
        <v>3.01</v>
      </c>
      <c r="F5904" s="2">
        <v>64.7</v>
      </c>
      <c r="G5904" s="2" t="s">
        <v>983</v>
      </c>
      <c r="H5904" s="2" t="s">
        <v>984</v>
      </c>
      <c r="I5904" s="2"/>
      <c r="J5904" s="2" t="s">
        <v>51</v>
      </c>
    </row>
    <row r="5905" spans="1:10" ht="21" customHeight="1">
      <c r="A5905" s="2" t="s">
        <v>6908</v>
      </c>
      <c r="B5905" s="2" t="s">
        <v>51</v>
      </c>
      <c r="C5905" s="4">
        <v>45721.25</v>
      </c>
      <c r="D5905" s="4">
        <v>45721.250611296295</v>
      </c>
      <c r="E5905" s="2">
        <v>5.0199999999999996</v>
      </c>
      <c r="F5905" s="2">
        <v>66.2</v>
      </c>
      <c r="G5905" s="2" t="s">
        <v>983</v>
      </c>
      <c r="H5905" s="2" t="s">
        <v>984</v>
      </c>
      <c r="I5905" s="2"/>
      <c r="J5905" s="2" t="s">
        <v>51</v>
      </c>
    </row>
    <row r="5906" spans="1:10" ht="21" customHeight="1">
      <c r="A5906" s="2" t="s">
        <v>6909</v>
      </c>
      <c r="B5906" s="2" t="s">
        <v>6868</v>
      </c>
      <c r="C5906" s="4">
        <v>45722.25</v>
      </c>
      <c r="D5906" s="4">
        <v>45722.250187650461</v>
      </c>
      <c r="E5906" s="2">
        <v>6.35</v>
      </c>
      <c r="F5906" s="2">
        <v>67</v>
      </c>
      <c r="G5906" s="2" t="s">
        <v>983</v>
      </c>
      <c r="H5906" s="2" t="s">
        <v>984</v>
      </c>
      <c r="I5906" s="2" t="s">
        <v>1053</v>
      </c>
      <c r="J5906" s="2" t="s">
        <v>51</v>
      </c>
    </row>
    <row r="5907" spans="1:10" ht="21" customHeight="1">
      <c r="A5907" s="2" t="s">
        <v>6910</v>
      </c>
      <c r="B5907" s="2" t="s">
        <v>51</v>
      </c>
      <c r="C5907" s="4">
        <v>45723.25</v>
      </c>
      <c r="D5907" s="4">
        <v>45723.250448368053</v>
      </c>
      <c r="E5907" s="2"/>
      <c r="F5907" s="2"/>
      <c r="G5907" s="2" t="s">
        <v>983</v>
      </c>
      <c r="H5907" s="2" t="s">
        <v>1066</v>
      </c>
      <c r="I5907" s="2"/>
      <c r="J5907" s="2" t="s">
        <v>51</v>
      </c>
    </row>
    <row r="5908" spans="1:10" ht="21" customHeight="1">
      <c r="A5908" s="2" t="s">
        <v>6911</v>
      </c>
      <c r="B5908" s="2" t="s">
        <v>51</v>
      </c>
      <c r="C5908" s="4">
        <v>45724.25</v>
      </c>
      <c r="D5908" s="4">
        <v>45724.250533530096</v>
      </c>
      <c r="E5908" s="2">
        <v>3.2</v>
      </c>
      <c r="F5908" s="2">
        <v>63.9</v>
      </c>
      <c r="G5908" s="2" t="s">
        <v>983</v>
      </c>
      <c r="H5908" s="2" t="s">
        <v>984</v>
      </c>
      <c r="I5908" s="2"/>
      <c r="J5908" s="2" t="s">
        <v>51</v>
      </c>
    </row>
    <row r="5909" spans="1:10" ht="21" customHeight="1">
      <c r="A5909" s="2" t="s">
        <v>6912</v>
      </c>
      <c r="B5909" s="2" t="s">
        <v>51</v>
      </c>
      <c r="C5909" s="4">
        <v>45725.25</v>
      </c>
      <c r="D5909" s="4">
        <v>45725.250277476851</v>
      </c>
      <c r="E5909" s="2">
        <v>3.27</v>
      </c>
      <c r="F5909" s="2">
        <v>58.1</v>
      </c>
      <c r="G5909" s="2" t="s">
        <v>983</v>
      </c>
      <c r="H5909" s="2" t="s">
        <v>984</v>
      </c>
      <c r="I5909" s="2"/>
      <c r="J5909" s="2" t="s">
        <v>51</v>
      </c>
    </row>
    <row r="5910" spans="1:10" ht="21" customHeight="1">
      <c r="A5910" s="2" t="s">
        <v>6913</v>
      </c>
      <c r="B5910" s="2" t="s">
        <v>51</v>
      </c>
      <c r="C5910" s="4">
        <v>45726.25</v>
      </c>
      <c r="D5910" s="4">
        <v>45726.250215243053</v>
      </c>
      <c r="E5910" s="2">
        <v>2.85</v>
      </c>
      <c r="F5910" s="2">
        <v>62.4</v>
      </c>
      <c r="G5910" s="2" t="s">
        <v>983</v>
      </c>
      <c r="H5910" s="2" t="s">
        <v>984</v>
      </c>
      <c r="I5910" s="2" t="s">
        <v>985</v>
      </c>
      <c r="J5910" s="2" t="s">
        <v>51</v>
      </c>
    </row>
    <row r="5911" spans="1:10" ht="21" customHeight="1">
      <c r="A5911" s="2" t="s">
        <v>6914</v>
      </c>
      <c r="B5911" s="2" t="s">
        <v>51</v>
      </c>
      <c r="C5911" s="4">
        <v>45727.25</v>
      </c>
      <c r="D5911" s="4">
        <v>45727.250309583338</v>
      </c>
      <c r="E5911" s="2">
        <v>2.48</v>
      </c>
      <c r="F5911" s="2">
        <v>60.9</v>
      </c>
      <c r="G5911" s="2" t="s">
        <v>983</v>
      </c>
      <c r="H5911" s="2" t="s">
        <v>984</v>
      </c>
      <c r="I5911" s="2"/>
      <c r="J5911" s="2" t="s">
        <v>51</v>
      </c>
    </row>
    <row r="5912" spans="1:10" ht="21" customHeight="1">
      <c r="A5912" s="2" t="s">
        <v>6915</v>
      </c>
      <c r="B5912" s="2" t="s">
        <v>51</v>
      </c>
      <c r="C5912" s="4">
        <v>45728.25</v>
      </c>
      <c r="D5912" s="4">
        <v>45728.250428680556</v>
      </c>
      <c r="E5912" s="2">
        <v>2.54</v>
      </c>
      <c r="F5912" s="2">
        <v>64.599999999999994</v>
      </c>
      <c r="G5912" s="2" t="s">
        <v>983</v>
      </c>
      <c r="H5912" s="2" t="s">
        <v>984</v>
      </c>
      <c r="I5912" s="2"/>
      <c r="J5912" s="2" t="s">
        <v>51</v>
      </c>
    </row>
    <row r="5913" spans="1:10" ht="21" customHeight="1">
      <c r="A5913" s="2" t="s">
        <v>6916</v>
      </c>
      <c r="B5913" s="2" t="s">
        <v>51</v>
      </c>
      <c r="C5913" s="4">
        <v>45729.25</v>
      </c>
      <c r="D5913" s="4">
        <v>45729.250101863421</v>
      </c>
      <c r="E5913" s="2">
        <v>2.58</v>
      </c>
      <c r="F5913" s="2">
        <v>59.8</v>
      </c>
      <c r="G5913" s="2" t="s">
        <v>983</v>
      </c>
      <c r="H5913" s="2" t="s">
        <v>984</v>
      </c>
      <c r="I5913" s="2"/>
      <c r="J5913" s="2" t="s">
        <v>51</v>
      </c>
    </row>
    <row r="5914" spans="1:10" ht="21" customHeight="1">
      <c r="A5914" s="2" t="s">
        <v>6917</v>
      </c>
      <c r="B5914" s="2" t="s">
        <v>51</v>
      </c>
      <c r="C5914" s="4">
        <v>45730.25</v>
      </c>
      <c r="D5914" s="4">
        <v>45730.250643067135</v>
      </c>
      <c r="E5914" s="2">
        <v>3.05</v>
      </c>
      <c r="F5914" s="2">
        <v>59.5</v>
      </c>
      <c r="G5914" s="2" t="s">
        <v>983</v>
      </c>
      <c r="H5914" s="2" t="s">
        <v>984</v>
      </c>
      <c r="I5914" s="2"/>
      <c r="J5914" s="2" t="s">
        <v>51</v>
      </c>
    </row>
    <row r="5915" spans="1:10" ht="21" customHeight="1">
      <c r="A5915" s="2" t="s">
        <v>6918</v>
      </c>
      <c r="B5915" s="2" t="s">
        <v>51</v>
      </c>
      <c r="C5915" s="4">
        <v>45731.25</v>
      </c>
      <c r="D5915" s="4">
        <v>45731.250664305553</v>
      </c>
      <c r="E5915" s="2">
        <v>2.74</v>
      </c>
      <c r="F5915" s="2">
        <v>60.5</v>
      </c>
      <c r="G5915" s="2" t="s">
        <v>983</v>
      </c>
      <c r="H5915" s="2" t="s">
        <v>984</v>
      </c>
      <c r="I5915" s="2"/>
      <c r="J5915" s="2" t="s">
        <v>51</v>
      </c>
    </row>
    <row r="5916" spans="1:10" ht="21" customHeight="1">
      <c r="A5916" s="2" t="s">
        <v>6919</v>
      </c>
      <c r="B5916" s="2" t="s">
        <v>51</v>
      </c>
      <c r="C5916" s="4">
        <v>45732.25</v>
      </c>
      <c r="D5916" s="4">
        <v>45732.250669988425</v>
      </c>
      <c r="E5916" s="2">
        <v>2.72</v>
      </c>
      <c r="F5916" s="2">
        <v>64.3</v>
      </c>
      <c r="G5916" s="2" t="s">
        <v>983</v>
      </c>
      <c r="H5916" s="2" t="s">
        <v>984</v>
      </c>
      <c r="I5916" s="2"/>
      <c r="J5916" s="2" t="s">
        <v>51</v>
      </c>
    </row>
    <row r="5917" spans="1:10" ht="21" customHeight="1">
      <c r="A5917" s="2" t="s">
        <v>6920</v>
      </c>
      <c r="B5917" s="2" t="s">
        <v>51</v>
      </c>
      <c r="C5917" s="4">
        <v>45733.25</v>
      </c>
      <c r="D5917" s="4">
        <v>45733.25022519676</v>
      </c>
      <c r="E5917" s="2">
        <v>2.58</v>
      </c>
      <c r="F5917" s="2">
        <v>61.4</v>
      </c>
      <c r="G5917" s="2" t="s">
        <v>983</v>
      </c>
      <c r="H5917" s="2" t="s">
        <v>984</v>
      </c>
      <c r="I5917" s="2"/>
      <c r="J5917" s="2" t="s">
        <v>51</v>
      </c>
    </row>
    <row r="5918" spans="1:10" ht="21" customHeight="1">
      <c r="A5918" s="2" t="s">
        <v>6921</v>
      </c>
      <c r="B5918" s="2" t="s">
        <v>51</v>
      </c>
      <c r="C5918" s="4">
        <v>45734.25</v>
      </c>
      <c r="D5918" s="4">
        <v>45734.250165428239</v>
      </c>
      <c r="E5918" s="2">
        <v>2.12</v>
      </c>
      <c r="F5918" s="2">
        <v>62.1</v>
      </c>
      <c r="G5918" s="2" t="s">
        <v>983</v>
      </c>
      <c r="H5918" s="2" t="s">
        <v>984</v>
      </c>
      <c r="I5918" s="2"/>
      <c r="J5918" s="2" t="s">
        <v>51</v>
      </c>
    </row>
    <row r="5919" spans="1:10" ht="21" customHeight="1">
      <c r="A5919" s="2" t="s">
        <v>6922</v>
      </c>
      <c r="B5919" s="2" t="s">
        <v>51</v>
      </c>
      <c r="C5919" s="4">
        <v>45735.25</v>
      </c>
      <c r="D5919" s="4">
        <v>45735.250164710647</v>
      </c>
      <c r="E5919" s="2">
        <v>3.13</v>
      </c>
      <c r="F5919" s="2">
        <v>60.2</v>
      </c>
      <c r="G5919" s="2" t="s">
        <v>983</v>
      </c>
      <c r="H5919" s="2" t="s">
        <v>984</v>
      </c>
      <c r="I5919" s="2"/>
      <c r="J5919" s="2" t="s">
        <v>51</v>
      </c>
    </row>
    <row r="5920" spans="1:10" ht="21" customHeight="1">
      <c r="A5920" s="2" t="s">
        <v>6923</v>
      </c>
      <c r="B5920" s="2" t="s">
        <v>51</v>
      </c>
      <c r="C5920" s="4">
        <v>45736.25</v>
      </c>
      <c r="D5920" s="4">
        <v>45736.2505680787</v>
      </c>
      <c r="E5920" s="2"/>
      <c r="F5920" s="2"/>
      <c r="G5920" s="2" t="s">
        <v>983</v>
      </c>
      <c r="H5920" s="2" t="s">
        <v>1066</v>
      </c>
      <c r="I5920" s="2"/>
      <c r="J5920" s="2" t="s">
        <v>51</v>
      </c>
    </row>
    <row r="5921" spans="1:10" ht="21" customHeight="1">
      <c r="A5921" s="2" t="s">
        <v>6924</v>
      </c>
      <c r="B5921" s="2" t="s">
        <v>51</v>
      </c>
      <c r="C5921" s="4">
        <v>45737.25</v>
      </c>
      <c r="D5921" s="4">
        <v>45737.250486956022</v>
      </c>
      <c r="E5921" s="2">
        <v>3.19</v>
      </c>
      <c r="F5921" s="2">
        <v>63.2</v>
      </c>
      <c r="G5921" s="2" t="s">
        <v>983</v>
      </c>
      <c r="H5921" s="2" t="s">
        <v>984</v>
      </c>
      <c r="I5921" s="2"/>
      <c r="J5921" s="2" t="s">
        <v>51</v>
      </c>
    </row>
    <row r="5922" spans="1:10" ht="21" customHeight="1">
      <c r="A5922" s="2" t="s">
        <v>6925</v>
      </c>
      <c r="B5922" s="2" t="s">
        <v>51</v>
      </c>
      <c r="C5922" s="4">
        <v>45738.25</v>
      </c>
      <c r="D5922" s="4">
        <v>45738.250104247687</v>
      </c>
      <c r="E5922" s="2">
        <v>2.65</v>
      </c>
      <c r="F5922" s="2">
        <v>58</v>
      </c>
      <c r="G5922" s="2" t="s">
        <v>983</v>
      </c>
      <c r="H5922" s="2" t="s">
        <v>984</v>
      </c>
      <c r="I5922" s="2"/>
      <c r="J5922" s="2" t="s">
        <v>51</v>
      </c>
    </row>
    <row r="5923" spans="1:10" ht="21" customHeight="1">
      <c r="A5923" s="2" t="s">
        <v>6926</v>
      </c>
      <c r="B5923" s="2" t="s">
        <v>51</v>
      </c>
      <c r="C5923" s="4">
        <v>45739.25</v>
      </c>
      <c r="D5923" s="4">
        <v>45739.250415509261</v>
      </c>
      <c r="E5923" s="2">
        <v>3.29</v>
      </c>
      <c r="F5923" s="2">
        <v>60.5</v>
      </c>
      <c r="G5923" s="2" t="s">
        <v>983</v>
      </c>
      <c r="H5923" s="2" t="s">
        <v>984</v>
      </c>
      <c r="I5923" s="2"/>
      <c r="J5923" s="2" t="s">
        <v>51</v>
      </c>
    </row>
    <row r="5924" spans="1:10" ht="21" customHeight="1">
      <c r="A5924" s="2" t="s">
        <v>6927</v>
      </c>
      <c r="B5924" s="2" t="s">
        <v>51</v>
      </c>
      <c r="C5924" s="4">
        <v>45740.25</v>
      </c>
      <c r="D5924" s="4">
        <v>45740.250194733795</v>
      </c>
      <c r="E5924" s="2">
        <v>2.72</v>
      </c>
      <c r="F5924" s="2">
        <v>61.4</v>
      </c>
      <c r="G5924" s="2" t="s">
        <v>983</v>
      </c>
      <c r="H5924" s="2" t="s">
        <v>984</v>
      </c>
      <c r="I5924" s="2"/>
      <c r="J5924" s="2" t="s">
        <v>51</v>
      </c>
    </row>
    <row r="5925" spans="1:10" ht="21" customHeight="1">
      <c r="A5925" s="2" t="s">
        <v>6928</v>
      </c>
      <c r="B5925" s="2" t="s">
        <v>51</v>
      </c>
      <c r="C5925" s="4">
        <v>45741.25</v>
      </c>
      <c r="D5925" s="4">
        <v>45741.250449039348</v>
      </c>
      <c r="E5925" s="2">
        <v>2.31</v>
      </c>
      <c r="F5925" s="2">
        <v>61.8</v>
      </c>
      <c r="G5925" s="2" t="s">
        <v>983</v>
      </c>
      <c r="H5925" s="2" t="s">
        <v>984</v>
      </c>
      <c r="I5925" s="2"/>
      <c r="J5925" s="2" t="s">
        <v>51</v>
      </c>
    </row>
    <row r="5926" spans="1:10" ht="21" customHeight="1">
      <c r="A5926" s="2" t="s">
        <v>6929</v>
      </c>
      <c r="B5926" s="2" t="s">
        <v>51</v>
      </c>
      <c r="C5926" s="4">
        <v>45742.25</v>
      </c>
      <c r="D5926" s="4">
        <v>45742.250103831015</v>
      </c>
      <c r="E5926" s="2">
        <v>2.88</v>
      </c>
      <c r="F5926" s="2">
        <v>62.8</v>
      </c>
      <c r="G5926" s="2" t="s">
        <v>983</v>
      </c>
      <c r="H5926" s="2" t="s">
        <v>984</v>
      </c>
      <c r="I5926" s="2"/>
      <c r="J5926" s="2" t="s">
        <v>51</v>
      </c>
    </row>
    <row r="5927" spans="1:10" ht="21" customHeight="1">
      <c r="A5927" s="2" t="s">
        <v>6930</v>
      </c>
      <c r="B5927" s="2" t="s">
        <v>51</v>
      </c>
      <c r="C5927" s="4">
        <v>45743.25</v>
      </c>
      <c r="D5927" s="4">
        <v>45743.250114756942</v>
      </c>
      <c r="E5927" s="2"/>
      <c r="F5927" s="2"/>
      <c r="G5927" s="2" t="s">
        <v>983</v>
      </c>
      <c r="H5927" s="2" t="s">
        <v>1066</v>
      </c>
      <c r="I5927" s="2" t="s">
        <v>985</v>
      </c>
      <c r="J5927" s="2" t="s">
        <v>51</v>
      </c>
    </row>
    <row r="5928" spans="1:10" ht="21" customHeight="1">
      <c r="A5928" s="2" t="s">
        <v>6931</v>
      </c>
      <c r="B5928" s="2" t="s">
        <v>51</v>
      </c>
      <c r="C5928" s="4">
        <v>45744.25</v>
      </c>
      <c r="D5928" s="4">
        <v>45744.25035923611</v>
      </c>
      <c r="E5928" s="2">
        <v>2.98</v>
      </c>
      <c r="F5928" s="2">
        <v>58.4</v>
      </c>
      <c r="G5928" s="2" t="s">
        <v>983</v>
      </c>
      <c r="H5928" s="2" t="s">
        <v>984</v>
      </c>
      <c r="I5928" s="2"/>
      <c r="J5928" s="2" t="s">
        <v>51</v>
      </c>
    </row>
    <row r="5929" spans="1:10" ht="21" customHeight="1">
      <c r="A5929" s="2" t="s">
        <v>6932</v>
      </c>
      <c r="B5929" s="2" t="s">
        <v>51</v>
      </c>
      <c r="C5929" s="4">
        <v>45745.25</v>
      </c>
      <c r="D5929" s="4">
        <v>45745.250056851852</v>
      </c>
      <c r="E5929" s="2">
        <v>2.65</v>
      </c>
      <c r="F5929" s="2">
        <v>63</v>
      </c>
      <c r="G5929" s="2" t="s">
        <v>983</v>
      </c>
      <c r="H5929" s="2" t="s">
        <v>984</v>
      </c>
      <c r="I5929" s="2"/>
      <c r="J5929" s="2" t="s">
        <v>51</v>
      </c>
    </row>
    <row r="5930" spans="1:10" ht="21" customHeight="1">
      <c r="A5930" s="2" t="s">
        <v>6933</v>
      </c>
      <c r="B5930" s="2" t="s">
        <v>51</v>
      </c>
      <c r="C5930" s="4">
        <v>45746.25</v>
      </c>
      <c r="D5930" s="4">
        <v>45746.250323819448</v>
      </c>
      <c r="E5930" s="2"/>
      <c r="F5930" s="2"/>
      <c r="G5930" s="2" t="s">
        <v>983</v>
      </c>
      <c r="H5930" s="2" t="s">
        <v>1066</v>
      </c>
      <c r="I5930" s="2"/>
      <c r="J5930" s="2" t="s">
        <v>51</v>
      </c>
    </row>
    <row r="5931" spans="1:10" ht="21" customHeight="1">
      <c r="A5931" s="2" t="s">
        <v>6934</v>
      </c>
      <c r="B5931" s="2" t="s">
        <v>51</v>
      </c>
      <c r="C5931" s="4">
        <v>45747.25</v>
      </c>
      <c r="D5931" s="4">
        <v>45747.250469236111</v>
      </c>
      <c r="E5931" s="2">
        <v>2.59</v>
      </c>
      <c r="F5931" s="2">
        <v>63.1</v>
      </c>
      <c r="G5931" s="2" t="s">
        <v>983</v>
      </c>
      <c r="H5931" s="2" t="s">
        <v>984</v>
      </c>
      <c r="I5931" s="2"/>
      <c r="J5931" s="2" t="s">
        <v>51</v>
      </c>
    </row>
    <row r="5932" spans="1:10" ht="21" customHeight="1">
      <c r="A5932" s="2" t="s">
        <v>6935</v>
      </c>
      <c r="B5932" s="2" t="s">
        <v>51</v>
      </c>
      <c r="C5932" s="4">
        <v>45748.25</v>
      </c>
      <c r="D5932" s="4">
        <v>45748.250423310186</v>
      </c>
      <c r="E5932" s="2">
        <v>3.01</v>
      </c>
      <c r="F5932" s="2">
        <v>60.2</v>
      </c>
      <c r="G5932" s="2" t="s">
        <v>983</v>
      </c>
      <c r="H5932" s="2" t="s">
        <v>984</v>
      </c>
      <c r="I5932" s="2"/>
      <c r="J5932" s="2" t="s">
        <v>51</v>
      </c>
    </row>
    <row r="5933" spans="1:10" ht="21" customHeight="1">
      <c r="A5933" s="2" t="s">
        <v>6936</v>
      </c>
      <c r="B5933" s="2" t="s">
        <v>51</v>
      </c>
      <c r="C5933" s="4">
        <v>45749.25</v>
      </c>
      <c r="D5933" s="4">
        <v>45749.250686250001</v>
      </c>
      <c r="E5933" s="2">
        <v>2.88</v>
      </c>
      <c r="F5933" s="2">
        <v>60</v>
      </c>
      <c r="G5933" s="2" t="s">
        <v>983</v>
      </c>
      <c r="H5933" s="2" t="s">
        <v>984</v>
      </c>
      <c r="I5933" s="2"/>
      <c r="J5933" s="2" t="s">
        <v>51</v>
      </c>
    </row>
    <row r="5934" spans="1:10" ht="21" customHeight="1">
      <c r="A5934" s="2" t="s">
        <v>6937</v>
      </c>
      <c r="B5934" s="2" t="s">
        <v>51</v>
      </c>
      <c r="C5934" s="4">
        <v>45750.25</v>
      </c>
      <c r="D5934" s="4">
        <v>45750.25062979167</v>
      </c>
      <c r="E5934" s="2">
        <v>2.58</v>
      </c>
      <c r="F5934" s="2">
        <v>61.8</v>
      </c>
      <c r="G5934" s="2" t="s">
        <v>983</v>
      </c>
      <c r="H5934" s="2" t="s">
        <v>984</v>
      </c>
      <c r="I5934" s="2"/>
      <c r="J5934" s="2" t="s">
        <v>51</v>
      </c>
    </row>
    <row r="5935" spans="1:10" ht="21" customHeight="1">
      <c r="A5935" s="2" t="s">
        <v>6938</v>
      </c>
      <c r="B5935" s="2" t="s">
        <v>51</v>
      </c>
      <c r="C5935" s="4">
        <v>45751.25</v>
      </c>
      <c r="D5935" s="4">
        <v>45751.250150474538</v>
      </c>
      <c r="E5935" s="2"/>
      <c r="F5935" s="2"/>
      <c r="G5935" s="2" t="s">
        <v>983</v>
      </c>
      <c r="H5935" s="2" t="s">
        <v>1066</v>
      </c>
      <c r="I5935" s="2"/>
      <c r="J5935" s="2" t="s">
        <v>51</v>
      </c>
    </row>
    <row r="5936" spans="1:10" ht="21" customHeight="1">
      <c r="A5936" s="2" t="s">
        <v>6939</v>
      </c>
      <c r="B5936" s="2" t="s">
        <v>51</v>
      </c>
      <c r="C5936" s="4">
        <v>45752.25</v>
      </c>
      <c r="D5936" s="4">
        <v>45752.250476099536</v>
      </c>
      <c r="E5936" s="2">
        <v>2.88</v>
      </c>
      <c r="F5936" s="2">
        <v>64.8</v>
      </c>
      <c r="G5936" s="2" t="s">
        <v>983</v>
      </c>
      <c r="H5936" s="2" t="s">
        <v>984</v>
      </c>
      <c r="I5936" s="2"/>
      <c r="J5936" s="2" t="s">
        <v>51</v>
      </c>
    </row>
    <row r="5937" spans="1:10" ht="21" customHeight="1">
      <c r="A5937" s="2" t="s">
        <v>6940</v>
      </c>
      <c r="B5937" s="2" t="s">
        <v>51</v>
      </c>
      <c r="C5937" s="4">
        <v>45753.25</v>
      </c>
      <c r="D5937" s="4">
        <v>45753.250594490746</v>
      </c>
      <c r="E5937" s="2">
        <v>4.6100000000000003</v>
      </c>
      <c r="F5937" s="2">
        <v>72.3</v>
      </c>
      <c r="G5937" s="2" t="s">
        <v>983</v>
      </c>
      <c r="H5937" s="2" t="s">
        <v>984</v>
      </c>
      <c r="I5937" s="2"/>
      <c r="J5937" s="2" t="s">
        <v>51</v>
      </c>
    </row>
    <row r="5938" spans="1:10" ht="21" customHeight="1">
      <c r="A5938" s="2" t="s">
        <v>6941</v>
      </c>
      <c r="B5938" s="2" t="s">
        <v>51</v>
      </c>
      <c r="C5938" s="4">
        <v>45754.25</v>
      </c>
      <c r="D5938" s="4">
        <v>45754.25051258102</v>
      </c>
      <c r="E5938" s="2">
        <v>6.89</v>
      </c>
      <c r="F5938" s="2">
        <v>68</v>
      </c>
      <c r="G5938" s="2" t="s">
        <v>983</v>
      </c>
      <c r="H5938" s="2" t="s">
        <v>984</v>
      </c>
      <c r="I5938" s="2" t="s">
        <v>1053</v>
      </c>
      <c r="J5938" s="2" t="s">
        <v>51</v>
      </c>
    </row>
    <row r="5939" spans="1:10" ht="21" customHeight="1">
      <c r="A5939" s="2" t="s">
        <v>6942</v>
      </c>
      <c r="B5939" s="2" t="s">
        <v>51</v>
      </c>
      <c r="C5939" s="4">
        <v>45755.25</v>
      </c>
      <c r="D5939" s="4">
        <v>45755.250410219909</v>
      </c>
      <c r="E5939" s="2">
        <v>5.85</v>
      </c>
      <c r="F5939" s="2">
        <v>71.3</v>
      </c>
      <c r="G5939" s="2" t="s">
        <v>983</v>
      </c>
      <c r="H5939" s="2" t="s">
        <v>984</v>
      </c>
      <c r="I5939" s="2"/>
      <c r="J5939" s="2" t="s">
        <v>51</v>
      </c>
    </row>
    <row r="5940" spans="1:10" ht="21" customHeight="1">
      <c r="A5940" s="2" t="s">
        <v>6943</v>
      </c>
      <c r="B5940" s="2" t="s">
        <v>51</v>
      </c>
      <c r="C5940" s="4">
        <v>45756.25</v>
      </c>
      <c r="D5940" s="4">
        <v>45756.250217037035</v>
      </c>
      <c r="E5940" s="2">
        <v>2.4500000000000002</v>
      </c>
      <c r="F5940" s="2">
        <v>62.4</v>
      </c>
      <c r="G5940" s="2" t="s">
        <v>983</v>
      </c>
      <c r="H5940" s="2" t="s">
        <v>984</v>
      </c>
      <c r="I5940" s="2"/>
      <c r="J5940" s="2" t="s">
        <v>51</v>
      </c>
    </row>
    <row r="5941" spans="1:10" ht="21" customHeight="1">
      <c r="A5941" s="2" t="s">
        <v>6944</v>
      </c>
      <c r="B5941" s="2" t="s">
        <v>51</v>
      </c>
      <c r="C5941" s="4">
        <v>45757.25</v>
      </c>
      <c r="D5941" s="4">
        <v>45757.250481145835</v>
      </c>
      <c r="E5941" s="2">
        <v>3.19</v>
      </c>
      <c r="F5941" s="2">
        <v>64.400000000000006</v>
      </c>
      <c r="G5941" s="2" t="s">
        <v>983</v>
      </c>
      <c r="H5941" s="2" t="s">
        <v>984</v>
      </c>
      <c r="I5941" s="2"/>
      <c r="J5941" s="2" t="s">
        <v>51</v>
      </c>
    </row>
    <row r="5942" spans="1:10" ht="21" customHeight="1">
      <c r="A5942" s="2" t="s">
        <v>6945</v>
      </c>
      <c r="B5942" s="2" t="s">
        <v>51</v>
      </c>
      <c r="C5942" s="4">
        <v>45758.25</v>
      </c>
      <c r="D5942" s="4">
        <v>45758.250586793976</v>
      </c>
      <c r="E5942" s="2">
        <v>2.12</v>
      </c>
      <c r="F5942" s="2">
        <v>63.1</v>
      </c>
      <c r="G5942" s="2" t="s">
        <v>983</v>
      </c>
      <c r="H5942" s="2" t="s">
        <v>984</v>
      </c>
      <c r="I5942" s="2"/>
      <c r="J5942" s="2" t="s">
        <v>51</v>
      </c>
    </row>
    <row r="5943" spans="1:10" ht="21" customHeight="1">
      <c r="A5943" s="2" t="s">
        <v>6946</v>
      </c>
      <c r="B5943" s="2" t="s">
        <v>51</v>
      </c>
      <c r="C5943" s="4">
        <v>45759.25</v>
      </c>
      <c r="D5943" s="4">
        <v>45759.250053437499</v>
      </c>
      <c r="E5943" s="2">
        <v>2.57</v>
      </c>
      <c r="F5943" s="2">
        <v>64</v>
      </c>
      <c r="G5943" s="2" t="s">
        <v>983</v>
      </c>
      <c r="H5943" s="2" t="s">
        <v>984</v>
      </c>
      <c r="I5943" s="2"/>
      <c r="J5943" s="2" t="s">
        <v>51</v>
      </c>
    </row>
    <row r="5944" spans="1:10" ht="21" customHeight="1">
      <c r="A5944" s="2" t="s">
        <v>6947</v>
      </c>
      <c r="B5944" s="2" t="s">
        <v>51</v>
      </c>
      <c r="C5944" s="4">
        <v>45760.25</v>
      </c>
      <c r="D5944" s="4">
        <v>45760.250479525464</v>
      </c>
      <c r="E5944" s="2">
        <v>3.26</v>
      </c>
      <c r="F5944" s="2">
        <v>59.4</v>
      </c>
      <c r="G5944" s="2" t="s">
        <v>983</v>
      </c>
      <c r="H5944" s="2" t="s">
        <v>984</v>
      </c>
      <c r="I5944" s="2" t="s">
        <v>985</v>
      </c>
      <c r="J5944" s="2" t="s">
        <v>51</v>
      </c>
    </row>
    <row r="5945" spans="1:10" ht="21" customHeight="1">
      <c r="A5945" s="2" t="s">
        <v>6948</v>
      </c>
      <c r="B5945" s="2" t="s">
        <v>51</v>
      </c>
      <c r="C5945" s="4">
        <v>45761.25</v>
      </c>
      <c r="D5945" s="4">
        <v>45761.250272245372</v>
      </c>
      <c r="E5945" s="2">
        <v>2.42</v>
      </c>
      <c r="F5945" s="2">
        <v>60.2</v>
      </c>
      <c r="G5945" s="2" t="s">
        <v>983</v>
      </c>
      <c r="H5945" s="2" t="s">
        <v>984</v>
      </c>
      <c r="I5945" s="2"/>
      <c r="J5945" s="2" t="s">
        <v>51</v>
      </c>
    </row>
    <row r="5946" spans="1:10" ht="21" customHeight="1">
      <c r="A5946" s="2" t="s">
        <v>6949</v>
      </c>
      <c r="B5946" s="2" t="s">
        <v>51</v>
      </c>
      <c r="C5946" s="4">
        <v>45762.25</v>
      </c>
      <c r="D5946" s="4">
        <v>45762.250602569446</v>
      </c>
      <c r="E5946" s="2">
        <v>2.73</v>
      </c>
      <c r="F5946" s="2">
        <v>65.3</v>
      </c>
      <c r="G5946" s="2" t="s">
        <v>983</v>
      </c>
      <c r="H5946" s="2" t="s">
        <v>984</v>
      </c>
      <c r="I5946" s="2"/>
      <c r="J5946" s="2" t="s">
        <v>51</v>
      </c>
    </row>
    <row r="5947" spans="1:10" ht="21" customHeight="1">
      <c r="A5947" s="2" t="s">
        <v>6950</v>
      </c>
      <c r="B5947" s="2" t="s">
        <v>6868</v>
      </c>
      <c r="C5947" s="4">
        <v>45763.25</v>
      </c>
      <c r="D5947" s="4">
        <v>45763.250082812505</v>
      </c>
      <c r="E5947" s="2">
        <v>3.1</v>
      </c>
      <c r="F5947" s="2">
        <v>58.5</v>
      </c>
      <c r="G5947" s="2" t="s">
        <v>983</v>
      </c>
      <c r="H5947" s="2" t="s">
        <v>984</v>
      </c>
      <c r="I5947" s="2"/>
      <c r="J5947" s="2" t="s">
        <v>51</v>
      </c>
    </row>
    <row r="5948" spans="1:10" ht="21" customHeight="1">
      <c r="A5948" s="2" t="s">
        <v>6951</v>
      </c>
      <c r="B5948" s="2" t="s">
        <v>51</v>
      </c>
      <c r="C5948" s="4">
        <v>45764.25</v>
      </c>
      <c r="D5948" s="4">
        <v>45764.250494236112</v>
      </c>
      <c r="E5948" s="2">
        <v>2.67</v>
      </c>
      <c r="F5948" s="2">
        <v>65</v>
      </c>
      <c r="G5948" s="2" t="s">
        <v>983</v>
      </c>
      <c r="H5948" s="2" t="s">
        <v>984</v>
      </c>
      <c r="I5948" s="2"/>
      <c r="J5948" s="2" t="s">
        <v>51</v>
      </c>
    </row>
    <row r="5949" spans="1:10" ht="21" customHeight="1">
      <c r="A5949" s="2" t="s">
        <v>6952</v>
      </c>
      <c r="B5949" s="2" t="s">
        <v>51</v>
      </c>
      <c r="C5949" s="4">
        <v>45765.25</v>
      </c>
      <c r="D5949" s="4">
        <v>45765.250665590276</v>
      </c>
      <c r="E5949" s="2">
        <v>2.75</v>
      </c>
      <c r="F5949" s="2">
        <v>59</v>
      </c>
      <c r="G5949" s="2" t="s">
        <v>983</v>
      </c>
      <c r="H5949" s="2" t="s">
        <v>984</v>
      </c>
      <c r="I5949" s="2"/>
      <c r="J5949" s="2" t="s">
        <v>51</v>
      </c>
    </row>
    <row r="5950" spans="1:10" ht="21" customHeight="1">
      <c r="A5950" s="2" t="s">
        <v>6953</v>
      </c>
      <c r="B5950" s="2" t="s">
        <v>51</v>
      </c>
      <c r="C5950" s="4">
        <v>45766.25</v>
      </c>
      <c r="D5950" s="4">
        <v>45766.250284652779</v>
      </c>
      <c r="E5950" s="2">
        <v>2.69</v>
      </c>
      <c r="F5950" s="2">
        <v>61.2</v>
      </c>
      <c r="G5950" s="2" t="s">
        <v>983</v>
      </c>
      <c r="H5950" s="2" t="s">
        <v>984</v>
      </c>
      <c r="I5950" s="2"/>
      <c r="J5950" s="2" t="s">
        <v>51</v>
      </c>
    </row>
    <row r="5951" spans="1:10" ht="21" customHeight="1">
      <c r="A5951" s="2" t="s">
        <v>6954</v>
      </c>
      <c r="B5951" s="2" t="s">
        <v>51</v>
      </c>
      <c r="C5951" s="4">
        <v>45767.25</v>
      </c>
      <c r="D5951" s="4">
        <v>45767.250160810188</v>
      </c>
      <c r="E5951" s="2">
        <v>2.98</v>
      </c>
      <c r="F5951" s="2">
        <v>63.7</v>
      </c>
      <c r="G5951" s="2" t="s">
        <v>983</v>
      </c>
      <c r="H5951" s="2" t="s">
        <v>984</v>
      </c>
      <c r="I5951" s="2"/>
      <c r="J5951" s="2" t="s">
        <v>51</v>
      </c>
    </row>
    <row r="5952" spans="1:10" ht="21" customHeight="1">
      <c r="A5952" s="2" t="s">
        <v>6955</v>
      </c>
      <c r="B5952" s="2" t="s">
        <v>51</v>
      </c>
      <c r="C5952" s="4">
        <v>45768.25</v>
      </c>
      <c r="D5952" s="4">
        <v>45768.250458113427</v>
      </c>
      <c r="E5952" s="2">
        <v>2.64</v>
      </c>
      <c r="F5952" s="2">
        <v>61</v>
      </c>
      <c r="G5952" s="2" t="s">
        <v>983</v>
      </c>
      <c r="H5952" s="2" t="s">
        <v>984</v>
      </c>
      <c r="I5952" s="2"/>
      <c r="J5952" s="2" t="s">
        <v>51</v>
      </c>
    </row>
    <row r="5953" spans="1:10" ht="21" customHeight="1">
      <c r="A5953" s="2" t="s">
        <v>6956</v>
      </c>
      <c r="B5953" s="2" t="s">
        <v>51</v>
      </c>
      <c r="C5953" s="4">
        <v>45769.25</v>
      </c>
      <c r="D5953" s="4">
        <v>45769.250028344904</v>
      </c>
      <c r="E5953" s="2">
        <v>3.15</v>
      </c>
      <c r="F5953" s="2">
        <v>64.099999999999994</v>
      </c>
      <c r="G5953" s="2" t="s">
        <v>983</v>
      </c>
      <c r="H5953" s="2" t="s">
        <v>984</v>
      </c>
      <c r="I5953" s="2"/>
      <c r="J5953" s="2" t="s">
        <v>51</v>
      </c>
    </row>
    <row r="5954" spans="1:10" ht="21" customHeight="1">
      <c r="A5954" s="2" t="s">
        <v>6957</v>
      </c>
      <c r="B5954" s="2" t="s">
        <v>51</v>
      </c>
      <c r="C5954" s="4">
        <v>45770.25</v>
      </c>
      <c r="D5954" s="4">
        <v>45770.250193703701</v>
      </c>
      <c r="E5954" s="2">
        <v>3.2</v>
      </c>
      <c r="F5954" s="2">
        <v>62.9</v>
      </c>
      <c r="G5954" s="2" t="s">
        <v>983</v>
      </c>
      <c r="H5954" s="2" t="s">
        <v>984</v>
      </c>
      <c r="I5954" s="2"/>
      <c r="J5954" s="2" t="s">
        <v>51</v>
      </c>
    </row>
    <row r="5955" spans="1:10" ht="21" customHeight="1">
      <c r="A5955" s="2" t="s">
        <v>6958</v>
      </c>
      <c r="B5955" s="2" t="s">
        <v>51</v>
      </c>
      <c r="C5955" s="4">
        <v>45771.25</v>
      </c>
      <c r="D5955" s="4">
        <v>45771.250475868059</v>
      </c>
      <c r="E5955" s="2">
        <v>2.2000000000000002</v>
      </c>
      <c r="F5955" s="2">
        <v>59.7</v>
      </c>
      <c r="G5955" s="2" t="s">
        <v>983</v>
      </c>
      <c r="H5955" s="2" t="s">
        <v>984</v>
      </c>
      <c r="I5955" s="2"/>
      <c r="J5955" s="2" t="s">
        <v>51</v>
      </c>
    </row>
    <row r="5956" spans="1:10" ht="21" customHeight="1">
      <c r="A5956" s="2" t="s">
        <v>6959</v>
      </c>
      <c r="B5956" s="2" t="s">
        <v>51</v>
      </c>
      <c r="C5956" s="4">
        <v>45772.25</v>
      </c>
      <c r="D5956" s="4">
        <v>45772.250620671301</v>
      </c>
      <c r="E5956" s="2">
        <v>2.11</v>
      </c>
      <c r="F5956" s="2">
        <v>62.8</v>
      </c>
      <c r="G5956" s="2" t="s">
        <v>983</v>
      </c>
      <c r="H5956" s="2" t="s">
        <v>984</v>
      </c>
      <c r="I5956" s="2"/>
      <c r="J5956" s="2" t="s">
        <v>51</v>
      </c>
    </row>
    <row r="5957" spans="1:10" ht="21" customHeight="1">
      <c r="A5957" s="2" t="s">
        <v>6960</v>
      </c>
      <c r="B5957" s="2" t="s">
        <v>51</v>
      </c>
      <c r="C5957" s="4">
        <v>45773.25</v>
      </c>
      <c r="D5957" s="4">
        <v>45773.25012287037</v>
      </c>
      <c r="E5957" s="2">
        <v>2.63</v>
      </c>
      <c r="F5957" s="2">
        <v>64.900000000000006</v>
      </c>
      <c r="G5957" s="2" t="s">
        <v>983</v>
      </c>
      <c r="H5957" s="2" t="s">
        <v>984</v>
      </c>
      <c r="I5957" s="2"/>
      <c r="J5957" s="2" t="s">
        <v>51</v>
      </c>
    </row>
    <row r="5958" spans="1:10" ht="21" customHeight="1">
      <c r="A5958" s="2" t="s">
        <v>6961</v>
      </c>
      <c r="B5958" s="2" t="s">
        <v>51</v>
      </c>
      <c r="C5958" s="4">
        <v>45774.25</v>
      </c>
      <c r="D5958" s="4">
        <v>45774.250112002315</v>
      </c>
      <c r="E5958" s="2">
        <v>2.69</v>
      </c>
      <c r="F5958" s="2">
        <v>64.400000000000006</v>
      </c>
      <c r="G5958" s="2" t="s">
        <v>983</v>
      </c>
      <c r="H5958" s="2" t="s">
        <v>984</v>
      </c>
      <c r="I5958" s="2"/>
      <c r="J5958" s="2" t="s">
        <v>51</v>
      </c>
    </row>
    <row r="5959" spans="1:10" ht="21" customHeight="1">
      <c r="A5959" s="2" t="s">
        <v>6962</v>
      </c>
      <c r="B5959" s="2" t="s">
        <v>51</v>
      </c>
      <c r="C5959" s="4">
        <v>45775.25</v>
      </c>
      <c r="D5959" s="4">
        <v>45775.250463344906</v>
      </c>
      <c r="E5959" s="2">
        <v>2.99</v>
      </c>
      <c r="F5959" s="2">
        <v>62.9</v>
      </c>
      <c r="G5959" s="2" t="s">
        <v>983</v>
      </c>
      <c r="H5959" s="2" t="s">
        <v>984</v>
      </c>
      <c r="I5959" s="2"/>
      <c r="J5959" s="2" t="s">
        <v>51</v>
      </c>
    </row>
    <row r="5960" spans="1:10" ht="21" customHeight="1">
      <c r="A5960" s="2" t="s">
        <v>6963</v>
      </c>
      <c r="B5960" s="2" t="s">
        <v>51</v>
      </c>
      <c r="C5960" s="4">
        <v>45776.25</v>
      </c>
      <c r="D5960" s="4">
        <v>45776.250117858799</v>
      </c>
      <c r="E5960" s="2">
        <v>2.25</v>
      </c>
      <c r="F5960" s="2">
        <v>63.5</v>
      </c>
      <c r="G5960" s="2" t="s">
        <v>983</v>
      </c>
      <c r="H5960" s="2" t="s">
        <v>984</v>
      </c>
      <c r="I5960" s="2"/>
      <c r="J5960" s="2" t="s">
        <v>51</v>
      </c>
    </row>
    <row r="5961" spans="1:10" ht="21" customHeight="1">
      <c r="A5961" s="2" t="s">
        <v>6964</v>
      </c>
      <c r="B5961" s="2" t="s">
        <v>51</v>
      </c>
      <c r="C5961" s="4">
        <v>45777.25</v>
      </c>
      <c r="D5961" s="4">
        <v>45777.250526990741</v>
      </c>
      <c r="E5961" s="2">
        <v>2.81</v>
      </c>
      <c r="F5961" s="2">
        <v>62.3</v>
      </c>
      <c r="G5961" s="2" t="s">
        <v>983</v>
      </c>
      <c r="H5961" s="2" t="s">
        <v>984</v>
      </c>
      <c r="I5961" s="2" t="s">
        <v>985</v>
      </c>
      <c r="J5961" s="2" t="s">
        <v>51</v>
      </c>
    </row>
    <row r="5962" spans="1:10" ht="21" customHeight="1">
      <c r="A5962" s="2" t="s">
        <v>6965</v>
      </c>
      <c r="B5962" s="2" t="s">
        <v>51</v>
      </c>
      <c r="C5962" s="4">
        <v>45778.25</v>
      </c>
      <c r="D5962" s="4">
        <v>45778.250004351852</v>
      </c>
      <c r="E5962" s="2">
        <v>3.17</v>
      </c>
      <c r="F5962" s="2">
        <v>62.3</v>
      </c>
      <c r="G5962" s="2" t="s">
        <v>983</v>
      </c>
      <c r="H5962" s="2" t="s">
        <v>984</v>
      </c>
      <c r="I5962" s="2"/>
      <c r="J5962" s="2" t="s">
        <v>51</v>
      </c>
    </row>
    <row r="5963" spans="1:10" ht="21" customHeight="1">
      <c r="A5963" s="2" t="s">
        <v>6966</v>
      </c>
      <c r="B5963" s="2" t="s">
        <v>51</v>
      </c>
      <c r="C5963" s="4">
        <v>45779.25</v>
      </c>
      <c r="D5963" s="4">
        <v>45779.250071400464</v>
      </c>
      <c r="E5963" s="2">
        <v>3.02</v>
      </c>
      <c r="F5963" s="2">
        <v>61.4</v>
      </c>
      <c r="G5963" s="2" t="s">
        <v>983</v>
      </c>
      <c r="H5963" s="2" t="s">
        <v>984</v>
      </c>
      <c r="I5963" s="2"/>
      <c r="J5963" s="2" t="s">
        <v>51</v>
      </c>
    </row>
    <row r="5964" spans="1:10" ht="21" customHeight="1">
      <c r="A5964" s="2" t="s">
        <v>6967</v>
      </c>
      <c r="B5964" s="2" t="s">
        <v>51</v>
      </c>
      <c r="C5964" s="4">
        <v>45780.25</v>
      </c>
      <c r="D5964" s="4">
        <v>45780.250316967591</v>
      </c>
      <c r="E5964" s="2">
        <v>6.01</v>
      </c>
      <c r="F5964" s="2">
        <v>68.8</v>
      </c>
      <c r="G5964" s="2" t="s">
        <v>983</v>
      </c>
      <c r="H5964" s="2" t="s">
        <v>984</v>
      </c>
      <c r="I5964" s="2" t="s">
        <v>1053</v>
      </c>
      <c r="J5964" s="2" t="s">
        <v>51</v>
      </c>
    </row>
    <row r="5965" spans="1:10" ht="21" customHeight="1">
      <c r="A5965" s="2" t="s">
        <v>6968</v>
      </c>
      <c r="B5965" s="2" t="s">
        <v>51</v>
      </c>
      <c r="C5965" s="4">
        <v>45781.25</v>
      </c>
      <c r="D5965" s="4">
        <v>45781.250027430557</v>
      </c>
      <c r="E5965" s="2">
        <v>6.52</v>
      </c>
      <c r="F5965" s="2">
        <v>69.5</v>
      </c>
      <c r="G5965" s="2" t="s">
        <v>983</v>
      </c>
      <c r="H5965" s="2" t="s">
        <v>984</v>
      </c>
      <c r="I5965" s="2"/>
      <c r="J5965" s="2" t="s">
        <v>51</v>
      </c>
    </row>
    <row r="5966" spans="1:10" ht="21" customHeight="1">
      <c r="A5966" s="2" t="s">
        <v>6969</v>
      </c>
      <c r="B5966" s="2" t="s">
        <v>51</v>
      </c>
      <c r="C5966" s="4">
        <v>45782.25</v>
      </c>
      <c r="D5966" s="4">
        <v>45782.250574849539</v>
      </c>
      <c r="E5966" s="2">
        <v>4.33</v>
      </c>
      <c r="F5966" s="2">
        <v>70.900000000000006</v>
      </c>
      <c r="G5966" s="2" t="s">
        <v>983</v>
      </c>
      <c r="H5966" s="2" t="s">
        <v>984</v>
      </c>
      <c r="I5966" s="2" t="s">
        <v>1053</v>
      </c>
      <c r="J5966" s="2" t="s">
        <v>51</v>
      </c>
    </row>
    <row r="5967" spans="1:10" ht="21" customHeight="1">
      <c r="A5967" s="2" t="s">
        <v>6970</v>
      </c>
      <c r="B5967" s="2" t="s">
        <v>51</v>
      </c>
      <c r="C5967" s="4">
        <v>45783.25</v>
      </c>
      <c r="D5967" s="4">
        <v>45783.250069305555</v>
      </c>
      <c r="E5967" s="2">
        <v>0</v>
      </c>
      <c r="F5967" s="2">
        <v>58.8</v>
      </c>
      <c r="G5967" s="2" t="s">
        <v>1175</v>
      </c>
      <c r="H5967" s="2" t="s">
        <v>984</v>
      </c>
      <c r="I5967" s="2"/>
      <c r="J5967" s="2" t="s">
        <v>51</v>
      </c>
    </row>
    <row r="5968" spans="1:10" ht="21" customHeight="1">
      <c r="A5968" s="2" t="s">
        <v>6971</v>
      </c>
      <c r="B5968" s="2" t="s">
        <v>51</v>
      </c>
      <c r="C5968" s="4">
        <v>45784.25</v>
      </c>
      <c r="D5968" s="4">
        <v>45784.250239189816</v>
      </c>
      <c r="E5968" s="2">
        <v>3.16</v>
      </c>
      <c r="F5968" s="2">
        <v>58.5</v>
      </c>
      <c r="G5968" s="2" t="s">
        <v>983</v>
      </c>
      <c r="H5968" s="2" t="s">
        <v>984</v>
      </c>
      <c r="I5968" s="2"/>
      <c r="J5968" s="2" t="s">
        <v>51</v>
      </c>
    </row>
    <row r="5969" spans="1:10" ht="21" customHeight="1">
      <c r="A5969" s="2" t="s">
        <v>6972</v>
      </c>
      <c r="B5969" s="2" t="s">
        <v>51</v>
      </c>
      <c r="C5969" s="4">
        <v>45785.25</v>
      </c>
      <c r="D5969" s="4">
        <v>45785.25020461806</v>
      </c>
      <c r="E5969" s="2">
        <v>3.3</v>
      </c>
      <c r="F5969" s="2">
        <v>58.6</v>
      </c>
      <c r="G5969" s="2" t="s">
        <v>983</v>
      </c>
      <c r="H5969" s="2" t="s">
        <v>984</v>
      </c>
      <c r="I5969" s="2"/>
      <c r="J5969" s="2" t="s">
        <v>51</v>
      </c>
    </row>
    <row r="5970" spans="1:10" ht="21" customHeight="1">
      <c r="A5970" s="2" t="s">
        <v>6973</v>
      </c>
      <c r="B5970" s="2" t="s">
        <v>51</v>
      </c>
      <c r="C5970" s="4">
        <v>45786.25</v>
      </c>
      <c r="D5970" s="4">
        <v>45786.250050173607</v>
      </c>
      <c r="E5970" s="2">
        <v>2.2000000000000002</v>
      </c>
      <c r="F5970" s="2">
        <v>58.1</v>
      </c>
      <c r="G5970" s="2" t="s">
        <v>983</v>
      </c>
      <c r="H5970" s="2" t="s">
        <v>984</v>
      </c>
      <c r="I5970" s="2"/>
      <c r="J5970" s="2" t="s">
        <v>51</v>
      </c>
    </row>
    <row r="5971" spans="1:10" ht="21" customHeight="1">
      <c r="A5971" s="2" t="s">
        <v>6974</v>
      </c>
      <c r="B5971" s="2" t="s">
        <v>51</v>
      </c>
      <c r="C5971" s="4">
        <v>45787.25</v>
      </c>
      <c r="D5971" s="4">
        <v>45787.250443773148</v>
      </c>
      <c r="E5971" s="2">
        <v>2.52</v>
      </c>
      <c r="F5971" s="2">
        <v>60.2</v>
      </c>
      <c r="G5971" s="2" t="s">
        <v>983</v>
      </c>
      <c r="H5971" s="2" t="s">
        <v>984</v>
      </c>
      <c r="I5971" s="2"/>
      <c r="J5971" s="2" t="s">
        <v>51</v>
      </c>
    </row>
    <row r="5972" spans="1:10" ht="21" customHeight="1">
      <c r="A5972" s="2" t="s">
        <v>6975</v>
      </c>
      <c r="B5972" s="2" t="s">
        <v>51</v>
      </c>
      <c r="C5972" s="4">
        <v>45788.25</v>
      </c>
      <c r="D5972" s="4">
        <v>45788.250383715276</v>
      </c>
      <c r="E5972" s="2">
        <v>3.28</v>
      </c>
      <c r="F5972" s="2">
        <v>65.7</v>
      </c>
      <c r="G5972" s="2" t="s">
        <v>983</v>
      </c>
      <c r="H5972" s="2" t="s">
        <v>984</v>
      </c>
      <c r="I5972" s="2"/>
      <c r="J5972" s="2" t="s">
        <v>51</v>
      </c>
    </row>
    <row r="5973" spans="1:10" ht="21" customHeight="1">
      <c r="A5973" s="2" t="s">
        <v>6976</v>
      </c>
      <c r="B5973" s="2" t="s">
        <v>51</v>
      </c>
      <c r="C5973" s="4">
        <v>45789.25</v>
      </c>
      <c r="D5973" s="4">
        <v>45789.250662928243</v>
      </c>
      <c r="E5973" s="2">
        <v>3.03</v>
      </c>
      <c r="F5973" s="2">
        <v>59.6</v>
      </c>
      <c r="G5973" s="2" t="s">
        <v>983</v>
      </c>
      <c r="H5973" s="2" t="s">
        <v>984</v>
      </c>
      <c r="I5973" s="2"/>
      <c r="J5973" s="2" t="s">
        <v>51</v>
      </c>
    </row>
    <row r="5974" spans="1:10" ht="21" customHeight="1">
      <c r="A5974" s="2" t="s">
        <v>6977</v>
      </c>
      <c r="B5974" s="2" t="s">
        <v>51</v>
      </c>
      <c r="C5974" s="4">
        <v>45790.25</v>
      </c>
      <c r="D5974" s="4">
        <v>45790.25037627315</v>
      </c>
      <c r="E5974" s="2">
        <v>2.84</v>
      </c>
      <c r="F5974" s="2">
        <v>58.1</v>
      </c>
      <c r="G5974" s="2" t="s">
        <v>983</v>
      </c>
      <c r="H5974" s="2" t="s">
        <v>984</v>
      </c>
      <c r="I5974" s="2"/>
      <c r="J5974" s="2" t="s">
        <v>51</v>
      </c>
    </row>
    <row r="5975" spans="1:10" ht="21" customHeight="1">
      <c r="A5975" s="2" t="s">
        <v>6978</v>
      </c>
      <c r="B5975" s="2" t="s">
        <v>51</v>
      </c>
      <c r="C5975" s="4">
        <v>45791.25</v>
      </c>
      <c r="D5975" s="4">
        <v>45791.250041793981</v>
      </c>
      <c r="E5975" s="2">
        <v>2.72</v>
      </c>
      <c r="F5975" s="2">
        <v>63.4</v>
      </c>
      <c r="G5975" s="2" t="s">
        <v>983</v>
      </c>
      <c r="H5975" s="2" t="s">
        <v>984</v>
      </c>
      <c r="I5975" s="2"/>
      <c r="J5975" s="2" t="s">
        <v>51</v>
      </c>
    </row>
    <row r="5976" spans="1:10" ht="21" customHeight="1">
      <c r="A5976" s="2" t="s">
        <v>6979</v>
      </c>
      <c r="B5976" s="2" t="s">
        <v>51</v>
      </c>
      <c r="C5976" s="4">
        <v>45792.25</v>
      </c>
      <c r="D5976" s="4">
        <v>45792.250645613429</v>
      </c>
      <c r="E5976" s="2">
        <v>2.17</v>
      </c>
      <c r="F5976" s="2">
        <v>63.6</v>
      </c>
      <c r="G5976" s="2" t="s">
        <v>983</v>
      </c>
      <c r="H5976" s="2" t="s">
        <v>984</v>
      </c>
      <c r="I5976" s="2"/>
      <c r="J5976" s="2" t="s">
        <v>51</v>
      </c>
    </row>
    <row r="5977" spans="1:10" ht="21" customHeight="1">
      <c r="A5977" s="2" t="s">
        <v>6980</v>
      </c>
      <c r="B5977" s="2" t="s">
        <v>51</v>
      </c>
      <c r="C5977" s="4">
        <v>45793.25</v>
      </c>
      <c r="D5977" s="4">
        <v>45793.250235486106</v>
      </c>
      <c r="E5977" s="2">
        <v>2.77</v>
      </c>
      <c r="F5977" s="2">
        <v>65.5</v>
      </c>
      <c r="G5977" s="2" t="s">
        <v>983</v>
      </c>
      <c r="H5977" s="2" t="s">
        <v>984</v>
      </c>
      <c r="I5977" s="2"/>
      <c r="J5977" s="2" t="s">
        <v>51</v>
      </c>
    </row>
    <row r="5978" spans="1:10" ht="21" customHeight="1">
      <c r="A5978" s="2" t="s">
        <v>6981</v>
      </c>
      <c r="B5978" s="2" t="s">
        <v>51</v>
      </c>
      <c r="C5978" s="4">
        <v>45794.25</v>
      </c>
      <c r="D5978" s="4">
        <v>45794.250545092596</v>
      </c>
      <c r="E5978" s="2">
        <v>3.22</v>
      </c>
      <c r="F5978" s="2">
        <v>65.2</v>
      </c>
      <c r="G5978" s="2" t="s">
        <v>983</v>
      </c>
      <c r="H5978" s="2" t="s">
        <v>984</v>
      </c>
      <c r="I5978" s="2" t="s">
        <v>985</v>
      </c>
      <c r="J5978" s="2" t="s">
        <v>51</v>
      </c>
    </row>
    <row r="5979" spans="1:10" ht="21" customHeight="1">
      <c r="A5979" s="2" t="s">
        <v>6982</v>
      </c>
      <c r="B5979" s="2" t="s">
        <v>51</v>
      </c>
      <c r="C5979" s="4">
        <v>45795.25</v>
      </c>
      <c r="D5979" s="4">
        <v>45795.250452766202</v>
      </c>
      <c r="E5979" s="2">
        <v>2.3199999999999998</v>
      </c>
      <c r="F5979" s="2">
        <v>62</v>
      </c>
      <c r="G5979" s="2" t="s">
        <v>983</v>
      </c>
      <c r="H5979" s="2" t="s">
        <v>984</v>
      </c>
      <c r="I5979" s="2"/>
      <c r="J5979" s="2" t="s">
        <v>51</v>
      </c>
    </row>
    <row r="5980" spans="1:10" ht="21" customHeight="1">
      <c r="A5980" s="2" t="s">
        <v>6983</v>
      </c>
      <c r="B5980" s="2" t="s">
        <v>51</v>
      </c>
      <c r="C5980" s="4">
        <v>45796.25</v>
      </c>
      <c r="D5980" s="4">
        <v>45796.250177488429</v>
      </c>
      <c r="E5980" s="2">
        <v>2.5</v>
      </c>
      <c r="F5980" s="2">
        <v>65.900000000000006</v>
      </c>
      <c r="G5980" s="2" t="s">
        <v>983</v>
      </c>
      <c r="H5980" s="2" t="s">
        <v>984</v>
      </c>
      <c r="I5980" s="2"/>
      <c r="J5980" s="2" t="s">
        <v>51</v>
      </c>
    </row>
    <row r="5981" spans="1:10" ht="21" customHeight="1">
      <c r="A5981" s="2" t="s">
        <v>6984</v>
      </c>
      <c r="B5981" s="2" t="s">
        <v>51</v>
      </c>
      <c r="C5981" s="4">
        <v>45797.25</v>
      </c>
      <c r="D5981" s="4">
        <v>45797.250201006944</v>
      </c>
      <c r="E5981" s="2">
        <v>2.87</v>
      </c>
      <c r="F5981" s="2">
        <v>61.1</v>
      </c>
      <c r="G5981" s="2" t="s">
        <v>983</v>
      </c>
      <c r="H5981" s="2" t="s">
        <v>984</v>
      </c>
      <c r="I5981" s="2"/>
      <c r="J5981" s="2" t="s">
        <v>51</v>
      </c>
    </row>
    <row r="5982" spans="1:10" ht="21" customHeight="1">
      <c r="A5982" s="2" t="s">
        <v>6985</v>
      </c>
      <c r="B5982" s="2" t="s">
        <v>51</v>
      </c>
      <c r="C5982" s="4">
        <v>45798.25</v>
      </c>
      <c r="D5982" s="4">
        <v>45798.250171874999</v>
      </c>
      <c r="E5982" s="2"/>
      <c r="F5982" s="2"/>
      <c r="G5982" s="2" t="s">
        <v>983</v>
      </c>
      <c r="H5982" s="2" t="s">
        <v>1066</v>
      </c>
      <c r="I5982" s="2"/>
      <c r="J5982" s="2" t="s">
        <v>51</v>
      </c>
    </row>
    <row r="5983" spans="1:10" ht="21" customHeight="1">
      <c r="A5983" s="2" t="s">
        <v>6986</v>
      </c>
      <c r="B5983" s="2" t="s">
        <v>51</v>
      </c>
      <c r="C5983" s="4">
        <v>45799.25</v>
      </c>
      <c r="D5983" s="4">
        <v>45799.250193668981</v>
      </c>
      <c r="E5983" s="2">
        <v>2.82</v>
      </c>
      <c r="F5983" s="2">
        <v>63.7</v>
      </c>
      <c r="G5983" s="2" t="s">
        <v>983</v>
      </c>
      <c r="H5983" s="2" t="s">
        <v>984</v>
      </c>
      <c r="I5983" s="2"/>
      <c r="J5983" s="2" t="s">
        <v>51</v>
      </c>
    </row>
    <row r="5984" spans="1:10" ht="21" customHeight="1">
      <c r="A5984" s="2" t="s">
        <v>6987</v>
      </c>
      <c r="B5984" s="2" t="s">
        <v>51</v>
      </c>
      <c r="C5984" s="4">
        <v>45800.25</v>
      </c>
      <c r="D5984" s="4">
        <v>45800.250206296296</v>
      </c>
      <c r="E5984" s="2">
        <v>2.91</v>
      </c>
      <c r="F5984" s="2">
        <v>61.8</v>
      </c>
      <c r="G5984" s="2" t="s">
        <v>983</v>
      </c>
      <c r="H5984" s="2" t="s">
        <v>984</v>
      </c>
      <c r="I5984" s="2"/>
      <c r="J5984" s="2" t="s">
        <v>51</v>
      </c>
    </row>
    <row r="5985" spans="1:10" ht="21" customHeight="1">
      <c r="A5985" s="2" t="s">
        <v>6988</v>
      </c>
      <c r="B5985" s="2" t="s">
        <v>51</v>
      </c>
      <c r="C5985" s="4">
        <v>45801.25</v>
      </c>
      <c r="D5985" s="4">
        <v>45801.250596909726</v>
      </c>
      <c r="E5985" s="2">
        <v>3.14</v>
      </c>
      <c r="F5985" s="2">
        <v>65.3</v>
      </c>
      <c r="G5985" s="2" t="s">
        <v>983</v>
      </c>
      <c r="H5985" s="2" t="s">
        <v>984</v>
      </c>
      <c r="I5985" s="2"/>
      <c r="J5985" s="2" t="s">
        <v>51</v>
      </c>
    </row>
    <row r="5986" spans="1:10" ht="21" customHeight="1">
      <c r="A5986" s="2" t="s">
        <v>6989</v>
      </c>
      <c r="B5986" s="2" t="s">
        <v>51</v>
      </c>
      <c r="C5986" s="4">
        <v>45802.25</v>
      </c>
      <c r="D5986" s="4">
        <v>45802.25044635417</v>
      </c>
      <c r="E5986" s="2">
        <v>2.94</v>
      </c>
      <c r="F5986" s="2">
        <v>59.3</v>
      </c>
      <c r="G5986" s="2" t="s">
        <v>983</v>
      </c>
      <c r="H5986" s="2" t="s">
        <v>984</v>
      </c>
      <c r="I5986" s="2"/>
      <c r="J5986" s="2" t="s">
        <v>51</v>
      </c>
    </row>
    <row r="5987" spans="1:10" ht="21" customHeight="1">
      <c r="A5987" s="2" t="s">
        <v>6990</v>
      </c>
      <c r="B5987" s="2" t="s">
        <v>51</v>
      </c>
      <c r="C5987" s="4">
        <v>45803.25</v>
      </c>
      <c r="D5987" s="4">
        <v>45803.250616111109</v>
      </c>
      <c r="E5987" s="2">
        <v>2.98</v>
      </c>
      <c r="F5987" s="2">
        <v>62.5</v>
      </c>
      <c r="G5987" s="2" t="s">
        <v>983</v>
      </c>
      <c r="H5987" s="2" t="s">
        <v>984</v>
      </c>
      <c r="I5987" s="2"/>
      <c r="J5987" s="2" t="s">
        <v>51</v>
      </c>
    </row>
    <row r="5988" spans="1:10" ht="21" customHeight="1">
      <c r="A5988" s="2" t="s">
        <v>6991</v>
      </c>
      <c r="B5988" s="2" t="s">
        <v>6868</v>
      </c>
      <c r="C5988" s="4">
        <v>45804.25</v>
      </c>
      <c r="D5988" s="4">
        <v>45804.250351643517</v>
      </c>
      <c r="E5988" s="2">
        <v>2.41</v>
      </c>
      <c r="F5988" s="2">
        <v>64.400000000000006</v>
      </c>
      <c r="G5988" s="2" t="s">
        <v>983</v>
      </c>
      <c r="H5988" s="2" t="s">
        <v>984</v>
      </c>
      <c r="I5988" s="2"/>
      <c r="J5988" s="2" t="s">
        <v>51</v>
      </c>
    </row>
    <row r="5989" spans="1:10" ht="21" customHeight="1">
      <c r="A5989" s="2" t="s">
        <v>6992</v>
      </c>
      <c r="B5989" s="2" t="s">
        <v>51</v>
      </c>
      <c r="C5989" s="4">
        <v>45805.25</v>
      </c>
      <c r="D5989" s="4">
        <v>45805.250265891205</v>
      </c>
      <c r="E5989" s="2">
        <v>2.1</v>
      </c>
      <c r="F5989" s="2">
        <v>64.599999999999994</v>
      </c>
      <c r="G5989" s="2" t="s">
        <v>983</v>
      </c>
      <c r="H5989" s="2" t="s">
        <v>984</v>
      </c>
      <c r="I5989" s="2"/>
      <c r="J5989" s="2" t="s">
        <v>51</v>
      </c>
    </row>
    <row r="5990" spans="1:10" ht="21" customHeight="1">
      <c r="A5990" s="2" t="s">
        <v>6993</v>
      </c>
      <c r="B5990" s="2" t="s">
        <v>51</v>
      </c>
      <c r="C5990" s="4">
        <v>45806.25</v>
      </c>
      <c r="D5990" s="4">
        <v>45806.25057340278</v>
      </c>
      <c r="E5990" s="2">
        <v>2.61</v>
      </c>
      <c r="F5990" s="2">
        <v>58.5</v>
      </c>
      <c r="G5990" s="2" t="s">
        <v>983</v>
      </c>
      <c r="H5990" s="2" t="s">
        <v>984</v>
      </c>
      <c r="I5990" s="2"/>
      <c r="J5990" s="2" t="s">
        <v>51</v>
      </c>
    </row>
    <row r="5991" spans="1:10" ht="21" customHeight="1">
      <c r="A5991" s="2" t="s">
        <v>6994</v>
      </c>
      <c r="B5991" s="2" t="s">
        <v>51</v>
      </c>
      <c r="C5991" s="4">
        <v>45807.25</v>
      </c>
      <c r="D5991" s="4">
        <v>45807.250670428242</v>
      </c>
      <c r="E5991" s="2">
        <v>3.28</v>
      </c>
      <c r="F5991" s="2">
        <v>63.9</v>
      </c>
      <c r="G5991" s="2" t="s">
        <v>983</v>
      </c>
      <c r="H5991" s="2" t="s">
        <v>984</v>
      </c>
      <c r="I5991" s="2"/>
      <c r="J5991" s="2" t="s">
        <v>51</v>
      </c>
    </row>
    <row r="5992" spans="1:10" ht="21" customHeight="1">
      <c r="A5992" s="2" t="s">
        <v>6995</v>
      </c>
      <c r="B5992" s="2" t="s">
        <v>51</v>
      </c>
      <c r="C5992" s="4">
        <v>45808.25</v>
      </c>
      <c r="D5992" s="4">
        <v>45808.250313055556</v>
      </c>
      <c r="E5992" s="2">
        <v>2.79</v>
      </c>
      <c r="F5992" s="2">
        <v>62.7</v>
      </c>
      <c r="G5992" s="2" t="s">
        <v>983</v>
      </c>
      <c r="H5992" s="2" t="s">
        <v>984</v>
      </c>
      <c r="I5992" s="2"/>
      <c r="J5992" s="2" t="s">
        <v>51</v>
      </c>
    </row>
    <row r="5993" spans="1:10" ht="21" customHeight="1">
      <c r="A5993" s="2" t="s">
        <v>6996</v>
      </c>
      <c r="B5993" s="2" t="s">
        <v>51</v>
      </c>
      <c r="C5993" s="4">
        <v>45809.25</v>
      </c>
      <c r="D5993" s="4">
        <v>45809.25039184028</v>
      </c>
      <c r="E5993" s="2">
        <v>3.14</v>
      </c>
      <c r="F5993" s="2">
        <v>62.4</v>
      </c>
      <c r="G5993" s="2" t="s">
        <v>983</v>
      </c>
      <c r="H5993" s="2" t="s">
        <v>984</v>
      </c>
      <c r="I5993" s="2"/>
      <c r="J5993" s="2" t="s">
        <v>51</v>
      </c>
    </row>
    <row r="5994" spans="1:10" ht="21" customHeight="1">
      <c r="A5994" s="2" t="s">
        <v>6997</v>
      </c>
      <c r="B5994" s="2" t="s">
        <v>51</v>
      </c>
      <c r="C5994" s="4">
        <v>45810.25</v>
      </c>
      <c r="D5994" s="4">
        <v>45810.250651620372</v>
      </c>
      <c r="E5994" s="2">
        <v>2.94</v>
      </c>
      <c r="F5994" s="2">
        <v>58.7</v>
      </c>
      <c r="G5994" s="2" t="s">
        <v>983</v>
      </c>
      <c r="H5994" s="2" t="s">
        <v>984</v>
      </c>
      <c r="I5994" s="2"/>
      <c r="J5994" s="2" t="s">
        <v>51</v>
      </c>
    </row>
    <row r="5995" spans="1:10" ht="21" customHeight="1">
      <c r="A5995" s="2" t="s">
        <v>6998</v>
      </c>
      <c r="B5995" s="2" t="s">
        <v>51</v>
      </c>
      <c r="C5995" s="4">
        <v>45811.25</v>
      </c>
      <c r="D5995" s="4">
        <v>45811.250112256945</v>
      </c>
      <c r="E5995" s="2">
        <v>2.9</v>
      </c>
      <c r="F5995" s="2">
        <v>61.6</v>
      </c>
      <c r="G5995" s="2" t="s">
        <v>983</v>
      </c>
      <c r="H5995" s="2" t="s">
        <v>984</v>
      </c>
      <c r="I5995" s="2" t="s">
        <v>985</v>
      </c>
      <c r="J5995" s="2" t="s">
        <v>51</v>
      </c>
    </row>
    <row r="5996" spans="1:10" ht="21" customHeight="1">
      <c r="A5996" s="2" t="s">
        <v>6999</v>
      </c>
      <c r="B5996" s="2" t="s">
        <v>51</v>
      </c>
      <c r="C5996" s="4">
        <v>45812.25</v>
      </c>
      <c r="D5996" s="4">
        <v>45812.250600462961</v>
      </c>
      <c r="E5996" s="2">
        <v>3.28</v>
      </c>
      <c r="F5996" s="2">
        <v>59.3</v>
      </c>
      <c r="G5996" s="2" t="s">
        <v>983</v>
      </c>
      <c r="H5996" s="2" t="s">
        <v>984</v>
      </c>
      <c r="I5996" s="2"/>
      <c r="J5996" s="2" t="s">
        <v>51</v>
      </c>
    </row>
    <row r="5997" spans="1:10" ht="21" customHeight="1">
      <c r="A5997" s="2" t="s">
        <v>7000</v>
      </c>
      <c r="B5997" s="2" t="s">
        <v>51</v>
      </c>
      <c r="C5997" s="4">
        <v>45813.25</v>
      </c>
      <c r="D5997" s="4">
        <v>45813.250294363424</v>
      </c>
      <c r="E5997" s="2">
        <v>2.72</v>
      </c>
      <c r="F5997" s="2">
        <v>58.7</v>
      </c>
      <c r="G5997" s="2" t="s">
        <v>983</v>
      </c>
      <c r="H5997" s="2" t="s">
        <v>984</v>
      </c>
      <c r="I5997" s="2"/>
      <c r="J5997" s="2" t="s">
        <v>51</v>
      </c>
    </row>
    <row r="5998" spans="1:10" ht="21" customHeight="1">
      <c r="A5998" s="2" t="s">
        <v>7001</v>
      </c>
      <c r="B5998" s="2" t="s">
        <v>51</v>
      </c>
      <c r="C5998" s="4">
        <v>45814.25</v>
      </c>
      <c r="D5998" s="4">
        <v>45814.250583842593</v>
      </c>
      <c r="E5998" s="2">
        <v>2.93</v>
      </c>
      <c r="F5998" s="2">
        <v>60.1</v>
      </c>
      <c r="G5998" s="2" t="s">
        <v>983</v>
      </c>
      <c r="H5998" s="2" t="s">
        <v>984</v>
      </c>
      <c r="I5998" s="2"/>
      <c r="J5998" s="2" t="s">
        <v>51</v>
      </c>
    </row>
    <row r="5999" spans="1:10" ht="21" customHeight="1">
      <c r="A5999" s="2" t="s">
        <v>7002</v>
      </c>
      <c r="B5999" s="2" t="s">
        <v>51</v>
      </c>
      <c r="C5999" s="4">
        <v>45815.25</v>
      </c>
      <c r="D5999" s="4">
        <v>45815.250355208336</v>
      </c>
      <c r="E5999" s="2">
        <v>3.1</v>
      </c>
      <c r="F5999" s="2">
        <v>62.7</v>
      </c>
      <c r="G5999" s="2" t="s">
        <v>983</v>
      </c>
      <c r="H5999" s="2" t="s">
        <v>984</v>
      </c>
      <c r="I5999" s="2"/>
      <c r="J5999" s="2" t="s">
        <v>51</v>
      </c>
    </row>
    <row r="6000" spans="1:10" ht="21" customHeight="1">
      <c r="A6000" s="2" t="s">
        <v>7003</v>
      </c>
      <c r="B6000" s="2" t="s">
        <v>51</v>
      </c>
      <c r="C6000" s="4">
        <v>45816.25</v>
      </c>
      <c r="D6000" s="4">
        <v>45816.250322048611</v>
      </c>
      <c r="E6000" s="2"/>
      <c r="F6000" s="2"/>
      <c r="G6000" s="2" t="s">
        <v>983</v>
      </c>
      <c r="H6000" s="2" t="s">
        <v>1066</v>
      </c>
      <c r="I6000" s="2"/>
      <c r="J6000" s="2" t="s">
        <v>51</v>
      </c>
    </row>
    <row r="6001" spans="1:10" ht="21" customHeight="1">
      <c r="A6001" s="2" t="s">
        <v>7004</v>
      </c>
      <c r="B6001" s="2" t="s">
        <v>51</v>
      </c>
      <c r="C6001" s="4">
        <v>45817.25</v>
      </c>
      <c r="D6001" s="4">
        <v>45817.250119629629</v>
      </c>
      <c r="E6001" s="2">
        <v>2.4700000000000002</v>
      </c>
      <c r="F6001" s="2">
        <v>61.3</v>
      </c>
      <c r="G6001" s="2" t="s">
        <v>983</v>
      </c>
      <c r="H6001" s="2" t="s">
        <v>984</v>
      </c>
      <c r="I6001" s="2"/>
      <c r="J6001" s="2" t="s">
        <v>51</v>
      </c>
    </row>
    <row r="6002" spans="1:10" ht="21" customHeight="1">
      <c r="A6002" s="2" t="s">
        <v>7005</v>
      </c>
      <c r="B6002" s="2" t="s">
        <v>51</v>
      </c>
      <c r="C6002" s="4">
        <v>45818.25</v>
      </c>
      <c r="D6002" s="4">
        <v>45818.250065347223</v>
      </c>
      <c r="E6002" s="2">
        <v>2.7</v>
      </c>
      <c r="F6002" s="2">
        <v>59.7</v>
      </c>
      <c r="G6002" s="2" t="s">
        <v>983</v>
      </c>
      <c r="H6002" s="2" t="s">
        <v>984</v>
      </c>
      <c r="I6002" s="2"/>
      <c r="J6002" s="2" t="s">
        <v>51</v>
      </c>
    </row>
    <row r="6003" spans="1:10" ht="21" customHeight="1">
      <c r="A6003" s="2" t="s">
        <v>7006</v>
      </c>
      <c r="B6003" s="2" t="s">
        <v>51</v>
      </c>
      <c r="C6003" s="4">
        <v>45819.25</v>
      </c>
      <c r="D6003" s="4">
        <v>45819.250680115743</v>
      </c>
      <c r="E6003" s="2">
        <v>2.44</v>
      </c>
      <c r="F6003" s="2">
        <v>62.3</v>
      </c>
      <c r="G6003" s="2" t="s">
        <v>983</v>
      </c>
      <c r="H6003" s="2" t="s">
        <v>984</v>
      </c>
      <c r="I6003" s="2"/>
      <c r="J6003" s="2" t="s">
        <v>51</v>
      </c>
    </row>
    <row r="6004" spans="1:10" ht="21" customHeight="1">
      <c r="A6004" s="2" t="s">
        <v>7007</v>
      </c>
      <c r="B6004" s="2" t="s">
        <v>51</v>
      </c>
      <c r="C6004" s="4">
        <v>45820.25</v>
      </c>
      <c r="D6004" s="4">
        <v>45820.250634074073</v>
      </c>
      <c r="E6004" s="2">
        <v>3.05</v>
      </c>
      <c r="F6004" s="2">
        <v>59.3</v>
      </c>
      <c r="G6004" s="2" t="s">
        <v>983</v>
      </c>
      <c r="H6004" s="2" t="s">
        <v>984</v>
      </c>
      <c r="I6004" s="2"/>
      <c r="J6004" s="2" t="s">
        <v>51</v>
      </c>
    </row>
    <row r="6005" spans="1:10" ht="21" customHeight="1">
      <c r="A6005" s="2" t="s">
        <v>7008</v>
      </c>
      <c r="B6005" s="2" t="s">
        <v>51</v>
      </c>
      <c r="C6005" s="4">
        <v>45821.25</v>
      </c>
      <c r="D6005" s="4">
        <v>45821.250238692126</v>
      </c>
      <c r="E6005" s="2">
        <v>3.2</v>
      </c>
      <c r="F6005" s="2">
        <v>61.5</v>
      </c>
      <c r="G6005" s="2" t="s">
        <v>983</v>
      </c>
      <c r="H6005" s="2" t="s">
        <v>984</v>
      </c>
      <c r="I6005" s="2"/>
      <c r="J6005" s="2" t="s">
        <v>51</v>
      </c>
    </row>
    <row r="6006" spans="1:10" ht="21" customHeight="1">
      <c r="A6006" s="2" t="s">
        <v>7009</v>
      </c>
      <c r="B6006" s="2" t="s">
        <v>51</v>
      </c>
      <c r="C6006" s="4">
        <v>45822.25</v>
      </c>
      <c r="D6006" s="4">
        <v>45822.250007673611</v>
      </c>
      <c r="E6006" s="2">
        <v>2.62</v>
      </c>
      <c r="F6006" s="2">
        <v>59.1</v>
      </c>
      <c r="G6006" s="2" t="s">
        <v>983</v>
      </c>
      <c r="H6006" s="2" t="s">
        <v>984</v>
      </c>
      <c r="I6006" s="2"/>
      <c r="J6006" s="2" t="s">
        <v>51</v>
      </c>
    </row>
    <row r="6007" spans="1:10" ht="21" customHeight="1">
      <c r="A6007" s="2" t="s">
        <v>7010</v>
      </c>
      <c r="B6007" s="2" t="s">
        <v>51</v>
      </c>
      <c r="C6007" s="4">
        <v>45823.25</v>
      </c>
      <c r="D6007" s="4">
        <v>45823.250184999997</v>
      </c>
      <c r="E6007" s="2">
        <v>2.19</v>
      </c>
      <c r="F6007" s="2">
        <v>63</v>
      </c>
      <c r="G6007" s="2" t="s">
        <v>983</v>
      </c>
      <c r="H6007" s="2" t="s">
        <v>984</v>
      </c>
      <c r="I6007" s="2"/>
      <c r="J6007" s="2" t="s">
        <v>51</v>
      </c>
    </row>
    <row r="6008" spans="1:10" ht="21" customHeight="1">
      <c r="A6008" s="2" t="s">
        <v>7011</v>
      </c>
      <c r="B6008" s="2" t="s">
        <v>51</v>
      </c>
      <c r="C6008" s="4">
        <v>45824.25</v>
      </c>
      <c r="D6008" s="4">
        <v>45824.250408877313</v>
      </c>
      <c r="E6008" s="2">
        <v>2.5099999999999998</v>
      </c>
      <c r="F6008" s="2">
        <v>65.5</v>
      </c>
      <c r="G6008" s="2" t="s">
        <v>983</v>
      </c>
      <c r="H6008" s="2" t="s">
        <v>984</v>
      </c>
      <c r="I6008" s="2"/>
      <c r="J6008" s="2" t="s">
        <v>51</v>
      </c>
    </row>
    <row r="6009" spans="1:10" ht="21" customHeight="1">
      <c r="A6009" s="2" t="s">
        <v>7012</v>
      </c>
      <c r="B6009" s="2" t="s">
        <v>51</v>
      </c>
      <c r="C6009" s="4">
        <v>45825.25</v>
      </c>
      <c r="D6009" s="4">
        <v>45825.250532604172</v>
      </c>
      <c r="E6009" s="2">
        <v>2.72</v>
      </c>
      <c r="F6009" s="2">
        <v>63</v>
      </c>
      <c r="G6009" s="2" t="s">
        <v>983</v>
      </c>
      <c r="H6009" s="2" t="s">
        <v>984</v>
      </c>
      <c r="I6009" s="2"/>
      <c r="J6009" s="2" t="s">
        <v>51</v>
      </c>
    </row>
    <row r="6010" spans="1:10" ht="21" customHeight="1">
      <c r="A6010" s="2" t="s">
        <v>7013</v>
      </c>
      <c r="B6010" s="2" t="s">
        <v>51</v>
      </c>
      <c r="C6010" s="4">
        <v>45826.25</v>
      </c>
      <c r="D6010" s="4">
        <v>45826.250374351846</v>
      </c>
      <c r="E6010" s="2">
        <v>2.93</v>
      </c>
      <c r="F6010" s="2">
        <v>65.8</v>
      </c>
      <c r="G6010" s="2" t="s">
        <v>983</v>
      </c>
      <c r="H6010" s="2" t="s">
        <v>984</v>
      </c>
      <c r="I6010" s="2"/>
      <c r="J6010" s="2" t="s">
        <v>51</v>
      </c>
    </row>
    <row r="6011" spans="1:10" ht="21" customHeight="1">
      <c r="A6011" s="2" t="s">
        <v>7014</v>
      </c>
      <c r="B6011" s="2" t="s">
        <v>51</v>
      </c>
      <c r="C6011" s="4">
        <v>45827.25</v>
      </c>
      <c r="D6011" s="4">
        <v>45827.250061180559</v>
      </c>
      <c r="E6011" s="2">
        <v>2.92</v>
      </c>
      <c r="F6011" s="2">
        <v>59.4</v>
      </c>
      <c r="G6011" s="2" t="s">
        <v>983</v>
      </c>
      <c r="H6011" s="2" t="s">
        <v>984</v>
      </c>
      <c r="I6011" s="2"/>
      <c r="J6011" s="2" t="s">
        <v>51</v>
      </c>
    </row>
    <row r="6012" spans="1:10" ht="21" customHeight="1">
      <c r="A6012" s="2" t="s">
        <v>7015</v>
      </c>
      <c r="B6012" s="2" t="s">
        <v>51</v>
      </c>
      <c r="C6012" s="4">
        <v>45828.25</v>
      </c>
      <c r="D6012" s="4">
        <v>45828.250457222224</v>
      </c>
      <c r="E6012" s="2">
        <v>4.03</v>
      </c>
      <c r="F6012" s="2">
        <v>69</v>
      </c>
      <c r="G6012" s="2" t="s">
        <v>983</v>
      </c>
      <c r="H6012" s="2" t="s">
        <v>984</v>
      </c>
      <c r="I6012" s="2" t="s">
        <v>1053</v>
      </c>
      <c r="J6012" s="2" t="s">
        <v>51</v>
      </c>
    </row>
    <row r="6013" spans="1:10" ht="21" customHeight="1">
      <c r="A6013" s="2" t="s">
        <v>7016</v>
      </c>
      <c r="B6013" s="2" t="s">
        <v>51</v>
      </c>
      <c r="C6013" s="4">
        <v>45829.25</v>
      </c>
      <c r="D6013" s="4">
        <v>45829.250112766204</v>
      </c>
      <c r="E6013" s="2">
        <v>5.38</v>
      </c>
      <c r="F6013" s="2">
        <v>72.5</v>
      </c>
      <c r="G6013" s="2" t="s">
        <v>983</v>
      </c>
      <c r="H6013" s="2" t="s">
        <v>984</v>
      </c>
      <c r="I6013" s="2"/>
      <c r="J6013" s="2" t="s">
        <v>51</v>
      </c>
    </row>
    <row r="6014" spans="1:10" ht="21" customHeight="1">
      <c r="A6014" s="2" t="s">
        <v>7017</v>
      </c>
      <c r="B6014" s="2" t="s">
        <v>51</v>
      </c>
      <c r="C6014" s="4">
        <v>45830.25</v>
      </c>
      <c r="D6014" s="4">
        <v>45830.250300023152</v>
      </c>
      <c r="E6014" s="2">
        <v>6.28</v>
      </c>
      <c r="F6014" s="2">
        <v>68.8</v>
      </c>
      <c r="G6014" s="2" t="s">
        <v>983</v>
      </c>
      <c r="H6014" s="2" t="s">
        <v>984</v>
      </c>
      <c r="I6014" s="2" t="s">
        <v>1053</v>
      </c>
      <c r="J6014" s="2" t="s">
        <v>51</v>
      </c>
    </row>
    <row r="6015" spans="1:10" ht="21" customHeight="1">
      <c r="A6015" s="2" t="s">
        <v>7018</v>
      </c>
      <c r="B6015" s="2" t="s">
        <v>51</v>
      </c>
      <c r="C6015" s="4">
        <v>45831.25</v>
      </c>
      <c r="D6015" s="4">
        <v>45831.250124328704</v>
      </c>
      <c r="E6015" s="2">
        <v>3.02</v>
      </c>
      <c r="F6015" s="2">
        <v>58.5</v>
      </c>
      <c r="G6015" s="2" t="s">
        <v>983</v>
      </c>
      <c r="H6015" s="2" t="s">
        <v>984</v>
      </c>
      <c r="I6015" s="2"/>
      <c r="J6015" s="2" t="s">
        <v>51</v>
      </c>
    </row>
    <row r="6016" spans="1:10" ht="21" customHeight="1">
      <c r="A6016" s="2" t="s">
        <v>7019</v>
      </c>
      <c r="B6016" s="2" t="s">
        <v>51</v>
      </c>
      <c r="C6016" s="4">
        <v>45832.25</v>
      </c>
      <c r="D6016" s="4">
        <v>45832.250105694446</v>
      </c>
      <c r="E6016" s="2">
        <v>2.83</v>
      </c>
      <c r="F6016" s="2">
        <v>62.6</v>
      </c>
      <c r="G6016" s="2" t="s">
        <v>983</v>
      </c>
      <c r="H6016" s="2" t="s">
        <v>984</v>
      </c>
      <c r="I6016" s="2"/>
      <c r="J6016" s="2" t="s">
        <v>51</v>
      </c>
    </row>
    <row r="6017" spans="1:10" ht="21" customHeight="1">
      <c r="A6017" s="2" t="s">
        <v>7020</v>
      </c>
      <c r="B6017" s="2" t="s">
        <v>51</v>
      </c>
      <c r="C6017" s="4">
        <v>45833.25</v>
      </c>
      <c r="D6017" s="4">
        <v>45833.250125868057</v>
      </c>
      <c r="E6017" s="2">
        <v>2.46</v>
      </c>
      <c r="F6017" s="2">
        <v>60.5</v>
      </c>
      <c r="G6017" s="2" t="s">
        <v>983</v>
      </c>
      <c r="H6017" s="2" t="s">
        <v>984</v>
      </c>
      <c r="I6017" s="2"/>
      <c r="J6017" s="2" t="s">
        <v>51</v>
      </c>
    </row>
    <row r="6018" spans="1:10" ht="21" customHeight="1">
      <c r="A6018" s="2" t="s">
        <v>7021</v>
      </c>
      <c r="B6018" s="2" t="s">
        <v>51</v>
      </c>
      <c r="C6018" s="4">
        <v>45834.25</v>
      </c>
      <c r="D6018" s="4">
        <v>45834.250667881948</v>
      </c>
      <c r="E6018" s="2">
        <v>2.12</v>
      </c>
      <c r="F6018" s="2">
        <v>61.3</v>
      </c>
      <c r="G6018" s="2" t="s">
        <v>983</v>
      </c>
      <c r="H6018" s="2" t="s">
        <v>984</v>
      </c>
      <c r="I6018" s="2"/>
      <c r="J6018" s="2" t="s">
        <v>51</v>
      </c>
    </row>
    <row r="6019" spans="1:10" ht="21" customHeight="1">
      <c r="A6019" s="2" t="s">
        <v>7022</v>
      </c>
      <c r="B6019" s="2" t="s">
        <v>51</v>
      </c>
      <c r="C6019" s="4">
        <v>45835.25</v>
      </c>
      <c r="D6019" s="4">
        <v>45835.25060579861</v>
      </c>
      <c r="E6019" s="2"/>
      <c r="F6019" s="2"/>
      <c r="G6019" s="2" t="s">
        <v>983</v>
      </c>
      <c r="H6019" s="2" t="s">
        <v>1066</v>
      </c>
      <c r="I6019" s="2"/>
      <c r="J6019" s="2" t="s">
        <v>51</v>
      </c>
    </row>
    <row r="6020" spans="1:10" ht="21" customHeight="1">
      <c r="A6020" s="2" t="s">
        <v>7023</v>
      </c>
      <c r="B6020" s="2" t="s">
        <v>51</v>
      </c>
      <c r="C6020" s="4">
        <v>45836.25</v>
      </c>
      <c r="D6020" s="4">
        <v>45836.250377222226</v>
      </c>
      <c r="E6020" s="2"/>
      <c r="F6020" s="2"/>
      <c r="G6020" s="2" t="s">
        <v>983</v>
      </c>
      <c r="H6020" s="2" t="s">
        <v>1066</v>
      </c>
      <c r="I6020" s="2"/>
      <c r="J6020" s="2" t="s">
        <v>51</v>
      </c>
    </row>
    <row r="6021" spans="1:10" ht="21" customHeight="1">
      <c r="A6021" s="2" t="s">
        <v>7024</v>
      </c>
      <c r="B6021" s="2" t="s">
        <v>51</v>
      </c>
      <c r="C6021" s="4">
        <v>45837.25</v>
      </c>
      <c r="D6021" s="4">
        <v>45837.250059953702</v>
      </c>
      <c r="E6021" s="2">
        <v>3.09</v>
      </c>
      <c r="F6021" s="2">
        <v>62.5</v>
      </c>
      <c r="G6021" s="2" t="s">
        <v>983</v>
      </c>
      <c r="H6021" s="2" t="s">
        <v>984</v>
      </c>
      <c r="I6021" s="2"/>
      <c r="J6021" s="2" t="s">
        <v>51</v>
      </c>
    </row>
    <row r="6022" spans="1:10" ht="21" customHeight="1">
      <c r="A6022" s="2" t="s">
        <v>7025</v>
      </c>
      <c r="B6022" s="2" t="s">
        <v>51</v>
      </c>
      <c r="C6022" s="4">
        <v>45838.25</v>
      </c>
      <c r="D6022" s="4">
        <v>45838.25046693287</v>
      </c>
      <c r="E6022" s="2"/>
      <c r="F6022" s="2"/>
      <c r="G6022" s="2" t="s">
        <v>983</v>
      </c>
      <c r="H6022" s="2" t="s">
        <v>1066</v>
      </c>
      <c r="I6022" s="2"/>
      <c r="J6022" s="2" t="s">
        <v>51</v>
      </c>
    </row>
    <row r="6023" spans="1:10" ht="21" customHeight="1">
      <c r="A6023" s="2" t="s">
        <v>7026</v>
      </c>
      <c r="B6023" s="2" t="s">
        <v>51</v>
      </c>
      <c r="C6023" s="4">
        <v>45839.25</v>
      </c>
      <c r="D6023" s="4">
        <v>45839.250533680555</v>
      </c>
      <c r="E6023" s="2">
        <v>2.2599999999999998</v>
      </c>
      <c r="F6023" s="2">
        <v>63.7</v>
      </c>
      <c r="G6023" s="2" t="s">
        <v>983</v>
      </c>
      <c r="H6023" s="2" t="s">
        <v>984</v>
      </c>
      <c r="I6023" s="2"/>
      <c r="J6023" s="2" t="s">
        <v>51</v>
      </c>
    </row>
    <row r="6024" spans="1:10" ht="21" customHeight="1">
      <c r="A6024" s="2" t="s">
        <v>7027</v>
      </c>
      <c r="B6024" s="2" t="s">
        <v>51</v>
      </c>
      <c r="C6024" s="4">
        <v>45840.25</v>
      </c>
      <c r="D6024" s="4">
        <v>45840.250458275463</v>
      </c>
      <c r="E6024" s="2">
        <v>2.97</v>
      </c>
      <c r="F6024" s="2">
        <v>58.6</v>
      </c>
      <c r="G6024" s="2" t="s">
        <v>983</v>
      </c>
      <c r="H6024" s="2" t="s">
        <v>984</v>
      </c>
      <c r="I6024" s="2"/>
      <c r="J6024" s="2" t="s">
        <v>51</v>
      </c>
    </row>
    <row r="6025" spans="1:10" ht="21" customHeight="1">
      <c r="A6025" s="2" t="s">
        <v>7028</v>
      </c>
      <c r="B6025" s="2" t="s">
        <v>51</v>
      </c>
      <c r="C6025" s="4">
        <v>45841.25</v>
      </c>
      <c r="D6025" s="4">
        <v>45841.250057002311</v>
      </c>
      <c r="E6025" s="2">
        <v>3.05</v>
      </c>
      <c r="F6025" s="2">
        <v>58.5</v>
      </c>
      <c r="G6025" s="2" t="s">
        <v>983</v>
      </c>
      <c r="H6025" s="2" t="s">
        <v>984</v>
      </c>
      <c r="I6025" s="2"/>
      <c r="J6025" s="2" t="s">
        <v>51</v>
      </c>
    </row>
    <row r="6026" spans="1:10" ht="21" customHeight="1">
      <c r="A6026" s="2" t="s">
        <v>7029</v>
      </c>
      <c r="B6026" s="2" t="s">
        <v>51</v>
      </c>
      <c r="C6026" s="4">
        <v>45842.25</v>
      </c>
      <c r="D6026" s="4">
        <v>45842.250692743051</v>
      </c>
      <c r="E6026" s="2">
        <v>2.96</v>
      </c>
      <c r="F6026" s="2">
        <v>60.9</v>
      </c>
      <c r="G6026" s="2" t="s">
        <v>983</v>
      </c>
      <c r="H6026" s="2" t="s">
        <v>984</v>
      </c>
      <c r="I6026" s="2"/>
      <c r="J6026" s="2" t="s">
        <v>51</v>
      </c>
    </row>
    <row r="6027" spans="1:10" ht="21" customHeight="1">
      <c r="A6027" s="2" t="s">
        <v>7030</v>
      </c>
      <c r="B6027" s="2" t="s">
        <v>51</v>
      </c>
      <c r="C6027" s="4">
        <v>45843.25</v>
      </c>
      <c r="D6027" s="4">
        <v>45843.250615682875</v>
      </c>
      <c r="E6027" s="2">
        <v>5.05</v>
      </c>
      <c r="F6027" s="2">
        <v>68.5</v>
      </c>
      <c r="G6027" s="2" t="s">
        <v>983</v>
      </c>
      <c r="H6027" s="2" t="s">
        <v>984</v>
      </c>
      <c r="I6027" s="2"/>
      <c r="J6027" s="2" t="s">
        <v>51</v>
      </c>
    </row>
    <row r="6028" spans="1:10" ht="21" customHeight="1">
      <c r="A6028" s="2" t="s">
        <v>7031</v>
      </c>
      <c r="B6028" s="2" t="s">
        <v>51</v>
      </c>
      <c r="C6028" s="4">
        <v>45844.25</v>
      </c>
      <c r="D6028" s="4">
        <v>45844.250405856481</v>
      </c>
      <c r="E6028" s="2">
        <v>5.55</v>
      </c>
      <c r="F6028" s="2">
        <v>68.5</v>
      </c>
      <c r="G6028" s="2" t="s">
        <v>983</v>
      </c>
      <c r="H6028" s="2" t="s">
        <v>984</v>
      </c>
      <c r="I6028" s="2" t="s">
        <v>1053</v>
      </c>
      <c r="J6028" s="2" t="s">
        <v>51</v>
      </c>
    </row>
    <row r="6029" spans="1:10" ht="21" customHeight="1">
      <c r="A6029" s="2" t="s">
        <v>7032</v>
      </c>
      <c r="B6029" s="2" t="s">
        <v>6868</v>
      </c>
      <c r="C6029" s="4">
        <v>45845.25</v>
      </c>
      <c r="D6029" s="4">
        <v>45845.250145509257</v>
      </c>
      <c r="E6029" s="2">
        <v>5.45</v>
      </c>
      <c r="F6029" s="2">
        <v>66.8</v>
      </c>
      <c r="G6029" s="2" t="s">
        <v>983</v>
      </c>
      <c r="H6029" s="2" t="s">
        <v>984</v>
      </c>
      <c r="I6029" s="2" t="s">
        <v>985</v>
      </c>
      <c r="J6029" s="2" t="s">
        <v>51</v>
      </c>
    </row>
    <row r="6030" spans="1:10" ht="21" customHeight="1">
      <c r="A6030" s="2" t="s">
        <v>7033</v>
      </c>
      <c r="B6030" s="2" t="s">
        <v>51</v>
      </c>
      <c r="C6030" s="4">
        <v>45846.25</v>
      </c>
      <c r="D6030" s="4">
        <v>45846.25011630787</v>
      </c>
      <c r="E6030" s="2">
        <v>0</v>
      </c>
      <c r="F6030" s="2">
        <v>65.599999999999994</v>
      </c>
      <c r="G6030" s="2" t="s">
        <v>1175</v>
      </c>
      <c r="H6030" s="2" t="s">
        <v>984</v>
      </c>
      <c r="I6030" s="2"/>
      <c r="J6030" s="2" t="s">
        <v>51</v>
      </c>
    </row>
    <row r="6031" spans="1:10" ht="21" customHeight="1">
      <c r="A6031" s="2" t="s">
        <v>7034</v>
      </c>
      <c r="B6031" s="2" t="s">
        <v>51</v>
      </c>
      <c r="C6031" s="4">
        <v>45847.25</v>
      </c>
      <c r="D6031" s="4">
        <v>45847.250576331018</v>
      </c>
      <c r="E6031" s="2">
        <v>3.02</v>
      </c>
      <c r="F6031" s="2">
        <v>65.5</v>
      </c>
      <c r="G6031" s="2" t="s">
        <v>983</v>
      </c>
      <c r="H6031" s="2" t="s">
        <v>984</v>
      </c>
      <c r="I6031" s="2"/>
      <c r="J6031" s="2" t="s">
        <v>51</v>
      </c>
    </row>
    <row r="6032" spans="1:10" ht="21" customHeight="1">
      <c r="A6032" s="2" t="s">
        <v>7035</v>
      </c>
      <c r="B6032" s="2" t="s">
        <v>51</v>
      </c>
      <c r="C6032" s="4">
        <v>45848.25</v>
      </c>
      <c r="D6032" s="4">
        <v>45848.250525451389</v>
      </c>
      <c r="E6032" s="2">
        <v>3.09</v>
      </c>
      <c r="F6032" s="2">
        <v>59.3</v>
      </c>
      <c r="G6032" s="2" t="s">
        <v>983</v>
      </c>
      <c r="H6032" s="2" t="s">
        <v>984</v>
      </c>
      <c r="I6032" s="2"/>
      <c r="J6032" s="2" t="s">
        <v>51</v>
      </c>
    </row>
    <row r="6033" spans="1:10" ht="21" customHeight="1">
      <c r="A6033" s="2" t="s">
        <v>7036</v>
      </c>
      <c r="B6033" s="2" t="s">
        <v>51</v>
      </c>
      <c r="C6033" s="4">
        <v>45849.25</v>
      </c>
      <c r="D6033" s="4">
        <v>45849.250114328708</v>
      </c>
      <c r="E6033" s="2">
        <v>2.25</v>
      </c>
      <c r="F6033" s="2">
        <v>63.9</v>
      </c>
      <c r="G6033" s="2" t="s">
        <v>983</v>
      </c>
      <c r="H6033" s="2" t="s">
        <v>984</v>
      </c>
      <c r="I6033" s="2"/>
      <c r="J6033" s="2" t="s">
        <v>51</v>
      </c>
    </row>
    <row r="6034" spans="1:10" ht="21" customHeight="1">
      <c r="A6034" s="2" t="s">
        <v>7037</v>
      </c>
      <c r="B6034" s="2" t="s">
        <v>51</v>
      </c>
      <c r="C6034" s="4">
        <v>45850.25</v>
      </c>
      <c r="D6034" s="4">
        <v>45850.25063289352</v>
      </c>
      <c r="E6034" s="2">
        <v>2.21</v>
      </c>
      <c r="F6034" s="2">
        <v>59.5</v>
      </c>
      <c r="G6034" s="2" t="s">
        <v>983</v>
      </c>
      <c r="H6034" s="2" t="s">
        <v>984</v>
      </c>
      <c r="I6034" s="2"/>
      <c r="J6034" s="2" t="s">
        <v>51</v>
      </c>
    </row>
    <row r="6035" spans="1:10" ht="21" customHeight="1">
      <c r="A6035" s="2" t="s">
        <v>7038</v>
      </c>
      <c r="B6035" s="2" t="s">
        <v>51</v>
      </c>
      <c r="C6035" s="4">
        <v>45851.25</v>
      </c>
      <c r="D6035" s="4">
        <v>45851.250085474538</v>
      </c>
      <c r="E6035" s="2">
        <v>2.65</v>
      </c>
      <c r="F6035" s="2">
        <v>63.7</v>
      </c>
      <c r="G6035" s="2" t="s">
        <v>983</v>
      </c>
      <c r="H6035" s="2" t="s">
        <v>984</v>
      </c>
      <c r="I6035" s="2"/>
      <c r="J6035" s="2" t="s">
        <v>51</v>
      </c>
    </row>
    <row r="6036" spans="1:10" ht="21" customHeight="1">
      <c r="A6036" s="2" t="s">
        <v>7039</v>
      </c>
      <c r="B6036" s="2" t="s">
        <v>51</v>
      </c>
      <c r="C6036" s="4">
        <v>45852.25</v>
      </c>
      <c r="D6036" s="4">
        <v>45852.250552094905</v>
      </c>
      <c r="E6036" s="2">
        <v>3.11</v>
      </c>
      <c r="F6036" s="2">
        <v>62.9</v>
      </c>
      <c r="G6036" s="2" t="s">
        <v>983</v>
      </c>
      <c r="H6036" s="2" t="s">
        <v>984</v>
      </c>
      <c r="I6036" s="2"/>
      <c r="J6036" s="2" t="s">
        <v>51</v>
      </c>
    </row>
    <row r="6037" spans="1:10" ht="21" customHeight="1">
      <c r="A6037" s="2" t="s">
        <v>7040</v>
      </c>
      <c r="B6037" s="2" t="s">
        <v>51</v>
      </c>
      <c r="C6037" s="4">
        <v>45853.25</v>
      </c>
      <c r="D6037" s="4">
        <v>45853.250583194444</v>
      </c>
      <c r="E6037" s="2">
        <v>2.34</v>
      </c>
      <c r="F6037" s="2">
        <v>62.4</v>
      </c>
      <c r="G6037" s="2" t="s">
        <v>983</v>
      </c>
      <c r="H6037" s="2" t="s">
        <v>984</v>
      </c>
      <c r="I6037" s="2"/>
      <c r="J6037" s="2" t="s">
        <v>51</v>
      </c>
    </row>
    <row r="6038" spans="1:10" ht="21" customHeight="1">
      <c r="A6038" s="2" t="s">
        <v>7041</v>
      </c>
      <c r="B6038" s="2" t="s">
        <v>51</v>
      </c>
      <c r="C6038" s="4">
        <v>45854.25</v>
      </c>
      <c r="D6038" s="4">
        <v>45854.250022106484</v>
      </c>
      <c r="E6038" s="2">
        <v>2.71</v>
      </c>
      <c r="F6038" s="2">
        <v>58.4</v>
      </c>
      <c r="G6038" s="2" t="s">
        <v>983</v>
      </c>
      <c r="H6038" s="2" t="s">
        <v>984</v>
      </c>
      <c r="I6038" s="2"/>
      <c r="J6038" s="2" t="s">
        <v>51</v>
      </c>
    </row>
    <row r="6039" spans="1:10" ht="21" customHeight="1">
      <c r="A6039" s="2" t="s">
        <v>7042</v>
      </c>
      <c r="B6039" s="2" t="s">
        <v>51</v>
      </c>
      <c r="C6039" s="4">
        <v>45855.25</v>
      </c>
      <c r="D6039" s="4">
        <v>45855.250024398149</v>
      </c>
      <c r="E6039" s="2">
        <v>2.62</v>
      </c>
      <c r="F6039" s="2">
        <v>61.8</v>
      </c>
      <c r="G6039" s="2" t="s">
        <v>983</v>
      </c>
      <c r="H6039" s="2" t="s">
        <v>984</v>
      </c>
      <c r="I6039" s="2"/>
      <c r="J6039" s="2" t="s">
        <v>51</v>
      </c>
    </row>
    <row r="6040" spans="1:10" ht="21" customHeight="1">
      <c r="A6040" s="2" t="s">
        <v>7043</v>
      </c>
      <c r="B6040" s="2" t="s">
        <v>51</v>
      </c>
      <c r="C6040" s="4">
        <v>45856.25</v>
      </c>
      <c r="D6040" s="4">
        <v>45856.250112928239</v>
      </c>
      <c r="E6040" s="2">
        <v>3.25</v>
      </c>
      <c r="F6040" s="2">
        <v>61.1</v>
      </c>
      <c r="G6040" s="2" t="s">
        <v>983</v>
      </c>
      <c r="H6040" s="2" t="s">
        <v>984</v>
      </c>
      <c r="I6040" s="2"/>
      <c r="J6040" s="2" t="s">
        <v>51</v>
      </c>
    </row>
    <row r="6041" spans="1:10" ht="21" customHeight="1">
      <c r="A6041" s="2" t="s">
        <v>7044</v>
      </c>
      <c r="B6041" s="2" t="s">
        <v>51</v>
      </c>
      <c r="C6041" s="4">
        <v>45857.25</v>
      </c>
      <c r="D6041" s="4">
        <v>45857.250033159726</v>
      </c>
      <c r="E6041" s="2">
        <v>5.43</v>
      </c>
      <c r="F6041" s="2">
        <v>66.7</v>
      </c>
      <c r="G6041" s="2" t="s">
        <v>983</v>
      </c>
      <c r="H6041" s="2" t="s">
        <v>984</v>
      </c>
      <c r="I6041" s="2"/>
      <c r="J6041" s="2" t="s">
        <v>51</v>
      </c>
    </row>
    <row r="6042" spans="1:10" ht="21" customHeight="1">
      <c r="A6042" s="2" t="s">
        <v>7045</v>
      </c>
      <c r="B6042" s="2" t="s">
        <v>51</v>
      </c>
      <c r="C6042" s="4">
        <v>45858.25</v>
      </c>
      <c r="D6042" s="4">
        <v>45858.250089814814</v>
      </c>
      <c r="E6042" s="2">
        <v>5.25</v>
      </c>
      <c r="F6042" s="2">
        <v>69</v>
      </c>
      <c r="G6042" s="2" t="s">
        <v>983</v>
      </c>
      <c r="H6042" s="2" t="s">
        <v>984</v>
      </c>
      <c r="I6042" s="2" t="s">
        <v>1053</v>
      </c>
      <c r="J6042" s="2" t="s">
        <v>51</v>
      </c>
    </row>
    <row r="6043" spans="1:10" ht="21" customHeight="1">
      <c r="A6043" s="2" t="s">
        <v>7046</v>
      </c>
      <c r="B6043" s="2" t="s">
        <v>51</v>
      </c>
      <c r="C6043" s="4">
        <v>45859.25</v>
      </c>
      <c r="D6043" s="4">
        <v>45859.250623993052</v>
      </c>
      <c r="E6043" s="2">
        <v>5.51</v>
      </c>
      <c r="F6043" s="2">
        <v>64.400000000000006</v>
      </c>
      <c r="G6043" s="2" t="s">
        <v>983</v>
      </c>
      <c r="H6043" s="2" t="s">
        <v>984</v>
      </c>
      <c r="I6043" s="2"/>
      <c r="J6043" s="2" t="s">
        <v>51</v>
      </c>
    </row>
    <row r="6044" spans="1:10" ht="21" customHeight="1">
      <c r="A6044" s="2" t="s">
        <v>7047</v>
      </c>
      <c r="B6044" s="2" t="s">
        <v>51</v>
      </c>
      <c r="C6044" s="4">
        <v>45860.25</v>
      </c>
      <c r="D6044" s="4">
        <v>45860.250328692127</v>
      </c>
      <c r="E6044" s="2">
        <v>0</v>
      </c>
      <c r="F6044" s="2">
        <v>63.1</v>
      </c>
      <c r="G6044" s="2" t="s">
        <v>1175</v>
      </c>
      <c r="H6044" s="2" t="s">
        <v>984</v>
      </c>
      <c r="I6044" s="2"/>
      <c r="J6044" s="2" t="s">
        <v>51</v>
      </c>
    </row>
    <row r="6045" spans="1:10" ht="21" customHeight="1">
      <c r="A6045" s="2" t="s">
        <v>7048</v>
      </c>
      <c r="B6045" s="2" t="s">
        <v>51</v>
      </c>
      <c r="C6045" s="4">
        <v>45861.25</v>
      </c>
      <c r="D6045" s="4">
        <v>45861.250469166669</v>
      </c>
      <c r="E6045" s="2">
        <v>3.3</v>
      </c>
      <c r="F6045" s="2">
        <v>58.3</v>
      </c>
      <c r="G6045" s="2" t="s">
        <v>983</v>
      </c>
      <c r="H6045" s="2" t="s">
        <v>984</v>
      </c>
      <c r="I6045" s="2"/>
      <c r="J6045" s="2" t="s">
        <v>51</v>
      </c>
    </row>
    <row r="6046" spans="1:10" ht="21" customHeight="1">
      <c r="A6046" s="2" t="s">
        <v>7049</v>
      </c>
      <c r="B6046" s="2" t="s">
        <v>51</v>
      </c>
      <c r="C6046" s="4">
        <v>45862.25</v>
      </c>
      <c r="D6046" s="4">
        <v>45862.250286608796</v>
      </c>
      <c r="E6046" s="2">
        <v>2.85</v>
      </c>
      <c r="F6046" s="2">
        <v>65.099999999999994</v>
      </c>
      <c r="G6046" s="2" t="s">
        <v>983</v>
      </c>
      <c r="H6046" s="2" t="s">
        <v>984</v>
      </c>
      <c r="I6046" s="2" t="s">
        <v>985</v>
      </c>
      <c r="J6046" s="2" t="s">
        <v>51</v>
      </c>
    </row>
    <row r="6047" spans="1:10" ht="21" customHeight="1">
      <c r="A6047" s="2" t="s">
        <v>7050</v>
      </c>
      <c r="B6047" s="2" t="s">
        <v>51</v>
      </c>
      <c r="C6047" s="4">
        <v>45863.25</v>
      </c>
      <c r="D6047" s="4">
        <v>45863.250454317131</v>
      </c>
      <c r="E6047" s="2">
        <v>2.95</v>
      </c>
      <c r="F6047" s="2">
        <v>60.5</v>
      </c>
      <c r="G6047" s="2" t="s">
        <v>983</v>
      </c>
      <c r="H6047" s="2" t="s">
        <v>984</v>
      </c>
      <c r="I6047" s="2"/>
      <c r="J6047" s="2" t="s">
        <v>51</v>
      </c>
    </row>
    <row r="6048" spans="1:10" ht="21" customHeight="1">
      <c r="A6048" s="2" t="s">
        <v>7051</v>
      </c>
      <c r="B6048" s="2" t="s">
        <v>51</v>
      </c>
      <c r="C6048" s="4">
        <v>45864.25</v>
      </c>
      <c r="D6048" s="4">
        <v>45864.250293124998</v>
      </c>
      <c r="E6048" s="2">
        <v>2.69</v>
      </c>
      <c r="F6048" s="2">
        <v>58.3</v>
      </c>
      <c r="G6048" s="2" t="s">
        <v>983</v>
      </c>
      <c r="H6048" s="2" t="s">
        <v>984</v>
      </c>
      <c r="I6048" s="2"/>
      <c r="J6048" s="2" t="s">
        <v>51</v>
      </c>
    </row>
    <row r="6049" spans="1:10" ht="21" customHeight="1">
      <c r="A6049" s="2" t="s">
        <v>7052</v>
      </c>
      <c r="B6049" s="2" t="s">
        <v>51</v>
      </c>
      <c r="C6049" s="4">
        <v>45865.25</v>
      </c>
      <c r="D6049" s="4">
        <v>45865.250586238428</v>
      </c>
      <c r="E6049" s="2">
        <v>2.39</v>
      </c>
      <c r="F6049" s="2">
        <v>64.5</v>
      </c>
      <c r="G6049" s="2" t="s">
        <v>983</v>
      </c>
      <c r="H6049" s="2" t="s">
        <v>984</v>
      </c>
      <c r="I6049" s="2"/>
      <c r="J6049" s="2" t="s">
        <v>51</v>
      </c>
    </row>
    <row r="6050" spans="1:10" ht="21" customHeight="1">
      <c r="A6050" s="2" t="s">
        <v>7053</v>
      </c>
      <c r="B6050" s="2" t="s">
        <v>51</v>
      </c>
      <c r="C6050" s="4">
        <v>45866.25</v>
      </c>
      <c r="D6050" s="4">
        <v>45866.25027498843</v>
      </c>
      <c r="E6050" s="2">
        <v>2.19</v>
      </c>
      <c r="F6050" s="2">
        <v>62</v>
      </c>
      <c r="G6050" s="2" t="s">
        <v>983</v>
      </c>
      <c r="H6050" s="2" t="s">
        <v>984</v>
      </c>
      <c r="I6050" s="2"/>
      <c r="J6050" s="2" t="s">
        <v>51</v>
      </c>
    </row>
    <row r="6051" spans="1:10" ht="21" customHeight="1">
      <c r="A6051" s="2" t="s">
        <v>7054</v>
      </c>
      <c r="B6051" s="2" t="s">
        <v>51</v>
      </c>
      <c r="C6051" s="4">
        <v>45867.25</v>
      </c>
      <c r="D6051" s="4">
        <v>45867.250678958335</v>
      </c>
      <c r="E6051" s="2">
        <v>3.22</v>
      </c>
      <c r="F6051" s="2">
        <v>60.8</v>
      </c>
      <c r="G6051" s="2" t="s">
        <v>983</v>
      </c>
      <c r="H6051" s="2" t="s">
        <v>984</v>
      </c>
      <c r="I6051" s="2"/>
      <c r="J6051" s="2" t="s">
        <v>51</v>
      </c>
    </row>
    <row r="6052" spans="1:10" ht="21" customHeight="1">
      <c r="A6052" s="2" t="s">
        <v>7055</v>
      </c>
      <c r="B6052" s="2" t="s">
        <v>51</v>
      </c>
      <c r="C6052" s="4">
        <v>45868.25</v>
      </c>
      <c r="D6052" s="4">
        <v>45868.250273275466</v>
      </c>
      <c r="E6052" s="2">
        <v>2.9</v>
      </c>
      <c r="F6052" s="2">
        <v>62</v>
      </c>
      <c r="G6052" s="2" t="s">
        <v>983</v>
      </c>
      <c r="H6052" s="2" t="s">
        <v>984</v>
      </c>
      <c r="I6052" s="2"/>
      <c r="J6052" s="2" t="s">
        <v>51</v>
      </c>
    </row>
    <row r="6053" spans="1:10" ht="21" customHeight="1">
      <c r="A6053" s="2" t="s">
        <v>7056</v>
      </c>
      <c r="B6053" s="2" t="s">
        <v>51</v>
      </c>
      <c r="C6053" s="4">
        <v>45869.25</v>
      </c>
      <c r="D6053" s="4">
        <v>45869.250477048612</v>
      </c>
      <c r="E6053" s="2">
        <v>3.25</v>
      </c>
      <c r="F6053" s="2">
        <v>61.8</v>
      </c>
      <c r="G6053" s="2" t="s">
        <v>983</v>
      </c>
      <c r="H6053" s="2" t="s">
        <v>984</v>
      </c>
      <c r="I6053" s="2"/>
      <c r="J6053" s="2" t="s">
        <v>51</v>
      </c>
    </row>
    <row r="6054" spans="1:10" ht="21" customHeight="1">
      <c r="A6054" s="2" t="s">
        <v>7057</v>
      </c>
      <c r="B6054" s="2" t="s">
        <v>51</v>
      </c>
      <c r="C6054" s="4">
        <v>45870.25</v>
      </c>
      <c r="D6054" s="4">
        <v>45870.250181446754</v>
      </c>
      <c r="E6054" s="2">
        <v>2.81</v>
      </c>
      <c r="F6054" s="2">
        <v>61.9</v>
      </c>
      <c r="G6054" s="2" t="s">
        <v>983</v>
      </c>
      <c r="H6054" s="2" t="s">
        <v>984</v>
      </c>
      <c r="I6054" s="2"/>
      <c r="J6054" s="2" t="s">
        <v>51</v>
      </c>
    </row>
    <row r="6055" spans="1:10" ht="21" customHeight="1">
      <c r="A6055" s="2" t="s">
        <v>7058</v>
      </c>
      <c r="B6055" s="2" t="s">
        <v>51</v>
      </c>
      <c r="C6055" s="4">
        <v>45871.25</v>
      </c>
      <c r="D6055" s="4">
        <v>45871.250356574077</v>
      </c>
      <c r="E6055" s="2">
        <v>2.72</v>
      </c>
      <c r="F6055" s="2">
        <v>61.8</v>
      </c>
      <c r="G6055" s="2" t="s">
        <v>983</v>
      </c>
      <c r="H6055" s="2" t="s">
        <v>984</v>
      </c>
      <c r="I6055" s="2"/>
      <c r="J6055" s="2" t="s">
        <v>51</v>
      </c>
    </row>
    <row r="6056" spans="1:10" ht="21" customHeight="1">
      <c r="A6056" s="2" t="s">
        <v>7059</v>
      </c>
      <c r="B6056" s="2" t="s">
        <v>51</v>
      </c>
      <c r="C6056" s="4">
        <v>45872.25</v>
      </c>
      <c r="D6056" s="4">
        <v>45872.250084988424</v>
      </c>
      <c r="E6056" s="2">
        <v>2.8</v>
      </c>
      <c r="F6056" s="2">
        <v>60.9</v>
      </c>
      <c r="G6056" s="2" t="s">
        <v>983</v>
      </c>
      <c r="H6056" s="2" t="s">
        <v>984</v>
      </c>
      <c r="I6056" s="2"/>
      <c r="J6056" s="2" t="s">
        <v>51</v>
      </c>
    </row>
    <row r="6057" spans="1:10" ht="21" customHeight="1">
      <c r="A6057" s="2" t="s">
        <v>7060</v>
      </c>
      <c r="B6057" s="2" t="s">
        <v>51</v>
      </c>
      <c r="C6057" s="4">
        <v>45873.25</v>
      </c>
      <c r="D6057" s="4">
        <v>45873.250608981485</v>
      </c>
      <c r="E6057" s="2">
        <v>2.44</v>
      </c>
      <c r="F6057" s="2">
        <v>64.099999999999994</v>
      </c>
      <c r="G6057" s="2" t="s">
        <v>983</v>
      </c>
      <c r="H6057" s="2" t="s">
        <v>984</v>
      </c>
      <c r="I6057" s="2"/>
      <c r="J6057" s="2" t="s">
        <v>51</v>
      </c>
    </row>
    <row r="6058" spans="1:10" ht="21" customHeight="1">
      <c r="A6058" s="2" t="s">
        <v>7061</v>
      </c>
      <c r="B6058" s="2" t="s">
        <v>51</v>
      </c>
      <c r="C6058" s="4">
        <v>45874.25</v>
      </c>
      <c r="D6058" s="4">
        <v>45874.250618379629</v>
      </c>
      <c r="E6058" s="2">
        <v>2.25</v>
      </c>
      <c r="F6058" s="2">
        <v>59.8</v>
      </c>
      <c r="G6058" s="2" t="s">
        <v>983</v>
      </c>
      <c r="H6058" s="2" t="s">
        <v>984</v>
      </c>
      <c r="I6058" s="2"/>
      <c r="J6058" s="2" t="s">
        <v>51</v>
      </c>
    </row>
    <row r="6059" spans="1:10" ht="21" customHeight="1">
      <c r="A6059" s="2" t="s">
        <v>7062</v>
      </c>
      <c r="B6059" s="2" t="s">
        <v>51</v>
      </c>
      <c r="C6059" s="4">
        <v>45875.25</v>
      </c>
      <c r="D6059" s="4">
        <v>45875.250016192134</v>
      </c>
      <c r="E6059" s="2">
        <v>2.67</v>
      </c>
      <c r="F6059" s="2">
        <v>66</v>
      </c>
      <c r="G6059" s="2" t="s">
        <v>983</v>
      </c>
      <c r="H6059" s="2" t="s">
        <v>984</v>
      </c>
      <c r="I6059" s="2"/>
      <c r="J6059" s="2" t="s">
        <v>51</v>
      </c>
    </row>
    <row r="6060" spans="1:10" ht="21" customHeight="1">
      <c r="A6060" s="2" t="s">
        <v>7063</v>
      </c>
      <c r="B6060" s="2" t="s">
        <v>51</v>
      </c>
      <c r="C6060" s="4">
        <v>45876.25</v>
      </c>
      <c r="D6060" s="4">
        <v>45876.250615590281</v>
      </c>
      <c r="E6060" s="2">
        <v>3.07</v>
      </c>
      <c r="F6060" s="2">
        <v>65.900000000000006</v>
      </c>
      <c r="G6060" s="2" t="s">
        <v>983</v>
      </c>
      <c r="H6060" s="2" t="s">
        <v>984</v>
      </c>
      <c r="I6060" s="2"/>
      <c r="J6060" s="2" t="s">
        <v>51</v>
      </c>
    </row>
    <row r="6061" spans="1:10" ht="21" customHeight="1">
      <c r="A6061" s="2" t="s">
        <v>7064</v>
      </c>
      <c r="B6061" s="2" t="s">
        <v>51</v>
      </c>
      <c r="C6061" s="4">
        <v>45877.25</v>
      </c>
      <c r="D6061" s="4">
        <v>45877.25009775463</v>
      </c>
      <c r="E6061" s="2"/>
      <c r="F6061" s="2"/>
      <c r="G6061" s="2" t="s">
        <v>983</v>
      </c>
      <c r="H6061" s="2" t="s">
        <v>1066</v>
      </c>
      <c r="I6061" s="2"/>
      <c r="J6061" s="2" t="s">
        <v>51</v>
      </c>
    </row>
    <row r="6062" spans="1:10" ht="21" customHeight="1">
      <c r="A6062" s="2" t="s">
        <v>7065</v>
      </c>
      <c r="B6062" s="2" t="s">
        <v>51</v>
      </c>
      <c r="C6062" s="4">
        <v>45878.25</v>
      </c>
      <c r="D6062" s="4">
        <v>45878.250335173609</v>
      </c>
      <c r="E6062" s="2">
        <v>5.69</v>
      </c>
      <c r="F6062" s="2">
        <v>62.9</v>
      </c>
      <c r="G6062" s="2" t="s">
        <v>983</v>
      </c>
      <c r="H6062" s="2" t="s">
        <v>984</v>
      </c>
      <c r="I6062" s="2" t="s">
        <v>1053</v>
      </c>
      <c r="J6062" s="2" t="s">
        <v>51</v>
      </c>
    </row>
    <row r="6063" spans="1:10" ht="21" customHeight="1">
      <c r="A6063" s="2" t="s">
        <v>7066</v>
      </c>
      <c r="B6063" s="2" t="s">
        <v>51</v>
      </c>
      <c r="C6063" s="4">
        <v>45879.25</v>
      </c>
      <c r="D6063" s="4">
        <v>45879.250006388887</v>
      </c>
      <c r="E6063" s="2">
        <v>6.87</v>
      </c>
      <c r="F6063" s="2">
        <v>67</v>
      </c>
      <c r="G6063" s="2" t="s">
        <v>983</v>
      </c>
      <c r="H6063" s="2" t="s">
        <v>984</v>
      </c>
      <c r="I6063" s="2" t="s">
        <v>985</v>
      </c>
      <c r="J6063" s="2" t="s">
        <v>51</v>
      </c>
    </row>
    <row r="6064" spans="1:10" ht="21" customHeight="1">
      <c r="A6064" s="2" t="s">
        <v>7067</v>
      </c>
      <c r="B6064" s="2" t="s">
        <v>51</v>
      </c>
      <c r="C6064" s="4">
        <v>45880.25</v>
      </c>
      <c r="D6064" s="4">
        <v>45880.250359999998</v>
      </c>
      <c r="E6064" s="2">
        <v>3.13</v>
      </c>
      <c r="F6064" s="2">
        <v>62.6</v>
      </c>
      <c r="G6064" s="2" t="s">
        <v>983</v>
      </c>
      <c r="H6064" s="2" t="s">
        <v>984</v>
      </c>
      <c r="I6064" s="2"/>
      <c r="J6064" s="2" t="s">
        <v>51</v>
      </c>
    </row>
    <row r="6065" spans="1:10" ht="21" customHeight="1">
      <c r="A6065" s="2" t="s">
        <v>7068</v>
      </c>
      <c r="B6065" s="2" t="s">
        <v>51</v>
      </c>
      <c r="C6065" s="4">
        <v>45881.25</v>
      </c>
      <c r="D6065" s="4">
        <v>45881.250517025459</v>
      </c>
      <c r="E6065" s="2">
        <v>3.05</v>
      </c>
      <c r="F6065" s="2">
        <v>59.8</v>
      </c>
      <c r="G6065" s="2" t="s">
        <v>983</v>
      </c>
      <c r="H6065" s="2" t="s">
        <v>984</v>
      </c>
      <c r="I6065" s="2"/>
      <c r="J6065" s="2" t="s">
        <v>51</v>
      </c>
    </row>
    <row r="6066" spans="1:10" ht="21" customHeight="1">
      <c r="A6066" s="2" t="s">
        <v>7069</v>
      </c>
      <c r="B6066" s="2" t="s">
        <v>51</v>
      </c>
      <c r="C6066" s="4">
        <v>45882.25</v>
      </c>
      <c r="D6066" s="4">
        <v>45882.250404467588</v>
      </c>
      <c r="E6066" s="2">
        <v>3.22</v>
      </c>
      <c r="F6066" s="2">
        <v>59.7</v>
      </c>
      <c r="G6066" s="2" t="s">
        <v>983</v>
      </c>
      <c r="H6066" s="2" t="s">
        <v>984</v>
      </c>
      <c r="I6066" s="2"/>
      <c r="J6066" s="2" t="s">
        <v>51</v>
      </c>
    </row>
    <row r="6067" spans="1:10" ht="21" customHeight="1">
      <c r="A6067" s="2" t="s">
        <v>7070</v>
      </c>
      <c r="B6067" s="2" t="s">
        <v>51</v>
      </c>
      <c r="C6067" s="4">
        <v>45883.25</v>
      </c>
      <c r="D6067" s="4">
        <v>45883.250133738431</v>
      </c>
      <c r="E6067" s="2">
        <v>2.65</v>
      </c>
      <c r="F6067" s="2">
        <v>58.4</v>
      </c>
      <c r="G6067" s="2" t="s">
        <v>983</v>
      </c>
      <c r="H6067" s="2" t="s">
        <v>984</v>
      </c>
      <c r="I6067" s="2"/>
      <c r="J6067" s="2" t="s">
        <v>51</v>
      </c>
    </row>
    <row r="6068" spans="1:10" ht="21" customHeight="1">
      <c r="A6068" s="2" t="s">
        <v>7071</v>
      </c>
      <c r="B6068" s="2" t="s">
        <v>51</v>
      </c>
      <c r="C6068" s="4">
        <v>45884.25</v>
      </c>
      <c r="D6068" s="4">
        <v>45884.250510902777</v>
      </c>
      <c r="E6068" s="2">
        <v>2.76</v>
      </c>
      <c r="F6068" s="2">
        <v>62.4</v>
      </c>
      <c r="G6068" s="2" t="s">
        <v>983</v>
      </c>
      <c r="H6068" s="2" t="s">
        <v>984</v>
      </c>
      <c r="I6068" s="2"/>
      <c r="J6068" s="2" t="s">
        <v>51</v>
      </c>
    </row>
    <row r="6069" spans="1:10" ht="21" customHeight="1">
      <c r="A6069" s="2" t="s">
        <v>7072</v>
      </c>
      <c r="B6069" s="2" t="s">
        <v>51</v>
      </c>
      <c r="C6069" s="4">
        <v>45885.25</v>
      </c>
      <c r="D6069" s="4">
        <v>45885.250160358795</v>
      </c>
      <c r="E6069" s="2">
        <v>2.69</v>
      </c>
      <c r="F6069" s="2">
        <v>62.4</v>
      </c>
      <c r="G6069" s="2" t="s">
        <v>983</v>
      </c>
      <c r="H6069" s="2" t="s">
        <v>984</v>
      </c>
      <c r="I6069" s="2"/>
      <c r="J6069" s="2" t="s">
        <v>51</v>
      </c>
    </row>
    <row r="6070" spans="1:10" ht="21" customHeight="1">
      <c r="A6070" s="2" t="s">
        <v>7073</v>
      </c>
      <c r="B6070" s="2" t="s">
        <v>6868</v>
      </c>
      <c r="C6070" s="4">
        <v>45886.25</v>
      </c>
      <c r="D6070" s="4">
        <v>45886.250227118057</v>
      </c>
      <c r="E6070" s="2">
        <v>2.71</v>
      </c>
      <c r="F6070" s="2">
        <v>59.9</v>
      </c>
      <c r="G6070" s="2" t="s">
        <v>983</v>
      </c>
      <c r="H6070" s="2" t="s">
        <v>984</v>
      </c>
      <c r="I6070" s="2"/>
      <c r="J6070" s="2" t="s">
        <v>51</v>
      </c>
    </row>
    <row r="6071" spans="1:10" ht="21" customHeight="1">
      <c r="A6071" s="2" t="s">
        <v>7074</v>
      </c>
      <c r="B6071" s="2" t="s">
        <v>51</v>
      </c>
      <c r="C6071" s="4">
        <v>45887.25</v>
      </c>
      <c r="D6071" s="4">
        <v>45887.250252407408</v>
      </c>
      <c r="E6071" s="2">
        <v>2.14</v>
      </c>
      <c r="F6071" s="2">
        <v>64.7</v>
      </c>
      <c r="G6071" s="2" t="s">
        <v>983</v>
      </c>
      <c r="H6071" s="2" t="s">
        <v>984</v>
      </c>
      <c r="I6071" s="2"/>
      <c r="J6071" s="2" t="s">
        <v>51</v>
      </c>
    </row>
    <row r="6072" spans="1:10" ht="21" customHeight="1">
      <c r="A6072" s="2" t="s">
        <v>7075</v>
      </c>
      <c r="B6072" s="2" t="s">
        <v>51</v>
      </c>
      <c r="C6072" s="4">
        <v>45888.25</v>
      </c>
      <c r="D6072" s="4">
        <v>45888.250511377315</v>
      </c>
      <c r="E6072" s="2">
        <v>3.07</v>
      </c>
      <c r="F6072" s="2">
        <v>58.5</v>
      </c>
      <c r="G6072" s="2" t="s">
        <v>983</v>
      </c>
      <c r="H6072" s="2" t="s">
        <v>984</v>
      </c>
      <c r="I6072" s="2"/>
      <c r="J6072" s="2" t="s">
        <v>51</v>
      </c>
    </row>
    <row r="6073" spans="1:10" ht="21" customHeight="1">
      <c r="A6073" s="2" t="s">
        <v>7076</v>
      </c>
      <c r="B6073" s="2" t="s">
        <v>51</v>
      </c>
      <c r="C6073" s="4">
        <v>45889.25</v>
      </c>
      <c r="D6073" s="4">
        <v>45889.250415162038</v>
      </c>
      <c r="E6073" s="2">
        <v>2.33</v>
      </c>
      <c r="F6073" s="2">
        <v>63.5</v>
      </c>
      <c r="G6073" s="2" t="s">
        <v>983</v>
      </c>
      <c r="H6073" s="2" t="s">
        <v>984</v>
      </c>
      <c r="I6073" s="2"/>
      <c r="J6073" s="2" t="s">
        <v>51</v>
      </c>
    </row>
    <row r="6074" spans="1:10" ht="21" customHeight="1">
      <c r="A6074" s="2" t="s">
        <v>7077</v>
      </c>
      <c r="B6074" s="2" t="s">
        <v>51</v>
      </c>
      <c r="C6074" s="4">
        <v>45890.25</v>
      </c>
      <c r="D6074" s="4">
        <v>45890.250055775468</v>
      </c>
      <c r="E6074" s="2">
        <v>3.28</v>
      </c>
      <c r="F6074" s="2">
        <v>60.2</v>
      </c>
      <c r="G6074" s="2" t="s">
        <v>983</v>
      </c>
      <c r="H6074" s="2" t="s">
        <v>984</v>
      </c>
      <c r="I6074" s="2"/>
      <c r="J6074" s="2" t="s">
        <v>51</v>
      </c>
    </row>
    <row r="6075" spans="1:10" ht="21" customHeight="1">
      <c r="A6075" s="2" t="s">
        <v>7078</v>
      </c>
      <c r="B6075" s="2" t="s">
        <v>51</v>
      </c>
      <c r="C6075" s="4">
        <v>45891.25</v>
      </c>
      <c r="D6075" s="4">
        <v>45891.250037152779</v>
      </c>
      <c r="E6075" s="2">
        <v>2.5499999999999998</v>
      </c>
      <c r="F6075" s="2">
        <v>63.3</v>
      </c>
      <c r="G6075" s="2" t="s">
        <v>983</v>
      </c>
      <c r="H6075" s="2" t="s">
        <v>984</v>
      </c>
      <c r="I6075" s="2"/>
      <c r="J6075" s="2" t="s">
        <v>51</v>
      </c>
    </row>
    <row r="6076" spans="1:10" ht="21" customHeight="1">
      <c r="A6076" s="2" t="s">
        <v>7079</v>
      </c>
      <c r="B6076" s="2" t="s">
        <v>51</v>
      </c>
      <c r="C6076" s="4">
        <v>45892.25</v>
      </c>
      <c r="D6076" s="4">
        <v>45892.250479699069</v>
      </c>
      <c r="E6076" s="2">
        <v>2.95</v>
      </c>
      <c r="F6076" s="2">
        <v>62.1</v>
      </c>
      <c r="G6076" s="2" t="s">
        <v>983</v>
      </c>
      <c r="H6076" s="2" t="s">
        <v>984</v>
      </c>
      <c r="I6076" s="2"/>
      <c r="J6076" s="2" t="s">
        <v>51</v>
      </c>
    </row>
    <row r="6077" spans="1:10" ht="21" customHeight="1">
      <c r="A6077" s="2" t="s">
        <v>7080</v>
      </c>
      <c r="B6077" s="2" t="s">
        <v>51</v>
      </c>
      <c r="C6077" s="4">
        <v>45893.25</v>
      </c>
      <c r="D6077" s="4">
        <v>45893.250081782404</v>
      </c>
      <c r="E6077" s="2">
        <v>2.78</v>
      </c>
      <c r="F6077" s="2">
        <v>60.1</v>
      </c>
      <c r="G6077" s="2" t="s">
        <v>983</v>
      </c>
      <c r="H6077" s="2" t="s">
        <v>984</v>
      </c>
      <c r="I6077" s="2"/>
      <c r="J6077" s="2" t="s">
        <v>51</v>
      </c>
    </row>
    <row r="6078" spans="1:10" ht="21" customHeight="1">
      <c r="A6078" s="2" t="s">
        <v>7081</v>
      </c>
      <c r="B6078" s="2" t="s">
        <v>51</v>
      </c>
      <c r="C6078" s="4">
        <v>45894.25</v>
      </c>
      <c r="D6078" s="4">
        <v>45894.250384525461</v>
      </c>
      <c r="E6078" s="2">
        <v>2.76</v>
      </c>
      <c r="F6078" s="2">
        <v>59.7</v>
      </c>
      <c r="G6078" s="2" t="s">
        <v>983</v>
      </c>
      <c r="H6078" s="2" t="s">
        <v>984</v>
      </c>
      <c r="I6078" s="2"/>
      <c r="J6078" s="2" t="s">
        <v>51</v>
      </c>
    </row>
    <row r="6079" spans="1:10" ht="21" customHeight="1">
      <c r="A6079" s="2" t="s">
        <v>7082</v>
      </c>
      <c r="B6079" s="2" t="s">
        <v>51</v>
      </c>
      <c r="C6079" s="4">
        <v>45895.25</v>
      </c>
      <c r="D6079" s="4">
        <v>45895.250557361112</v>
      </c>
      <c r="E6079" s="2">
        <v>2.74</v>
      </c>
      <c r="F6079" s="2">
        <v>59.8</v>
      </c>
      <c r="G6079" s="2" t="s">
        <v>983</v>
      </c>
      <c r="H6079" s="2" t="s">
        <v>984</v>
      </c>
      <c r="I6079" s="2"/>
      <c r="J6079" s="2" t="s">
        <v>51</v>
      </c>
    </row>
    <row r="6080" spans="1:10" ht="21" customHeight="1">
      <c r="A6080" s="2" t="s">
        <v>7083</v>
      </c>
      <c r="B6080" s="2" t="s">
        <v>51</v>
      </c>
      <c r="C6080" s="4">
        <v>45896.25</v>
      </c>
      <c r="D6080" s="4">
        <v>45896.250505752316</v>
      </c>
      <c r="E6080" s="2">
        <v>2.3199999999999998</v>
      </c>
      <c r="F6080" s="2">
        <v>64</v>
      </c>
      <c r="G6080" s="2" t="s">
        <v>983</v>
      </c>
      <c r="H6080" s="2" t="s">
        <v>984</v>
      </c>
      <c r="I6080" s="2" t="s">
        <v>985</v>
      </c>
      <c r="J6080" s="2" t="s">
        <v>51</v>
      </c>
    </row>
    <row r="6081" spans="1:10" ht="21" customHeight="1">
      <c r="A6081" s="2" t="s">
        <v>7084</v>
      </c>
      <c r="B6081" s="2" t="s">
        <v>51</v>
      </c>
      <c r="C6081" s="4">
        <v>45897.25</v>
      </c>
      <c r="D6081" s="4">
        <v>45897.250295787038</v>
      </c>
      <c r="E6081" s="2">
        <v>2.99</v>
      </c>
      <c r="F6081" s="2">
        <v>61.4</v>
      </c>
      <c r="G6081" s="2" t="s">
        <v>983</v>
      </c>
      <c r="H6081" s="2" t="s">
        <v>984</v>
      </c>
      <c r="I6081" s="2"/>
      <c r="J6081" s="2" t="s">
        <v>51</v>
      </c>
    </row>
    <row r="6082" spans="1:10" ht="21" customHeight="1">
      <c r="A6082" s="2" t="s">
        <v>7085</v>
      </c>
      <c r="B6082" s="2" t="s">
        <v>51</v>
      </c>
      <c r="C6082" s="4">
        <v>45898.25</v>
      </c>
      <c r="D6082" s="4">
        <v>45898.250313113429</v>
      </c>
      <c r="E6082" s="2">
        <v>3.08</v>
      </c>
      <c r="F6082" s="2">
        <v>64.7</v>
      </c>
      <c r="G6082" s="2" t="s">
        <v>983</v>
      </c>
      <c r="H6082" s="2" t="s">
        <v>984</v>
      </c>
      <c r="I6082" s="2"/>
      <c r="J6082" s="2" t="s">
        <v>51</v>
      </c>
    </row>
    <row r="6083" spans="1:10" ht="21" customHeight="1">
      <c r="A6083" s="2" t="s">
        <v>7086</v>
      </c>
      <c r="B6083" s="2" t="s">
        <v>51</v>
      </c>
      <c r="C6083" s="4">
        <v>45899.25</v>
      </c>
      <c r="D6083" s="4">
        <v>45899.250281423607</v>
      </c>
      <c r="E6083" s="2">
        <v>2.64</v>
      </c>
      <c r="F6083" s="2">
        <v>61.6</v>
      </c>
      <c r="G6083" s="2" t="s">
        <v>983</v>
      </c>
      <c r="H6083" s="2" t="s">
        <v>984</v>
      </c>
      <c r="I6083" s="2"/>
      <c r="J6083" s="2" t="s">
        <v>51</v>
      </c>
    </row>
    <row r="6084" spans="1:10" ht="21" customHeight="1">
      <c r="A6084" s="2" t="s">
        <v>7087</v>
      </c>
      <c r="B6084" s="2" t="s">
        <v>51</v>
      </c>
      <c r="C6084" s="4">
        <v>45900.25</v>
      </c>
      <c r="D6084" s="4">
        <v>45900.25033166667</v>
      </c>
      <c r="E6084" s="2">
        <v>3.04</v>
      </c>
      <c r="F6084" s="2">
        <v>63.2</v>
      </c>
      <c r="G6084" s="2" t="s">
        <v>983</v>
      </c>
      <c r="H6084" s="2" t="s">
        <v>984</v>
      </c>
      <c r="I6084" s="2"/>
      <c r="J6084" s="2" t="s">
        <v>51</v>
      </c>
    </row>
    <row r="6085" spans="1:10" ht="21" customHeight="1">
      <c r="A6085" s="2" t="s">
        <v>7088</v>
      </c>
      <c r="B6085" s="2" t="s">
        <v>51</v>
      </c>
      <c r="C6085" s="4">
        <v>45901.25</v>
      </c>
      <c r="D6085" s="4">
        <v>45901.25060738426</v>
      </c>
      <c r="E6085" s="2">
        <v>3.23</v>
      </c>
      <c r="F6085" s="2">
        <v>65.7</v>
      </c>
      <c r="G6085" s="2" t="s">
        <v>983</v>
      </c>
      <c r="H6085" s="2" t="s">
        <v>984</v>
      </c>
      <c r="I6085" s="2"/>
      <c r="J6085" s="2" t="s">
        <v>51</v>
      </c>
    </row>
    <row r="6086" spans="1:10" ht="21" customHeight="1">
      <c r="A6086" s="2" t="s">
        <v>7089</v>
      </c>
      <c r="B6086" s="2" t="s">
        <v>51</v>
      </c>
      <c r="C6086" s="4">
        <v>45902.25</v>
      </c>
      <c r="D6086" s="4">
        <v>45902.250030219904</v>
      </c>
      <c r="E6086" s="2">
        <v>2.64</v>
      </c>
      <c r="F6086" s="2">
        <v>63.3</v>
      </c>
      <c r="G6086" s="2" t="s">
        <v>983</v>
      </c>
      <c r="H6086" s="2" t="s">
        <v>984</v>
      </c>
      <c r="I6086" s="2"/>
      <c r="J6086" s="2" t="s">
        <v>51</v>
      </c>
    </row>
    <row r="6087" spans="1:10" ht="21" customHeight="1">
      <c r="A6087" s="2" t="s">
        <v>7090</v>
      </c>
      <c r="B6087" s="2" t="s">
        <v>51</v>
      </c>
      <c r="C6087" s="4">
        <v>45903.25</v>
      </c>
      <c r="D6087" s="4">
        <v>45903.250402627316</v>
      </c>
      <c r="E6087" s="2">
        <v>2.25</v>
      </c>
      <c r="F6087" s="2">
        <v>59.2</v>
      </c>
      <c r="G6087" s="2" t="s">
        <v>983</v>
      </c>
      <c r="H6087" s="2" t="s">
        <v>984</v>
      </c>
      <c r="I6087" s="2"/>
      <c r="J6087" s="2" t="s">
        <v>51</v>
      </c>
    </row>
    <row r="6088" spans="1:10" ht="21" customHeight="1">
      <c r="A6088" s="2" t="s">
        <v>7091</v>
      </c>
      <c r="B6088" s="2" t="s">
        <v>51</v>
      </c>
      <c r="C6088" s="4">
        <v>45904.25</v>
      </c>
      <c r="D6088" s="4">
        <v>45904.250647129629</v>
      </c>
      <c r="E6088" s="2">
        <v>2.13</v>
      </c>
      <c r="F6088" s="2">
        <v>58.4</v>
      </c>
      <c r="G6088" s="2" t="s">
        <v>983</v>
      </c>
      <c r="H6088" s="2" t="s">
        <v>984</v>
      </c>
      <c r="I6088" s="2"/>
      <c r="J6088" s="2" t="s">
        <v>51</v>
      </c>
    </row>
    <row r="6089" spans="1:10" ht="21" customHeight="1">
      <c r="A6089" s="2" t="s">
        <v>7092</v>
      </c>
      <c r="B6089" s="2" t="s">
        <v>51</v>
      </c>
      <c r="C6089" s="4">
        <v>45905.25</v>
      </c>
      <c r="D6089" s="4">
        <v>45905.250090729169</v>
      </c>
      <c r="E6089" s="2">
        <v>2.36</v>
      </c>
      <c r="F6089" s="2">
        <v>61.3</v>
      </c>
      <c r="G6089" s="2" t="s">
        <v>983</v>
      </c>
      <c r="H6089" s="2" t="s">
        <v>984</v>
      </c>
      <c r="I6089" s="2"/>
      <c r="J6089" s="2" t="s">
        <v>51</v>
      </c>
    </row>
    <row r="6090" spans="1:10" ht="21" customHeight="1">
      <c r="A6090" s="2" t="s">
        <v>7093</v>
      </c>
      <c r="B6090" s="2" t="s">
        <v>51</v>
      </c>
      <c r="C6090" s="4">
        <v>45906.25</v>
      </c>
      <c r="D6090" s="4">
        <v>45906.250250868055</v>
      </c>
      <c r="E6090" s="2">
        <v>3.02</v>
      </c>
      <c r="F6090" s="2">
        <v>61.8</v>
      </c>
      <c r="G6090" s="2" t="s">
        <v>983</v>
      </c>
      <c r="H6090" s="2" t="s">
        <v>984</v>
      </c>
      <c r="I6090" s="2"/>
      <c r="J6090" s="2" t="s">
        <v>51</v>
      </c>
    </row>
    <row r="6091" spans="1:10" ht="21" customHeight="1">
      <c r="A6091" s="2" t="s">
        <v>7094</v>
      </c>
      <c r="B6091" s="2" t="s">
        <v>51</v>
      </c>
      <c r="C6091" s="4">
        <v>45907.25</v>
      </c>
      <c r="D6091" s="4">
        <v>45907.250645949069</v>
      </c>
      <c r="E6091" s="2">
        <v>6.4</v>
      </c>
      <c r="F6091" s="2">
        <v>70.099999999999994</v>
      </c>
      <c r="G6091" s="2" t="s">
        <v>983</v>
      </c>
      <c r="H6091" s="2" t="s">
        <v>984</v>
      </c>
      <c r="I6091" s="2"/>
      <c r="J6091" s="2" t="s">
        <v>51</v>
      </c>
    </row>
    <row r="6092" spans="1:10" ht="21" customHeight="1">
      <c r="A6092" s="2" t="s">
        <v>7095</v>
      </c>
      <c r="B6092" s="2" t="s">
        <v>51</v>
      </c>
      <c r="C6092" s="4">
        <v>45908.25</v>
      </c>
      <c r="D6092" s="4">
        <v>45908.250542847221</v>
      </c>
      <c r="E6092" s="2">
        <v>3.87</v>
      </c>
      <c r="F6092" s="2">
        <v>62.9</v>
      </c>
      <c r="G6092" s="2" t="s">
        <v>983</v>
      </c>
      <c r="H6092" s="2" t="s">
        <v>984</v>
      </c>
      <c r="I6092" s="2" t="s">
        <v>1053</v>
      </c>
      <c r="J6092" s="2" t="s">
        <v>51</v>
      </c>
    </row>
    <row r="6093" spans="1:10" ht="21" customHeight="1">
      <c r="A6093" s="2" t="s">
        <v>7096</v>
      </c>
      <c r="B6093" s="2" t="s">
        <v>51</v>
      </c>
      <c r="C6093" s="4">
        <v>45909.25</v>
      </c>
      <c r="D6093" s="4">
        <v>45909.250275856481</v>
      </c>
      <c r="E6093" s="2">
        <v>7.01</v>
      </c>
      <c r="F6093" s="2">
        <v>67.400000000000006</v>
      </c>
      <c r="G6093" s="2" t="s">
        <v>983</v>
      </c>
      <c r="H6093" s="2" t="s">
        <v>984</v>
      </c>
      <c r="I6093" s="2"/>
      <c r="J6093" s="2" t="s">
        <v>51</v>
      </c>
    </row>
    <row r="6094" spans="1:10" ht="21" customHeight="1">
      <c r="A6094" s="2" t="s">
        <v>7097</v>
      </c>
      <c r="B6094" s="2" t="s">
        <v>51</v>
      </c>
      <c r="C6094" s="4">
        <v>45910.25</v>
      </c>
      <c r="D6094" s="4">
        <v>45910.25050451389</v>
      </c>
      <c r="E6094" s="2">
        <v>0</v>
      </c>
      <c r="F6094" s="2">
        <v>59.6</v>
      </c>
      <c r="G6094" s="2" t="s">
        <v>1175</v>
      </c>
      <c r="H6094" s="2" t="s">
        <v>984</v>
      </c>
      <c r="I6094" s="2"/>
      <c r="J6094" s="2" t="s">
        <v>51</v>
      </c>
    </row>
    <row r="6095" spans="1:10" ht="21" customHeight="1">
      <c r="A6095" s="2" t="s">
        <v>7098</v>
      </c>
      <c r="B6095" s="2" t="s">
        <v>51</v>
      </c>
      <c r="C6095" s="4">
        <v>45911.25</v>
      </c>
      <c r="D6095" s="4">
        <v>45911.250156851849</v>
      </c>
      <c r="E6095" s="2"/>
      <c r="F6095" s="2"/>
      <c r="G6095" s="2" t="s">
        <v>983</v>
      </c>
      <c r="H6095" s="2" t="s">
        <v>1066</v>
      </c>
      <c r="I6095" s="2"/>
      <c r="J6095" s="2" t="s">
        <v>51</v>
      </c>
    </row>
    <row r="6096" spans="1:10" ht="21" customHeight="1">
      <c r="A6096" s="2" t="s">
        <v>7099</v>
      </c>
      <c r="B6096" s="2" t="s">
        <v>51</v>
      </c>
      <c r="C6096" s="4">
        <v>45912.25</v>
      </c>
      <c r="D6096" s="4">
        <v>45912.250397164353</v>
      </c>
      <c r="E6096" s="2">
        <v>3.22</v>
      </c>
      <c r="F6096" s="2">
        <v>62.3</v>
      </c>
      <c r="G6096" s="2" t="s">
        <v>983</v>
      </c>
      <c r="H6096" s="2" t="s">
        <v>984</v>
      </c>
      <c r="I6096" s="2"/>
      <c r="J6096" s="2" t="s">
        <v>51</v>
      </c>
    </row>
    <row r="6097" spans="1:10" ht="21" customHeight="1">
      <c r="A6097" s="2" t="s">
        <v>7100</v>
      </c>
      <c r="B6097" s="2" t="s">
        <v>51</v>
      </c>
      <c r="C6097" s="4">
        <v>45913.25</v>
      </c>
      <c r="D6097" s="4">
        <v>45913.250177939815</v>
      </c>
      <c r="E6097" s="2">
        <v>2.62</v>
      </c>
      <c r="F6097" s="2">
        <v>61.7</v>
      </c>
      <c r="G6097" s="2" t="s">
        <v>983</v>
      </c>
      <c r="H6097" s="2" t="s">
        <v>984</v>
      </c>
      <c r="I6097" s="2" t="s">
        <v>985</v>
      </c>
      <c r="J6097" s="2" t="s">
        <v>51</v>
      </c>
    </row>
    <row r="6098" spans="1:10" ht="21" customHeight="1">
      <c r="A6098" s="2" t="s">
        <v>7101</v>
      </c>
      <c r="B6098" s="2" t="s">
        <v>51</v>
      </c>
      <c r="C6098" s="4">
        <v>45914.25</v>
      </c>
      <c r="D6098" s="4">
        <v>45914.250242071765</v>
      </c>
      <c r="E6098" s="2">
        <v>2.35</v>
      </c>
      <c r="F6098" s="2">
        <v>62.9</v>
      </c>
      <c r="G6098" s="2" t="s">
        <v>983</v>
      </c>
      <c r="H6098" s="2" t="s">
        <v>984</v>
      </c>
      <c r="I6098" s="2"/>
      <c r="J6098" s="2" t="s">
        <v>51</v>
      </c>
    </row>
    <row r="6099" spans="1:10" ht="21" customHeight="1">
      <c r="A6099" s="2" t="s">
        <v>7102</v>
      </c>
      <c r="B6099" s="2" t="s">
        <v>51</v>
      </c>
      <c r="C6099" s="4">
        <v>45915.25</v>
      </c>
      <c r="D6099" s="4">
        <v>45915.250112060181</v>
      </c>
      <c r="E6099" s="2">
        <v>2.95</v>
      </c>
      <c r="F6099" s="2">
        <v>60.6</v>
      </c>
      <c r="G6099" s="2" t="s">
        <v>983</v>
      </c>
      <c r="H6099" s="2" t="s">
        <v>984</v>
      </c>
      <c r="I6099" s="2"/>
      <c r="J6099" s="2" t="s">
        <v>51</v>
      </c>
    </row>
    <row r="6100" spans="1:10" ht="21" customHeight="1">
      <c r="A6100" s="2" t="s">
        <v>7103</v>
      </c>
      <c r="B6100" s="2" t="s">
        <v>51</v>
      </c>
      <c r="C6100" s="4">
        <v>45916.25</v>
      </c>
      <c r="D6100" s="4">
        <v>45916.250497881949</v>
      </c>
      <c r="E6100" s="2">
        <v>2.94</v>
      </c>
      <c r="F6100" s="2">
        <v>65.3</v>
      </c>
      <c r="G6100" s="2" t="s">
        <v>983</v>
      </c>
      <c r="H6100" s="2" t="s">
        <v>984</v>
      </c>
      <c r="I6100" s="2"/>
      <c r="J6100" s="2" t="s">
        <v>51</v>
      </c>
    </row>
    <row r="6101" spans="1:10" ht="21" customHeight="1">
      <c r="A6101" s="2" t="s">
        <v>7104</v>
      </c>
      <c r="B6101" s="2" t="s">
        <v>51</v>
      </c>
      <c r="C6101" s="4">
        <v>45917.25</v>
      </c>
      <c r="D6101" s="4">
        <v>45917.250589525458</v>
      </c>
      <c r="E6101" s="2">
        <v>2.5299999999999998</v>
      </c>
      <c r="F6101" s="2">
        <v>60</v>
      </c>
      <c r="G6101" s="2" t="s">
        <v>983</v>
      </c>
      <c r="H6101" s="2" t="s">
        <v>984</v>
      </c>
      <c r="I6101" s="2"/>
      <c r="J6101" s="2" t="s">
        <v>51</v>
      </c>
    </row>
    <row r="6102" spans="1:10" ht="21" customHeight="1">
      <c r="A6102" s="2" t="s">
        <v>7105</v>
      </c>
      <c r="B6102" s="2" t="s">
        <v>51</v>
      </c>
      <c r="C6102" s="4">
        <v>45918.25</v>
      </c>
      <c r="D6102" s="4">
        <v>45918.250075706019</v>
      </c>
      <c r="E6102" s="2">
        <v>2.2799999999999998</v>
      </c>
      <c r="F6102" s="2">
        <v>60.6</v>
      </c>
      <c r="G6102" s="2" t="s">
        <v>983</v>
      </c>
      <c r="H6102" s="2" t="s">
        <v>984</v>
      </c>
      <c r="I6102" s="2"/>
      <c r="J6102" s="2" t="s">
        <v>51</v>
      </c>
    </row>
    <row r="6103" spans="1:10" ht="21" customHeight="1">
      <c r="A6103" s="2" t="s">
        <v>7106</v>
      </c>
      <c r="B6103" s="2" t="s">
        <v>51</v>
      </c>
      <c r="C6103" s="4">
        <v>45919.25</v>
      </c>
      <c r="D6103" s="4">
        <v>45919.250214976855</v>
      </c>
      <c r="E6103" s="2">
        <v>2.27</v>
      </c>
      <c r="F6103" s="2">
        <v>64.7</v>
      </c>
      <c r="G6103" s="2" t="s">
        <v>983</v>
      </c>
      <c r="H6103" s="2" t="s">
        <v>984</v>
      </c>
      <c r="I6103" s="2"/>
      <c r="J6103" s="2" t="s">
        <v>51</v>
      </c>
    </row>
    <row r="6104" spans="1:10" ht="21" customHeight="1">
      <c r="A6104" s="2" t="s">
        <v>7107</v>
      </c>
      <c r="B6104" s="2" t="s">
        <v>51</v>
      </c>
      <c r="C6104" s="4">
        <v>45920.25</v>
      </c>
      <c r="D6104" s="4">
        <v>45920.250478842594</v>
      </c>
      <c r="E6104" s="2">
        <v>2.54</v>
      </c>
      <c r="F6104" s="2">
        <v>61.5</v>
      </c>
      <c r="G6104" s="2" t="s">
        <v>983</v>
      </c>
      <c r="H6104" s="2" t="s">
        <v>984</v>
      </c>
      <c r="I6104" s="2"/>
      <c r="J6104" s="2" t="s">
        <v>51</v>
      </c>
    </row>
    <row r="6105" spans="1:10" ht="21" customHeight="1">
      <c r="A6105" s="2" t="s">
        <v>7108</v>
      </c>
      <c r="B6105" s="2" t="s">
        <v>51</v>
      </c>
      <c r="C6105" s="4">
        <v>45921.25</v>
      </c>
      <c r="D6105" s="4">
        <v>45921.250118541662</v>
      </c>
      <c r="E6105" s="2">
        <v>3.06</v>
      </c>
      <c r="F6105" s="2">
        <v>60.2</v>
      </c>
      <c r="G6105" s="2" t="s">
        <v>983</v>
      </c>
      <c r="H6105" s="2" t="s">
        <v>984</v>
      </c>
      <c r="I6105" s="2"/>
      <c r="J6105" s="2" t="s">
        <v>51</v>
      </c>
    </row>
    <row r="6106" spans="1:10" ht="21" customHeight="1">
      <c r="A6106" s="2" t="s">
        <v>7109</v>
      </c>
      <c r="B6106" s="2" t="s">
        <v>51</v>
      </c>
      <c r="C6106" s="4">
        <v>45922.25</v>
      </c>
      <c r="D6106" s="4">
        <v>45922.250142986115</v>
      </c>
      <c r="E6106" s="2">
        <v>2.96</v>
      </c>
      <c r="F6106" s="2">
        <v>64.3</v>
      </c>
      <c r="G6106" s="2" t="s">
        <v>983</v>
      </c>
      <c r="H6106" s="2" t="s">
        <v>984</v>
      </c>
      <c r="I6106" s="2"/>
      <c r="J6106" s="2" t="s">
        <v>51</v>
      </c>
    </row>
    <row r="6107" spans="1:10" ht="21" customHeight="1">
      <c r="A6107" s="2" t="s">
        <v>7110</v>
      </c>
      <c r="B6107" s="2" t="s">
        <v>51</v>
      </c>
      <c r="C6107" s="4">
        <v>45923.25</v>
      </c>
      <c r="D6107" s="4">
        <v>45923.250057534722</v>
      </c>
      <c r="E6107" s="2">
        <v>2.17</v>
      </c>
      <c r="F6107" s="2">
        <v>64.599999999999994</v>
      </c>
      <c r="G6107" s="2" t="s">
        <v>983</v>
      </c>
      <c r="H6107" s="2" t="s">
        <v>984</v>
      </c>
      <c r="I6107" s="2"/>
      <c r="J6107" s="2" t="s">
        <v>51</v>
      </c>
    </row>
    <row r="6108" spans="1:10" ht="21" customHeight="1">
      <c r="A6108" s="2" t="s">
        <v>7111</v>
      </c>
      <c r="B6108" s="2" t="s">
        <v>51</v>
      </c>
      <c r="C6108" s="4">
        <v>45924.25</v>
      </c>
      <c r="D6108" s="4">
        <v>45924.250552291662</v>
      </c>
      <c r="E6108" s="2">
        <v>2.15</v>
      </c>
      <c r="F6108" s="2">
        <v>63.3</v>
      </c>
      <c r="G6108" s="2" t="s">
        <v>983</v>
      </c>
      <c r="H6108" s="2" t="s">
        <v>984</v>
      </c>
      <c r="I6108" s="2"/>
      <c r="J6108" s="2" t="s">
        <v>51</v>
      </c>
    </row>
    <row r="6109" spans="1:10" ht="21" customHeight="1">
      <c r="A6109" s="2" t="s">
        <v>7112</v>
      </c>
      <c r="B6109" s="2" t="s">
        <v>51</v>
      </c>
      <c r="C6109" s="4">
        <v>45925.25</v>
      </c>
      <c r="D6109" s="4">
        <v>45925.250355416661</v>
      </c>
      <c r="E6109" s="2">
        <v>2.34</v>
      </c>
      <c r="F6109" s="2">
        <v>62.9</v>
      </c>
      <c r="G6109" s="2" t="s">
        <v>983</v>
      </c>
      <c r="H6109" s="2" t="s">
        <v>984</v>
      </c>
      <c r="I6109" s="2"/>
      <c r="J6109" s="2" t="s">
        <v>51</v>
      </c>
    </row>
    <row r="6110" spans="1:10" ht="21" customHeight="1">
      <c r="A6110" s="2" t="s">
        <v>7113</v>
      </c>
      <c r="B6110" s="2" t="s">
        <v>51</v>
      </c>
      <c r="C6110" s="4">
        <v>45926.25</v>
      </c>
      <c r="D6110" s="4">
        <v>45926.250223298615</v>
      </c>
      <c r="E6110" s="2">
        <v>2.19</v>
      </c>
      <c r="F6110" s="2">
        <v>59.8</v>
      </c>
      <c r="G6110" s="2" t="s">
        <v>983</v>
      </c>
      <c r="H6110" s="2" t="s">
        <v>984</v>
      </c>
      <c r="I6110" s="2"/>
      <c r="J6110" s="2" t="s">
        <v>51</v>
      </c>
    </row>
    <row r="6111" spans="1:10" ht="21" customHeight="1">
      <c r="A6111" s="2" t="s">
        <v>7114</v>
      </c>
      <c r="B6111" s="2" t="s">
        <v>6868</v>
      </c>
      <c r="C6111" s="4">
        <v>45927.25</v>
      </c>
      <c r="D6111" s="4">
        <v>45927.250322407403</v>
      </c>
      <c r="E6111" s="2">
        <v>2.71</v>
      </c>
      <c r="F6111" s="2">
        <v>65.5</v>
      </c>
      <c r="G6111" s="2" t="s">
        <v>983</v>
      </c>
      <c r="H6111" s="2" t="s">
        <v>984</v>
      </c>
      <c r="I6111" s="2"/>
      <c r="J6111" s="2" t="s">
        <v>51</v>
      </c>
    </row>
    <row r="6112" spans="1:10" ht="21" customHeight="1">
      <c r="A6112" s="2" t="s">
        <v>7115</v>
      </c>
      <c r="B6112" s="2" t="s">
        <v>51</v>
      </c>
      <c r="C6112" s="4">
        <v>45928.25</v>
      </c>
      <c r="D6112" s="4">
        <v>45928.25037927083</v>
      </c>
      <c r="E6112" s="2">
        <v>2.1</v>
      </c>
      <c r="F6112" s="2">
        <v>61</v>
      </c>
      <c r="G6112" s="2" t="s">
        <v>983</v>
      </c>
      <c r="H6112" s="2" t="s">
        <v>984</v>
      </c>
      <c r="I6112" s="2"/>
      <c r="J6112" s="2" t="s">
        <v>51</v>
      </c>
    </row>
    <row r="6113" spans="1:10" ht="21" customHeight="1">
      <c r="A6113" s="2" t="s">
        <v>7116</v>
      </c>
      <c r="B6113" s="2" t="s">
        <v>51</v>
      </c>
      <c r="C6113" s="4">
        <v>45929.25</v>
      </c>
      <c r="D6113" s="4">
        <v>45929.250485196761</v>
      </c>
      <c r="E6113" s="2">
        <v>2.5299999999999998</v>
      </c>
      <c r="F6113" s="2">
        <v>61</v>
      </c>
      <c r="G6113" s="2" t="s">
        <v>983</v>
      </c>
      <c r="H6113" s="2" t="s">
        <v>984</v>
      </c>
      <c r="I6113" s="2"/>
      <c r="J6113" s="2" t="s">
        <v>51</v>
      </c>
    </row>
    <row r="6114" spans="1:10" ht="21" customHeight="1">
      <c r="A6114" s="2" t="s">
        <v>7117</v>
      </c>
      <c r="B6114" s="2" t="s">
        <v>51</v>
      </c>
      <c r="C6114" s="4">
        <v>45930.25</v>
      </c>
      <c r="D6114" s="4">
        <v>45930.250491990737</v>
      </c>
      <c r="E6114" s="2">
        <v>2.96</v>
      </c>
      <c r="F6114" s="2">
        <v>65.3</v>
      </c>
      <c r="G6114" s="2" t="s">
        <v>983</v>
      </c>
      <c r="H6114" s="2" t="s">
        <v>984</v>
      </c>
      <c r="I6114" s="2" t="s">
        <v>985</v>
      </c>
      <c r="J6114" s="2" t="s">
        <v>51</v>
      </c>
    </row>
    <row r="6115" spans="1:10" ht="21" customHeight="1">
      <c r="A6115" s="2" t="s">
        <v>7118</v>
      </c>
      <c r="B6115" s="2" t="s">
        <v>51</v>
      </c>
      <c r="C6115" s="4">
        <v>45931.25</v>
      </c>
      <c r="D6115" s="4">
        <v>45931.250090555557</v>
      </c>
      <c r="E6115" s="2">
        <v>2.68</v>
      </c>
      <c r="F6115" s="2">
        <v>64.400000000000006</v>
      </c>
      <c r="G6115" s="2" t="s">
        <v>983</v>
      </c>
      <c r="H6115" s="2" t="s">
        <v>984</v>
      </c>
      <c r="I6115" s="2"/>
      <c r="J6115" s="2" t="s">
        <v>51</v>
      </c>
    </row>
    <row r="6116" spans="1:10" ht="21" customHeight="1">
      <c r="A6116" s="2" t="s">
        <v>7119</v>
      </c>
      <c r="B6116" s="2" t="s">
        <v>51</v>
      </c>
      <c r="C6116" s="4">
        <v>45932.25</v>
      </c>
      <c r="D6116" s="4">
        <v>45932.250494189815</v>
      </c>
      <c r="E6116" s="2">
        <v>2.25</v>
      </c>
      <c r="F6116" s="2">
        <v>61.3</v>
      </c>
      <c r="G6116" s="2" t="s">
        <v>983</v>
      </c>
      <c r="H6116" s="2" t="s">
        <v>984</v>
      </c>
      <c r="I6116" s="2"/>
      <c r="J6116" s="2" t="s">
        <v>51</v>
      </c>
    </row>
    <row r="6117" spans="1:10" ht="21" customHeight="1">
      <c r="A6117" s="2" t="s">
        <v>7120</v>
      </c>
      <c r="B6117" s="2" t="s">
        <v>51</v>
      </c>
      <c r="C6117" s="4">
        <v>45933.25</v>
      </c>
      <c r="D6117" s="4">
        <v>45933.250689490742</v>
      </c>
      <c r="E6117" s="2">
        <v>2.13</v>
      </c>
      <c r="F6117" s="2">
        <v>65</v>
      </c>
      <c r="G6117" s="2" t="s">
        <v>983</v>
      </c>
      <c r="H6117" s="2" t="s">
        <v>984</v>
      </c>
      <c r="I6117" s="2"/>
      <c r="J6117" s="2" t="s">
        <v>51</v>
      </c>
    </row>
    <row r="6118" spans="1:10" ht="21" customHeight="1">
      <c r="A6118" s="2" t="s">
        <v>7121</v>
      </c>
      <c r="B6118" s="2" t="s">
        <v>51</v>
      </c>
      <c r="C6118" s="4">
        <v>45934.25</v>
      </c>
      <c r="D6118" s="4">
        <v>45934.250276041668</v>
      </c>
      <c r="E6118" s="2">
        <v>2.74</v>
      </c>
      <c r="F6118" s="2">
        <v>65.099999999999994</v>
      </c>
      <c r="G6118" s="2" t="s">
        <v>983</v>
      </c>
      <c r="H6118" s="2" t="s">
        <v>984</v>
      </c>
      <c r="I6118" s="2"/>
      <c r="J6118" s="2" t="s">
        <v>51</v>
      </c>
    </row>
    <row r="6119" spans="1:10" ht="21" customHeight="1">
      <c r="A6119" s="2" t="s">
        <v>7122</v>
      </c>
      <c r="B6119" s="2" t="s">
        <v>51</v>
      </c>
      <c r="C6119" s="4">
        <v>45935.25</v>
      </c>
      <c r="D6119" s="4">
        <v>45935.250643611114</v>
      </c>
      <c r="E6119" s="2">
        <v>2.7</v>
      </c>
      <c r="F6119" s="2">
        <v>62.7</v>
      </c>
      <c r="G6119" s="2" t="s">
        <v>983</v>
      </c>
      <c r="H6119" s="2" t="s">
        <v>984</v>
      </c>
      <c r="I6119" s="2"/>
      <c r="J6119" s="2" t="s">
        <v>51</v>
      </c>
    </row>
    <row r="6120" spans="1:10" ht="21" customHeight="1">
      <c r="A6120" s="2" t="s">
        <v>7123</v>
      </c>
      <c r="B6120" s="2" t="s">
        <v>51</v>
      </c>
      <c r="C6120" s="4">
        <v>45936.25</v>
      </c>
      <c r="D6120" s="4">
        <v>45936.250108553242</v>
      </c>
      <c r="E6120" s="2">
        <v>3.23</v>
      </c>
      <c r="F6120" s="2">
        <v>62.5</v>
      </c>
      <c r="G6120" s="2" t="s">
        <v>983</v>
      </c>
      <c r="H6120" s="2" t="s">
        <v>984</v>
      </c>
      <c r="I6120" s="2"/>
      <c r="J6120" s="2" t="s">
        <v>51</v>
      </c>
    </row>
    <row r="6121" spans="1:10" ht="21" customHeight="1">
      <c r="A6121" s="2" t="s">
        <v>7124</v>
      </c>
      <c r="B6121" s="2" t="s">
        <v>51</v>
      </c>
      <c r="C6121" s="4">
        <v>45937.25</v>
      </c>
      <c r="D6121" s="4">
        <v>45937.250069456015</v>
      </c>
      <c r="E6121" s="2">
        <v>2.56</v>
      </c>
      <c r="F6121" s="2">
        <v>59.6</v>
      </c>
      <c r="G6121" s="2" t="s">
        <v>983</v>
      </c>
      <c r="H6121" s="2" t="s">
        <v>984</v>
      </c>
      <c r="I6121" s="2"/>
      <c r="J6121" s="2" t="s">
        <v>51</v>
      </c>
    </row>
    <row r="6122" spans="1:10" ht="21" customHeight="1">
      <c r="A6122" s="2" t="s">
        <v>7125</v>
      </c>
      <c r="B6122" s="2" t="s">
        <v>51</v>
      </c>
      <c r="C6122" s="4">
        <v>45938.25</v>
      </c>
      <c r="D6122" s="4">
        <v>45938.250447824073</v>
      </c>
      <c r="E6122" s="2">
        <v>5.7</v>
      </c>
      <c r="F6122" s="2">
        <v>68.599999999999994</v>
      </c>
      <c r="G6122" s="2" t="s">
        <v>983</v>
      </c>
      <c r="H6122" s="2" t="s">
        <v>984</v>
      </c>
      <c r="I6122" s="2" t="s">
        <v>1053</v>
      </c>
      <c r="J6122" s="2" t="s">
        <v>51</v>
      </c>
    </row>
    <row r="6123" spans="1:10" ht="21" customHeight="1">
      <c r="A6123" s="2" t="s">
        <v>7126</v>
      </c>
      <c r="B6123" s="2" t="s">
        <v>51</v>
      </c>
      <c r="C6123" s="4">
        <v>45939.25</v>
      </c>
      <c r="D6123" s="4">
        <v>45939.250607361115</v>
      </c>
      <c r="E6123" s="2">
        <v>6.31</v>
      </c>
      <c r="F6123" s="2">
        <v>66.599999999999994</v>
      </c>
      <c r="G6123" s="2" t="s">
        <v>983</v>
      </c>
      <c r="H6123" s="2" t="s">
        <v>984</v>
      </c>
      <c r="I6123" s="2"/>
      <c r="J6123" s="2" t="s">
        <v>51</v>
      </c>
    </row>
    <row r="6124" spans="1:10" ht="21" customHeight="1">
      <c r="A6124" s="2" t="s">
        <v>7127</v>
      </c>
      <c r="B6124" s="2" t="s">
        <v>51</v>
      </c>
      <c r="C6124" s="4">
        <v>45940.25</v>
      </c>
      <c r="D6124" s="4">
        <v>45940.250110081019</v>
      </c>
      <c r="E6124" s="2">
        <v>5.45</v>
      </c>
      <c r="F6124" s="2">
        <v>69.8</v>
      </c>
      <c r="G6124" s="2" t="s">
        <v>983</v>
      </c>
      <c r="H6124" s="2" t="s">
        <v>984</v>
      </c>
      <c r="I6124" s="2" t="s">
        <v>1053</v>
      </c>
      <c r="J6124" s="2" t="s">
        <v>51</v>
      </c>
    </row>
    <row r="6125" spans="1:10" ht="21" customHeight="1">
      <c r="A6125" s="2" t="s">
        <v>7128</v>
      </c>
      <c r="B6125" s="2" t="s">
        <v>51</v>
      </c>
      <c r="C6125" s="4">
        <v>45941.25</v>
      </c>
      <c r="D6125" s="4">
        <v>45941.250247523145</v>
      </c>
      <c r="E6125" s="2">
        <v>2.2599999999999998</v>
      </c>
      <c r="F6125" s="2">
        <v>64.7</v>
      </c>
      <c r="G6125" s="2" t="s">
        <v>983</v>
      </c>
      <c r="H6125" s="2" t="s">
        <v>984</v>
      </c>
      <c r="I6125" s="2"/>
      <c r="J6125" s="2" t="s">
        <v>51</v>
      </c>
    </row>
    <row r="6126" spans="1:10" ht="21" customHeight="1">
      <c r="A6126" s="2" t="s">
        <v>7129</v>
      </c>
      <c r="B6126" s="2" t="s">
        <v>51</v>
      </c>
      <c r="C6126" s="4">
        <v>45942.25</v>
      </c>
      <c r="D6126" s="4">
        <v>45942.250637060184</v>
      </c>
      <c r="E6126" s="2">
        <v>2.7</v>
      </c>
      <c r="F6126" s="2">
        <v>62.4</v>
      </c>
      <c r="G6126" s="2" t="s">
        <v>983</v>
      </c>
      <c r="H6126" s="2" t="s">
        <v>984</v>
      </c>
      <c r="I6126" s="2"/>
      <c r="J6126" s="2" t="s">
        <v>51</v>
      </c>
    </row>
    <row r="6127" spans="1:10" ht="21" customHeight="1">
      <c r="A6127" s="2" t="s">
        <v>7130</v>
      </c>
      <c r="B6127" s="2" t="s">
        <v>51</v>
      </c>
      <c r="C6127" s="4">
        <v>45943.25</v>
      </c>
      <c r="D6127" s="4">
        <v>45943.250372997689</v>
      </c>
      <c r="E6127" s="2">
        <v>3.05</v>
      </c>
      <c r="F6127" s="2">
        <v>58.8</v>
      </c>
      <c r="G6127" s="2" t="s">
        <v>983</v>
      </c>
      <c r="H6127" s="2" t="s">
        <v>984</v>
      </c>
      <c r="I6127" s="2"/>
      <c r="J6127" s="2" t="s">
        <v>51</v>
      </c>
    </row>
    <row r="6128" spans="1:10" ht="21" customHeight="1">
      <c r="A6128" s="2" t="s">
        <v>7131</v>
      </c>
      <c r="B6128" s="2" t="s">
        <v>51</v>
      </c>
      <c r="C6128" s="4">
        <v>45944.25</v>
      </c>
      <c r="D6128" s="4">
        <v>45944.250317997685</v>
      </c>
      <c r="E6128" s="2">
        <v>2.52</v>
      </c>
      <c r="F6128" s="2">
        <v>65.2</v>
      </c>
      <c r="G6128" s="2" t="s">
        <v>983</v>
      </c>
      <c r="H6128" s="2" t="s">
        <v>984</v>
      </c>
      <c r="I6128" s="2"/>
      <c r="J6128" s="2" t="s">
        <v>51</v>
      </c>
    </row>
    <row r="6129" spans="1:10" ht="21" customHeight="1">
      <c r="A6129" s="2" t="s">
        <v>7132</v>
      </c>
      <c r="B6129" s="2" t="s">
        <v>51</v>
      </c>
      <c r="C6129" s="4">
        <v>45945.25</v>
      </c>
      <c r="D6129" s="4">
        <v>45945.250096770833</v>
      </c>
      <c r="E6129" s="2">
        <v>2.71</v>
      </c>
      <c r="F6129" s="2">
        <v>60.5</v>
      </c>
      <c r="G6129" s="2" t="s">
        <v>983</v>
      </c>
      <c r="H6129" s="2" t="s">
        <v>984</v>
      </c>
      <c r="I6129" s="2"/>
      <c r="J6129" s="2" t="s">
        <v>51</v>
      </c>
    </row>
    <row r="6130" spans="1:10" ht="21" customHeight="1">
      <c r="A6130" s="2" t="s">
        <v>7133</v>
      </c>
      <c r="B6130" s="2" t="s">
        <v>51</v>
      </c>
      <c r="C6130" s="4">
        <v>45946.25</v>
      </c>
      <c r="D6130" s="4">
        <v>45946.250603391207</v>
      </c>
      <c r="E6130" s="2">
        <v>23.66</v>
      </c>
      <c r="F6130" s="2">
        <v>61.3</v>
      </c>
      <c r="G6130" s="2" t="s">
        <v>983</v>
      </c>
      <c r="H6130" s="2" t="s">
        <v>1022</v>
      </c>
      <c r="I6130" s="2"/>
      <c r="J6130" s="2" t="s">
        <v>51</v>
      </c>
    </row>
    <row r="6131" spans="1:10" ht="21" customHeight="1">
      <c r="A6131" s="2" t="s">
        <v>7134</v>
      </c>
      <c r="B6131" s="2" t="s">
        <v>51</v>
      </c>
      <c r="C6131" s="4">
        <v>45947.25</v>
      </c>
      <c r="D6131" s="4">
        <v>45947.250553287042</v>
      </c>
      <c r="E6131" s="2">
        <v>2.23</v>
      </c>
      <c r="F6131" s="2">
        <v>63.2</v>
      </c>
      <c r="G6131" s="2" t="s">
        <v>983</v>
      </c>
      <c r="H6131" s="2" t="s">
        <v>984</v>
      </c>
      <c r="I6131" s="2" t="s">
        <v>985</v>
      </c>
      <c r="J6131" s="2" t="s">
        <v>51</v>
      </c>
    </row>
    <row r="6132" spans="1:10" ht="21" customHeight="1">
      <c r="A6132" s="2" t="s">
        <v>7135</v>
      </c>
      <c r="B6132" s="2" t="s">
        <v>51</v>
      </c>
      <c r="C6132" s="4">
        <v>45948.25</v>
      </c>
      <c r="D6132" s="4">
        <v>45948.250474837958</v>
      </c>
      <c r="E6132" s="2">
        <v>3.14</v>
      </c>
      <c r="F6132" s="2">
        <v>64.900000000000006</v>
      </c>
      <c r="G6132" s="2" t="s">
        <v>983</v>
      </c>
      <c r="H6132" s="2" t="s">
        <v>984</v>
      </c>
      <c r="I6132" s="2"/>
      <c r="J6132" s="2" t="s">
        <v>51</v>
      </c>
    </row>
    <row r="6133" spans="1:10" ht="21" customHeight="1">
      <c r="A6133" s="2" t="s">
        <v>7136</v>
      </c>
      <c r="B6133" s="2" t="s">
        <v>51</v>
      </c>
      <c r="C6133" s="4">
        <v>45949.25</v>
      </c>
      <c r="D6133" s="4">
        <v>45949.250225509255</v>
      </c>
      <c r="E6133" s="2">
        <v>2.2000000000000002</v>
      </c>
      <c r="F6133" s="2">
        <v>58.5</v>
      </c>
      <c r="G6133" s="2" t="s">
        <v>983</v>
      </c>
      <c r="H6133" s="2" t="s">
        <v>984</v>
      </c>
      <c r="I6133" s="2"/>
      <c r="J6133" s="2" t="s">
        <v>51</v>
      </c>
    </row>
    <row r="6134" spans="1:10" ht="21" customHeight="1">
      <c r="A6134" s="2" t="s">
        <v>7137</v>
      </c>
      <c r="B6134" s="2" t="s">
        <v>51</v>
      </c>
      <c r="C6134" s="4">
        <v>45950.25</v>
      </c>
      <c r="D6134" s="4">
        <v>45950.250090578702</v>
      </c>
      <c r="E6134" s="2">
        <v>2.62</v>
      </c>
      <c r="F6134" s="2">
        <v>58.8</v>
      </c>
      <c r="G6134" s="2" t="s">
        <v>983</v>
      </c>
      <c r="H6134" s="2" t="s">
        <v>984</v>
      </c>
      <c r="I6134" s="2"/>
      <c r="J6134" s="2" t="s">
        <v>51</v>
      </c>
    </row>
    <row r="6135" spans="1:10" ht="21" customHeight="1">
      <c r="A6135" s="2" t="s">
        <v>7138</v>
      </c>
      <c r="B6135" s="2" t="s">
        <v>51</v>
      </c>
      <c r="C6135" s="4">
        <v>45951.25</v>
      </c>
      <c r="D6135" s="4">
        <v>45951.250208356483</v>
      </c>
      <c r="E6135" s="2">
        <v>2.2400000000000002</v>
      </c>
      <c r="F6135" s="2">
        <v>61.2</v>
      </c>
      <c r="G6135" s="2" t="s">
        <v>983</v>
      </c>
      <c r="H6135" s="2" t="s">
        <v>984</v>
      </c>
      <c r="I6135" s="2"/>
      <c r="J6135" s="2" t="s">
        <v>51</v>
      </c>
    </row>
    <row r="6136" spans="1:10" ht="21" customHeight="1">
      <c r="A6136" s="2" t="s">
        <v>7139</v>
      </c>
      <c r="B6136" s="2" t="s">
        <v>51</v>
      </c>
      <c r="C6136" s="4">
        <v>45952.25</v>
      </c>
      <c r="D6136" s="4">
        <v>45952.250653645839</v>
      </c>
      <c r="E6136" s="2">
        <v>3.19</v>
      </c>
      <c r="F6136" s="2">
        <v>63.8</v>
      </c>
      <c r="G6136" s="2" t="s">
        <v>983</v>
      </c>
      <c r="H6136" s="2" t="s">
        <v>984</v>
      </c>
      <c r="I6136" s="2"/>
      <c r="J6136" s="2" t="s">
        <v>51</v>
      </c>
    </row>
    <row r="6137" spans="1:10" ht="21" customHeight="1">
      <c r="A6137" s="2" t="s">
        <v>7140</v>
      </c>
      <c r="B6137" s="2" t="s">
        <v>51</v>
      </c>
      <c r="C6137" s="4">
        <v>45953.25</v>
      </c>
      <c r="D6137" s="4">
        <v>45953.250485682875</v>
      </c>
      <c r="E6137" s="2">
        <v>3.15</v>
      </c>
      <c r="F6137" s="2">
        <v>61.5</v>
      </c>
      <c r="G6137" s="2" t="s">
        <v>983</v>
      </c>
      <c r="H6137" s="2" t="s">
        <v>984</v>
      </c>
      <c r="I6137" s="2"/>
      <c r="J6137" s="2" t="s">
        <v>51</v>
      </c>
    </row>
    <row r="6138" spans="1:10" ht="21" customHeight="1">
      <c r="A6138" s="2" t="s">
        <v>7141</v>
      </c>
      <c r="B6138" s="2" t="s">
        <v>51</v>
      </c>
      <c r="C6138" s="4">
        <v>45954.25</v>
      </c>
      <c r="D6138" s="4">
        <v>45954.250383796301</v>
      </c>
      <c r="E6138" s="2">
        <v>3.3</v>
      </c>
      <c r="F6138" s="2">
        <v>60</v>
      </c>
      <c r="G6138" s="2" t="s">
        <v>983</v>
      </c>
      <c r="H6138" s="2" t="s">
        <v>984</v>
      </c>
      <c r="I6138" s="2"/>
      <c r="J6138" s="2" t="s">
        <v>51</v>
      </c>
    </row>
    <row r="6139" spans="1:10" ht="21" customHeight="1">
      <c r="A6139" s="2" t="s">
        <v>7142</v>
      </c>
      <c r="B6139" s="2" t="s">
        <v>51</v>
      </c>
      <c r="C6139" s="4">
        <v>45955.25</v>
      </c>
      <c r="D6139" s="4">
        <v>45955.250209976854</v>
      </c>
      <c r="E6139" s="2">
        <v>2.17</v>
      </c>
      <c r="F6139" s="2">
        <v>66</v>
      </c>
      <c r="G6139" s="2" t="s">
        <v>983</v>
      </c>
      <c r="H6139" s="2" t="s">
        <v>984</v>
      </c>
      <c r="I6139" s="2"/>
      <c r="J6139" s="2" t="s">
        <v>51</v>
      </c>
    </row>
    <row r="6140" spans="1:10" ht="21" customHeight="1">
      <c r="A6140" s="2" t="s">
        <v>7143</v>
      </c>
      <c r="B6140" s="2" t="s">
        <v>51</v>
      </c>
      <c r="C6140" s="4">
        <v>45956.25</v>
      </c>
      <c r="D6140" s="4">
        <v>45956.25018033565</v>
      </c>
      <c r="E6140" s="2">
        <v>2.25</v>
      </c>
      <c r="F6140" s="2">
        <v>59.7</v>
      </c>
      <c r="G6140" s="2" t="s">
        <v>983</v>
      </c>
      <c r="H6140" s="2" t="s">
        <v>984</v>
      </c>
      <c r="I6140" s="2"/>
      <c r="J6140" s="2" t="s">
        <v>51</v>
      </c>
    </row>
    <row r="6141" spans="1:10" ht="21" customHeight="1">
      <c r="A6141" s="2" t="s">
        <v>7144</v>
      </c>
      <c r="B6141" s="2" t="s">
        <v>51</v>
      </c>
      <c r="C6141" s="4">
        <v>45957.25</v>
      </c>
      <c r="D6141" s="4">
        <v>45957.250086504631</v>
      </c>
      <c r="E6141" s="2">
        <v>3.11</v>
      </c>
      <c r="F6141" s="2">
        <v>62.9</v>
      </c>
      <c r="G6141" s="2" t="s">
        <v>983</v>
      </c>
      <c r="H6141" s="2" t="s">
        <v>984</v>
      </c>
      <c r="I6141" s="2"/>
      <c r="J6141" s="2" t="s">
        <v>51</v>
      </c>
    </row>
    <row r="6142" spans="1:10" ht="21" customHeight="1">
      <c r="A6142" s="2" t="s">
        <v>7145</v>
      </c>
      <c r="B6142" s="2" t="s">
        <v>51</v>
      </c>
      <c r="C6142" s="4">
        <v>45958.25</v>
      </c>
      <c r="D6142" s="4">
        <v>45958.250473090273</v>
      </c>
      <c r="E6142" s="2">
        <v>3.12</v>
      </c>
      <c r="F6142" s="2">
        <v>61</v>
      </c>
      <c r="G6142" s="2" t="s">
        <v>983</v>
      </c>
      <c r="H6142" s="2" t="s">
        <v>984</v>
      </c>
      <c r="I6142" s="2"/>
      <c r="J6142" s="2" t="s">
        <v>51</v>
      </c>
    </row>
    <row r="6143" spans="1:10" ht="21" customHeight="1">
      <c r="A6143" s="2" t="s">
        <v>7146</v>
      </c>
      <c r="B6143" s="2" t="s">
        <v>51</v>
      </c>
      <c r="C6143" s="4">
        <v>45959.25</v>
      </c>
      <c r="D6143" s="4">
        <v>45959.250033611112</v>
      </c>
      <c r="E6143" s="2">
        <v>3.14</v>
      </c>
      <c r="F6143" s="2">
        <v>61.6</v>
      </c>
      <c r="G6143" s="2" t="s">
        <v>983</v>
      </c>
      <c r="H6143" s="2" t="s">
        <v>984</v>
      </c>
      <c r="I6143" s="2"/>
      <c r="J6143" s="2" t="s">
        <v>51</v>
      </c>
    </row>
    <row r="6144" spans="1:10" ht="21" customHeight="1">
      <c r="A6144" s="2" t="s">
        <v>7147</v>
      </c>
      <c r="B6144" s="2" t="s">
        <v>51</v>
      </c>
      <c r="C6144" s="4">
        <v>45960.25</v>
      </c>
      <c r="D6144" s="4">
        <v>45960.250526006945</v>
      </c>
      <c r="E6144" s="2">
        <v>2.44</v>
      </c>
      <c r="F6144" s="2">
        <v>59.5</v>
      </c>
      <c r="G6144" s="2" t="s">
        <v>983</v>
      </c>
      <c r="H6144" s="2" t="s">
        <v>984</v>
      </c>
      <c r="I6144" s="2"/>
      <c r="J6144" s="2" t="s">
        <v>51</v>
      </c>
    </row>
    <row r="6145" spans="1:10" ht="21" customHeight="1">
      <c r="A6145" s="2" t="s">
        <v>7148</v>
      </c>
      <c r="B6145" s="2" t="s">
        <v>51</v>
      </c>
      <c r="C6145" s="4">
        <v>45961.25</v>
      </c>
      <c r="D6145" s="4">
        <v>45961.250304363421</v>
      </c>
      <c r="E6145" s="2"/>
      <c r="F6145" s="2"/>
      <c r="G6145" s="2" t="s">
        <v>983</v>
      </c>
      <c r="H6145" s="2" t="s">
        <v>1066</v>
      </c>
      <c r="I6145" s="2"/>
      <c r="J6145" s="2" t="s">
        <v>51</v>
      </c>
    </row>
    <row r="6146" spans="1:10" ht="21" customHeight="1">
      <c r="A6146" s="2" t="s">
        <v>7149</v>
      </c>
      <c r="B6146" s="2" t="s">
        <v>51</v>
      </c>
      <c r="C6146" s="4">
        <v>45962.25</v>
      </c>
      <c r="D6146" s="4">
        <v>45962.250482974538</v>
      </c>
      <c r="E6146" s="2">
        <v>2.98</v>
      </c>
      <c r="F6146" s="2">
        <v>64.8</v>
      </c>
      <c r="G6146" s="2" t="s">
        <v>983</v>
      </c>
      <c r="H6146" s="2" t="s">
        <v>984</v>
      </c>
      <c r="I6146" s="2"/>
      <c r="J6146" s="2" t="s">
        <v>51</v>
      </c>
    </row>
    <row r="6147" spans="1:10" ht="21" customHeight="1">
      <c r="A6147" s="2" t="s">
        <v>7150</v>
      </c>
      <c r="B6147" s="2" t="s">
        <v>51</v>
      </c>
      <c r="C6147" s="4">
        <v>45963.25</v>
      </c>
      <c r="D6147" s="4">
        <v>45963.250542824069</v>
      </c>
      <c r="E6147" s="2">
        <v>2.13</v>
      </c>
      <c r="F6147" s="2">
        <v>62.3</v>
      </c>
      <c r="G6147" s="2" t="s">
        <v>983</v>
      </c>
      <c r="H6147" s="2" t="s">
        <v>984</v>
      </c>
      <c r="I6147" s="2"/>
      <c r="J6147" s="2" t="s">
        <v>51</v>
      </c>
    </row>
    <row r="6148" spans="1:10" ht="21" customHeight="1">
      <c r="A6148" s="2" t="s">
        <v>7151</v>
      </c>
      <c r="B6148" s="2" t="s">
        <v>51</v>
      </c>
      <c r="C6148" s="4">
        <v>45964.25</v>
      </c>
      <c r="D6148" s="4">
        <v>45964.2506846412</v>
      </c>
      <c r="E6148" s="2">
        <v>2.21</v>
      </c>
      <c r="F6148" s="2">
        <v>63.1</v>
      </c>
      <c r="G6148" s="2" t="s">
        <v>983</v>
      </c>
      <c r="H6148" s="2" t="s">
        <v>984</v>
      </c>
      <c r="I6148" s="2" t="s">
        <v>985</v>
      </c>
      <c r="J6148" s="2" t="s">
        <v>51</v>
      </c>
    </row>
    <row r="6149" spans="1:10" ht="21" customHeight="1">
      <c r="A6149" s="2" t="s">
        <v>7152</v>
      </c>
      <c r="B6149" s="2" t="s">
        <v>51</v>
      </c>
      <c r="C6149" s="4">
        <v>45965.25</v>
      </c>
      <c r="D6149" s="4">
        <v>45965.250610555551</v>
      </c>
      <c r="E6149" s="2">
        <v>2.2799999999999998</v>
      </c>
      <c r="F6149" s="2">
        <v>65.599999999999994</v>
      </c>
      <c r="G6149" s="2" t="s">
        <v>983</v>
      </c>
      <c r="H6149" s="2" t="s">
        <v>984</v>
      </c>
      <c r="I6149" s="2"/>
      <c r="J6149" s="2" t="s">
        <v>51</v>
      </c>
    </row>
    <row r="6150" spans="1:10" ht="21" customHeight="1">
      <c r="A6150" s="2" t="s">
        <v>7153</v>
      </c>
      <c r="B6150" s="2" t="s">
        <v>51</v>
      </c>
      <c r="C6150" s="4">
        <v>45966.25</v>
      </c>
      <c r="D6150" s="4">
        <v>45966.250266805553</v>
      </c>
      <c r="E6150" s="2">
        <v>0</v>
      </c>
      <c r="F6150" s="2">
        <v>62.5</v>
      </c>
      <c r="G6150" s="2" t="s">
        <v>1175</v>
      </c>
      <c r="H6150" s="2" t="s">
        <v>984</v>
      </c>
      <c r="I6150" s="2"/>
      <c r="J6150" s="2" t="s">
        <v>51</v>
      </c>
    </row>
    <row r="6151" spans="1:10" ht="21" customHeight="1">
      <c r="A6151" s="2" t="s">
        <v>7154</v>
      </c>
      <c r="B6151" s="2" t="s">
        <v>51</v>
      </c>
      <c r="C6151" s="4">
        <v>45967.25</v>
      </c>
      <c r="D6151" s="4">
        <v>45967.25008849537</v>
      </c>
      <c r="E6151" s="2">
        <v>2.97</v>
      </c>
      <c r="F6151" s="2">
        <v>62.4</v>
      </c>
      <c r="G6151" s="2" t="s">
        <v>983</v>
      </c>
      <c r="H6151" s="2" t="s">
        <v>984</v>
      </c>
      <c r="I6151" s="2"/>
      <c r="J6151" s="2" t="s">
        <v>51</v>
      </c>
    </row>
    <row r="6152" spans="1:10" ht="21" customHeight="1">
      <c r="A6152" s="2" t="s">
        <v>7155</v>
      </c>
      <c r="B6152" s="2" t="s">
        <v>6868</v>
      </c>
      <c r="C6152" s="4">
        <v>45968.25</v>
      </c>
      <c r="D6152" s="4">
        <v>45968.250459409726</v>
      </c>
      <c r="E6152" s="2">
        <v>2.5</v>
      </c>
      <c r="F6152" s="2">
        <v>65.2</v>
      </c>
      <c r="G6152" s="2" t="s">
        <v>983</v>
      </c>
      <c r="H6152" s="2" t="s">
        <v>984</v>
      </c>
      <c r="I6152" s="2"/>
      <c r="J6152" s="2" t="s">
        <v>51</v>
      </c>
    </row>
    <row r="6153" spans="1:10" ht="21" customHeight="1">
      <c r="A6153" s="2" t="s">
        <v>7156</v>
      </c>
      <c r="B6153" s="2" t="s">
        <v>51</v>
      </c>
      <c r="C6153" s="4">
        <v>45969.25</v>
      </c>
      <c r="D6153" s="4">
        <v>45969.25056237269</v>
      </c>
      <c r="E6153" s="2">
        <v>2.78</v>
      </c>
      <c r="F6153" s="2">
        <v>62.5</v>
      </c>
      <c r="G6153" s="2" t="s">
        <v>983</v>
      </c>
      <c r="H6153" s="2" t="s">
        <v>984</v>
      </c>
      <c r="I6153" s="2"/>
      <c r="J6153" s="2" t="s">
        <v>51</v>
      </c>
    </row>
    <row r="6154" spans="1:10" ht="21" customHeight="1">
      <c r="A6154" s="2" t="s">
        <v>7157</v>
      </c>
      <c r="B6154" s="2" t="s">
        <v>51</v>
      </c>
      <c r="C6154" s="4">
        <v>45970.25</v>
      </c>
      <c r="D6154" s="4">
        <v>45970.25036726852</v>
      </c>
      <c r="E6154" s="2">
        <v>2.89</v>
      </c>
      <c r="F6154" s="2">
        <v>58.8</v>
      </c>
      <c r="G6154" s="2" t="s">
        <v>983</v>
      </c>
      <c r="H6154" s="2" t="s">
        <v>984</v>
      </c>
      <c r="I6154" s="2"/>
      <c r="J6154" s="2" t="s">
        <v>51</v>
      </c>
    </row>
    <row r="6155" spans="1:10" ht="21" customHeight="1">
      <c r="A6155" s="2" t="s">
        <v>7158</v>
      </c>
      <c r="B6155" s="2" t="s">
        <v>51</v>
      </c>
      <c r="C6155" s="4">
        <v>45971.25</v>
      </c>
      <c r="D6155" s="4">
        <v>45971.250241423608</v>
      </c>
      <c r="E6155" s="2">
        <v>3.04</v>
      </c>
      <c r="F6155" s="2">
        <v>58.5</v>
      </c>
      <c r="G6155" s="2" t="s">
        <v>983</v>
      </c>
      <c r="H6155" s="2" t="s">
        <v>984</v>
      </c>
      <c r="I6155" s="2"/>
      <c r="J6155" s="2" t="s">
        <v>51</v>
      </c>
    </row>
    <row r="6156" spans="1:10" ht="21" customHeight="1">
      <c r="A6156" s="2" t="s">
        <v>7159</v>
      </c>
      <c r="B6156" s="2" t="s">
        <v>51</v>
      </c>
      <c r="C6156" s="4">
        <v>45972.25</v>
      </c>
      <c r="D6156" s="4">
        <v>45972.250347939815</v>
      </c>
      <c r="E6156" s="2">
        <v>2.61</v>
      </c>
      <c r="F6156" s="2">
        <v>61</v>
      </c>
      <c r="G6156" s="2" t="s">
        <v>983</v>
      </c>
      <c r="H6156" s="2" t="s">
        <v>984</v>
      </c>
      <c r="I6156" s="2"/>
      <c r="J6156" s="2" t="s">
        <v>51</v>
      </c>
    </row>
    <row r="6157" spans="1:10" ht="21" customHeight="1">
      <c r="A6157" s="2" t="s">
        <v>7160</v>
      </c>
      <c r="B6157" s="2" t="s">
        <v>51</v>
      </c>
      <c r="C6157" s="4">
        <v>45973.25</v>
      </c>
      <c r="D6157" s="4">
        <v>45973.250677592594</v>
      </c>
      <c r="E6157" s="2">
        <v>2.73</v>
      </c>
      <c r="F6157" s="2">
        <v>65.3</v>
      </c>
      <c r="G6157" s="2" t="s">
        <v>983</v>
      </c>
      <c r="H6157" s="2" t="s">
        <v>984</v>
      </c>
      <c r="I6157" s="2"/>
      <c r="J6157" s="2" t="s">
        <v>51</v>
      </c>
    </row>
    <row r="6158" spans="1:10" ht="21" customHeight="1">
      <c r="A6158" s="2" t="s">
        <v>7161</v>
      </c>
      <c r="B6158" s="2" t="s">
        <v>51</v>
      </c>
      <c r="C6158" s="4">
        <v>45974.25</v>
      </c>
      <c r="D6158" s="4">
        <v>45974.250102141203</v>
      </c>
      <c r="E6158" s="2">
        <v>2.5099999999999998</v>
      </c>
      <c r="F6158" s="2">
        <v>60.7</v>
      </c>
      <c r="G6158" s="2" t="s">
        <v>983</v>
      </c>
      <c r="H6158" s="2" t="s">
        <v>984</v>
      </c>
      <c r="I6158" s="2"/>
      <c r="J6158" s="2" t="s">
        <v>51</v>
      </c>
    </row>
    <row r="6159" spans="1:10" ht="21" customHeight="1">
      <c r="A6159" s="2" t="s">
        <v>7162</v>
      </c>
      <c r="B6159" s="2" t="s">
        <v>51</v>
      </c>
      <c r="C6159" s="4">
        <v>45975.25</v>
      </c>
      <c r="D6159" s="4">
        <v>45975.25042261574</v>
      </c>
      <c r="E6159" s="2">
        <v>3.28</v>
      </c>
      <c r="F6159" s="2">
        <v>62.8</v>
      </c>
      <c r="G6159" s="2" t="s">
        <v>983</v>
      </c>
      <c r="H6159" s="2" t="s">
        <v>984</v>
      </c>
      <c r="I6159" s="2"/>
      <c r="J6159" s="2" t="s">
        <v>51</v>
      </c>
    </row>
    <row r="6160" spans="1:10" ht="21" customHeight="1">
      <c r="A6160" s="2" t="s">
        <v>7163</v>
      </c>
      <c r="B6160" s="2" t="s">
        <v>51</v>
      </c>
      <c r="C6160" s="4">
        <v>45976.25</v>
      </c>
      <c r="D6160" s="4">
        <v>45976.250164143523</v>
      </c>
      <c r="E6160" s="2">
        <v>2.15</v>
      </c>
      <c r="F6160" s="2">
        <v>61.5</v>
      </c>
      <c r="G6160" s="2" t="s">
        <v>983</v>
      </c>
      <c r="H6160" s="2" t="s">
        <v>984</v>
      </c>
      <c r="I6160" s="2"/>
      <c r="J6160" s="2" t="s">
        <v>51</v>
      </c>
    </row>
    <row r="6161" spans="1:10" ht="21" customHeight="1">
      <c r="A6161" s="2" t="s">
        <v>7164</v>
      </c>
      <c r="B6161" s="2" t="s">
        <v>51</v>
      </c>
      <c r="C6161" s="4">
        <v>45977.25</v>
      </c>
      <c r="D6161" s="4">
        <v>45977.250393692128</v>
      </c>
      <c r="E6161" s="2">
        <v>2.94</v>
      </c>
      <c r="F6161" s="2">
        <v>62.2</v>
      </c>
      <c r="G6161" s="2" t="s">
        <v>983</v>
      </c>
      <c r="H6161" s="2" t="s">
        <v>984</v>
      </c>
      <c r="I6161" s="2"/>
      <c r="J6161" s="2" t="s">
        <v>51</v>
      </c>
    </row>
    <row r="6162" spans="1:10" ht="21" customHeight="1">
      <c r="A6162" s="2" t="s">
        <v>7165</v>
      </c>
      <c r="B6162" s="2" t="s">
        <v>51</v>
      </c>
      <c r="C6162" s="4">
        <v>45978.25</v>
      </c>
      <c r="D6162" s="4">
        <v>45978.250207986115</v>
      </c>
      <c r="E6162" s="2">
        <v>2.59</v>
      </c>
      <c r="F6162" s="2">
        <v>65</v>
      </c>
      <c r="G6162" s="2" t="s">
        <v>983</v>
      </c>
      <c r="H6162" s="2" t="s">
        <v>984</v>
      </c>
      <c r="I6162" s="2"/>
      <c r="J6162" s="2" t="s">
        <v>51</v>
      </c>
    </row>
    <row r="6163" spans="1:10" ht="21" customHeight="1">
      <c r="A6163" s="2" t="s">
        <v>7166</v>
      </c>
      <c r="B6163" s="2" t="s">
        <v>51</v>
      </c>
      <c r="C6163" s="4">
        <v>45979.25</v>
      </c>
      <c r="D6163" s="4">
        <v>45979.250452569446</v>
      </c>
      <c r="E6163" s="2">
        <v>2.86</v>
      </c>
      <c r="F6163" s="2">
        <v>62.5</v>
      </c>
      <c r="G6163" s="2" t="s">
        <v>983</v>
      </c>
      <c r="H6163" s="2" t="s">
        <v>984</v>
      </c>
      <c r="I6163" s="2"/>
      <c r="J6163" s="2" t="s">
        <v>51</v>
      </c>
    </row>
    <row r="6164" spans="1:10" ht="21" customHeight="1">
      <c r="A6164" s="2" t="s">
        <v>7167</v>
      </c>
      <c r="B6164" s="2" t="s">
        <v>51</v>
      </c>
      <c r="C6164" s="4">
        <v>45980.25</v>
      </c>
      <c r="D6164" s="4">
        <v>45980.250096689815</v>
      </c>
      <c r="E6164" s="2">
        <v>3.27</v>
      </c>
      <c r="F6164" s="2">
        <v>59.6</v>
      </c>
      <c r="G6164" s="2" t="s">
        <v>983</v>
      </c>
      <c r="H6164" s="2" t="s">
        <v>984</v>
      </c>
      <c r="I6164" s="2"/>
      <c r="J6164" s="2" t="s">
        <v>51</v>
      </c>
    </row>
    <row r="6165" spans="1:10" ht="21" customHeight="1">
      <c r="A6165" s="2" t="s">
        <v>7168</v>
      </c>
      <c r="B6165" s="2" t="s">
        <v>51</v>
      </c>
      <c r="C6165" s="4">
        <v>45981.25</v>
      </c>
      <c r="D6165" s="4">
        <v>45981.250413865739</v>
      </c>
      <c r="E6165" s="2">
        <v>2.64</v>
      </c>
      <c r="F6165" s="2">
        <v>59</v>
      </c>
      <c r="G6165" s="2" t="s">
        <v>983</v>
      </c>
      <c r="H6165" s="2" t="s">
        <v>984</v>
      </c>
      <c r="I6165" s="2" t="s">
        <v>985</v>
      </c>
      <c r="J6165" s="2" t="s">
        <v>51</v>
      </c>
    </row>
    <row r="6166" spans="1:10" ht="21" customHeight="1">
      <c r="A6166" s="2" t="s">
        <v>7169</v>
      </c>
      <c r="B6166" s="2" t="s">
        <v>51</v>
      </c>
      <c r="C6166" s="4">
        <v>45982.25</v>
      </c>
      <c r="D6166" s="4">
        <v>45982.25028709491</v>
      </c>
      <c r="E6166" s="2">
        <v>3.14</v>
      </c>
      <c r="F6166" s="2">
        <v>61</v>
      </c>
      <c r="G6166" s="2" t="s">
        <v>983</v>
      </c>
      <c r="H6166" s="2" t="s">
        <v>984</v>
      </c>
      <c r="I6166" s="2"/>
      <c r="J6166" s="2" t="s">
        <v>51</v>
      </c>
    </row>
    <row r="6167" spans="1:10" ht="21" customHeight="1">
      <c r="A6167" s="2" t="s">
        <v>7170</v>
      </c>
      <c r="B6167" s="2" t="s">
        <v>51</v>
      </c>
      <c r="C6167" s="4">
        <v>45983.25</v>
      </c>
      <c r="D6167" s="4">
        <v>45983.250353333337</v>
      </c>
      <c r="E6167" s="2">
        <v>2.62</v>
      </c>
      <c r="F6167" s="2">
        <v>63.9</v>
      </c>
      <c r="G6167" s="2" t="s">
        <v>983</v>
      </c>
      <c r="H6167" s="2" t="s">
        <v>984</v>
      </c>
      <c r="I6167" s="2"/>
      <c r="J6167" s="2" t="s">
        <v>51</v>
      </c>
    </row>
    <row r="6168" spans="1:10" ht="21" customHeight="1">
      <c r="A6168" s="2" t="s">
        <v>7171</v>
      </c>
      <c r="B6168" s="2" t="s">
        <v>51</v>
      </c>
      <c r="C6168" s="4">
        <v>45984.25</v>
      </c>
      <c r="D6168" s="4">
        <v>45984.250439004631</v>
      </c>
      <c r="E6168" s="2">
        <v>2.57</v>
      </c>
      <c r="F6168" s="2">
        <v>58.5</v>
      </c>
      <c r="G6168" s="2" t="s">
        <v>983</v>
      </c>
      <c r="H6168" s="2" t="s">
        <v>984</v>
      </c>
      <c r="I6168" s="2"/>
      <c r="J6168" s="2" t="s">
        <v>51</v>
      </c>
    </row>
    <row r="6169" spans="1:10" ht="21" customHeight="1">
      <c r="A6169" s="2" t="s">
        <v>7172</v>
      </c>
      <c r="B6169" s="2" t="s">
        <v>51</v>
      </c>
      <c r="C6169" s="4">
        <v>45985.25</v>
      </c>
      <c r="D6169" s="4">
        <v>45985.250249872683</v>
      </c>
      <c r="E6169" s="2">
        <v>3.02</v>
      </c>
      <c r="F6169" s="2">
        <v>60.3</v>
      </c>
      <c r="G6169" s="2" t="s">
        <v>983</v>
      </c>
      <c r="H6169" s="2" t="s">
        <v>984</v>
      </c>
      <c r="I6169" s="2"/>
      <c r="J6169" s="2" t="s">
        <v>51</v>
      </c>
    </row>
    <row r="6170" spans="1:10" ht="21" customHeight="1">
      <c r="A6170" s="2" t="s">
        <v>7173</v>
      </c>
      <c r="B6170" s="2" t="s">
        <v>51</v>
      </c>
      <c r="C6170" s="4">
        <v>45986.25</v>
      </c>
      <c r="D6170" s="4">
        <v>45986.250226365737</v>
      </c>
      <c r="E6170" s="2">
        <v>3.26</v>
      </c>
      <c r="F6170" s="2">
        <v>63.9</v>
      </c>
      <c r="G6170" s="2" t="s">
        <v>983</v>
      </c>
      <c r="H6170" s="2" t="s">
        <v>984</v>
      </c>
      <c r="I6170" s="2"/>
      <c r="J6170" s="2" t="s">
        <v>51</v>
      </c>
    </row>
    <row r="6171" spans="1:10" ht="21" customHeight="1">
      <c r="A6171" s="2" t="s">
        <v>7174</v>
      </c>
      <c r="B6171" s="2" t="s">
        <v>51</v>
      </c>
      <c r="C6171" s="4">
        <v>45987.25</v>
      </c>
      <c r="D6171" s="4">
        <v>45987.250104999999</v>
      </c>
      <c r="E6171" s="2">
        <v>3.25</v>
      </c>
      <c r="F6171" s="2">
        <v>62.8</v>
      </c>
      <c r="G6171" s="2" t="s">
        <v>983</v>
      </c>
      <c r="H6171" s="2" t="s">
        <v>984</v>
      </c>
      <c r="I6171" s="2"/>
      <c r="J6171" s="2" t="s">
        <v>51</v>
      </c>
    </row>
    <row r="6172" spans="1:10" ht="21" customHeight="1">
      <c r="A6172" s="2" t="s">
        <v>7175</v>
      </c>
      <c r="B6172" s="2" t="s">
        <v>51</v>
      </c>
      <c r="C6172" s="4">
        <v>45988.25</v>
      </c>
      <c r="D6172" s="4">
        <v>45988.250565740746</v>
      </c>
      <c r="E6172" s="2">
        <v>2.1</v>
      </c>
      <c r="F6172" s="2">
        <v>60</v>
      </c>
      <c r="G6172" s="2" t="s">
        <v>983</v>
      </c>
      <c r="H6172" s="2" t="s">
        <v>984</v>
      </c>
      <c r="I6172" s="2"/>
      <c r="J6172" s="2" t="s">
        <v>51</v>
      </c>
    </row>
    <row r="6173" spans="1:10" ht="21" customHeight="1">
      <c r="A6173" s="2" t="s">
        <v>7176</v>
      </c>
      <c r="B6173" s="2" t="s">
        <v>51</v>
      </c>
      <c r="C6173" s="4">
        <v>45989.25</v>
      </c>
      <c r="D6173" s="4">
        <v>45989.250694201386</v>
      </c>
      <c r="E6173" s="2">
        <v>3.16</v>
      </c>
      <c r="F6173" s="2">
        <v>64.5</v>
      </c>
      <c r="G6173" s="2" t="s">
        <v>983</v>
      </c>
      <c r="H6173" s="2" t="s">
        <v>984</v>
      </c>
      <c r="I6173" s="2"/>
      <c r="J6173" s="2" t="s">
        <v>51</v>
      </c>
    </row>
    <row r="6174" spans="1:10" ht="21" customHeight="1">
      <c r="A6174" s="2" t="s">
        <v>7177</v>
      </c>
      <c r="B6174" s="2" t="s">
        <v>51</v>
      </c>
      <c r="C6174" s="4">
        <v>45990.25</v>
      </c>
      <c r="D6174" s="4">
        <v>45990.250347442125</v>
      </c>
      <c r="E6174" s="2">
        <v>2.98</v>
      </c>
      <c r="F6174" s="2">
        <v>61.6</v>
      </c>
      <c r="G6174" s="2" t="s">
        <v>983</v>
      </c>
      <c r="H6174" s="2" t="s">
        <v>984</v>
      </c>
      <c r="I6174" s="2"/>
      <c r="J6174" s="2" t="s">
        <v>51</v>
      </c>
    </row>
    <row r="6175" spans="1:10" ht="21" customHeight="1">
      <c r="A6175" s="2" t="s">
        <v>7178</v>
      </c>
      <c r="B6175" s="2" t="s">
        <v>51</v>
      </c>
      <c r="C6175" s="4">
        <v>45991.25</v>
      </c>
      <c r="D6175" s="4">
        <v>45991.250149050931</v>
      </c>
      <c r="E6175" s="2">
        <v>2.58</v>
      </c>
      <c r="F6175" s="2">
        <v>63.3</v>
      </c>
      <c r="G6175" s="2" t="s">
        <v>983</v>
      </c>
      <c r="H6175" s="2" t="s">
        <v>984</v>
      </c>
      <c r="I6175" s="2"/>
      <c r="J6175" s="2" t="s">
        <v>51</v>
      </c>
    </row>
    <row r="6176" spans="1:10" ht="21" customHeight="1">
      <c r="A6176" s="2" t="s">
        <v>7179</v>
      </c>
      <c r="B6176" s="2" t="s">
        <v>51</v>
      </c>
      <c r="C6176" s="4">
        <v>45992.25</v>
      </c>
      <c r="D6176" s="4">
        <v>45992.250682395832</v>
      </c>
      <c r="E6176" s="2">
        <v>2.1</v>
      </c>
      <c r="F6176" s="2">
        <v>65</v>
      </c>
      <c r="G6176" s="2" t="s">
        <v>983</v>
      </c>
      <c r="H6176" s="2" t="s">
        <v>984</v>
      </c>
      <c r="I6176" s="2"/>
      <c r="J6176" s="2" t="s">
        <v>51</v>
      </c>
    </row>
    <row r="6177" spans="1:10" ht="21" customHeight="1">
      <c r="A6177" s="2" t="s">
        <v>7180</v>
      </c>
      <c r="B6177" s="2" t="s">
        <v>51</v>
      </c>
      <c r="C6177" s="4">
        <v>45993.25</v>
      </c>
      <c r="D6177" s="4">
        <v>45993.25029546296</v>
      </c>
      <c r="E6177" s="2">
        <v>3.04</v>
      </c>
      <c r="F6177" s="2">
        <v>63.6</v>
      </c>
      <c r="G6177" s="2" t="s">
        <v>983</v>
      </c>
      <c r="H6177" s="2" t="s">
        <v>984</v>
      </c>
      <c r="I6177" s="2"/>
      <c r="J6177" s="2" t="s">
        <v>51</v>
      </c>
    </row>
    <row r="6178" spans="1:10" ht="21" customHeight="1">
      <c r="A6178" s="2" t="s">
        <v>7181</v>
      </c>
      <c r="B6178" s="2" t="s">
        <v>51</v>
      </c>
      <c r="C6178" s="4">
        <v>45994.25</v>
      </c>
      <c r="D6178" s="4">
        <v>45994.250081782404</v>
      </c>
      <c r="E6178" s="2">
        <v>2.2999999999999998</v>
      </c>
      <c r="F6178" s="2">
        <v>63.9</v>
      </c>
      <c r="G6178" s="2" t="s">
        <v>983</v>
      </c>
      <c r="H6178" s="2" t="s">
        <v>984</v>
      </c>
      <c r="I6178" s="2"/>
      <c r="J6178" s="2" t="s">
        <v>51</v>
      </c>
    </row>
    <row r="6179" spans="1:10" ht="21" customHeight="1">
      <c r="A6179" s="2" t="s">
        <v>7182</v>
      </c>
      <c r="B6179" s="2" t="s">
        <v>51</v>
      </c>
      <c r="C6179" s="4">
        <v>45995.25</v>
      </c>
      <c r="D6179" s="4">
        <v>45995.250131643523</v>
      </c>
      <c r="E6179" s="2">
        <v>2.4900000000000002</v>
      </c>
      <c r="F6179" s="2">
        <v>59</v>
      </c>
      <c r="G6179" s="2" t="s">
        <v>983</v>
      </c>
      <c r="H6179" s="2" t="s">
        <v>984</v>
      </c>
      <c r="I6179" s="2"/>
      <c r="J6179" s="2" t="s">
        <v>51</v>
      </c>
    </row>
    <row r="6180" spans="1:10" ht="21" customHeight="1">
      <c r="A6180" s="2" t="s">
        <v>7183</v>
      </c>
      <c r="B6180" s="2" t="s">
        <v>51</v>
      </c>
      <c r="C6180" s="4">
        <v>45996.25</v>
      </c>
      <c r="D6180" s="4">
        <v>45996.250325682871</v>
      </c>
      <c r="E6180" s="2">
        <v>2.91</v>
      </c>
      <c r="F6180" s="2">
        <v>65.8</v>
      </c>
      <c r="G6180" s="2" t="s">
        <v>983</v>
      </c>
      <c r="H6180" s="2" t="s">
        <v>984</v>
      </c>
      <c r="I6180" s="2"/>
      <c r="J6180" s="2" t="s">
        <v>51</v>
      </c>
    </row>
    <row r="6181" spans="1:10" ht="21" customHeight="1">
      <c r="A6181" s="2" t="s">
        <v>7184</v>
      </c>
      <c r="B6181" s="2" t="s">
        <v>51</v>
      </c>
      <c r="C6181" s="4">
        <v>45997.25</v>
      </c>
      <c r="D6181" s="4">
        <v>45997.250045277775</v>
      </c>
      <c r="E6181" s="2">
        <v>5.76</v>
      </c>
      <c r="F6181" s="2">
        <v>63.9</v>
      </c>
      <c r="G6181" s="2" t="s">
        <v>983</v>
      </c>
      <c r="H6181" s="2" t="s">
        <v>984</v>
      </c>
      <c r="I6181" s="2"/>
      <c r="J6181" s="2" t="s">
        <v>51</v>
      </c>
    </row>
    <row r="6182" spans="1:10" ht="21" customHeight="1">
      <c r="A6182" s="2" t="s">
        <v>7185</v>
      </c>
      <c r="B6182" s="2" t="s">
        <v>51</v>
      </c>
      <c r="C6182" s="4">
        <v>45998.25</v>
      </c>
      <c r="D6182" s="4">
        <v>45998.250556516199</v>
      </c>
      <c r="E6182" s="2">
        <v>6.24</v>
      </c>
      <c r="F6182" s="2">
        <v>69.8</v>
      </c>
      <c r="G6182" s="2" t="s">
        <v>983</v>
      </c>
      <c r="H6182" s="2" t="s">
        <v>984</v>
      </c>
      <c r="I6182" s="2" t="s">
        <v>1053</v>
      </c>
      <c r="J6182" s="2" t="s">
        <v>51</v>
      </c>
    </row>
    <row r="6183" spans="1:10" ht="21" customHeight="1">
      <c r="A6183" s="2" t="s">
        <v>7186</v>
      </c>
      <c r="B6183" s="2" t="s">
        <v>51</v>
      </c>
      <c r="C6183" s="4">
        <v>45999.25</v>
      </c>
      <c r="D6183" s="4">
        <v>45999.250398819444</v>
      </c>
      <c r="E6183" s="2">
        <v>4.45</v>
      </c>
      <c r="F6183" s="2">
        <v>75.900000000000006</v>
      </c>
      <c r="G6183" s="2" t="s">
        <v>983</v>
      </c>
      <c r="H6183" s="2" t="s">
        <v>984</v>
      </c>
      <c r="I6183" s="2"/>
      <c r="J6183" s="2" t="s">
        <v>51</v>
      </c>
    </row>
    <row r="6184" spans="1:10" ht="21" customHeight="1">
      <c r="A6184" s="2" t="s">
        <v>7187</v>
      </c>
      <c r="B6184" s="2" t="s">
        <v>51</v>
      </c>
      <c r="C6184" s="4">
        <v>46000.25</v>
      </c>
      <c r="D6184" s="4">
        <v>46000.25011228009</v>
      </c>
      <c r="E6184" s="2">
        <v>0</v>
      </c>
      <c r="F6184" s="2">
        <v>63.5</v>
      </c>
      <c r="G6184" s="2" t="s">
        <v>1175</v>
      </c>
      <c r="H6184" s="2" t="s">
        <v>984</v>
      </c>
      <c r="I6184" s="2"/>
      <c r="J6184" s="2" t="s">
        <v>51</v>
      </c>
    </row>
    <row r="6185" spans="1:10" ht="21" customHeight="1">
      <c r="A6185" s="2" t="s">
        <v>7188</v>
      </c>
      <c r="B6185" s="2" t="s">
        <v>51</v>
      </c>
      <c r="C6185" s="4">
        <v>46001.25</v>
      </c>
      <c r="D6185" s="4">
        <v>46001.250620856481</v>
      </c>
      <c r="E6185" s="2"/>
      <c r="F6185" s="2"/>
      <c r="G6185" s="2" t="s">
        <v>983</v>
      </c>
      <c r="H6185" s="2" t="s">
        <v>1066</v>
      </c>
      <c r="I6185" s="2"/>
      <c r="J6185" s="2" t="s">
        <v>51</v>
      </c>
    </row>
    <row r="6186" spans="1:10" ht="21" customHeight="1">
      <c r="A6186" s="2" t="s">
        <v>7189</v>
      </c>
      <c r="B6186" s="2" t="s">
        <v>51</v>
      </c>
      <c r="C6186" s="4">
        <v>46002.25</v>
      </c>
      <c r="D6186" s="4">
        <v>46002.250202905096</v>
      </c>
      <c r="E6186" s="2">
        <v>2.71</v>
      </c>
      <c r="F6186" s="2">
        <v>60.5</v>
      </c>
      <c r="G6186" s="2" t="s">
        <v>983</v>
      </c>
      <c r="H6186" s="2" t="s">
        <v>984</v>
      </c>
      <c r="I6186" s="2"/>
      <c r="J6186" s="2" t="s">
        <v>51</v>
      </c>
    </row>
    <row r="6187" spans="1:10" ht="21" customHeight="1">
      <c r="A6187" s="2" t="s">
        <v>7190</v>
      </c>
      <c r="B6187" s="2" t="s">
        <v>51</v>
      </c>
      <c r="C6187" s="4">
        <v>46003.25</v>
      </c>
      <c r="D6187" s="4">
        <v>46003.250439756943</v>
      </c>
      <c r="E6187" s="2">
        <v>2.2200000000000002</v>
      </c>
      <c r="F6187" s="2">
        <v>63.7</v>
      </c>
      <c r="G6187" s="2" t="s">
        <v>983</v>
      </c>
      <c r="H6187" s="2" t="s">
        <v>984</v>
      </c>
      <c r="I6187" s="2"/>
      <c r="J6187" s="2" t="s">
        <v>51</v>
      </c>
    </row>
    <row r="6188" spans="1:10" ht="21" customHeight="1">
      <c r="A6188" s="2" t="s">
        <v>7191</v>
      </c>
      <c r="B6188" s="2" t="s">
        <v>51</v>
      </c>
      <c r="C6188" s="4">
        <v>46004.25</v>
      </c>
      <c r="D6188" s="4">
        <v>46004.250189618055</v>
      </c>
      <c r="E6188" s="2">
        <v>2.23</v>
      </c>
      <c r="F6188" s="2">
        <v>63.4</v>
      </c>
      <c r="G6188" s="2" t="s">
        <v>983</v>
      </c>
      <c r="H6188" s="2" t="s">
        <v>984</v>
      </c>
      <c r="I6188" s="2"/>
      <c r="J6188" s="2" t="s">
        <v>51</v>
      </c>
    </row>
    <row r="6189" spans="1:10" ht="21" customHeight="1">
      <c r="A6189" s="2" t="s">
        <v>7192</v>
      </c>
      <c r="B6189" s="2" t="s">
        <v>51</v>
      </c>
      <c r="C6189" s="4">
        <v>46005.25</v>
      </c>
      <c r="D6189" s="4">
        <v>46005.250365104162</v>
      </c>
      <c r="E6189" s="2">
        <v>3.02</v>
      </c>
      <c r="F6189" s="2">
        <v>63.2</v>
      </c>
      <c r="G6189" s="2" t="s">
        <v>983</v>
      </c>
      <c r="H6189" s="2" t="s">
        <v>984</v>
      </c>
      <c r="I6189" s="2"/>
      <c r="J6189" s="2" t="s">
        <v>51</v>
      </c>
    </row>
    <row r="6190" spans="1:10" ht="21" customHeight="1">
      <c r="A6190" s="2" t="s">
        <v>7193</v>
      </c>
      <c r="B6190" s="2" t="s">
        <v>51</v>
      </c>
      <c r="C6190" s="4">
        <v>46006.25</v>
      </c>
      <c r="D6190" s="4">
        <v>46006.250317662038</v>
      </c>
      <c r="E6190" s="2">
        <v>3</v>
      </c>
      <c r="F6190" s="2">
        <v>61</v>
      </c>
      <c r="G6190" s="2" t="s">
        <v>983</v>
      </c>
      <c r="H6190" s="2" t="s">
        <v>984</v>
      </c>
      <c r="I6190" s="2"/>
      <c r="J6190" s="2" t="s">
        <v>51</v>
      </c>
    </row>
    <row r="6191" spans="1:10" ht="21" customHeight="1">
      <c r="A6191" s="2" t="s">
        <v>7194</v>
      </c>
      <c r="B6191" s="2" t="s">
        <v>51</v>
      </c>
      <c r="C6191" s="4">
        <v>46007.25</v>
      </c>
      <c r="D6191" s="4">
        <v>46007.250039085644</v>
      </c>
      <c r="E6191" s="2">
        <v>3.12</v>
      </c>
      <c r="F6191" s="2">
        <v>59.8</v>
      </c>
      <c r="G6191" s="2" t="s">
        <v>983</v>
      </c>
      <c r="H6191" s="2" t="s">
        <v>984</v>
      </c>
      <c r="I6191" s="2"/>
      <c r="J6191" s="2" t="s">
        <v>51</v>
      </c>
    </row>
    <row r="6192" spans="1:10" ht="21" customHeight="1">
      <c r="A6192" s="2" t="s">
        <v>7195</v>
      </c>
      <c r="B6192" s="2" t="s">
        <v>51</v>
      </c>
      <c r="C6192" s="4">
        <v>46008.25</v>
      </c>
      <c r="D6192" s="4">
        <v>46008.250630162038</v>
      </c>
      <c r="E6192" s="2">
        <v>2.86</v>
      </c>
      <c r="F6192" s="2">
        <v>58.5</v>
      </c>
      <c r="G6192" s="2" t="s">
        <v>983</v>
      </c>
      <c r="H6192" s="2" t="s">
        <v>984</v>
      </c>
      <c r="I6192" s="2"/>
      <c r="J6192" s="2" t="s">
        <v>51</v>
      </c>
    </row>
    <row r="6193" spans="1:10" ht="21" customHeight="1">
      <c r="A6193" s="2" t="s">
        <v>7196</v>
      </c>
      <c r="B6193" s="2" t="s">
        <v>6868</v>
      </c>
      <c r="C6193" s="4">
        <v>46009.25</v>
      </c>
      <c r="D6193" s="4">
        <v>46009.250612731485</v>
      </c>
      <c r="E6193" s="2">
        <v>3.13</v>
      </c>
      <c r="F6193" s="2">
        <v>58.7</v>
      </c>
      <c r="G6193" s="2" t="s">
        <v>983</v>
      </c>
      <c r="H6193" s="2" t="s">
        <v>984</v>
      </c>
      <c r="I6193" s="2"/>
      <c r="J6193" s="2" t="s">
        <v>51</v>
      </c>
    </row>
    <row r="6194" spans="1:10" ht="21" customHeight="1">
      <c r="A6194" s="2" t="s">
        <v>7197</v>
      </c>
      <c r="B6194" s="2" t="s">
        <v>51</v>
      </c>
      <c r="C6194" s="4">
        <v>46010.25</v>
      </c>
      <c r="D6194" s="4">
        <v>46010.250663692132</v>
      </c>
      <c r="E6194" s="2">
        <v>3.21</v>
      </c>
      <c r="F6194" s="2">
        <v>64.8</v>
      </c>
      <c r="G6194" s="2" t="s">
        <v>983</v>
      </c>
      <c r="H6194" s="2" t="s">
        <v>984</v>
      </c>
      <c r="I6194" s="2"/>
      <c r="J6194" s="2" t="s">
        <v>51</v>
      </c>
    </row>
    <row r="6195" spans="1:10" ht="21" customHeight="1">
      <c r="A6195" s="2" t="s">
        <v>7198</v>
      </c>
      <c r="B6195" s="2" t="s">
        <v>51</v>
      </c>
      <c r="C6195" s="4">
        <v>46011.25</v>
      </c>
      <c r="D6195" s="4">
        <v>46011.250655127311</v>
      </c>
      <c r="E6195" s="2">
        <v>2.96</v>
      </c>
      <c r="F6195" s="2">
        <v>58.1</v>
      </c>
      <c r="G6195" s="2" t="s">
        <v>983</v>
      </c>
      <c r="H6195" s="2" t="s">
        <v>984</v>
      </c>
      <c r="I6195" s="2"/>
      <c r="J6195" s="2" t="s">
        <v>51</v>
      </c>
    </row>
    <row r="6196" spans="1:10" ht="21" customHeight="1">
      <c r="A6196" s="2" t="s">
        <v>7199</v>
      </c>
      <c r="B6196" s="2" t="s">
        <v>51</v>
      </c>
      <c r="C6196" s="4">
        <v>46012.25</v>
      </c>
      <c r="D6196" s="4">
        <v>46012.250074074072</v>
      </c>
      <c r="E6196" s="2">
        <v>3.29</v>
      </c>
      <c r="F6196" s="2">
        <v>64.900000000000006</v>
      </c>
      <c r="G6196" s="2" t="s">
        <v>983</v>
      </c>
      <c r="H6196" s="2" t="s">
        <v>984</v>
      </c>
      <c r="I6196" s="2"/>
      <c r="J6196" s="2" t="s">
        <v>51</v>
      </c>
    </row>
    <row r="6197" spans="1:10" ht="21" customHeight="1">
      <c r="A6197" s="2" t="s">
        <v>7200</v>
      </c>
      <c r="B6197" s="2" t="s">
        <v>51</v>
      </c>
      <c r="C6197" s="4">
        <v>46013.25</v>
      </c>
      <c r="D6197" s="4">
        <v>46013.25064189815</v>
      </c>
      <c r="E6197" s="2">
        <v>3.25</v>
      </c>
      <c r="F6197" s="2">
        <v>59.3</v>
      </c>
      <c r="G6197" s="2" t="s">
        <v>983</v>
      </c>
      <c r="H6197" s="2" t="s">
        <v>984</v>
      </c>
      <c r="I6197" s="2"/>
      <c r="J6197" s="2" t="s">
        <v>51</v>
      </c>
    </row>
    <row r="6198" spans="1:10" ht="21" customHeight="1">
      <c r="A6198" s="2" t="s">
        <v>7201</v>
      </c>
      <c r="B6198" s="2" t="s">
        <v>51</v>
      </c>
      <c r="C6198" s="4">
        <v>46014.25</v>
      </c>
      <c r="D6198" s="4">
        <v>46014.250363310188</v>
      </c>
      <c r="E6198" s="2">
        <v>2.89</v>
      </c>
      <c r="F6198" s="2">
        <v>59.6</v>
      </c>
      <c r="G6198" s="2" t="s">
        <v>983</v>
      </c>
      <c r="H6198" s="2" t="s">
        <v>984</v>
      </c>
      <c r="I6198" s="2"/>
      <c r="J6198" s="2" t="s">
        <v>51</v>
      </c>
    </row>
    <row r="6199" spans="1:10" ht="21" customHeight="1">
      <c r="A6199" s="2" t="s">
        <v>7202</v>
      </c>
      <c r="B6199" s="2" t="s">
        <v>51</v>
      </c>
      <c r="C6199" s="4">
        <v>46015.25</v>
      </c>
      <c r="D6199" s="4">
        <v>46015.250153425921</v>
      </c>
      <c r="E6199" s="2">
        <v>2.79</v>
      </c>
      <c r="F6199" s="2">
        <v>58.2</v>
      </c>
      <c r="G6199" s="2" t="s">
        <v>983</v>
      </c>
      <c r="H6199" s="2" t="s">
        <v>984</v>
      </c>
      <c r="I6199" s="2" t="s">
        <v>985</v>
      </c>
      <c r="J6199" s="2" t="s">
        <v>51</v>
      </c>
    </row>
    <row r="6200" spans="1:10" ht="21" customHeight="1">
      <c r="A6200" s="2" t="s">
        <v>7203</v>
      </c>
      <c r="B6200" s="2" t="s">
        <v>51</v>
      </c>
      <c r="C6200" s="4">
        <v>46016.25</v>
      </c>
      <c r="D6200" s="4">
        <v>46016.250083194449</v>
      </c>
      <c r="E6200" s="2">
        <v>2.2200000000000002</v>
      </c>
      <c r="F6200" s="2">
        <v>58.6</v>
      </c>
      <c r="G6200" s="2" t="s">
        <v>983</v>
      </c>
      <c r="H6200" s="2" t="s">
        <v>984</v>
      </c>
      <c r="I6200" s="2"/>
      <c r="J6200" s="2" t="s">
        <v>51</v>
      </c>
    </row>
    <row r="6201" spans="1:10" ht="21" customHeight="1">
      <c r="A6201" s="2" t="s">
        <v>7204</v>
      </c>
      <c r="B6201" s="2" t="s">
        <v>51</v>
      </c>
      <c r="C6201" s="4">
        <v>46017.25</v>
      </c>
      <c r="D6201" s="4">
        <v>46017.250400069446</v>
      </c>
      <c r="E6201" s="2">
        <v>3.02</v>
      </c>
      <c r="F6201" s="2">
        <v>64.7</v>
      </c>
      <c r="G6201" s="2" t="s">
        <v>983</v>
      </c>
      <c r="H6201" s="2" t="s">
        <v>984</v>
      </c>
      <c r="I6201" s="2"/>
      <c r="J6201" s="2" t="s">
        <v>51</v>
      </c>
    </row>
    <row r="6202" spans="1:10" ht="21" customHeight="1">
      <c r="A6202" s="2" t="s">
        <v>7205</v>
      </c>
      <c r="B6202" s="2" t="s">
        <v>51</v>
      </c>
      <c r="C6202" s="4">
        <v>46018.25</v>
      </c>
      <c r="D6202" s="4">
        <v>46018.250132025467</v>
      </c>
      <c r="E6202" s="2">
        <v>2.16</v>
      </c>
      <c r="F6202" s="2">
        <v>66</v>
      </c>
      <c r="G6202" s="2" t="s">
        <v>983</v>
      </c>
      <c r="H6202" s="2" t="s">
        <v>984</v>
      </c>
      <c r="I6202" s="2"/>
      <c r="J6202" s="2" t="s">
        <v>51</v>
      </c>
    </row>
    <row r="6203" spans="1:10" ht="21" customHeight="1">
      <c r="A6203" s="2" t="s">
        <v>7206</v>
      </c>
      <c r="B6203" s="2" t="s">
        <v>51</v>
      </c>
      <c r="C6203" s="4">
        <v>46019.25</v>
      </c>
      <c r="D6203" s="4">
        <v>46019.2506440625</v>
      </c>
      <c r="E6203" s="2">
        <v>2.56</v>
      </c>
      <c r="F6203" s="2">
        <v>60.3</v>
      </c>
      <c r="G6203" s="2" t="s">
        <v>983</v>
      </c>
      <c r="H6203" s="2" t="s">
        <v>984</v>
      </c>
      <c r="I6203" s="2"/>
      <c r="J6203" s="2" t="s">
        <v>51</v>
      </c>
    </row>
    <row r="6204" spans="1:10" ht="21" customHeight="1">
      <c r="A6204" s="2" t="s">
        <v>7207</v>
      </c>
      <c r="B6204" s="2" t="s">
        <v>51</v>
      </c>
      <c r="C6204" s="4">
        <v>46020.25</v>
      </c>
      <c r="D6204" s="4">
        <v>46020.250068518522</v>
      </c>
      <c r="E6204" s="2">
        <v>2.37</v>
      </c>
      <c r="F6204" s="2">
        <v>63.2</v>
      </c>
      <c r="G6204" s="2" t="s">
        <v>983</v>
      </c>
      <c r="H6204" s="2" t="s">
        <v>984</v>
      </c>
      <c r="I6204" s="2"/>
      <c r="J6204" s="2" t="s">
        <v>51</v>
      </c>
    </row>
    <row r="6205" spans="1:10" ht="21" customHeight="1">
      <c r="A6205" s="2" t="s">
        <v>7208</v>
      </c>
      <c r="B6205" s="2" t="s">
        <v>51</v>
      </c>
      <c r="C6205" s="4">
        <v>46021.25</v>
      </c>
      <c r="D6205" s="4">
        <v>46021.250029988427</v>
      </c>
      <c r="E6205" s="2">
        <v>2.65</v>
      </c>
      <c r="F6205" s="2">
        <v>58.3</v>
      </c>
      <c r="G6205" s="2" t="s">
        <v>983</v>
      </c>
      <c r="H6205" s="2" t="s">
        <v>984</v>
      </c>
      <c r="I6205" s="2"/>
      <c r="J6205" s="2" t="s">
        <v>51</v>
      </c>
    </row>
    <row r="6206" spans="1:10" ht="21" customHeight="1">
      <c r="A6206" s="2" t="s">
        <v>7209</v>
      </c>
      <c r="B6206" s="2" t="s">
        <v>51</v>
      </c>
      <c r="C6206" s="4">
        <v>46022.25</v>
      </c>
      <c r="D6206" s="4">
        <v>46022.25064460648</v>
      </c>
      <c r="E6206" s="2">
        <v>2.95</v>
      </c>
      <c r="F6206" s="2">
        <v>64.400000000000006</v>
      </c>
      <c r="G6206" s="2" t="s">
        <v>983</v>
      </c>
      <c r="H6206" s="2" t="s">
        <v>984</v>
      </c>
      <c r="I6206" s="2"/>
      <c r="J6206" s="2" t="s">
        <v>51</v>
      </c>
    </row>
    <row r="6207" spans="1:10" ht="21" customHeight="1">
      <c r="A6207" s="2" t="s">
        <v>7210</v>
      </c>
      <c r="B6207" s="2" t="s">
        <v>52</v>
      </c>
      <c r="C6207" s="4">
        <v>45658.25</v>
      </c>
      <c r="D6207" s="4">
        <v>45658.250024583336</v>
      </c>
      <c r="E6207" s="2">
        <v>3.18</v>
      </c>
      <c r="F6207" s="2">
        <v>74.8</v>
      </c>
      <c r="G6207" s="2" t="s">
        <v>983</v>
      </c>
      <c r="H6207" s="2" t="s">
        <v>984</v>
      </c>
      <c r="I6207" s="2" t="s">
        <v>985</v>
      </c>
      <c r="J6207" s="2" t="s">
        <v>52</v>
      </c>
    </row>
    <row r="6208" spans="1:10" ht="21" customHeight="1">
      <c r="A6208" s="2" t="s">
        <v>7211</v>
      </c>
      <c r="B6208" s="2" t="s">
        <v>52</v>
      </c>
      <c r="C6208" s="4">
        <v>45659.25</v>
      </c>
      <c r="D6208" s="4">
        <v>45659.250454085646</v>
      </c>
      <c r="E6208" s="2">
        <v>3.8</v>
      </c>
      <c r="F6208" s="2">
        <v>78.8</v>
      </c>
      <c r="G6208" s="2" t="s">
        <v>983</v>
      </c>
      <c r="H6208" s="2" t="s">
        <v>984</v>
      </c>
      <c r="I6208" s="2"/>
      <c r="J6208" s="2" t="s">
        <v>52</v>
      </c>
    </row>
    <row r="6209" spans="1:10" ht="21" customHeight="1">
      <c r="A6209" s="2" t="s">
        <v>7212</v>
      </c>
      <c r="B6209" s="2" t="s">
        <v>52</v>
      </c>
      <c r="C6209" s="4">
        <v>45660.25</v>
      </c>
      <c r="D6209" s="4">
        <v>45660.250098935183</v>
      </c>
      <c r="E6209" s="2">
        <v>3.72</v>
      </c>
      <c r="F6209" s="2">
        <v>77.7</v>
      </c>
      <c r="G6209" s="2" t="s">
        <v>983</v>
      </c>
      <c r="H6209" s="2" t="s">
        <v>984</v>
      </c>
      <c r="I6209" s="2"/>
      <c r="J6209" s="2" t="s">
        <v>52</v>
      </c>
    </row>
    <row r="6210" spans="1:10" ht="21" customHeight="1">
      <c r="A6210" s="2" t="s">
        <v>7213</v>
      </c>
      <c r="B6210" s="2" t="s">
        <v>52</v>
      </c>
      <c r="C6210" s="4">
        <v>45661.25</v>
      </c>
      <c r="D6210" s="4">
        <v>45661.250332349533</v>
      </c>
      <c r="E6210" s="2">
        <v>2.84</v>
      </c>
      <c r="F6210" s="2">
        <v>76.900000000000006</v>
      </c>
      <c r="G6210" s="2" t="s">
        <v>983</v>
      </c>
      <c r="H6210" s="2" t="s">
        <v>984</v>
      </c>
      <c r="I6210" s="2"/>
      <c r="J6210" s="2" t="s">
        <v>52</v>
      </c>
    </row>
    <row r="6211" spans="1:10" ht="21" customHeight="1">
      <c r="A6211" s="2" t="s">
        <v>7214</v>
      </c>
      <c r="B6211" s="2" t="s">
        <v>52</v>
      </c>
      <c r="C6211" s="4">
        <v>45662.25</v>
      </c>
      <c r="D6211" s="4">
        <v>45662.250051909723</v>
      </c>
      <c r="E6211" s="2">
        <v>3.19</v>
      </c>
      <c r="F6211" s="2">
        <v>73.599999999999994</v>
      </c>
      <c r="G6211" s="2" t="s">
        <v>983</v>
      </c>
      <c r="H6211" s="2" t="s">
        <v>984</v>
      </c>
      <c r="I6211" s="2"/>
      <c r="J6211" s="2" t="s">
        <v>52</v>
      </c>
    </row>
    <row r="6212" spans="1:10" ht="21" customHeight="1">
      <c r="A6212" s="2" t="s">
        <v>7215</v>
      </c>
      <c r="B6212" s="2" t="s">
        <v>52</v>
      </c>
      <c r="C6212" s="4">
        <v>45663.25</v>
      </c>
      <c r="D6212" s="4">
        <v>45663.250676585652</v>
      </c>
      <c r="E6212" s="2">
        <v>3.88</v>
      </c>
      <c r="F6212" s="2">
        <v>76.7</v>
      </c>
      <c r="G6212" s="2" t="s">
        <v>983</v>
      </c>
      <c r="H6212" s="2" t="s">
        <v>984</v>
      </c>
      <c r="I6212" s="2"/>
      <c r="J6212" s="2" t="s">
        <v>52</v>
      </c>
    </row>
    <row r="6213" spans="1:10" ht="21" customHeight="1">
      <c r="A6213" s="2" t="s">
        <v>7216</v>
      </c>
      <c r="B6213" s="2" t="s">
        <v>52</v>
      </c>
      <c r="C6213" s="4">
        <v>45664.25</v>
      </c>
      <c r="D6213" s="4">
        <v>45664.250401979167</v>
      </c>
      <c r="E6213" s="2">
        <v>6.15</v>
      </c>
      <c r="F6213" s="2">
        <v>77.8</v>
      </c>
      <c r="G6213" s="2" t="s">
        <v>983</v>
      </c>
      <c r="H6213" s="2" t="s">
        <v>984</v>
      </c>
      <c r="I6213" s="2" t="s">
        <v>1053</v>
      </c>
      <c r="J6213" s="2" t="s">
        <v>52</v>
      </c>
    </row>
    <row r="6214" spans="1:10" ht="21" customHeight="1">
      <c r="A6214" s="2" t="s">
        <v>7217</v>
      </c>
      <c r="B6214" s="2" t="s">
        <v>52</v>
      </c>
      <c r="C6214" s="4">
        <v>45665.25</v>
      </c>
      <c r="D6214" s="4">
        <v>45665.250084085652</v>
      </c>
      <c r="E6214" s="2">
        <v>6.31</v>
      </c>
      <c r="F6214" s="2">
        <v>85.2</v>
      </c>
      <c r="G6214" s="2" t="s">
        <v>983</v>
      </c>
      <c r="H6214" s="2" t="s">
        <v>984</v>
      </c>
      <c r="I6214" s="2"/>
      <c r="J6214" s="2" t="s">
        <v>52</v>
      </c>
    </row>
    <row r="6215" spans="1:10" ht="21" customHeight="1">
      <c r="A6215" s="2" t="s">
        <v>7218</v>
      </c>
      <c r="B6215" s="2" t="s">
        <v>52</v>
      </c>
      <c r="C6215" s="4">
        <v>45666.25</v>
      </c>
      <c r="D6215" s="4">
        <v>45666.250400578705</v>
      </c>
      <c r="E6215" s="2">
        <v>7.46</v>
      </c>
      <c r="F6215" s="2">
        <v>85.2</v>
      </c>
      <c r="G6215" s="2" t="s">
        <v>983</v>
      </c>
      <c r="H6215" s="2" t="s">
        <v>984</v>
      </c>
      <c r="I6215" s="2" t="s">
        <v>1053</v>
      </c>
      <c r="J6215" s="2" t="s">
        <v>52</v>
      </c>
    </row>
    <row r="6216" spans="1:10" ht="21" customHeight="1">
      <c r="A6216" s="2" t="s">
        <v>7219</v>
      </c>
      <c r="B6216" s="2" t="s">
        <v>52</v>
      </c>
      <c r="C6216" s="4">
        <v>45667.25</v>
      </c>
      <c r="D6216" s="4">
        <v>45667.250599108796</v>
      </c>
      <c r="E6216" s="2">
        <v>0</v>
      </c>
      <c r="F6216" s="2">
        <v>79.2</v>
      </c>
      <c r="G6216" s="2" t="s">
        <v>1175</v>
      </c>
      <c r="H6216" s="2" t="s">
        <v>1022</v>
      </c>
      <c r="I6216" s="2"/>
      <c r="J6216" s="2" t="s">
        <v>52</v>
      </c>
    </row>
    <row r="6217" spans="1:10" ht="21" customHeight="1">
      <c r="A6217" s="2" t="s">
        <v>7220</v>
      </c>
      <c r="B6217" s="2" t="s">
        <v>52</v>
      </c>
      <c r="C6217" s="4">
        <v>45668.25</v>
      </c>
      <c r="D6217" s="4">
        <v>45668.25044635417</v>
      </c>
      <c r="E6217" s="2">
        <v>3.07</v>
      </c>
      <c r="F6217" s="2">
        <v>79.5</v>
      </c>
      <c r="G6217" s="2" t="s">
        <v>983</v>
      </c>
      <c r="H6217" s="2" t="s">
        <v>984</v>
      </c>
      <c r="I6217" s="2"/>
      <c r="J6217" s="2" t="s">
        <v>52</v>
      </c>
    </row>
    <row r="6218" spans="1:10" ht="21" customHeight="1">
      <c r="A6218" s="2" t="s">
        <v>7221</v>
      </c>
      <c r="B6218" s="2" t="s">
        <v>52</v>
      </c>
      <c r="C6218" s="4">
        <v>45669.25</v>
      </c>
      <c r="D6218" s="4">
        <v>45669.250522546296</v>
      </c>
      <c r="E6218" s="2">
        <v>3.73</v>
      </c>
      <c r="F6218" s="2">
        <v>76.7</v>
      </c>
      <c r="G6218" s="2" t="s">
        <v>983</v>
      </c>
      <c r="H6218" s="2" t="s">
        <v>984</v>
      </c>
      <c r="I6218" s="2"/>
      <c r="J6218" s="2" t="s">
        <v>52</v>
      </c>
    </row>
    <row r="6219" spans="1:10" ht="21" customHeight="1">
      <c r="A6219" s="2" t="s">
        <v>7222</v>
      </c>
      <c r="B6219" s="2" t="s">
        <v>52</v>
      </c>
      <c r="C6219" s="4">
        <v>45670.25</v>
      </c>
      <c r="D6219" s="4">
        <v>45670.25009710648</v>
      </c>
      <c r="E6219" s="2"/>
      <c r="F6219" s="2"/>
      <c r="G6219" s="2" t="s">
        <v>983</v>
      </c>
      <c r="H6219" s="2" t="s">
        <v>1066</v>
      </c>
      <c r="I6219" s="2"/>
      <c r="J6219" s="2" t="s">
        <v>52</v>
      </c>
    </row>
    <row r="6220" spans="1:10" ht="21" customHeight="1">
      <c r="A6220" s="2" t="s">
        <v>7223</v>
      </c>
      <c r="B6220" s="2" t="s">
        <v>52</v>
      </c>
      <c r="C6220" s="4">
        <v>45671.25</v>
      </c>
      <c r="D6220" s="4">
        <v>45671.250108182867</v>
      </c>
      <c r="E6220" s="2">
        <v>2.93</v>
      </c>
      <c r="F6220" s="2">
        <v>73.400000000000006</v>
      </c>
      <c r="G6220" s="2" t="s">
        <v>983</v>
      </c>
      <c r="H6220" s="2" t="s">
        <v>984</v>
      </c>
      <c r="I6220" s="2"/>
      <c r="J6220" s="2" t="s">
        <v>52</v>
      </c>
    </row>
    <row r="6221" spans="1:10" ht="21" customHeight="1">
      <c r="A6221" s="2" t="s">
        <v>7224</v>
      </c>
      <c r="B6221" s="2" t="s">
        <v>52</v>
      </c>
      <c r="C6221" s="4">
        <v>45672.25</v>
      </c>
      <c r="D6221" s="4">
        <v>45672.25042413194</v>
      </c>
      <c r="E6221" s="2">
        <v>3.69</v>
      </c>
      <c r="F6221" s="2">
        <v>75.7</v>
      </c>
      <c r="G6221" s="2" t="s">
        <v>983</v>
      </c>
      <c r="H6221" s="2" t="s">
        <v>984</v>
      </c>
      <c r="I6221" s="2"/>
      <c r="J6221" s="2" t="s">
        <v>52</v>
      </c>
    </row>
    <row r="6222" spans="1:10" ht="21" customHeight="1">
      <c r="A6222" s="2" t="s">
        <v>7225</v>
      </c>
      <c r="B6222" s="2" t="s">
        <v>52</v>
      </c>
      <c r="C6222" s="4">
        <v>45673.25</v>
      </c>
      <c r="D6222" s="4">
        <v>45673.250372060182</v>
      </c>
      <c r="E6222" s="2">
        <v>3.1</v>
      </c>
      <c r="F6222" s="2">
        <v>78.400000000000006</v>
      </c>
      <c r="G6222" s="2" t="s">
        <v>983</v>
      </c>
      <c r="H6222" s="2" t="s">
        <v>984</v>
      </c>
      <c r="I6222" s="2"/>
      <c r="J6222" s="2" t="s">
        <v>52</v>
      </c>
    </row>
    <row r="6223" spans="1:10" ht="21" customHeight="1">
      <c r="A6223" s="2" t="s">
        <v>7226</v>
      </c>
      <c r="B6223" s="2" t="s">
        <v>52</v>
      </c>
      <c r="C6223" s="4">
        <v>45674.25</v>
      </c>
      <c r="D6223" s="4">
        <v>45674.250235069441</v>
      </c>
      <c r="E6223" s="2">
        <v>3.83</v>
      </c>
      <c r="F6223" s="2">
        <v>79.5</v>
      </c>
      <c r="G6223" s="2" t="s">
        <v>983</v>
      </c>
      <c r="H6223" s="2" t="s">
        <v>984</v>
      </c>
      <c r="I6223" s="2"/>
      <c r="J6223" s="2" t="s">
        <v>52</v>
      </c>
    </row>
    <row r="6224" spans="1:10" ht="21" customHeight="1">
      <c r="A6224" s="2" t="s">
        <v>7227</v>
      </c>
      <c r="B6224" s="2" t="s">
        <v>52</v>
      </c>
      <c r="C6224" s="4">
        <v>45675.25</v>
      </c>
      <c r="D6224" s="4">
        <v>45675.250648229165</v>
      </c>
      <c r="E6224" s="2">
        <v>3.32</v>
      </c>
      <c r="F6224" s="2">
        <v>74.2</v>
      </c>
      <c r="G6224" s="2" t="s">
        <v>983</v>
      </c>
      <c r="H6224" s="2" t="s">
        <v>984</v>
      </c>
      <c r="I6224" s="2" t="s">
        <v>985</v>
      </c>
      <c r="J6224" s="2" t="s">
        <v>52</v>
      </c>
    </row>
    <row r="6225" spans="1:10" ht="21" customHeight="1">
      <c r="A6225" s="2" t="s">
        <v>7228</v>
      </c>
      <c r="B6225" s="2" t="s">
        <v>52</v>
      </c>
      <c r="C6225" s="4">
        <v>45676.25</v>
      </c>
      <c r="D6225" s="4">
        <v>45676.250458761569</v>
      </c>
      <c r="E6225" s="2">
        <v>3</v>
      </c>
      <c r="F6225" s="2">
        <v>77.7</v>
      </c>
      <c r="G6225" s="2" t="s">
        <v>983</v>
      </c>
      <c r="H6225" s="2" t="s">
        <v>984</v>
      </c>
      <c r="I6225" s="2"/>
      <c r="J6225" s="2" t="s">
        <v>52</v>
      </c>
    </row>
    <row r="6226" spans="1:10" ht="21" customHeight="1">
      <c r="A6226" s="2" t="s">
        <v>7229</v>
      </c>
      <c r="B6226" s="2" t="s">
        <v>52</v>
      </c>
      <c r="C6226" s="4">
        <v>45677.25</v>
      </c>
      <c r="D6226" s="4">
        <v>45677.250462858792</v>
      </c>
      <c r="E6226" s="2"/>
      <c r="F6226" s="2"/>
      <c r="G6226" s="2" t="s">
        <v>983</v>
      </c>
      <c r="H6226" s="2" t="s">
        <v>1066</v>
      </c>
      <c r="I6226" s="2"/>
      <c r="J6226" s="2" t="s">
        <v>52</v>
      </c>
    </row>
    <row r="6227" spans="1:10" ht="21" customHeight="1">
      <c r="A6227" s="2" t="s">
        <v>7230</v>
      </c>
      <c r="B6227" s="2" t="s">
        <v>52</v>
      </c>
      <c r="C6227" s="4">
        <v>45678.25</v>
      </c>
      <c r="D6227" s="4">
        <v>45678.250147997685</v>
      </c>
      <c r="E6227" s="2">
        <v>3.45</v>
      </c>
      <c r="F6227" s="2">
        <v>76.5</v>
      </c>
      <c r="G6227" s="2" t="s">
        <v>983</v>
      </c>
      <c r="H6227" s="2" t="s">
        <v>984</v>
      </c>
      <c r="I6227" s="2"/>
      <c r="J6227" s="2" t="s">
        <v>52</v>
      </c>
    </row>
    <row r="6228" spans="1:10" ht="21" customHeight="1">
      <c r="A6228" s="2" t="s">
        <v>7231</v>
      </c>
      <c r="B6228" s="2" t="s">
        <v>52</v>
      </c>
      <c r="C6228" s="4">
        <v>45679.25</v>
      </c>
      <c r="D6228" s="4">
        <v>45679.250050381946</v>
      </c>
      <c r="E6228" s="2">
        <v>2.84</v>
      </c>
      <c r="F6228" s="2">
        <v>79.400000000000006</v>
      </c>
      <c r="G6228" s="2" t="s">
        <v>983</v>
      </c>
      <c r="H6228" s="2" t="s">
        <v>984</v>
      </c>
      <c r="I6228" s="2"/>
      <c r="J6228" s="2" t="s">
        <v>52</v>
      </c>
    </row>
    <row r="6229" spans="1:10" ht="21" customHeight="1">
      <c r="A6229" s="2" t="s">
        <v>7232</v>
      </c>
      <c r="B6229" s="2" t="s">
        <v>52</v>
      </c>
      <c r="C6229" s="4">
        <v>45680.25</v>
      </c>
      <c r="D6229" s="4">
        <v>45680.25016059028</v>
      </c>
      <c r="E6229" s="2">
        <v>3.18</v>
      </c>
      <c r="F6229" s="2">
        <v>80</v>
      </c>
      <c r="G6229" s="2" t="s">
        <v>983</v>
      </c>
      <c r="H6229" s="2" t="s">
        <v>984</v>
      </c>
      <c r="I6229" s="2"/>
      <c r="J6229" s="2" t="s">
        <v>52</v>
      </c>
    </row>
    <row r="6230" spans="1:10" ht="21" customHeight="1">
      <c r="A6230" s="2" t="s">
        <v>7233</v>
      </c>
      <c r="B6230" s="2" t="s">
        <v>52</v>
      </c>
      <c r="C6230" s="4">
        <v>45681.25</v>
      </c>
      <c r="D6230" s="4">
        <v>45681.250580983797</v>
      </c>
      <c r="E6230" s="2">
        <v>3.85</v>
      </c>
      <c r="F6230" s="2">
        <v>73.400000000000006</v>
      </c>
      <c r="G6230" s="2" t="s">
        <v>983</v>
      </c>
      <c r="H6230" s="2" t="s">
        <v>984</v>
      </c>
      <c r="I6230" s="2"/>
      <c r="J6230" s="2" t="s">
        <v>52</v>
      </c>
    </row>
    <row r="6231" spans="1:10" ht="21" customHeight="1">
      <c r="A6231" s="2" t="s">
        <v>7234</v>
      </c>
      <c r="B6231" s="2" t="s">
        <v>52</v>
      </c>
      <c r="C6231" s="4">
        <v>45682.25</v>
      </c>
      <c r="D6231" s="4">
        <v>45682.250302696761</v>
      </c>
      <c r="E6231" s="2">
        <v>20.16</v>
      </c>
      <c r="F6231" s="2">
        <v>74.400000000000006</v>
      </c>
      <c r="G6231" s="2" t="s">
        <v>983</v>
      </c>
      <c r="H6231" s="2" t="s">
        <v>1022</v>
      </c>
      <c r="I6231" s="2"/>
      <c r="J6231" s="2" t="s">
        <v>52</v>
      </c>
    </row>
    <row r="6232" spans="1:10" ht="21" customHeight="1">
      <c r="A6232" s="2" t="s">
        <v>7235</v>
      </c>
      <c r="B6232" s="2" t="s">
        <v>52</v>
      </c>
      <c r="C6232" s="4">
        <v>45683.25</v>
      </c>
      <c r="D6232" s="4">
        <v>45683.250165231482</v>
      </c>
      <c r="E6232" s="2">
        <v>3.97</v>
      </c>
      <c r="F6232" s="2">
        <v>73.7</v>
      </c>
      <c r="G6232" s="2" t="s">
        <v>983</v>
      </c>
      <c r="H6232" s="2" t="s">
        <v>984</v>
      </c>
      <c r="I6232" s="2"/>
      <c r="J6232" s="2" t="s">
        <v>52</v>
      </c>
    </row>
    <row r="6233" spans="1:10" ht="21" customHeight="1">
      <c r="A6233" s="2" t="s">
        <v>7236</v>
      </c>
      <c r="B6233" s="2" t="s">
        <v>52</v>
      </c>
      <c r="C6233" s="4">
        <v>45684.25</v>
      </c>
      <c r="D6233" s="4">
        <v>45684.250404016202</v>
      </c>
      <c r="E6233" s="2">
        <v>2.81</v>
      </c>
      <c r="F6233" s="2">
        <v>76</v>
      </c>
      <c r="G6233" s="2" t="s">
        <v>983</v>
      </c>
      <c r="H6233" s="2" t="s">
        <v>984</v>
      </c>
      <c r="I6233" s="2"/>
      <c r="J6233" s="2" t="s">
        <v>52</v>
      </c>
    </row>
    <row r="6234" spans="1:10" ht="21" customHeight="1">
      <c r="A6234" s="2" t="s">
        <v>7237</v>
      </c>
      <c r="B6234" s="2" t="s">
        <v>7238</v>
      </c>
      <c r="C6234" s="4">
        <v>45685.25</v>
      </c>
      <c r="D6234" s="4">
        <v>45685.250599409723</v>
      </c>
      <c r="E6234" s="2">
        <v>3.38</v>
      </c>
      <c r="F6234" s="2">
        <v>72.8</v>
      </c>
      <c r="G6234" s="2" t="s">
        <v>983</v>
      </c>
      <c r="H6234" s="2" t="s">
        <v>984</v>
      </c>
      <c r="I6234" s="2"/>
      <c r="J6234" s="2" t="s">
        <v>52</v>
      </c>
    </row>
    <row r="6235" spans="1:10" ht="21" customHeight="1">
      <c r="A6235" s="2" t="s">
        <v>7239</v>
      </c>
      <c r="B6235" s="2" t="s">
        <v>52</v>
      </c>
      <c r="C6235" s="4">
        <v>45686.25</v>
      </c>
      <c r="D6235" s="4">
        <v>45686.250435046299</v>
      </c>
      <c r="E6235" s="2">
        <v>3.34</v>
      </c>
      <c r="F6235" s="2">
        <v>73.7</v>
      </c>
      <c r="G6235" s="2" t="s">
        <v>983</v>
      </c>
      <c r="H6235" s="2" t="s">
        <v>984</v>
      </c>
      <c r="I6235" s="2"/>
      <c r="J6235" s="2" t="s">
        <v>52</v>
      </c>
    </row>
    <row r="6236" spans="1:10" ht="21" customHeight="1">
      <c r="A6236" s="2" t="s">
        <v>7240</v>
      </c>
      <c r="B6236" s="2" t="s">
        <v>52</v>
      </c>
      <c r="C6236" s="4">
        <v>45687.25</v>
      </c>
      <c r="D6236" s="4">
        <v>45687.250426979168</v>
      </c>
      <c r="E6236" s="2">
        <v>3.83</v>
      </c>
      <c r="F6236" s="2">
        <v>73.099999999999994</v>
      </c>
      <c r="G6236" s="2" t="s">
        <v>983</v>
      </c>
      <c r="H6236" s="2" t="s">
        <v>984</v>
      </c>
      <c r="I6236" s="2"/>
      <c r="J6236" s="2" t="s">
        <v>52</v>
      </c>
    </row>
    <row r="6237" spans="1:10" ht="21" customHeight="1">
      <c r="A6237" s="2" t="s">
        <v>7241</v>
      </c>
      <c r="B6237" s="2" t="s">
        <v>52</v>
      </c>
      <c r="C6237" s="4">
        <v>45688.25</v>
      </c>
      <c r="D6237" s="4">
        <v>45688.250066446759</v>
      </c>
      <c r="E6237" s="2">
        <v>2.97</v>
      </c>
      <c r="F6237" s="2">
        <v>78.7</v>
      </c>
      <c r="G6237" s="2" t="s">
        <v>983</v>
      </c>
      <c r="H6237" s="2" t="s">
        <v>984</v>
      </c>
      <c r="I6237" s="2"/>
      <c r="J6237" s="2" t="s">
        <v>52</v>
      </c>
    </row>
    <row r="6238" spans="1:10" ht="21" customHeight="1">
      <c r="A6238" s="2" t="s">
        <v>7242</v>
      </c>
      <c r="B6238" s="2" t="s">
        <v>52</v>
      </c>
      <c r="C6238" s="4">
        <v>45689.25</v>
      </c>
      <c r="D6238" s="4">
        <v>45689.25046836806</v>
      </c>
      <c r="E6238" s="2">
        <v>3.43</v>
      </c>
      <c r="F6238" s="2">
        <v>75.900000000000006</v>
      </c>
      <c r="G6238" s="2" t="s">
        <v>983</v>
      </c>
      <c r="H6238" s="2" t="s">
        <v>984</v>
      </c>
      <c r="I6238" s="2"/>
      <c r="J6238" s="2" t="s">
        <v>52</v>
      </c>
    </row>
    <row r="6239" spans="1:10" ht="21" customHeight="1">
      <c r="A6239" s="2" t="s">
        <v>7243</v>
      </c>
      <c r="B6239" s="2" t="s">
        <v>52</v>
      </c>
      <c r="C6239" s="4">
        <v>45690.25</v>
      </c>
      <c r="D6239" s="4">
        <v>45690.250025034722</v>
      </c>
      <c r="E6239" s="2">
        <v>2.9</v>
      </c>
      <c r="F6239" s="2">
        <v>77.599999999999994</v>
      </c>
      <c r="G6239" s="2" t="s">
        <v>983</v>
      </c>
      <c r="H6239" s="2" t="s">
        <v>984</v>
      </c>
      <c r="I6239" s="2"/>
      <c r="J6239" s="2" t="s">
        <v>52</v>
      </c>
    </row>
    <row r="6240" spans="1:10" ht="21" customHeight="1">
      <c r="A6240" s="2" t="s">
        <v>7244</v>
      </c>
      <c r="B6240" s="2" t="s">
        <v>52</v>
      </c>
      <c r="C6240" s="4">
        <v>45691.25</v>
      </c>
      <c r="D6240" s="4">
        <v>45691.250404039354</v>
      </c>
      <c r="E6240" s="2">
        <v>2.92</v>
      </c>
      <c r="F6240" s="2">
        <v>76.7</v>
      </c>
      <c r="G6240" s="2" t="s">
        <v>983</v>
      </c>
      <c r="H6240" s="2" t="s">
        <v>984</v>
      </c>
      <c r="I6240" s="2"/>
      <c r="J6240" s="2" t="s">
        <v>52</v>
      </c>
    </row>
    <row r="6241" spans="1:10" ht="21" customHeight="1">
      <c r="A6241" s="2" t="s">
        <v>7245</v>
      </c>
      <c r="B6241" s="2" t="s">
        <v>52</v>
      </c>
      <c r="C6241" s="4">
        <v>45692.25</v>
      </c>
      <c r="D6241" s="4">
        <v>45692.250409687505</v>
      </c>
      <c r="E6241" s="2">
        <v>6.65</v>
      </c>
      <c r="F6241" s="2">
        <v>81.900000000000006</v>
      </c>
      <c r="G6241" s="2" t="s">
        <v>983</v>
      </c>
      <c r="H6241" s="2" t="s">
        <v>984</v>
      </c>
      <c r="I6241" s="2" t="s">
        <v>1053</v>
      </c>
      <c r="J6241" s="2" t="s">
        <v>52</v>
      </c>
    </row>
    <row r="6242" spans="1:10" ht="21" customHeight="1">
      <c r="A6242" s="2" t="s">
        <v>7246</v>
      </c>
      <c r="B6242" s="2" t="s">
        <v>52</v>
      </c>
      <c r="C6242" s="4">
        <v>45693.25</v>
      </c>
      <c r="D6242" s="4">
        <v>45693.250584363428</v>
      </c>
      <c r="E6242" s="2">
        <v>6.01</v>
      </c>
      <c r="F6242" s="2">
        <v>84.7</v>
      </c>
      <c r="G6242" s="2" t="s">
        <v>983</v>
      </c>
      <c r="H6242" s="2" t="s">
        <v>984</v>
      </c>
      <c r="I6242" s="2"/>
      <c r="J6242" s="2" t="s">
        <v>52</v>
      </c>
    </row>
    <row r="6243" spans="1:10" ht="21" customHeight="1">
      <c r="A6243" s="2" t="s">
        <v>7247</v>
      </c>
      <c r="B6243" s="2" t="s">
        <v>52</v>
      </c>
      <c r="C6243" s="4">
        <v>45694.25</v>
      </c>
      <c r="D6243" s="4">
        <v>45694.250602245374</v>
      </c>
      <c r="E6243" s="2">
        <v>5.83</v>
      </c>
      <c r="F6243" s="2">
        <v>85.1</v>
      </c>
      <c r="G6243" s="2" t="s">
        <v>983</v>
      </c>
      <c r="H6243" s="2" t="s">
        <v>984</v>
      </c>
      <c r="I6243" s="2" t="s">
        <v>1053</v>
      </c>
      <c r="J6243" s="2" t="s">
        <v>52</v>
      </c>
    </row>
    <row r="6244" spans="1:10" ht="21" customHeight="1">
      <c r="A6244" s="2" t="s">
        <v>7248</v>
      </c>
      <c r="B6244" s="2" t="s">
        <v>52</v>
      </c>
      <c r="C6244" s="4">
        <v>45695.25</v>
      </c>
      <c r="D6244" s="4">
        <v>45695.250399282406</v>
      </c>
      <c r="E6244" s="2">
        <v>3.55</v>
      </c>
      <c r="F6244" s="2">
        <v>74.400000000000006</v>
      </c>
      <c r="G6244" s="2" t="s">
        <v>983</v>
      </c>
      <c r="H6244" s="2" t="s">
        <v>984</v>
      </c>
      <c r="I6244" s="2"/>
      <c r="J6244" s="2" t="s">
        <v>52</v>
      </c>
    </row>
    <row r="6245" spans="1:10" ht="21" customHeight="1">
      <c r="A6245" s="2" t="s">
        <v>7249</v>
      </c>
      <c r="B6245" s="2" t="s">
        <v>52</v>
      </c>
      <c r="C6245" s="4">
        <v>45696.25</v>
      </c>
      <c r="D6245" s="4">
        <v>45696.250405266204</v>
      </c>
      <c r="E6245" s="2">
        <v>3.37</v>
      </c>
      <c r="F6245" s="2">
        <v>77.900000000000006</v>
      </c>
      <c r="G6245" s="2" t="s">
        <v>983</v>
      </c>
      <c r="H6245" s="2" t="s">
        <v>984</v>
      </c>
      <c r="I6245" s="2"/>
      <c r="J6245" s="2" t="s">
        <v>52</v>
      </c>
    </row>
    <row r="6246" spans="1:10" ht="21" customHeight="1">
      <c r="A6246" s="2" t="s">
        <v>7250</v>
      </c>
      <c r="B6246" s="2" t="s">
        <v>52</v>
      </c>
      <c r="C6246" s="4">
        <v>45697.25</v>
      </c>
      <c r="D6246" s="4">
        <v>45697.250217650464</v>
      </c>
      <c r="E6246" s="2">
        <v>2.88</v>
      </c>
      <c r="F6246" s="2">
        <v>76.7</v>
      </c>
      <c r="G6246" s="2" t="s">
        <v>983</v>
      </c>
      <c r="H6246" s="2" t="s">
        <v>984</v>
      </c>
      <c r="I6246" s="2"/>
      <c r="J6246" s="2" t="s">
        <v>52</v>
      </c>
    </row>
    <row r="6247" spans="1:10" ht="21" customHeight="1">
      <c r="A6247" s="2" t="s">
        <v>7251</v>
      </c>
      <c r="B6247" s="2" t="s">
        <v>52</v>
      </c>
      <c r="C6247" s="4">
        <v>45698.25</v>
      </c>
      <c r="D6247" s="4">
        <v>45698.250026863425</v>
      </c>
      <c r="E6247" s="2">
        <v>3.44</v>
      </c>
      <c r="F6247" s="2">
        <v>73.3</v>
      </c>
      <c r="G6247" s="2" t="s">
        <v>983</v>
      </c>
      <c r="H6247" s="2" t="s">
        <v>984</v>
      </c>
      <c r="I6247" s="2"/>
      <c r="J6247" s="2" t="s">
        <v>52</v>
      </c>
    </row>
    <row r="6248" spans="1:10" ht="21" customHeight="1">
      <c r="A6248" s="2" t="s">
        <v>7252</v>
      </c>
      <c r="B6248" s="2" t="s">
        <v>52</v>
      </c>
      <c r="C6248" s="4">
        <v>45699.25</v>
      </c>
      <c r="D6248" s="4">
        <v>45699.250108715278</v>
      </c>
      <c r="E6248" s="2">
        <v>3.47</v>
      </c>
      <c r="F6248" s="2">
        <v>74.8</v>
      </c>
      <c r="G6248" s="2" t="s">
        <v>983</v>
      </c>
      <c r="H6248" s="2" t="s">
        <v>984</v>
      </c>
      <c r="I6248" s="2"/>
      <c r="J6248" s="2" t="s">
        <v>52</v>
      </c>
    </row>
    <row r="6249" spans="1:10" ht="21" customHeight="1">
      <c r="A6249" s="2" t="s">
        <v>7253</v>
      </c>
      <c r="B6249" s="2" t="s">
        <v>52</v>
      </c>
      <c r="C6249" s="4">
        <v>45700.25</v>
      </c>
      <c r="D6249" s="4">
        <v>45700.250024606481</v>
      </c>
      <c r="E6249" s="2">
        <v>3.03</v>
      </c>
      <c r="F6249" s="2">
        <v>77.3</v>
      </c>
      <c r="G6249" s="2" t="s">
        <v>983</v>
      </c>
      <c r="H6249" s="2" t="s">
        <v>984</v>
      </c>
      <c r="I6249" s="2"/>
      <c r="J6249" s="2" t="s">
        <v>52</v>
      </c>
    </row>
    <row r="6250" spans="1:10" ht="21" customHeight="1">
      <c r="A6250" s="2" t="s">
        <v>7254</v>
      </c>
      <c r="B6250" s="2" t="s">
        <v>52</v>
      </c>
      <c r="C6250" s="4">
        <v>45701.25</v>
      </c>
      <c r="D6250" s="4">
        <v>45701.250109444445</v>
      </c>
      <c r="E6250" s="2">
        <v>3.22</v>
      </c>
      <c r="F6250" s="2">
        <v>72.2</v>
      </c>
      <c r="G6250" s="2" t="s">
        <v>983</v>
      </c>
      <c r="H6250" s="2" t="s">
        <v>984</v>
      </c>
      <c r="I6250" s="2"/>
      <c r="J6250" s="2" t="s">
        <v>52</v>
      </c>
    </row>
    <row r="6251" spans="1:10" ht="21" customHeight="1">
      <c r="A6251" s="2" t="s">
        <v>7255</v>
      </c>
      <c r="B6251" s="2" t="s">
        <v>52</v>
      </c>
      <c r="C6251" s="4">
        <v>45702.25</v>
      </c>
      <c r="D6251" s="4">
        <v>45702.250573159719</v>
      </c>
      <c r="E6251" s="2">
        <v>3.76</v>
      </c>
      <c r="F6251" s="2">
        <v>74</v>
      </c>
      <c r="G6251" s="2" t="s">
        <v>983</v>
      </c>
      <c r="H6251" s="2" t="s">
        <v>984</v>
      </c>
      <c r="I6251" s="2"/>
      <c r="J6251" s="2" t="s">
        <v>52</v>
      </c>
    </row>
    <row r="6252" spans="1:10" ht="21" customHeight="1">
      <c r="A6252" s="2" t="s">
        <v>7256</v>
      </c>
      <c r="B6252" s="2" t="s">
        <v>52</v>
      </c>
      <c r="C6252" s="4">
        <v>45703.25</v>
      </c>
      <c r="D6252" s="4">
        <v>45703.250530879624</v>
      </c>
      <c r="E6252" s="2">
        <v>3.33</v>
      </c>
      <c r="F6252" s="2">
        <v>78.2</v>
      </c>
      <c r="G6252" s="2" t="s">
        <v>983</v>
      </c>
      <c r="H6252" s="2" t="s">
        <v>984</v>
      </c>
      <c r="I6252" s="2"/>
      <c r="J6252" s="2" t="s">
        <v>52</v>
      </c>
    </row>
    <row r="6253" spans="1:10" ht="21" customHeight="1">
      <c r="A6253" s="2" t="s">
        <v>7257</v>
      </c>
      <c r="B6253" s="2" t="s">
        <v>52</v>
      </c>
      <c r="C6253" s="4">
        <v>45704.25</v>
      </c>
      <c r="D6253" s="4">
        <v>45704.250051493058</v>
      </c>
      <c r="E6253" s="2">
        <v>2.98</v>
      </c>
      <c r="F6253" s="2">
        <v>73.400000000000006</v>
      </c>
      <c r="G6253" s="2" t="s">
        <v>983</v>
      </c>
      <c r="H6253" s="2" t="s">
        <v>984</v>
      </c>
      <c r="I6253" s="2"/>
      <c r="J6253" s="2" t="s">
        <v>52</v>
      </c>
    </row>
    <row r="6254" spans="1:10" ht="21" customHeight="1">
      <c r="A6254" s="2" t="s">
        <v>7258</v>
      </c>
      <c r="B6254" s="2" t="s">
        <v>52</v>
      </c>
      <c r="C6254" s="4">
        <v>45705.25</v>
      </c>
      <c r="D6254" s="4">
        <v>45705.250075578704</v>
      </c>
      <c r="E6254" s="2">
        <v>3.52</v>
      </c>
      <c r="F6254" s="2">
        <v>79.5</v>
      </c>
      <c r="G6254" s="2" t="s">
        <v>983</v>
      </c>
      <c r="H6254" s="2" t="s">
        <v>984</v>
      </c>
      <c r="I6254" s="2"/>
      <c r="J6254" s="2" t="s">
        <v>52</v>
      </c>
    </row>
    <row r="6255" spans="1:10" ht="21" customHeight="1">
      <c r="A6255" s="2" t="s">
        <v>7259</v>
      </c>
      <c r="B6255" s="2" t="s">
        <v>52</v>
      </c>
      <c r="C6255" s="4">
        <v>45706.25</v>
      </c>
      <c r="D6255" s="4">
        <v>45706.250499236106</v>
      </c>
      <c r="E6255" s="2">
        <v>6.64</v>
      </c>
      <c r="F6255" s="2">
        <v>83.3</v>
      </c>
      <c r="G6255" s="2" t="s">
        <v>983</v>
      </c>
      <c r="H6255" s="2" t="s">
        <v>984</v>
      </c>
      <c r="I6255" s="2" t="s">
        <v>1053</v>
      </c>
      <c r="J6255" s="2" t="s">
        <v>52</v>
      </c>
    </row>
    <row r="6256" spans="1:10" ht="21" customHeight="1">
      <c r="A6256" s="2" t="s">
        <v>7260</v>
      </c>
      <c r="B6256" s="2" t="s">
        <v>52</v>
      </c>
      <c r="C6256" s="4">
        <v>45707.25</v>
      </c>
      <c r="D6256" s="4">
        <v>45707.250000995366</v>
      </c>
      <c r="E6256" s="2">
        <v>5.77</v>
      </c>
      <c r="F6256" s="2">
        <v>84.3</v>
      </c>
      <c r="G6256" s="2" t="s">
        <v>983</v>
      </c>
      <c r="H6256" s="2" t="s">
        <v>984</v>
      </c>
      <c r="I6256" s="2"/>
      <c r="J6256" s="2" t="s">
        <v>52</v>
      </c>
    </row>
    <row r="6257" spans="1:10" ht="21" customHeight="1">
      <c r="A6257" s="2" t="s">
        <v>7261</v>
      </c>
      <c r="B6257" s="2" t="s">
        <v>52</v>
      </c>
      <c r="C6257" s="4">
        <v>45708.25</v>
      </c>
      <c r="D6257" s="4">
        <v>45708.250133078705</v>
      </c>
      <c r="E6257" s="2">
        <v>6.35</v>
      </c>
      <c r="F6257" s="2">
        <v>76.2</v>
      </c>
      <c r="G6257" s="2" t="s">
        <v>983</v>
      </c>
      <c r="H6257" s="2" t="s">
        <v>984</v>
      </c>
      <c r="I6257" s="2" t="s">
        <v>1053</v>
      </c>
      <c r="J6257" s="2" t="s">
        <v>52</v>
      </c>
    </row>
    <row r="6258" spans="1:10" ht="21" customHeight="1">
      <c r="A6258" s="2" t="s">
        <v>7262</v>
      </c>
      <c r="B6258" s="2" t="s">
        <v>52</v>
      </c>
      <c r="C6258" s="4">
        <v>45709.25</v>
      </c>
      <c r="D6258" s="4">
        <v>45709.250112766204</v>
      </c>
      <c r="E6258" s="2">
        <v>3.81</v>
      </c>
      <c r="F6258" s="2">
        <v>75</v>
      </c>
      <c r="G6258" s="2" t="s">
        <v>983</v>
      </c>
      <c r="H6258" s="2" t="s">
        <v>984</v>
      </c>
      <c r="I6258" s="2" t="s">
        <v>985</v>
      </c>
      <c r="J6258" s="2" t="s">
        <v>52</v>
      </c>
    </row>
    <row r="6259" spans="1:10" ht="21" customHeight="1">
      <c r="A6259" s="2" t="s">
        <v>7263</v>
      </c>
      <c r="B6259" s="2" t="s">
        <v>52</v>
      </c>
      <c r="C6259" s="4">
        <v>45710.25</v>
      </c>
      <c r="D6259" s="4">
        <v>45710.250475173612</v>
      </c>
      <c r="E6259" s="2">
        <v>3.62</v>
      </c>
      <c r="F6259" s="2">
        <v>73.400000000000006</v>
      </c>
      <c r="G6259" s="2" t="s">
        <v>983</v>
      </c>
      <c r="H6259" s="2" t="s">
        <v>984</v>
      </c>
      <c r="I6259" s="2"/>
      <c r="J6259" s="2" t="s">
        <v>52</v>
      </c>
    </row>
    <row r="6260" spans="1:10" ht="21" customHeight="1">
      <c r="A6260" s="2" t="s">
        <v>7264</v>
      </c>
      <c r="B6260" s="2" t="s">
        <v>52</v>
      </c>
      <c r="C6260" s="4">
        <v>45711.25</v>
      </c>
      <c r="D6260" s="4">
        <v>45711.250086041662</v>
      </c>
      <c r="E6260" s="2">
        <v>2.82</v>
      </c>
      <c r="F6260" s="2">
        <v>78.2</v>
      </c>
      <c r="G6260" s="2" t="s">
        <v>983</v>
      </c>
      <c r="H6260" s="2" t="s">
        <v>984</v>
      </c>
      <c r="I6260" s="2"/>
      <c r="J6260" s="2" t="s">
        <v>52</v>
      </c>
    </row>
    <row r="6261" spans="1:10" ht="21" customHeight="1">
      <c r="A6261" s="2" t="s">
        <v>7265</v>
      </c>
      <c r="B6261" s="2" t="s">
        <v>52</v>
      </c>
      <c r="C6261" s="4">
        <v>45712.25</v>
      </c>
      <c r="D6261" s="4">
        <v>45712.250147326384</v>
      </c>
      <c r="E6261" s="2">
        <v>3.07</v>
      </c>
      <c r="F6261" s="2">
        <v>76.2</v>
      </c>
      <c r="G6261" s="2" t="s">
        <v>983</v>
      </c>
      <c r="H6261" s="2" t="s">
        <v>984</v>
      </c>
      <c r="I6261" s="2"/>
      <c r="J6261" s="2" t="s">
        <v>52</v>
      </c>
    </row>
    <row r="6262" spans="1:10" ht="21" customHeight="1">
      <c r="A6262" s="2" t="s">
        <v>7266</v>
      </c>
      <c r="B6262" s="2" t="s">
        <v>52</v>
      </c>
      <c r="C6262" s="4">
        <v>45713.25</v>
      </c>
      <c r="D6262" s="4">
        <v>45713.250590902782</v>
      </c>
      <c r="E6262" s="2">
        <v>3.31</v>
      </c>
      <c r="F6262" s="2">
        <v>74.2</v>
      </c>
      <c r="G6262" s="2" t="s">
        <v>983</v>
      </c>
      <c r="H6262" s="2" t="s">
        <v>984</v>
      </c>
      <c r="I6262" s="2"/>
      <c r="J6262" s="2" t="s">
        <v>52</v>
      </c>
    </row>
    <row r="6263" spans="1:10" ht="21" customHeight="1">
      <c r="A6263" s="2" t="s">
        <v>7267</v>
      </c>
      <c r="B6263" s="2" t="s">
        <v>52</v>
      </c>
      <c r="C6263" s="4">
        <v>45714.25</v>
      </c>
      <c r="D6263" s="4">
        <v>45714.250135960647</v>
      </c>
      <c r="E6263" s="2">
        <v>3.34</v>
      </c>
      <c r="F6263" s="2">
        <v>78.5</v>
      </c>
      <c r="G6263" s="2" t="s">
        <v>983</v>
      </c>
      <c r="H6263" s="2" t="s">
        <v>984</v>
      </c>
      <c r="I6263" s="2"/>
      <c r="J6263" s="2" t="s">
        <v>52</v>
      </c>
    </row>
    <row r="6264" spans="1:10" ht="21" customHeight="1">
      <c r="A6264" s="2" t="s">
        <v>7268</v>
      </c>
      <c r="B6264" s="2" t="s">
        <v>52</v>
      </c>
      <c r="C6264" s="4">
        <v>45715.25</v>
      </c>
      <c r="D6264" s="4">
        <v>45715.250085810185</v>
      </c>
      <c r="E6264" s="2">
        <v>3.02</v>
      </c>
      <c r="F6264" s="2">
        <v>79.599999999999994</v>
      </c>
      <c r="G6264" s="2" t="s">
        <v>983</v>
      </c>
      <c r="H6264" s="2" t="s">
        <v>984</v>
      </c>
      <c r="I6264" s="2"/>
      <c r="J6264" s="2" t="s">
        <v>52</v>
      </c>
    </row>
    <row r="6265" spans="1:10" ht="21" customHeight="1">
      <c r="A6265" s="2" t="s">
        <v>7269</v>
      </c>
      <c r="B6265" s="2" t="s">
        <v>52</v>
      </c>
      <c r="C6265" s="4">
        <v>45716.25</v>
      </c>
      <c r="D6265" s="4">
        <v>45716.250006736111</v>
      </c>
      <c r="E6265" s="2">
        <v>3.34</v>
      </c>
      <c r="F6265" s="2">
        <v>72.900000000000006</v>
      </c>
      <c r="G6265" s="2" t="s">
        <v>983</v>
      </c>
      <c r="H6265" s="2" t="s">
        <v>984</v>
      </c>
      <c r="I6265" s="2"/>
      <c r="J6265" s="2" t="s">
        <v>52</v>
      </c>
    </row>
    <row r="6266" spans="1:10" ht="21" customHeight="1">
      <c r="A6266" s="2" t="s">
        <v>7270</v>
      </c>
      <c r="B6266" s="2" t="s">
        <v>52</v>
      </c>
      <c r="C6266" s="4">
        <v>45717.25</v>
      </c>
      <c r="D6266" s="4">
        <v>45717.250041504631</v>
      </c>
      <c r="E6266" s="2">
        <v>3.51</v>
      </c>
      <c r="F6266" s="2">
        <v>78.3</v>
      </c>
      <c r="G6266" s="2" t="s">
        <v>983</v>
      </c>
      <c r="H6266" s="2" t="s">
        <v>984</v>
      </c>
      <c r="I6266" s="2"/>
      <c r="J6266" s="2" t="s">
        <v>52</v>
      </c>
    </row>
    <row r="6267" spans="1:10" ht="21" customHeight="1">
      <c r="A6267" s="2" t="s">
        <v>7271</v>
      </c>
      <c r="B6267" s="2" t="s">
        <v>52</v>
      </c>
      <c r="C6267" s="4">
        <v>45718.25</v>
      </c>
      <c r="D6267" s="4">
        <v>45718.250420763885</v>
      </c>
      <c r="E6267" s="2">
        <v>3.44</v>
      </c>
      <c r="F6267" s="2">
        <v>73.900000000000006</v>
      </c>
      <c r="G6267" s="2" t="s">
        <v>983</v>
      </c>
      <c r="H6267" s="2" t="s">
        <v>984</v>
      </c>
      <c r="I6267" s="2"/>
      <c r="J6267" s="2" t="s">
        <v>52</v>
      </c>
    </row>
    <row r="6268" spans="1:10" ht="21" customHeight="1">
      <c r="A6268" s="2" t="s">
        <v>7272</v>
      </c>
      <c r="B6268" s="2" t="s">
        <v>52</v>
      </c>
      <c r="C6268" s="4">
        <v>45719.25</v>
      </c>
      <c r="D6268" s="4">
        <v>45719.250351608796</v>
      </c>
      <c r="E6268" s="2">
        <v>2.92</v>
      </c>
      <c r="F6268" s="2">
        <v>78.599999999999994</v>
      </c>
      <c r="G6268" s="2" t="s">
        <v>983</v>
      </c>
      <c r="H6268" s="2" t="s">
        <v>984</v>
      </c>
      <c r="I6268" s="2"/>
      <c r="J6268" s="2" t="s">
        <v>52</v>
      </c>
    </row>
    <row r="6269" spans="1:10" ht="21" customHeight="1">
      <c r="A6269" s="2" t="s">
        <v>7273</v>
      </c>
      <c r="B6269" s="2" t="s">
        <v>52</v>
      </c>
      <c r="C6269" s="4">
        <v>45720.25</v>
      </c>
      <c r="D6269" s="4">
        <v>45720.250349699076</v>
      </c>
      <c r="E6269" s="2">
        <v>3.43</v>
      </c>
      <c r="F6269" s="2">
        <v>78.8</v>
      </c>
      <c r="G6269" s="2" t="s">
        <v>983</v>
      </c>
      <c r="H6269" s="2" t="s">
        <v>984</v>
      </c>
      <c r="I6269" s="2"/>
      <c r="J6269" s="2" t="s">
        <v>52</v>
      </c>
    </row>
    <row r="6270" spans="1:10" ht="21" customHeight="1">
      <c r="A6270" s="2" t="s">
        <v>7274</v>
      </c>
      <c r="B6270" s="2" t="s">
        <v>52</v>
      </c>
      <c r="C6270" s="4">
        <v>45721.25</v>
      </c>
      <c r="D6270" s="4">
        <v>45721.250468124999</v>
      </c>
      <c r="E6270" s="2">
        <v>3.66</v>
      </c>
      <c r="F6270" s="2">
        <v>73.3</v>
      </c>
      <c r="G6270" s="2" t="s">
        <v>983</v>
      </c>
      <c r="H6270" s="2" t="s">
        <v>984</v>
      </c>
      <c r="I6270" s="2"/>
      <c r="J6270" s="2" t="s">
        <v>52</v>
      </c>
    </row>
    <row r="6271" spans="1:10" ht="21" customHeight="1">
      <c r="A6271" s="2" t="s">
        <v>7275</v>
      </c>
      <c r="B6271" s="2" t="s">
        <v>52</v>
      </c>
      <c r="C6271" s="4">
        <v>45722.25</v>
      </c>
      <c r="D6271" s="4">
        <v>45722.250674490744</v>
      </c>
      <c r="E6271" s="2">
        <v>3.02</v>
      </c>
      <c r="F6271" s="2">
        <v>78.400000000000006</v>
      </c>
      <c r="G6271" s="2" t="s">
        <v>983</v>
      </c>
      <c r="H6271" s="2" t="s">
        <v>984</v>
      </c>
      <c r="I6271" s="2"/>
      <c r="J6271" s="2" t="s">
        <v>52</v>
      </c>
    </row>
    <row r="6272" spans="1:10" ht="21" customHeight="1">
      <c r="A6272" s="2" t="s">
        <v>7276</v>
      </c>
      <c r="B6272" s="2" t="s">
        <v>52</v>
      </c>
      <c r="C6272" s="4">
        <v>45723.25</v>
      </c>
      <c r="D6272" s="4">
        <v>45723.250046180554</v>
      </c>
      <c r="E6272" s="2">
        <v>3.92</v>
      </c>
      <c r="F6272" s="2">
        <v>72.5</v>
      </c>
      <c r="G6272" s="2" t="s">
        <v>983</v>
      </c>
      <c r="H6272" s="2" t="s">
        <v>984</v>
      </c>
      <c r="I6272" s="2"/>
      <c r="J6272" s="2" t="s">
        <v>52</v>
      </c>
    </row>
    <row r="6273" spans="1:10" ht="21" customHeight="1">
      <c r="A6273" s="2" t="s">
        <v>7277</v>
      </c>
      <c r="B6273" s="2" t="s">
        <v>52</v>
      </c>
      <c r="C6273" s="4">
        <v>45724.25</v>
      </c>
      <c r="D6273" s="4">
        <v>45724.250204641205</v>
      </c>
      <c r="E6273" s="2">
        <v>3.92</v>
      </c>
      <c r="F6273" s="2">
        <v>77.900000000000006</v>
      </c>
      <c r="G6273" s="2" t="s">
        <v>983</v>
      </c>
      <c r="H6273" s="2" t="s">
        <v>984</v>
      </c>
      <c r="I6273" s="2"/>
      <c r="J6273" s="2" t="s">
        <v>52</v>
      </c>
    </row>
    <row r="6274" spans="1:10" ht="21" customHeight="1">
      <c r="A6274" s="2" t="s">
        <v>7278</v>
      </c>
      <c r="B6274" s="2" t="s">
        <v>52</v>
      </c>
      <c r="C6274" s="4">
        <v>45725.25</v>
      </c>
      <c r="D6274" s="4">
        <v>45725.250012627315</v>
      </c>
      <c r="E6274" s="2">
        <v>3.14</v>
      </c>
      <c r="F6274" s="2">
        <v>77.599999999999994</v>
      </c>
      <c r="G6274" s="2" t="s">
        <v>983</v>
      </c>
      <c r="H6274" s="2" t="s">
        <v>984</v>
      </c>
      <c r="I6274" s="2"/>
      <c r="J6274" s="2" t="s">
        <v>52</v>
      </c>
    </row>
    <row r="6275" spans="1:10" ht="21" customHeight="1">
      <c r="A6275" s="2" t="s">
        <v>7279</v>
      </c>
      <c r="B6275" s="2" t="s">
        <v>7238</v>
      </c>
      <c r="C6275" s="4">
        <v>45726.25</v>
      </c>
      <c r="D6275" s="4">
        <v>45726.25056724537</v>
      </c>
      <c r="E6275" s="2">
        <v>3.18</v>
      </c>
      <c r="F6275" s="2">
        <v>76.8</v>
      </c>
      <c r="G6275" s="2" t="s">
        <v>983</v>
      </c>
      <c r="H6275" s="2" t="s">
        <v>984</v>
      </c>
      <c r="I6275" s="2" t="s">
        <v>985</v>
      </c>
      <c r="J6275" s="2" t="s">
        <v>52</v>
      </c>
    </row>
    <row r="6276" spans="1:10" ht="21" customHeight="1">
      <c r="A6276" s="2" t="s">
        <v>7280</v>
      </c>
      <c r="B6276" s="2" t="s">
        <v>52</v>
      </c>
      <c r="C6276" s="4">
        <v>45727.25</v>
      </c>
      <c r="D6276" s="4">
        <v>45727.250692581016</v>
      </c>
      <c r="E6276" s="2">
        <v>3.09</v>
      </c>
      <c r="F6276" s="2">
        <v>72.599999999999994</v>
      </c>
      <c r="G6276" s="2" t="s">
        <v>983</v>
      </c>
      <c r="H6276" s="2" t="s">
        <v>984</v>
      </c>
      <c r="I6276" s="2"/>
      <c r="J6276" s="2" t="s">
        <v>52</v>
      </c>
    </row>
    <row r="6277" spans="1:10" ht="21" customHeight="1">
      <c r="A6277" s="2" t="s">
        <v>7281</v>
      </c>
      <c r="B6277" s="2" t="s">
        <v>52</v>
      </c>
      <c r="C6277" s="4">
        <v>45728.25</v>
      </c>
      <c r="D6277" s="4">
        <v>45728.250188391205</v>
      </c>
      <c r="E6277" s="2">
        <v>4</v>
      </c>
      <c r="F6277" s="2">
        <v>76.099999999999994</v>
      </c>
      <c r="G6277" s="2" t="s">
        <v>983</v>
      </c>
      <c r="H6277" s="2" t="s">
        <v>984</v>
      </c>
      <c r="I6277" s="2"/>
      <c r="J6277" s="2" t="s">
        <v>52</v>
      </c>
    </row>
    <row r="6278" spans="1:10" ht="21" customHeight="1">
      <c r="A6278" s="2" t="s">
        <v>7282</v>
      </c>
      <c r="B6278" s="2" t="s">
        <v>52</v>
      </c>
      <c r="C6278" s="4">
        <v>45729.25</v>
      </c>
      <c r="D6278" s="4">
        <v>45729.250204594908</v>
      </c>
      <c r="E6278" s="2">
        <v>3.55</v>
      </c>
      <c r="F6278" s="2">
        <v>72.900000000000006</v>
      </c>
      <c r="G6278" s="2" t="s">
        <v>983</v>
      </c>
      <c r="H6278" s="2" t="s">
        <v>984</v>
      </c>
      <c r="I6278" s="2"/>
      <c r="J6278" s="2" t="s">
        <v>52</v>
      </c>
    </row>
    <row r="6279" spans="1:10" ht="21" customHeight="1">
      <c r="A6279" s="2" t="s">
        <v>7283</v>
      </c>
      <c r="B6279" s="2" t="s">
        <v>52</v>
      </c>
      <c r="C6279" s="4">
        <v>45730.25</v>
      </c>
      <c r="D6279" s="4">
        <v>45730.250425578706</v>
      </c>
      <c r="E6279" s="2">
        <v>3.34</v>
      </c>
      <c r="F6279" s="2">
        <v>75.7</v>
      </c>
      <c r="G6279" s="2" t="s">
        <v>983</v>
      </c>
      <c r="H6279" s="2" t="s">
        <v>984</v>
      </c>
      <c r="I6279" s="2"/>
      <c r="J6279" s="2" t="s">
        <v>52</v>
      </c>
    </row>
    <row r="6280" spans="1:10" ht="21" customHeight="1">
      <c r="A6280" s="2" t="s">
        <v>7284</v>
      </c>
      <c r="B6280" s="2" t="s">
        <v>52</v>
      </c>
      <c r="C6280" s="4">
        <v>45731.25</v>
      </c>
      <c r="D6280" s="4">
        <v>45731.250268900461</v>
      </c>
      <c r="E6280" s="2">
        <v>3.39</v>
      </c>
      <c r="F6280" s="2">
        <v>76</v>
      </c>
      <c r="G6280" s="2" t="s">
        <v>983</v>
      </c>
      <c r="H6280" s="2" t="s">
        <v>984</v>
      </c>
      <c r="I6280" s="2"/>
      <c r="J6280" s="2" t="s">
        <v>52</v>
      </c>
    </row>
    <row r="6281" spans="1:10" ht="21" customHeight="1">
      <c r="A6281" s="2" t="s">
        <v>7285</v>
      </c>
      <c r="B6281" s="2" t="s">
        <v>52</v>
      </c>
      <c r="C6281" s="4">
        <v>45732.25</v>
      </c>
      <c r="D6281" s="4">
        <v>45732.25027704861</v>
      </c>
      <c r="E6281" s="2">
        <v>3.97</v>
      </c>
      <c r="F6281" s="2">
        <v>74.5</v>
      </c>
      <c r="G6281" s="2" t="s">
        <v>983</v>
      </c>
      <c r="H6281" s="2" t="s">
        <v>984</v>
      </c>
      <c r="I6281" s="2"/>
      <c r="J6281" s="2" t="s">
        <v>52</v>
      </c>
    </row>
    <row r="6282" spans="1:10" ht="21" customHeight="1">
      <c r="A6282" s="2" t="s">
        <v>7286</v>
      </c>
      <c r="B6282" s="2" t="s">
        <v>52</v>
      </c>
      <c r="C6282" s="4">
        <v>45733.25</v>
      </c>
      <c r="D6282" s="4">
        <v>45733.250358263889</v>
      </c>
      <c r="E6282" s="2">
        <v>7.54</v>
      </c>
      <c r="F6282" s="2">
        <v>81.3</v>
      </c>
      <c r="G6282" s="2" t="s">
        <v>983</v>
      </c>
      <c r="H6282" s="2" t="s">
        <v>984</v>
      </c>
      <c r="I6282" s="2"/>
      <c r="J6282" s="2" t="s">
        <v>52</v>
      </c>
    </row>
    <row r="6283" spans="1:10" ht="21" customHeight="1">
      <c r="A6283" s="2" t="s">
        <v>7287</v>
      </c>
      <c r="B6283" s="2" t="s">
        <v>52</v>
      </c>
      <c r="C6283" s="4">
        <v>45734.25</v>
      </c>
      <c r="D6283" s="4">
        <v>45734.250057812504</v>
      </c>
      <c r="E6283" s="2"/>
      <c r="F6283" s="2"/>
      <c r="G6283" s="2" t="s">
        <v>983</v>
      </c>
      <c r="H6283" s="2" t="s">
        <v>1066</v>
      </c>
      <c r="I6283" s="2" t="s">
        <v>1053</v>
      </c>
      <c r="J6283" s="2" t="s">
        <v>52</v>
      </c>
    </row>
    <row r="6284" spans="1:10" ht="21" customHeight="1">
      <c r="A6284" s="2" t="s">
        <v>7288</v>
      </c>
      <c r="B6284" s="2" t="s">
        <v>52</v>
      </c>
      <c r="C6284" s="4">
        <v>45735.25</v>
      </c>
      <c r="D6284" s="4">
        <v>45735.250567060182</v>
      </c>
      <c r="E6284" s="2">
        <v>6.01</v>
      </c>
      <c r="F6284" s="2">
        <v>82.9</v>
      </c>
      <c r="G6284" s="2" t="s">
        <v>983</v>
      </c>
      <c r="H6284" s="2" t="s">
        <v>984</v>
      </c>
      <c r="I6284" s="2"/>
      <c r="J6284" s="2" t="s">
        <v>52</v>
      </c>
    </row>
    <row r="6285" spans="1:10" ht="21" customHeight="1">
      <c r="A6285" s="2" t="s">
        <v>7289</v>
      </c>
      <c r="B6285" s="2" t="s">
        <v>52</v>
      </c>
      <c r="C6285" s="4">
        <v>45736.25</v>
      </c>
      <c r="D6285" s="4">
        <v>45736.250575543978</v>
      </c>
      <c r="E6285" s="2">
        <v>0</v>
      </c>
      <c r="F6285" s="2">
        <v>74.2</v>
      </c>
      <c r="G6285" s="2" t="s">
        <v>1175</v>
      </c>
      <c r="H6285" s="2" t="s">
        <v>984</v>
      </c>
      <c r="I6285" s="2"/>
      <c r="J6285" s="2" t="s">
        <v>52</v>
      </c>
    </row>
    <row r="6286" spans="1:10" ht="21" customHeight="1">
      <c r="A6286" s="2" t="s">
        <v>7290</v>
      </c>
      <c r="B6286" s="2" t="s">
        <v>52</v>
      </c>
      <c r="C6286" s="4">
        <v>45737.25</v>
      </c>
      <c r="D6286" s="4">
        <v>45737.250288414347</v>
      </c>
      <c r="E6286" s="2">
        <v>3.41</v>
      </c>
      <c r="F6286" s="2">
        <v>78.900000000000006</v>
      </c>
      <c r="G6286" s="2" t="s">
        <v>983</v>
      </c>
      <c r="H6286" s="2" t="s">
        <v>984</v>
      </c>
      <c r="I6286" s="2"/>
      <c r="J6286" s="2" t="s">
        <v>52</v>
      </c>
    </row>
    <row r="6287" spans="1:10" ht="21" customHeight="1">
      <c r="A6287" s="2" t="s">
        <v>7291</v>
      </c>
      <c r="B6287" s="2" t="s">
        <v>52</v>
      </c>
      <c r="C6287" s="4">
        <v>45738.25</v>
      </c>
      <c r="D6287" s="4">
        <v>45738.250396087962</v>
      </c>
      <c r="E6287" s="2">
        <v>3.99</v>
      </c>
      <c r="F6287" s="2">
        <v>78.3</v>
      </c>
      <c r="G6287" s="2" t="s">
        <v>983</v>
      </c>
      <c r="H6287" s="2" t="s">
        <v>984</v>
      </c>
      <c r="I6287" s="2"/>
      <c r="J6287" s="2" t="s">
        <v>52</v>
      </c>
    </row>
    <row r="6288" spans="1:10" ht="21" customHeight="1">
      <c r="A6288" s="2" t="s">
        <v>7292</v>
      </c>
      <c r="B6288" s="2" t="s">
        <v>52</v>
      </c>
      <c r="C6288" s="4">
        <v>45739.25</v>
      </c>
      <c r="D6288" s="4">
        <v>45739.250043182867</v>
      </c>
      <c r="E6288" s="2">
        <v>3.6</v>
      </c>
      <c r="F6288" s="2">
        <v>76.900000000000006</v>
      </c>
      <c r="G6288" s="2" t="s">
        <v>983</v>
      </c>
      <c r="H6288" s="2" t="s">
        <v>984</v>
      </c>
      <c r="I6288" s="2"/>
      <c r="J6288" s="2" t="s">
        <v>52</v>
      </c>
    </row>
    <row r="6289" spans="1:10" ht="21" customHeight="1">
      <c r="A6289" s="2" t="s">
        <v>7293</v>
      </c>
      <c r="B6289" s="2" t="s">
        <v>52</v>
      </c>
      <c r="C6289" s="4">
        <v>45740.25</v>
      </c>
      <c r="D6289" s="4">
        <v>45740.250546157404</v>
      </c>
      <c r="E6289" s="2">
        <v>3.54</v>
      </c>
      <c r="F6289" s="2">
        <v>76.400000000000006</v>
      </c>
      <c r="G6289" s="2" t="s">
        <v>983</v>
      </c>
      <c r="H6289" s="2" t="s">
        <v>984</v>
      </c>
      <c r="I6289" s="2"/>
      <c r="J6289" s="2" t="s">
        <v>52</v>
      </c>
    </row>
    <row r="6290" spans="1:10" ht="21" customHeight="1">
      <c r="A6290" s="2" t="s">
        <v>7294</v>
      </c>
      <c r="B6290" s="2" t="s">
        <v>52</v>
      </c>
      <c r="C6290" s="4">
        <v>45741.25</v>
      </c>
      <c r="D6290" s="4">
        <v>45741.250569606476</v>
      </c>
      <c r="E6290" s="2">
        <v>3.04</v>
      </c>
      <c r="F6290" s="2">
        <v>72.400000000000006</v>
      </c>
      <c r="G6290" s="2" t="s">
        <v>983</v>
      </c>
      <c r="H6290" s="2" t="s">
        <v>984</v>
      </c>
      <c r="I6290" s="2"/>
      <c r="J6290" s="2" t="s">
        <v>52</v>
      </c>
    </row>
    <row r="6291" spans="1:10" ht="21" customHeight="1">
      <c r="A6291" s="2" t="s">
        <v>7295</v>
      </c>
      <c r="B6291" s="2" t="s">
        <v>52</v>
      </c>
      <c r="C6291" s="4">
        <v>45742.25</v>
      </c>
      <c r="D6291" s="4">
        <v>45742.250102951388</v>
      </c>
      <c r="E6291" s="2">
        <v>3.93</v>
      </c>
      <c r="F6291" s="2">
        <v>73</v>
      </c>
      <c r="G6291" s="2" t="s">
        <v>983</v>
      </c>
      <c r="H6291" s="2" t="s">
        <v>984</v>
      </c>
      <c r="I6291" s="2"/>
      <c r="J6291" s="2" t="s">
        <v>52</v>
      </c>
    </row>
    <row r="6292" spans="1:10" ht="21" customHeight="1">
      <c r="A6292" s="2" t="s">
        <v>7296</v>
      </c>
      <c r="B6292" s="2" t="s">
        <v>52</v>
      </c>
      <c r="C6292" s="4">
        <v>45743.25</v>
      </c>
      <c r="D6292" s="4">
        <v>45743.25008539352</v>
      </c>
      <c r="E6292" s="2">
        <v>3.27</v>
      </c>
      <c r="F6292" s="2">
        <v>76.599999999999994</v>
      </c>
      <c r="G6292" s="2" t="s">
        <v>983</v>
      </c>
      <c r="H6292" s="2" t="s">
        <v>984</v>
      </c>
      <c r="I6292" s="2" t="s">
        <v>985</v>
      </c>
      <c r="J6292" s="2" t="s">
        <v>52</v>
      </c>
    </row>
    <row r="6293" spans="1:10" ht="21" customHeight="1">
      <c r="A6293" s="2" t="s">
        <v>7297</v>
      </c>
      <c r="B6293" s="2" t="s">
        <v>52</v>
      </c>
      <c r="C6293" s="4">
        <v>45744.25</v>
      </c>
      <c r="D6293" s="4">
        <v>45744.250495266198</v>
      </c>
      <c r="E6293" s="2">
        <v>3.76</v>
      </c>
      <c r="F6293" s="2">
        <v>79.2</v>
      </c>
      <c r="G6293" s="2" t="s">
        <v>983</v>
      </c>
      <c r="H6293" s="2" t="s">
        <v>984</v>
      </c>
      <c r="I6293" s="2"/>
      <c r="J6293" s="2" t="s">
        <v>52</v>
      </c>
    </row>
    <row r="6294" spans="1:10" ht="21" customHeight="1">
      <c r="A6294" s="2" t="s">
        <v>7298</v>
      </c>
      <c r="B6294" s="2" t="s">
        <v>52</v>
      </c>
      <c r="C6294" s="4">
        <v>45745.25</v>
      </c>
      <c r="D6294" s="4">
        <v>45745.250385960651</v>
      </c>
      <c r="E6294" s="2">
        <v>3.5</v>
      </c>
      <c r="F6294" s="2">
        <v>73.7</v>
      </c>
      <c r="G6294" s="2" t="s">
        <v>983</v>
      </c>
      <c r="H6294" s="2" t="s">
        <v>984</v>
      </c>
      <c r="I6294" s="2"/>
      <c r="J6294" s="2" t="s">
        <v>52</v>
      </c>
    </row>
    <row r="6295" spans="1:10" ht="21" customHeight="1">
      <c r="A6295" s="2" t="s">
        <v>7299</v>
      </c>
      <c r="B6295" s="2" t="s">
        <v>52</v>
      </c>
      <c r="C6295" s="4">
        <v>45746.25</v>
      </c>
      <c r="D6295" s="4">
        <v>45746.250227835648</v>
      </c>
      <c r="E6295" s="2">
        <v>3.58</v>
      </c>
      <c r="F6295" s="2">
        <v>74.8</v>
      </c>
      <c r="G6295" s="2" t="s">
        <v>983</v>
      </c>
      <c r="H6295" s="2" t="s">
        <v>984</v>
      </c>
      <c r="I6295" s="2"/>
      <c r="J6295" s="2" t="s">
        <v>52</v>
      </c>
    </row>
    <row r="6296" spans="1:10" ht="21" customHeight="1">
      <c r="A6296" s="2" t="s">
        <v>7300</v>
      </c>
      <c r="B6296" s="2" t="s">
        <v>52</v>
      </c>
      <c r="C6296" s="4">
        <v>45747.25</v>
      </c>
      <c r="D6296" s="4">
        <v>45747.250389837965</v>
      </c>
      <c r="E6296" s="2">
        <v>3.57</v>
      </c>
      <c r="F6296" s="2">
        <v>75.8</v>
      </c>
      <c r="G6296" s="2" t="s">
        <v>983</v>
      </c>
      <c r="H6296" s="2" t="s">
        <v>984</v>
      </c>
      <c r="I6296" s="2"/>
      <c r="J6296" s="2" t="s">
        <v>52</v>
      </c>
    </row>
    <row r="6297" spans="1:10" ht="21" customHeight="1">
      <c r="A6297" s="2" t="s">
        <v>7301</v>
      </c>
      <c r="B6297" s="2" t="s">
        <v>52</v>
      </c>
      <c r="C6297" s="4">
        <v>45748.25</v>
      </c>
      <c r="D6297" s="4">
        <v>45748.250334143522</v>
      </c>
      <c r="E6297" s="2">
        <v>3.15</v>
      </c>
      <c r="F6297" s="2">
        <v>79.5</v>
      </c>
      <c r="G6297" s="2" t="s">
        <v>983</v>
      </c>
      <c r="H6297" s="2" t="s">
        <v>984</v>
      </c>
      <c r="I6297" s="2"/>
      <c r="J6297" s="2" t="s">
        <v>52</v>
      </c>
    </row>
    <row r="6298" spans="1:10" ht="21" customHeight="1">
      <c r="A6298" s="2" t="s">
        <v>7302</v>
      </c>
      <c r="B6298" s="2" t="s">
        <v>52</v>
      </c>
      <c r="C6298" s="4">
        <v>45749.25</v>
      </c>
      <c r="D6298" s="4">
        <v>45749.250193738422</v>
      </c>
      <c r="E6298" s="2">
        <v>3.66</v>
      </c>
      <c r="F6298" s="2">
        <v>78.7</v>
      </c>
      <c r="G6298" s="2" t="s">
        <v>983</v>
      </c>
      <c r="H6298" s="2" t="s">
        <v>984</v>
      </c>
      <c r="I6298" s="2"/>
      <c r="J6298" s="2" t="s">
        <v>52</v>
      </c>
    </row>
    <row r="6299" spans="1:10" ht="21" customHeight="1">
      <c r="A6299" s="2" t="s">
        <v>7303</v>
      </c>
      <c r="B6299" s="2" t="s">
        <v>52</v>
      </c>
      <c r="C6299" s="4">
        <v>45750.25</v>
      </c>
      <c r="D6299" s="4">
        <v>45750.250270983801</v>
      </c>
      <c r="E6299" s="2">
        <v>3.36</v>
      </c>
      <c r="F6299" s="2">
        <v>79</v>
      </c>
      <c r="G6299" s="2" t="s">
        <v>983</v>
      </c>
      <c r="H6299" s="2" t="s">
        <v>984</v>
      </c>
      <c r="I6299" s="2"/>
      <c r="J6299" s="2" t="s">
        <v>52</v>
      </c>
    </row>
    <row r="6300" spans="1:10" ht="21" customHeight="1">
      <c r="A6300" s="2" t="s">
        <v>7304</v>
      </c>
      <c r="B6300" s="2" t="s">
        <v>52</v>
      </c>
      <c r="C6300" s="4">
        <v>45751.25</v>
      </c>
      <c r="D6300" s="4">
        <v>45751.250017743056</v>
      </c>
      <c r="E6300" s="2">
        <v>3.66</v>
      </c>
      <c r="F6300" s="2">
        <v>76.3</v>
      </c>
      <c r="G6300" s="2" t="s">
        <v>983</v>
      </c>
      <c r="H6300" s="2" t="s">
        <v>984</v>
      </c>
      <c r="I6300" s="2"/>
      <c r="J6300" s="2" t="s">
        <v>52</v>
      </c>
    </row>
    <row r="6301" spans="1:10" ht="21" customHeight="1">
      <c r="A6301" s="2" t="s">
        <v>7305</v>
      </c>
      <c r="B6301" s="2" t="s">
        <v>52</v>
      </c>
      <c r="C6301" s="4">
        <v>45752.25</v>
      </c>
      <c r="D6301" s="4">
        <v>45752.250566180555</v>
      </c>
      <c r="E6301" s="2">
        <v>0</v>
      </c>
      <c r="F6301" s="2">
        <v>77.3</v>
      </c>
      <c r="G6301" s="2" t="s">
        <v>1175</v>
      </c>
      <c r="H6301" s="2" t="s">
        <v>984</v>
      </c>
      <c r="I6301" s="2"/>
      <c r="J6301" s="2" t="s">
        <v>52</v>
      </c>
    </row>
    <row r="6302" spans="1:10" ht="21" customHeight="1">
      <c r="A6302" s="2" t="s">
        <v>7306</v>
      </c>
      <c r="B6302" s="2" t="s">
        <v>52</v>
      </c>
      <c r="C6302" s="4">
        <v>45753.25</v>
      </c>
      <c r="D6302" s="4">
        <v>45753.250226238422</v>
      </c>
      <c r="E6302" s="2">
        <v>16.54</v>
      </c>
      <c r="F6302" s="2">
        <v>76.400000000000006</v>
      </c>
      <c r="G6302" s="2" t="s">
        <v>983</v>
      </c>
      <c r="H6302" s="2" t="s">
        <v>1022</v>
      </c>
      <c r="I6302" s="2"/>
      <c r="J6302" s="2" t="s">
        <v>52</v>
      </c>
    </row>
    <row r="6303" spans="1:10" ht="21" customHeight="1">
      <c r="A6303" s="2" t="s">
        <v>7307</v>
      </c>
      <c r="B6303" s="2" t="s">
        <v>52</v>
      </c>
      <c r="C6303" s="4">
        <v>45754.25</v>
      </c>
      <c r="D6303" s="4">
        <v>45754.25039645833</v>
      </c>
      <c r="E6303" s="2">
        <v>3.43</v>
      </c>
      <c r="F6303" s="2">
        <v>78.8</v>
      </c>
      <c r="G6303" s="2" t="s">
        <v>983</v>
      </c>
      <c r="H6303" s="2" t="s">
        <v>984</v>
      </c>
      <c r="I6303" s="2"/>
      <c r="J6303" s="2" t="s">
        <v>52</v>
      </c>
    </row>
    <row r="6304" spans="1:10" ht="21" customHeight="1">
      <c r="A6304" s="2" t="s">
        <v>7308</v>
      </c>
      <c r="B6304" s="2" t="s">
        <v>52</v>
      </c>
      <c r="C6304" s="4">
        <v>45755.25</v>
      </c>
      <c r="D6304" s="4">
        <v>45755.250582453707</v>
      </c>
      <c r="E6304" s="2">
        <v>3.32</v>
      </c>
      <c r="F6304" s="2">
        <v>77.3</v>
      </c>
      <c r="G6304" s="2" t="s">
        <v>983</v>
      </c>
      <c r="H6304" s="2" t="s">
        <v>984</v>
      </c>
      <c r="I6304" s="2"/>
      <c r="J6304" s="2" t="s">
        <v>52</v>
      </c>
    </row>
    <row r="6305" spans="1:10" ht="21" customHeight="1">
      <c r="A6305" s="2" t="s">
        <v>7309</v>
      </c>
      <c r="B6305" s="2" t="s">
        <v>52</v>
      </c>
      <c r="C6305" s="4">
        <v>45756.25</v>
      </c>
      <c r="D6305" s="4">
        <v>45756.25010863426</v>
      </c>
      <c r="E6305" s="2">
        <v>3.36</v>
      </c>
      <c r="F6305" s="2">
        <v>79</v>
      </c>
      <c r="G6305" s="2" t="s">
        <v>983</v>
      </c>
      <c r="H6305" s="2" t="s">
        <v>984</v>
      </c>
      <c r="I6305" s="2"/>
      <c r="J6305" s="2" t="s">
        <v>52</v>
      </c>
    </row>
    <row r="6306" spans="1:10" ht="21" customHeight="1">
      <c r="A6306" s="2" t="s">
        <v>7310</v>
      </c>
      <c r="B6306" s="2" t="s">
        <v>52</v>
      </c>
      <c r="C6306" s="4">
        <v>45757.25</v>
      </c>
      <c r="D6306" s="4">
        <v>45757.250040196755</v>
      </c>
      <c r="E6306" s="2">
        <v>3.72</v>
      </c>
      <c r="F6306" s="2">
        <v>76.099999999999994</v>
      </c>
      <c r="G6306" s="2" t="s">
        <v>983</v>
      </c>
      <c r="H6306" s="2" t="s">
        <v>984</v>
      </c>
      <c r="I6306" s="2"/>
      <c r="J6306" s="2" t="s">
        <v>52</v>
      </c>
    </row>
    <row r="6307" spans="1:10" ht="21" customHeight="1">
      <c r="A6307" s="2" t="s">
        <v>7311</v>
      </c>
      <c r="B6307" s="2" t="s">
        <v>52</v>
      </c>
      <c r="C6307" s="4">
        <v>45758.25</v>
      </c>
      <c r="D6307" s="4">
        <v>45758.250461388889</v>
      </c>
      <c r="E6307" s="2">
        <v>3.81</v>
      </c>
      <c r="F6307" s="2">
        <v>72.599999999999994</v>
      </c>
      <c r="G6307" s="2" t="s">
        <v>983</v>
      </c>
      <c r="H6307" s="2" t="s">
        <v>984</v>
      </c>
      <c r="I6307" s="2"/>
      <c r="J6307" s="2" t="s">
        <v>52</v>
      </c>
    </row>
    <row r="6308" spans="1:10" ht="21" customHeight="1">
      <c r="A6308" s="2" t="s">
        <v>7312</v>
      </c>
      <c r="B6308" s="2" t="s">
        <v>52</v>
      </c>
      <c r="C6308" s="4">
        <v>45759.25</v>
      </c>
      <c r="D6308" s="4">
        <v>45759.25048018519</v>
      </c>
      <c r="E6308" s="2">
        <v>3.29</v>
      </c>
      <c r="F6308" s="2">
        <v>76</v>
      </c>
      <c r="G6308" s="2" t="s">
        <v>983</v>
      </c>
      <c r="H6308" s="2" t="s">
        <v>984</v>
      </c>
      <c r="I6308" s="2"/>
      <c r="J6308" s="2" t="s">
        <v>52</v>
      </c>
    </row>
    <row r="6309" spans="1:10" ht="21" customHeight="1">
      <c r="A6309" s="2" t="s">
        <v>7313</v>
      </c>
      <c r="B6309" s="2" t="s">
        <v>52</v>
      </c>
      <c r="C6309" s="4">
        <v>45760.25</v>
      </c>
      <c r="D6309" s="4">
        <v>45760.250064618056</v>
      </c>
      <c r="E6309" s="2">
        <v>3.44</v>
      </c>
      <c r="F6309" s="2">
        <v>73.3</v>
      </c>
      <c r="G6309" s="2" t="s">
        <v>983</v>
      </c>
      <c r="H6309" s="2" t="s">
        <v>984</v>
      </c>
      <c r="I6309" s="2" t="s">
        <v>985</v>
      </c>
      <c r="J6309" s="2" t="s">
        <v>52</v>
      </c>
    </row>
    <row r="6310" spans="1:10" ht="21" customHeight="1">
      <c r="A6310" s="2" t="s">
        <v>7314</v>
      </c>
      <c r="B6310" s="2" t="s">
        <v>52</v>
      </c>
      <c r="C6310" s="4">
        <v>45761.25</v>
      </c>
      <c r="D6310" s="4">
        <v>45761.250497650464</v>
      </c>
      <c r="E6310" s="2">
        <v>3.73</v>
      </c>
      <c r="F6310" s="2">
        <v>74.3</v>
      </c>
      <c r="G6310" s="2" t="s">
        <v>983</v>
      </c>
      <c r="H6310" s="2" t="s">
        <v>984</v>
      </c>
      <c r="I6310" s="2"/>
      <c r="J6310" s="2" t="s">
        <v>52</v>
      </c>
    </row>
    <row r="6311" spans="1:10" ht="21" customHeight="1">
      <c r="A6311" s="2" t="s">
        <v>7315</v>
      </c>
      <c r="B6311" s="2" t="s">
        <v>52</v>
      </c>
      <c r="C6311" s="4">
        <v>45762.25</v>
      </c>
      <c r="D6311" s="4">
        <v>45762.250397800926</v>
      </c>
      <c r="E6311" s="2">
        <v>3.57</v>
      </c>
      <c r="F6311" s="2">
        <v>73.2</v>
      </c>
      <c r="G6311" s="2" t="s">
        <v>983</v>
      </c>
      <c r="H6311" s="2" t="s">
        <v>984</v>
      </c>
      <c r="I6311" s="2"/>
      <c r="J6311" s="2" t="s">
        <v>52</v>
      </c>
    </row>
    <row r="6312" spans="1:10" ht="21" customHeight="1">
      <c r="A6312" s="2" t="s">
        <v>7316</v>
      </c>
      <c r="B6312" s="2" t="s">
        <v>52</v>
      </c>
      <c r="C6312" s="4">
        <v>45763.25</v>
      </c>
      <c r="D6312" s="4">
        <v>45763.250369872687</v>
      </c>
      <c r="E6312" s="2">
        <v>3.48</v>
      </c>
      <c r="F6312" s="2">
        <v>72.900000000000006</v>
      </c>
      <c r="G6312" s="2" t="s">
        <v>983</v>
      </c>
      <c r="H6312" s="2" t="s">
        <v>984</v>
      </c>
      <c r="I6312" s="2"/>
      <c r="J6312" s="2" t="s">
        <v>52</v>
      </c>
    </row>
    <row r="6313" spans="1:10" ht="21" customHeight="1">
      <c r="A6313" s="2" t="s">
        <v>7317</v>
      </c>
      <c r="B6313" s="2" t="s">
        <v>52</v>
      </c>
      <c r="C6313" s="4">
        <v>45764.25</v>
      </c>
      <c r="D6313" s="4">
        <v>45764.250110023146</v>
      </c>
      <c r="E6313" s="2">
        <v>3.9</v>
      </c>
      <c r="F6313" s="2">
        <v>78.3</v>
      </c>
      <c r="G6313" s="2" t="s">
        <v>983</v>
      </c>
      <c r="H6313" s="2" t="s">
        <v>984</v>
      </c>
      <c r="I6313" s="2"/>
      <c r="J6313" s="2" t="s">
        <v>52</v>
      </c>
    </row>
    <row r="6314" spans="1:10" ht="21" customHeight="1">
      <c r="A6314" s="2" t="s">
        <v>7318</v>
      </c>
      <c r="B6314" s="2" t="s">
        <v>52</v>
      </c>
      <c r="C6314" s="4">
        <v>45765.25</v>
      </c>
      <c r="D6314" s="4">
        <v>45765.250583530091</v>
      </c>
      <c r="E6314" s="2">
        <v>2.84</v>
      </c>
      <c r="F6314" s="2">
        <v>75.7</v>
      </c>
      <c r="G6314" s="2" t="s">
        <v>983</v>
      </c>
      <c r="H6314" s="2" t="s">
        <v>984</v>
      </c>
      <c r="I6314" s="2"/>
      <c r="J6314" s="2" t="s">
        <v>52</v>
      </c>
    </row>
    <row r="6315" spans="1:10" ht="21" customHeight="1">
      <c r="A6315" s="2" t="s">
        <v>7319</v>
      </c>
      <c r="B6315" s="2" t="s">
        <v>52</v>
      </c>
      <c r="C6315" s="4">
        <v>45766.25</v>
      </c>
      <c r="D6315" s="4">
        <v>45766.250230381949</v>
      </c>
      <c r="E6315" s="2">
        <v>3.95</v>
      </c>
      <c r="F6315" s="2">
        <v>78.8</v>
      </c>
      <c r="G6315" s="2" t="s">
        <v>983</v>
      </c>
      <c r="H6315" s="2" t="s">
        <v>984</v>
      </c>
      <c r="I6315" s="2"/>
      <c r="J6315" s="2" t="s">
        <v>52</v>
      </c>
    </row>
    <row r="6316" spans="1:10" ht="21" customHeight="1">
      <c r="A6316" s="2" t="s">
        <v>7320</v>
      </c>
      <c r="B6316" s="2" t="s">
        <v>7238</v>
      </c>
      <c r="C6316" s="4">
        <v>45767.25</v>
      </c>
      <c r="D6316" s="4">
        <v>45767.250119097225</v>
      </c>
      <c r="E6316" s="2">
        <v>3.71</v>
      </c>
      <c r="F6316" s="2">
        <v>78</v>
      </c>
      <c r="G6316" s="2" t="s">
        <v>983</v>
      </c>
      <c r="H6316" s="2" t="s">
        <v>984</v>
      </c>
      <c r="I6316" s="2"/>
      <c r="J6316" s="2" t="s">
        <v>52</v>
      </c>
    </row>
    <row r="6317" spans="1:10" ht="21" customHeight="1">
      <c r="A6317" s="2" t="s">
        <v>7321</v>
      </c>
      <c r="B6317" s="2" t="s">
        <v>52</v>
      </c>
      <c r="C6317" s="4">
        <v>45768.25</v>
      </c>
      <c r="D6317" s="4">
        <v>45768.250241458329</v>
      </c>
      <c r="E6317" s="2"/>
      <c r="F6317" s="2"/>
      <c r="G6317" s="2" t="s">
        <v>983</v>
      </c>
      <c r="H6317" s="2" t="s">
        <v>1066</v>
      </c>
      <c r="I6317" s="2"/>
      <c r="J6317" s="2" t="s">
        <v>52</v>
      </c>
    </row>
    <row r="6318" spans="1:10" ht="21" customHeight="1">
      <c r="A6318" s="2" t="s">
        <v>7322</v>
      </c>
      <c r="B6318" s="2" t="s">
        <v>52</v>
      </c>
      <c r="C6318" s="4">
        <v>45769.25</v>
      </c>
      <c r="D6318" s="4">
        <v>45769.250410034721</v>
      </c>
      <c r="E6318" s="2">
        <v>2.88</v>
      </c>
      <c r="F6318" s="2">
        <v>75</v>
      </c>
      <c r="G6318" s="2" t="s">
        <v>983</v>
      </c>
      <c r="H6318" s="2" t="s">
        <v>984</v>
      </c>
      <c r="I6318" s="2"/>
      <c r="J6318" s="2" t="s">
        <v>52</v>
      </c>
    </row>
    <row r="6319" spans="1:10" ht="21" customHeight="1">
      <c r="A6319" s="2" t="s">
        <v>7323</v>
      </c>
      <c r="B6319" s="2" t="s">
        <v>52</v>
      </c>
      <c r="C6319" s="4">
        <v>45770.25</v>
      </c>
      <c r="D6319" s="4">
        <v>45770.250158275463</v>
      </c>
      <c r="E6319" s="2"/>
      <c r="F6319" s="2"/>
      <c r="G6319" s="2" t="s">
        <v>983</v>
      </c>
      <c r="H6319" s="2" t="s">
        <v>1066</v>
      </c>
      <c r="I6319" s="2"/>
      <c r="J6319" s="2" t="s">
        <v>52</v>
      </c>
    </row>
    <row r="6320" spans="1:10" ht="21" customHeight="1">
      <c r="A6320" s="2" t="s">
        <v>7324</v>
      </c>
      <c r="B6320" s="2" t="s">
        <v>52</v>
      </c>
      <c r="C6320" s="4">
        <v>45771.25</v>
      </c>
      <c r="D6320" s="4">
        <v>45771.250461238422</v>
      </c>
      <c r="E6320" s="2">
        <v>2.94</v>
      </c>
      <c r="F6320" s="2">
        <v>76.2</v>
      </c>
      <c r="G6320" s="2" t="s">
        <v>983</v>
      </c>
      <c r="H6320" s="2" t="s">
        <v>984</v>
      </c>
      <c r="I6320" s="2"/>
      <c r="J6320" s="2" t="s">
        <v>52</v>
      </c>
    </row>
    <row r="6321" spans="1:10" ht="21" customHeight="1">
      <c r="A6321" s="2" t="s">
        <v>7325</v>
      </c>
      <c r="B6321" s="2" t="s">
        <v>52</v>
      </c>
      <c r="C6321" s="4">
        <v>45772.25</v>
      </c>
      <c r="D6321" s="4">
        <v>45772.250486076387</v>
      </c>
      <c r="E6321" s="2">
        <v>3.81</v>
      </c>
      <c r="F6321" s="2">
        <v>72.5</v>
      </c>
      <c r="G6321" s="2" t="s">
        <v>983</v>
      </c>
      <c r="H6321" s="2" t="s">
        <v>984</v>
      </c>
      <c r="I6321" s="2"/>
      <c r="J6321" s="2" t="s">
        <v>52</v>
      </c>
    </row>
    <row r="6322" spans="1:10" ht="21" customHeight="1">
      <c r="A6322" s="2" t="s">
        <v>7326</v>
      </c>
      <c r="B6322" s="2" t="s">
        <v>52</v>
      </c>
      <c r="C6322" s="4">
        <v>45773.25</v>
      </c>
      <c r="D6322" s="4">
        <v>45773.250461145828</v>
      </c>
      <c r="E6322" s="2">
        <v>3.58</v>
      </c>
      <c r="F6322" s="2">
        <v>78.2</v>
      </c>
      <c r="G6322" s="2" t="s">
        <v>983</v>
      </c>
      <c r="H6322" s="2" t="s">
        <v>984</v>
      </c>
      <c r="I6322" s="2"/>
      <c r="J6322" s="2" t="s">
        <v>52</v>
      </c>
    </row>
    <row r="6323" spans="1:10" ht="21" customHeight="1">
      <c r="A6323" s="2" t="s">
        <v>7327</v>
      </c>
      <c r="B6323" s="2" t="s">
        <v>52</v>
      </c>
      <c r="C6323" s="4">
        <v>45774.25</v>
      </c>
      <c r="D6323" s="4">
        <v>45774.250525150463</v>
      </c>
      <c r="E6323" s="2">
        <v>3.09</v>
      </c>
      <c r="F6323" s="2">
        <v>76.3</v>
      </c>
      <c r="G6323" s="2" t="s">
        <v>983</v>
      </c>
      <c r="H6323" s="2" t="s">
        <v>984</v>
      </c>
      <c r="I6323" s="2"/>
      <c r="J6323" s="2" t="s">
        <v>52</v>
      </c>
    </row>
    <row r="6324" spans="1:10" ht="21" customHeight="1">
      <c r="A6324" s="2" t="s">
        <v>7328</v>
      </c>
      <c r="B6324" s="2" t="s">
        <v>52</v>
      </c>
      <c r="C6324" s="4">
        <v>45775.25</v>
      </c>
      <c r="D6324" s="4">
        <v>45775.250642511572</v>
      </c>
      <c r="E6324" s="2">
        <v>3.37</v>
      </c>
      <c r="F6324" s="2">
        <v>75.5</v>
      </c>
      <c r="G6324" s="2" t="s">
        <v>983</v>
      </c>
      <c r="H6324" s="2" t="s">
        <v>984</v>
      </c>
      <c r="I6324" s="2"/>
      <c r="J6324" s="2" t="s">
        <v>52</v>
      </c>
    </row>
    <row r="6325" spans="1:10" ht="21" customHeight="1">
      <c r="A6325" s="2" t="s">
        <v>7329</v>
      </c>
      <c r="B6325" s="2" t="s">
        <v>52</v>
      </c>
      <c r="C6325" s="4">
        <v>45776.25</v>
      </c>
      <c r="D6325" s="4">
        <v>45776.250227673612</v>
      </c>
      <c r="E6325" s="2">
        <v>3.14</v>
      </c>
      <c r="F6325" s="2">
        <v>73.400000000000006</v>
      </c>
      <c r="G6325" s="2" t="s">
        <v>983</v>
      </c>
      <c r="H6325" s="2" t="s">
        <v>984</v>
      </c>
      <c r="I6325" s="2"/>
      <c r="J6325" s="2" t="s">
        <v>52</v>
      </c>
    </row>
    <row r="6326" spans="1:10" ht="21" customHeight="1">
      <c r="A6326" s="2" t="s">
        <v>7330</v>
      </c>
      <c r="B6326" s="2" t="s">
        <v>52</v>
      </c>
      <c r="C6326" s="4">
        <v>45777.25</v>
      </c>
      <c r="D6326" s="4">
        <v>45777.250466331017</v>
      </c>
      <c r="E6326" s="2">
        <v>3.99</v>
      </c>
      <c r="F6326" s="2">
        <v>79.900000000000006</v>
      </c>
      <c r="G6326" s="2" t="s">
        <v>983</v>
      </c>
      <c r="H6326" s="2" t="s">
        <v>984</v>
      </c>
      <c r="I6326" s="2" t="s">
        <v>985</v>
      </c>
      <c r="J6326" s="2" t="s">
        <v>52</v>
      </c>
    </row>
    <row r="6327" spans="1:10" ht="21" customHeight="1">
      <c r="A6327" s="2" t="s">
        <v>7331</v>
      </c>
      <c r="B6327" s="2" t="s">
        <v>52</v>
      </c>
      <c r="C6327" s="4">
        <v>45778.25</v>
      </c>
      <c r="D6327" s="4">
        <v>45778.250623402782</v>
      </c>
      <c r="E6327" s="2">
        <v>3.77</v>
      </c>
      <c r="F6327" s="2">
        <v>75.400000000000006</v>
      </c>
      <c r="G6327" s="2" t="s">
        <v>983</v>
      </c>
      <c r="H6327" s="2" t="s">
        <v>984</v>
      </c>
      <c r="I6327" s="2"/>
      <c r="J6327" s="2" t="s">
        <v>52</v>
      </c>
    </row>
    <row r="6328" spans="1:10" ht="21" customHeight="1">
      <c r="A6328" s="2" t="s">
        <v>7332</v>
      </c>
      <c r="B6328" s="2" t="s">
        <v>52</v>
      </c>
      <c r="C6328" s="4">
        <v>45779.25</v>
      </c>
      <c r="D6328" s="4">
        <v>45779.250152476852</v>
      </c>
      <c r="E6328" s="2">
        <v>2.88</v>
      </c>
      <c r="F6328" s="2">
        <v>79.3</v>
      </c>
      <c r="G6328" s="2" t="s">
        <v>983</v>
      </c>
      <c r="H6328" s="2" t="s">
        <v>984</v>
      </c>
      <c r="I6328" s="2"/>
      <c r="J6328" s="2" t="s">
        <v>52</v>
      </c>
    </row>
    <row r="6329" spans="1:10" ht="21" customHeight="1">
      <c r="A6329" s="2" t="s">
        <v>7333</v>
      </c>
      <c r="B6329" s="2" t="s">
        <v>52</v>
      </c>
      <c r="C6329" s="4">
        <v>45780.25</v>
      </c>
      <c r="D6329" s="4">
        <v>45780.250191921295</v>
      </c>
      <c r="E6329" s="2">
        <v>3.11</v>
      </c>
      <c r="F6329" s="2">
        <v>74.2</v>
      </c>
      <c r="G6329" s="2" t="s">
        <v>983</v>
      </c>
      <c r="H6329" s="2" t="s">
        <v>984</v>
      </c>
      <c r="I6329" s="2"/>
      <c r="J6329" s="2" t="s">
        <v>52</v>
      </c>
    </row>
    <row r="6330" spans="1:10" ht="21" customHeight="1">
      <c r="A6330" s="2" t="s">
        <v>7334</v>
      </c>
      <c r="B6330" s="2" t="s">
        <v>52</v>
      </c>
      <c r="C6330" s="4">
        <v>45781.25</v>
      </c>
      <c r="D6330" s="4">
        <v>45781.250431284723</v>
      </c>
      <c r="E6330" s="2">
        <v>2.83</v>
      </c>
      <c r="F6330" s="2">
        <v>73</v>
      </c>
      <c r="G6330" s="2" t="s">
        <v>983</v>
      </c>
      <c r="H6330" s="2" t="s">
        <v>984</v>
      </c>
      <c r="I6330" s="2"/>
      <c r="J6330" s="2" t="s">
        <v>52</v>
      </c>
    </row>
    <row r="6331" spans="1:10" ht="21" customHeight="1">
      <c r="A6331" s="2" t="s">
        <v>7335</v>
      </c>
      <c r="B6331" s="2" t="s">
        <v>52</v>
      </c>
      <c r="C6331" s="4">
        <v>45782.25</v>
      </c>
      <c r="D6331" s="4">
        <v>45782.250206377314</v>
      </c>
      <c r="E6331" s="2">
        <v>3.64</v>
      </c>
      <c r="F6331" s="2">
        <v>72.7</v>
      </c>
      <c r="G6331" s="2" t="s">
        <v>983</v>
      </c>
      <c r="H6331" s="2" t="s">
        <v>984</v>
      </c>
      <c r="I6331" s="2"/>
      <c r="J6331" s="2" t="s">
        <v>52</v>
      </c>
    </row>
    <row r="6332" spans="1:10" ht="21" customHeight="1">
      <c r="A6332" s="2" t="s">
        <v>7336</v>
      </c>
      <c r="B6332" s="2" t="s">
        <v>52</v>
      </c>
      <c r="C6332" s="4">
        <v>45783.25</v>
      </c>
      <c r="D6332" s="4">
        <v>45783.250208148151</v>
      </c>
      <c r="E6332" s="2">
        <v>3.01</v>
      </c>
      <c r="F6332" s="2">
        <v>77.900000000000006</v>
      </c>
      <c r="G6332" s="2" t="s">
        <v>983</v>
      </c>
      <c r="H6332" s="2" t="s">
        <v>984</v>
      </c>
      <c r="I6332" s="2"/>
      <c r="J6332" s="2" t="s">
        <v>52</v>
      </c>
    </row>
    <row r="6333" spans="1:10" ht="21" customHeight="1">
      <c r="A6333" s="2" t="s">
        <v>7337</v>
      </c>
      <c r="B6333" s="2" t="s">
        <v>52</v>
      </c>
      <c r="C6333" s="4">
        <v>45784.25</v>
      </c>
      <c r="D6333" s="4">
        <v>45784.250287280098</v>
      </c>
      <c r="E6333" s="2">
        <v>3.18</v>
      </c>
      <c r="F6333" s="2">
        <v>76.7</v>
      </c>
      <c r="G6333" s="2" t="s">
        <v>983</v>
      </c>
      <c r="H6333" s="2" t="s">
        <v>984</v>
      </c>
      <c r="I6333" s="2"/>
      <c r="J6333" s="2" t="s">
        <v>52</v>
      </c>
    </row>
    <row r="6334" spans="1:10" ht="21" customHeight="1">
      <c r="A6334" s="2" t="s">
        <v>7338</v>
      </c>
      <c r="B6334" s="2" t="s">
        <v>52</v>
      </c>
      <c r="C6334" s="4">
        <v>45785.25</v>
      </c>
      <c r="D6334" s="4">
        <v>45785.250277951389</v>
      </c>
      <c r="E6334" s="2">
        <v>3.04</v>
      </c>
      <c r="F6334" s="2">
        <v>77.5</v>
      </c>
      <c r="G6334" s="2" t="s">
        <v>983</v>
      </c>
      <c r="H6334" s="2" t="s">
        <v>984</v>
      </c>
      <c r="I6334" s="2"/>
      <c r="J6334" s="2" t="s">
        <v>52</v>
      </c>
    </row>
    <row r="6335" spans="1:10" ht="21" customHeight="1">
      <c r="A6335" s="2" t="s">
        <v>7339</v>
      </c>
      <c r="B6335" s="2" t="s">
        <v>52</v>
      </c>
      <c r="C6335" s="4">
        <v>45786.25</v>
      </c>
      <c r="D6335" s="4">
        <v>45786.250116921292</v>
      </c>
      <c r="E6335" s="2">
        <v>2.97</v>
      </c>
      <c r="F6335" s="2">
        <v>78</v>
      </c>
      <c r="G6335" s="2" t="s">
        <v>983</v>
      </c>
      <c r="H6335" s="2" t="s">
        <v>984</v>
      </c>
      <c r="I6335" s="2"/>
      <c r="J6335" s="2" t="s">
        <v>52</v>
      </c>
    </row>
    <row r="6336" spans="1:10" ht="21" customHeight="1">
      <c r="A6336" s="2" t="s">
        <v>7340</v>
      </c>
      <c r="B6336" s="2" t="s">
        <v>52</v>
      </c>
      <c r="C6336" s="4">
        <v>45787.25</v>
      </c>
      <c r="D6336" s="4">
        <v>45787.250141840283</v>
      </c>
      <c r="E6336" s="2">
        <v>3.8</v>
      </c>
      <c r="F6336" s="2">
        <v>79.599999999999994</v>
      </c>
      <c r="G6336" s="2" t="s">
        <v>983</v>
      </c>
      <c r="H6336" s="2" t="s">
        <v>984</v>
      </c>
      <c r="I6336" s="2"/>
      <c r="J6336" s="2" t="s">
        <v>52</v>
      </c>
    </row>
    <row r="6337" spans="1:10" ht="21" customHeight="1">
      <c r="A6337" s="2" t="s">
        <v>7341</v>
      </c>
      <c r="B6337" s="2" t="s">
        <v>52</v>
      </c>
      <c r="C6337" s="4">
        <v>45788.25</v>
      </c>
      <c r="D6337" s="4">
        <v>45788.250560740737</v>
      </c>
      <c r="E6337" s="2">
        <v>3.01</v>
      </c>
      <c r="F6337" s="2">
        <v>75</v>
      </c>
      <c r="G6337" s="2" t="s">
        <v>983</v>
      </c>
      <c r="H6337" s="2" t="s">
        <v>984</v>
      </c>
      <c r="I6337" s="2"/>
      <c r="J6337" s="2" t="s">
        <v>52</v>
      </c>
    </row>
    <row r="6338" spans="1:10" ht="21" customHeight="1">
      <c r="A6338" s="2" t="s">
        <v>7342</v>
      </c>
      <c r="B6338" s="2" t="s">
        <v>52</v>
      </c>
      <c r="C6338" s="4">
        <v>45789.25</v>
      </c>
      <c r="D6338" s="4">
        <v>45789.250274479171</v>
      </c>
      <c r="E6338" s="2">
        <v>3.07</v>
      </c>
      <c r="F6338" s="2">
        <v>78.599999999999994</v>
      </c>
      <c r="G6338" s="2" t="s">
        <v>983</v>
      </c>
      <c r="H6338" s="2" t="s">
        <v>984</v>
      </c>
      <c r="I6338" s="2"/>
      <c r="J6338" s="2" t="s">
        <v>52</v>
      </c>
    </row>
    <row r="6339" spans="1:10" ht="21" customHeight="1">
      <c r="A6339" s="2" t="s">
        <v>7343</v>
      </c>
      <c r="B6339" s="2" t="s">
        <v>52</v>
      </c>
      <c r="C6339" s="4">
        <v>45790.25</v>
      </c>
      <c r="D6339" s="4">
        <v>45790.250003136578</v>
      </c>
      <c r="E6339" s="2">
        <v>3.5</v>
      </c>
      <c r="F6339" s="2">
        <v>75.900000000000006</v>
      </c>
      <c r="G6339" s="2" t="s">
        <v>983</v>
      </c>
      <c r="H6339" s="2" t="s">
        <v>984</v>
      </c>
      <c r="I6339" s="2"/>
      <c r="J6339" s="2" t="s">
        <v>52</v>
      </c>
    </row>
    <row r="6340" spans="1:10" ht="21" customHeight="1">
      <c r="A6340" s="2" t="s">
        <v>7344</v>
      </c>
      <c r="B6340" s="2" t="s">
        <v>52</v>
      </c>
      <c r="C6340" s="4">
        <v>45791.25</v>
      </c>
      <c r="D6340" s="4">
        <v>45791.250682488426</v>
      </c>
      <c r="E6340" s="2">
        <v>3.5</v>
      </c>
      <c r="F6340" s="2">
        <v>74.599999999999994</v>
      </c>
      <c r="G6340" s="2" t="s">
        <v>983</v>
      </c>
      <c r="H6340" s="2" t="s">
        <v>984</v>
      </c>
      <c r="I6340" s="2"/>
      <c r="J6340" s="2" t="s">
        <v>52</v>
      </c>
    </row>
    <row r="6341" spans="1:10" ht="21" customHeight="1">
      <c r="A6341" s="2" t="s">
        <v>7345</v>
      </c>
      <c r="B6341" s="2" t="s">
        <v>52</v>
      </c>
      <c r="C6341" s="4">
        <v>45792.25</v>
      </c>
      <c r="D6341" s="4">
        <v>45792.250201157411</v>
      </c>
      <c r="E6341" s="2">
        <v>3.07</v>
      </c>
      <c r="F6341" s="2">
        <v>75</v>
      </c>
      <c r="G6341" s="2" t="s">
        <v>983</v>
      </c>
      <c r="H6341" s="2" t="s">
        <v>984</v>
      </c>
      <c r="I6341" s="2"/>
      <c r="J6341" s="2" t="s">
        <v>52</v>
      </c>
    </row>
    <row r="6342" spans="1:10" ht="21" customHeight="1">
      <c r="A6342" s="2" t="s">
        <v>7346</v>
      </c>
      <c r="B6342" s="2" t="s">
        <v>52</v>
      </c>
      <c r="C6342" s="4">
        <v>45793.25</v>
      </c>
      <c r="D6342" s="4">
        <v>45793.250443229168</v>
      </c>
      <c r="E6342" s="2">
        <v>3.67</v>
      </c>
      <c r="F6342" s="2">
        <v>74.5</v>
      </c>
      <c r="G6342" s="2" t="s">
        <v>983</v>
      </c>
      <c r="H6342" s="2" t="s">
        <v>984</v>
      </c>
      <c r="I6342" s="2"/>
      <c r="J6342" s="2" t="s">
        <v>52</v>
      </c>
    </row>
    <row r="6343" spans="1:10" ht="21" customHeight="1">
      <c r="A6343" s="2" t="s">
        <v>7347</v>
      </c>
      <c r="B6343" s="2" t="s">
        <v>52</v>
      </c>
      <c r="C6343" s="4">
        <v>45794.25</v>
      </c>
      <c r="D6343" s="4">
        <v>45794.2502937963</v>
      </c>
      <c r="E6343" s="2">
        <v>2.83</v>
      </c>
      <c r="F6343" s="2">
        <v>78.599999999999994</v>
      </c>
      <c r="G6343" s="2" t="s">
        <v>983</v>
      </c>
      <c r="H6343" s="2" t="s">
        <v>984</v>
      </c>
      <c r="I6343" s="2" t="s">
        <v>985</v>
      </c>
      <c r="J6343" s="2" t="s">
        <v>52</v>
      </c>
    </row>
    <row r="6344" spans="1:10" ht="21" customHeight="1">
      <c r="A6344" s="2" t="s">
        <v>7348</v>
      </c>
      <c r="B6344" s="2" t="s">
        <v>52</v>
      </c>
      <c r="C6344" s="4">
        <v>45795.25</v>
      </c>
      <c r="D6344" s="4">
        <v>45795.250599826388</v>
      </c>
      <c r="E6344" s="2">
        <v>3.91</v>
      </c>
      <c r="F6344" s="2">
        <v>73.5</v>
      </c>
      <c r="G6344" s="2" t="s">
        <v>983</v>
      </c>
      <c r="H6344" s="2" t="s">
        <v>984</v>
      </c>
      <c r="I6344" s="2"/>
      <c r="J6344" s="2" t="s">
        <v>52</v>
      </c>
    </row>
    <row r="6345" spans="1:10" ht="21" customHeight="1">
      <c r="A6345" s="2" t="s">
        <v>7349</v>
      </c>
      <c r="B6345" s="2" t="s">
        <v>52</v>
      </c>
      <c r="C6345" s="4">
        <v>45796.25</v>
      </c>
      <c r="D6345" s="4">
        <v>45796.250113055554</v>
      </c>
      <c r="E6345" s="2">
        <v>3.78</v>
      </c>
      <c r="F6345" s="2">
        <v>77.2</v>
      </c>
      <c r="G6345" s="2" t="s">
        <v>983</v>
      </c>
      <c r="H6345" s="2" t="s">
        <v>984</v>
      </c>
      <c r="I6345" s="2"/>
      <c r="J6345" s="2" t="s">
        <v>52</v>
      </c>
    </row>
    <row r="6346" spans="1:10" ht="21" customHeight="1">
      <c r="A6346" s="2" t="s">
        <v>7350</v>
      </c>
      <c r="B6346" s="2" t="s">
        <v>52</v>
      </c>
      <c r="C6346" s="4">
        <v>45797.25</v>
      </c>
      <c r="D6346" s="4">
        <v>45797.250086122687</v>
      </c>
      <c r="E6346" s="2">
        <v>3.74</v>
      </c>
      <c r="F6346" s="2">
        <v>72.7</v>
      </c>
      <c r="G6346" s="2" t="s">
        <v>983</v>
      </c>
      <c r="H6346" s="2" t="s">
        <v>984</v>
      </c>
      <c r="I6346" s="2"/>
      <c r="J6346" s="2" t="s">
        <v>52</v>
      </c>
    </row>
    <row r="6347" spans="1:10" ht="21" customHeight="1">
      <c r="A6347" s="2" t="s">
        <v>7351</v>
      </c>
      <c r="B6347" s="2" t="s">
        <v>52</v>
      </c>
      <c r="C6347" s="4">
        <v>45798.25</v>
      </c>
      <c r="D6347" s="4">
        <v>45798.250501446761</v>
      </c>
      <c r="E6347" s="2">
        <v>3.97</v>
      </c>
      <c r="F6347" s="2">
        <v>72.599999999999994</v>
      </c>
      <c r="G6347" s="2" t="s">
        <v>983</v>
      </c>
      <c r="H6347" s="2" t="s">
        <v>984</v>
      </c>
      <c r="I6347" s="2"/>
      <c r="J6347" s="2" t="s">
        <v>52</v>
      </c>
    </row>
    <row r="6348" spans="1:10" ht="21" customHeight="1">
      <c r="A6348" s="2" t="s">
        <v>7352</v>
      </c>
      <c r="B6348" s="2" t="s">
        <v>52</v>
      </c>
      <c r="C6348" s="4">
        <v>45799.25</v>
      </c>
      <c r="D6348" s="4">
        <v>45799.250437337963</v>
      </c>
      <c r="E6348" s="2">
        <v>2.85</v>
      </c>
      <c r="F6348" s="2">
        <v>79</v>
      </c>
      <c r="G6348" s="2" t="s">
        <v>983</v>
      </c>
      <c r="H6348" s="2" t="s">
        <v>984</v>
      </c>
      <c r="I6348" s="2"/>
      <c r="J6348" s="2" t="s">
        <v>52</v>
      </c>
    </row>
    <row r="6349" spans="1:10" ht="21" customHeight="1">
      <c r="A6349" s="2" t="s">
        <v>7353</v>
      </c>
      <c r="B6349" s="2" t="s">
        <v>52</v>
      </c>
      <c r="C6349" s="4">
        <v>45800.25</v>
      </c>
      <c r="D6349" s="4">
        <v>45800.250174409724</v>
      </c>
      <c r="E6349" s="2">
        <v>3.52</v>
      </c>
      <c r="F6349" s="2">
        <v>79.900000000000006</v>
      </c>
      <c r="G6349" s="2" t="s">
        <v>983</v>
      </c>
      <c r="H6349" s="2" t="s">
        <v>984</v>
      </c>
      <c r="I6349" s="2"/>
      <c r="J6349" s="2" t="s">
        <v>52</v>
      </c>
    </row>
    <row r="6350" spans="1:10" ht="21" customHeight="1">
      <c r="A6350" s="2" t="s">
        <v>7354</v>
      </c>
      <c r="B6350" s="2" t="s">
        <v>52</v>
      </c>
      <c r="C6350" s="4">
        <v>45801.25</v>
      </c>
      <c r="D6350" s="4">
        <v>45801.250129085645</v>
      </c>
      <c r="E6350" s="2">
        <v>3.73</v>
      </c>
      <c r="F6350" s="2">
        <v>76.900000000000006</v>
      </c>
      <c r="G6350" s="2" t="s">
        <v>983</v>
      </c>
      <c r="H6350" s="2" t="s">
        <v>984</v>
      </c>
      <c r="I6350" s="2"/>
      <c r="J6350" s="2" t="s">
        <v>52</v>
      </c>
    </row>
    <row r="6351" spans="1:10" ht="21" customHeight="1">
      <c r="A6351" s="2" t="s">
        <v>7355</v>
      </c>
      <c r="B6351" s="2" t="s">
        <v>52</v>
      </c>
      <c r="C6351" s="4">
        <v>45802.25</v>
      </c>
      <c r="D6351" s="4">
        <v>45802.250678240744</v>
      </c>
      <c r="E6351" s="2">
        <v>3.3</v>
      </c>
      <c r="F6351" s="2">
        <v>72</v>
      </c>
      <c r="G6351" s="2" t="s">
        <v>983</v>
      </c>
      <c r="H6351" s="2" t="s">
        <v>984</v>
      </c>
      <c r="I6351" s="2"/>
      <c r="J6351" s="2" t="s">
        <v>52</v>
      </c>
    </row>
    <row r="6352" spans="1:10" ht="21" customHeight="1">
      <c r="A6352" s="2" t="s">
        <v>7356</v>
      </c>
      <c r="B6352" s="2" t="s">
        <v>52</v>
      </c>
      <c r="C6352" s="4">
        <v>45803.25</v>
      </c>
      <c r="D6352" s="4">
        <v>45803.250150613429</v>
      </c>
      <c r="E6352" s="2">
        <v>3.73</v>
      </c>
      <c r="F6352" s="2">
        <v>73.3</v>
      </c>
      <c r="G6352" s="2" t="s">
        <v>983</v>
      </c>
      <c r="H6352" s="2" t="s">
        <v>984</v>
      </c>
      <c r="I6352" s="2"/>
      <c r="J6352" s="2" t="s">
        <v>52</v>
      </c>
    </row>
    <row r="6353" spans="1:10" ht="21" customHeight="1">
      <c r="A6353" s="2" t="s">
        <v>7357</v>
      </c>
      <c r="B6353" s="2" t="s">
        <v>52</v>
      </c>
      <c r="C6353" s="4">
        <v>45804.25</v>
      </c>
      <c r="D6353" s="4">
        <v>45804.250520543981</v>
      </c>
      <c r="E6353" s="2">
        <v>3.76</v>
      </c>
      <c r="F6353" s="2">
        <v>72.8</v>
      </c>
      <c r="G6353" s="2" t="s">
        <v>983</v>
      </c>
      <c r="H6353" s="2" t="s">
        <v>984</v>
      </c>
      <c r="I6353" s="2"/>
      <c r="J6353" s="2" t="s">
        <v>52</v>
      </c>
    </row>
    <row r="6354" spans="1:10" ht="21" customHeight="1">
      <c r="A6354" s="2" t="s">
        <v>7358</v>
      </c>
      <c r="B6354" s="2" t="s">
        <v>52</v>
      </c>
      <c r="C6354" s="4">
        <v>45805.25</v>
      </c>
      <c r="D6354" s="4">
        <v>45805.250050011571</v>
      </c>
      <c r="E6354" s="2">
        <v>2.82</v>
      </c>
      <c r="F6354" s="2">
        <v>77.3</v>
      </c>
      <c r="G6354" s="2" t="s">
        <v>983</v>
      </c>
      <c r="H6354" s="2" t="s">
        <v>984</v>
      </c>
      <c r="I6354" s="2"/>
      <c r="J6354" s="2" t="s">
        <v>52</v>
      </c>
    </row>
    <row r="6355" spans="1:10" ht="21" customHeight="1">
      <c r="A6355" s="2" t="s">
        <v>7359</v>
      </c>
      <c r="B6355" s="2" t="s">
        <v>52</v>
      </c>
      <c r="C6355" s="4">
        <v>45806.25</v>
      </c>
      <c r="D6355" s="4">
        <v>45806.250523437498</v>
      </c>
      <c r="E6355" s="2">
        <v>3.57</v>
      </c>
      <c r="F6355" s="2">
        <v>79.099999999999994</v>
      </c>
      <c r="G6355" s="2" t="s">
        <v>983</v>
      </c>
      <c r="H6355" s="2" t="s">
        <v>984</v>
      </c>
      <c r="I6355" s="2"/>
      <c r="J6355" s="2" t="s">
        <v>52</v>
      </c>
    </row>
    <row r="6356" spans="1:10" ht="21" customHeight="1">
      <c r="A6356" s="2" t="s">
        <v>7360</v>
      </c>
      <c r="B6356" s="2" t="s">
        <v>52</v>
      </c>
      <c r="C6356" s="4">
        <v>45807.25</v>
      </c>
      <c r="D6356" s="4">
        <v>45807.250557673615</v>
      </c>
      <c r="E6356" s="2">
        <v>2.91</v>
      </c>
      <c r="F6356" s="2">
        <v>74</v>
      </c>
      <c r="G6356" s="2" t="s">
        <v>983</v>
      </c>
      <c r="H6356" s="2" t="s">
        <v>984</v>
      </c>
      <c r="I6356" s="2"/>
      <c r="J6356" s="2" t="s">
        <v>52</v>
      </c>
    </row>
    <row r="6357" spans="1:10" ht="21" customHeight="1">
      <c r="A6357" s="2" t="s">
        <v>7361</v>
      </c>
      <c r="B6357" s="2" t="s">
        <v>7238</v>
      </c>
      <c r="C6357" s="4">
        <v>45808.25</v>
      </c>
      <c r="D6357" s="4">
        <v>45808.250398298609</v>
      </c>
      <c r="E6357" s="2">
        <v>2.82</v>
      </c>
      <c r="F6357" s="2">
        <v>72.900000000000006</v>
      </c>
      <c r="G6357" s="2" t="s">
        <v>983</v>
      </c>
      <c r="H6357" s="2" t="s">
        <v>984</v>
      </c>
      <c r="I6357" s="2"/>
      <c r="J6357" s="2" t="s">
        <v>52</v>
      </c>
    </row>
    <row r="6358" spans="1:10" ht="21" customHeight="1">
      <c r="A6358" s="2" t="s">
        <v>7362</v>
      </c>
      <c r="B6358" s="2" t="s">
        <v>52</v>
      </c>
      <c r="C6358" s="4">
        <v>45809.25</v>
      </c>
      <c r="D6358" s="4">
        <v>45809.250078067125</v>
      </c>
      <c r="E6358" s="2"/>
      <c r="F6358" s="2"/>
      <c r="G6358" s="2" t="s">
        <v>983</v>
      </c>
      <c r="H6358" s="2" t="s">
        <v>1066</v>
      </c>
      <c r="I6358" s="2"/>
      <c r="J6358" s="2" t="s">
        <v>52</v>
      </c>
    </row>
    <row r="6359" spans="1:10" ht="21" customHeight="1">
      <c r="A6359" s="2" t="s">
        <v>7363</v>
      </c>
      <c r="B6359" s="2" t="s">
        <v>52</v>
      </c>
      <c r="C6359" s="4">
        <v>45810.25</v>
      </c>
      <c r="D6359" s="4">
        <v>45810.250536770836</v>
      </c>
      <c r="E6359" s="2">
        <v>3.9</v>
      </c>
      <c r="F6359" s="2">
        <v>80</v>
      </c>
      <c r="G6359" s="2" t="s">
        <v>983</v>
      </c>
      <c r="H6359" s="2" t="s">
        <v>984</v>
      </c>
      <c r="I6359" s="2"/>
      <c r="J6359" s="2" t="s">
        <v>52</v>
      </c>
    </row>
    <row r="6360" spans="1:10" ht="21" customHeight="1">
      <c r="A6360" s="2" t="s">
        <v>7364</v>
      </c>
      <c r="B6360" s="2" t="s">
        <v>52</v>
      </c>
      <c r="C6360" s="4">
        <v>45811.25</v>
      </c>
      <c r="D6360" s="4">
        <v>45811.250625949076</v>
      </c>
      <c r="E6360" s="2">
        <v>3.42</v>
      </c>
      <c r="F6360" s="2">
        <v>74.3</v>
      </c>
      <c r="G6360" s="2" t="s">
        <v>983</v>
      </c>
      <c r="H6360" s="2" t="s">
        <v>984</v>
      </c>
      <c r="I6360" s="2" t="s">
        <v>985</v>
      </c>
      <c r="J6360" s="2" t="s">
        <v>52</v>
      </c>
    </row>
    <row r="6361" spans="1:10" ht="21" customHeight="1">
      <c r="A6361" s="2" t="s">
        <v>7365</v>
      </c>
      <c r="B6361" s="2" t="s">
        <v>52</v>
      </c>
      <c r="C6361" s="4">
        <v>45812.25</v>
      </c>
      <c r="D6361" s="4">
        <v>45812.250113229165</v>
      </c>
      <c r="E6361" s="2">
        <v>2.83</v>
      </c>
      <c r="F6361" s="2">
        <v>75.900000000000006</v>
      </c>
      <c r="G6361" s="2" t="s">
        <v>983</v>
      </c>
      <c r="H6361" s="2" t="s">
        <v>984</v>
      </c>
      <c r="I6361" s="2"/>
      <c r="J6361" s="2" t="s">
        <v>52</v>
      </c>
    </row>
    <row r="6362" spans="1:10" ht="21" customHeight="1">
      <c r="A6362" s="2" t="s">
        <v>7366</v>
      </c>
      <c r="B6362" s="2" t="s">
        <v>52</v>
      </c>
      <c r="C6362" s="4">
        <v>45813.25</v>
      </c>
      <c r="D6362" s="4">
        <v>45813.250081585647</v>
      </c>
      <c r="E6362" s="2">
        <v>0</v>
      </c>
      <c r="F6362" s="2">
        <v>77.900000000000006</v>
      </c>
      <c r="G6362" s="2" t="s">
        <v>1175</v>
      </c>
      <c r="H6362" s="2" t="s">
        <v>984</v>
      </c>
      <c r="I6362" s="2"/>
      <c r="J6362" s="2" t="s">
        <v>52</v>
      </c>
    </row>
    <row r="6363" spans="1:10" ht="21" customHeight="1">
      <c r="A6363" s="2" t="s">
        <v>7367</v>
      </c>
      <c r="B6363" s="2" t="s">
        <v>52</v>
      </c>
      <c r="C6363" s="4">
        <v>45814.25</v>
      </c>
      <c r="D6363" s="4">
        <v>45814.250063865737</v>
      </c>
      <c r="E6363" s="2"/>
      <c r="F6363" s="2"/>
      <c r="G6363" s="2" t="s">
        <v>983</v>
      </c>
      <c r="H6363" s="2" t="s">
        <v>1066</v>
      </c>
      <c r="I6363" s="2"/>
      <c r="J6363" s="2" t="s">
        <v>52</v>
      </c>
    </row>
    <row r="6364" spans="1:10" ht="21" customHeight="1">
      <c r="A6364" s="2" t="s">
        <v>7368</v>
      </c>
      <c r="B6364" s="2" t="s">
        <v>52</v>
      </c>
      <c r="C6364" s="4">
        <v>45815.25</v>
      </c>
      <c r="D6364" s="4">
        <v>45815.250155567133</v>
      </c>
      <c r="E6364" s="2">
        <v>2.89</v>
      </c>
      <c r="F6364" s="2">
        <v>76.3</v>
      </c>
      <c r="G6364" s="2" t="s">
        <v>983</v>
      </c>
      <c r="H6364" s="2" t="s">
        <v>984</v>
      </c>
      <c r="I6364" s="2"/>
      <c r="J6364" s="2" t="s">
        <v>52</v>
      </c>
    </row>
    <row r="6365" spans="1:10" ht="21" customHeight="1">
      <c r="A6365" s="2" t="s">
        <v>7369</v>
      </c>
      <c r="B6365" s="2" t="s">
        <v>52</v>
      </c>
      <c r="C6365" s="4">
        <v>45816.25</v>
      </c>
      <c r="D6365" s="4">
        <v>45816.250655509255</v>
      </c>
      <c r="E6365" s="2">
        <v>3.53</v>
      </c>
      <c r="F6365" s="2">
        <v>72.8</v>
      </c>
      <c r="G6365" s="2" t="s">
        <v>983</v>
      </c>
      <c r="H6365" s="2" t="s">
        <v>984</v>
      </c>
      <c r="I6365" s="2"/>
      <c r="J6365" s="2" t="s">
        <v>52</v>
      </c>
    </row>
    <row r="6366" spans="1:10" ht="21" customHeight="1">
      <c r="A6366" s="2" t="s">
        <v>7370</v>
      </c>
      <c r="B6366" s="2" t="s">
        <v>52</v>
      </c>
      <c r="C6366" s="4">
        <v>45817.25</v>
      </c>
      <c r="D6366" s="4">
        <v>45817.250623981483</v>
      </c>
      <c r="E6366" s="2">
        <v>4</v>
      </c>
      <c r="F6366" s="2">
        <v>73.7</v>
      </c>
      <c r="G6366" s="2" t="s">
        <v>983</v>
      </c>
      <c r="H6366" s="2" t="s">
        <v>984</v>
      </c>
      <c r="I6366" s="2"/>
      <c r="J6366" s="2" t="s">
        <v>52</v>
      </c>
    </row>
    <row r="6367" spans="1:10" ht="21" customHeight="1">
      <c r="A6367" s="2" t="s">
        <v>7371</v>
      </c>
      <c r="B6367" s="2" t="s">
        <v>52</v>
      </c>
      <c r="C6367" s="4">
        <v>45818.25</v>
      </c>
      <c r="D6367" s="4">
        <v>45818.250447546292</v>
      </c>
      <c r="E6367" s="2">
        <v>3.79</v>
      </c>
      <c r="F6367" s="2">
        <v>72.900000000000006</v>
      </c>
      <c r="G6367" s="2" t="s">
        <v>983</v>
      </c>
      <c r="H6367" s="2" t="s">
        <v>984</v>
      </c>
      <c r="I6367" s="2"/>
      <c r="J6367" s="2" t="s">
        <v>52</v>
      </c>
    </row>
    <row r="6368" spans="1:10" ht="21" customHeight="1">
      <c r="A6368" s="2" t="s">
        <v>7372</v>
      </c>
      <c r="B6368" s="2" t="s">
        <v>52</v>
      </c>
      <c r="C6368" s="4">
        <v>45819.25</v>
      </c>
      <c r="D6368" s="4">
        <v>45819.250230636579</v>
      </c>
      <c r="E6368" s="2">
        <v>3.94</v>
      </c>
      <c r="F6368" s="2">
        <v>76.3</v>
      </c>
      <c r="G6368" s="2" t="s">
        <v>983</v>
      </c>
      <c r="H6368" s="2" t="s">
        <v>984</v>
      </c>
      <c r="I6368" s="2"/>
      <c r="J6368" s="2" t="s">
        <v>52</v>
      </c>
    </row>
    <row r="6369" spans="1:10" ht="21" customHeight="1">
      <c r="A6369" s="2" t="s">
        <v>7373</v>
      </c>
      <c r="B6369" s="2" t="s">
        <v>52</v>
      </c>
      <c r="C6369" s="4">
        <v>45820.25</v>
      </c>
      <c r="D6369" s="4">
        <v>45820.250624583336</v>
      </c>
      <c r="E6369" s="2">
        <v>3.3</v>
      </c>
      <c r="F6369" s="2">
        <v>79.5</v>
      </c>
      <c r="G6369" s="2" t="s">
        <v>983</v>
      </c>
      <c r="H6369" s="2" t="s">
        <v>984</v>
      </c>
      <c r="I6369" s="2"/>
      <c r="J6369" s="2" t="s">
        <v>52</v>
      </c>
    </row>
    <row r="6370" spans="1:10" ht="21" customHeight="1">
      <c r="A6370" s="2" t="s">
        <v>7374</v>
      </c>
      <c r="B6370" s="2" t="s">
        <v>52</v>
      </c>
      <c r="C6370" s="4">
        <v>45821.25</v>
      </c>
      <c r="D6370" s="4">
        <v>45821.250035474535</v>
      </c>
      <c r="E6370" s="2">
        <v>3.84</v>
      </c>
      <c r="F6370" s="2">
        <v>72.8</v>
      </c>
      <c r="G6370" s="2" t="s">
        <v>983</v>
      </c>
      <c r="H6370" s="2" t="s">
        <v>984</v>
      </c>
      <c r="I6370" s="2"/>
      <c r="J6370" s="2" t="s">
        <v>52</v>
      </c>
    </row>
    <row r="6371" spans="1:10" ht="21" customHeight="1">
      <c r="A6371" s="2" t="s">
        <v>7375</v>
      </c>
      <c r="B6371" s="2" t="s">
        <v>52</v>
      </c>
      <c r="C6371" s="4">
        <v>45822.25</v>
      </c>
      <c r="D6371" s="4">
        <v>45822.250144930556</v>
      </c>
      <c r="E6371" s="2">
        <v>3.78</v>
      </c>
      <c r="F6371" s="2">
        <v>72.2</v>
      </c>
      <c r="G6371" s="2" t="s">
        <v>983</v>
      </c>
      <c r="H6371" s="2" t="s">
        <v>984</v>
      </c>
      <c r="I6371" s="2"/>
      <c r="J6371" s="2" t="s">
        <v>52</v>
      </c>
    </row>
    <row r="6372" spans="1:10" ht="21" customHeight="1">
      <c r="A6372" s="2" t="s">
        <v>7376</v>
      </c>
      <c r="B6372" s="2" t="s">
        <v>52</v>
      </c>
      <c r="C6372" s="4">
        <v>45823.25</v>
      </c>
      <c r="D6372" s="4">
        <v>45823.250234386578</v>
      </c>
      <c r="E6372" s="2">
        <v>3.77</v>
      </c>
      <c r="F6372" s="2">
        <v>79.8</v>
      </c>
      <c r="G6372" s="2" t="s">
        <v>983</v>
      </c>
      <c r="H6372" s="2" t="s">
        <v>984</v>
      </c>
      <c r="I6372" s="2"/>
      <c r="J6372" s="2" t="s">
        <v>52</v>
      </c>
    </row>
    <row r="6373" spans="1:10" ht="21" customHeight="1">
      <c r="A6373" s="2" t="s">
        <v>7377</v>
      </c>
      <c r="B6373" s="2" t="s">
        <v>52</v>
      </c>
      <c r="C6373" s="4">
        <v>45824.25</v>
      </c>
      <c r="D6373" s="4">
        <v>45824.250663333332</v>
      </c>
      <c r="E6373" s="2">
        <v>3.35</v>
      </c>
      <c r="F6373" s="2">
        <v>73.2</v>
      </c>
      <c r="G6373" s="2" t="s">
        <v>983</v>
      </c>
      <c r="H6373" s="2" t="s">
        <v>984</v>
      </c>
      <c r="I6373" s="2"/>
      <c r="J6373" s="2" t="s">
        <v>52</v>
      </c>
    </row>
    <row r="6374" spans="1:10" ht="21" customHeight="1">
      <c r="A6374" s="2" t="s">
        <v>7378</v>
      </c>
      <c r="B6374" s="2" t="s">
        <v>52</v>
      </c>
      <c r="C6374" s="4">
        <v>45825.25</v>
      </c>
      <c r="D6374" s="4">
        <v>45825.2502718287</v>
      </c>
      <c r="E6374" s="2">
        <v>3.71</v>
      </c>
      <c r="F6374" s="2">
        <v>74</v>
      </c>
      <c r="G6374" s="2" t="s">
        <v>983</v>
      </c>
      <c r="H6374" s="2" t="s">
        <v>984</v>
      </c>
      <c r="I6374" s="2"/>
      <c r="J6374" s="2" t="s">
        <v>52</v>
      </c>
    </row>
    <row r="6375" spans="1:10" ht="21" customHeight="1">
      <c r="A6375" s="2" t="s">
        <v>7379</v>
      </c>
      <c r="B6375" s="2" t="s">
        <v>52</v>
      </c>
      <c r="C6375" s="4">
        <v>45826.25</v>
      </c>
      <c r="D6375" s="4">
        <v>45826.250093599534</v>
      </c>
      <c r="E6375" s="2">
        <v>3.51</v>
      </c>
      <c r="F6375" s="2">
        <v>76.3</v>
      </c>
      <c r="G6375" s="2" t="s">
        <v>983</v>
      </c>
      <c r="H6375" s="2" t="s">
        <v>984</v>
      </c>
      <c r="I6375" s="2"/>
      <c r="J6375" s="2" t="s">
        <v>52</v>
      </c>
    </row>
    <row r="6376" spans="1:10" ht="21" customHeight="1">
      <c r="A6376" s="2" t="s">
        <v>7380</v>
      </c>
      <c r="B6376" s="2" t="s">
        <v>52</v>
      </c>
      <c r="C6376" s="4">
        <v>45827.25</v>
      </c>
      <c r="D6376" s="4">
        <v>45827.250119374999</v>
      </c>
      <c r="E6376" s="2">
        <v>3.33</v>
      </c>
      <c r="F6376" s="2">
        <v>72.2</v>
      </c>
      <c r="G6376" s="2" t="s">
        <v>983</v>
      </c>
      <c r="H6376" s="2" t="s">
        <v>984</v>
      </c>
      <c r="I6376" s="2"/>
      <c r="J6376" s="2" t="s">
        <v>52</v>
      </c>
    </row>
    <row r="6377" spans="1:10" ht="21" customHeight="1">
      <c r="A6377" s="2" t="s">
        <v>7381</v>
      </c>
      <c r="B6377" s="2" t="s">
        <v>52</v>
      </c>
      <c r="C6377" s="4">
        <v>45828.25</v>
      </c>
      <c r="D6377" s="4">
        <v>45828.250091099537</v>
      </c>
      <c r="E6377" s="2">
        <v>3.4</v>
      </c>
      <c r="F6377" s="2">
        <v>80</v>
      </c>
      <c r="G6377" s="2" t="s">
        <v>983</v>
      </c>
      <c r="H6377" s="2" t="s">
        <v>984</v>
      </c>
      <c r="I6377" s="2" t="s">
        <v>985</v>
      </c>
      <c r="J6377" s="2" t="s">
        <v>52</v>
      </c>
    </row>
    <row r="6378" spans="1:10" ht="21" customHeight="1">
      <c r="A6378" s="2" t="s">
        <v>7382</v>
      </c>
      <c r="B6378" s="2" t="s">
        <v>52</v>
      </c>
      <c r="C6378" s="4">
        <v>45829.25</v>
      </c>
      <c r="D6378" s="4">
        <v>45829.250477222224</v>
      </c>
      <c r="E6378" s="2">
        <v>3.04</v>
      </c>
      <c r="F6378" s="2">
        <v>78.2</v>
      </c>
      <c r="G6378" s="2" t="s">
        <v>983</v>
      </c>
      <c r="H6378" s="2" t="s">
        <v>984</v>
      </c>
      <c r="I6378" s="2"/>
      <c r="J6378" s="2" t="s">
        <v>52</v>
      </c>
    </row>
    <row r="6379" spans="1:10" ht="21" customHeight="1">
      <c r="A6379" s="2" t="s">
        <v>7383</v>
      </c>
      <c r="B6379" s="2" t="s">
        <v>52</v>
      </c>
      <c r="C6379" s="4">
        <v>45830.25</v>
      </c>
      <c r="D6379" s="4">
        <v>45830.250284027774</v>
      </c>
      <c r="E6379" s="2">
        <v>0</v>
      </c>
      <c r="F6379" s="2">
        <v>77.3</v>
      </c>
      <c r="G6379" s="2" t="s">
        <v>1175</v>
      </c>
      <c r="H6379" s="2" t="s">
        <v>984</v>
      </c>
      <c r="I6379" s="2"/>
      <c r="J6379" s="2" t="s">
        <v>52</v>
      </c>
    </row>
    <row r="6380" spans="1:10" ht="21" customHeight="1">
      <c r="A6380" s="2" t="s">
        <v>7384</v>
      </c>
      <c r="B6380" s="2" t="s">
        <v>52</v>
      </c>
      <c r="C6380" s="4">
        <v>45831.25</v>
      </c>
      <c r="D6380" s="4">
        <v>45831.250131122681</v>
      </c>
      <c r="E6380" s="2">
        <v>3.19</v>
      </c>
      <c r="F6380" s="2">
        <v>76.3</v>
      </c>
      <c r="G6380" s="2" t="s">
        <v>983</v>
      </c>
      <c r="H6380" s="2" t="s">
        <v>984</v>
      </c>
      <c r="I6380" s="2"/>
      <c r="J6380" s="2" t="s">
        <v>52</v>
      </c>
    </row>
    <row r="6381" spans="1:10" ht="21" customHeight="1">
      <c r="A6381" s="2" t="s">
        <v>7385</v>
      </c>
      <c r="B6381" s="2" t="s">
        <v>52</v>
      </c>
      <c r="C6381" s="4">
        <v>45832.25</v>
      </c>
      <c r="D6381" s="4">
        <v>45832.250460243056</v>
      </c>
      <c r="E6381" s="2">
        <v>3.75</v>
      </c>
      <c r="F6381" s="2">
        <v>79.8</v>
      </c>
      <c r="G6381" s="2" t="s">
        <v>983</v>
      </c>
      <c r="H6381" s="2" t="s">
        <v>984</v>
      </c>
      <c r="I6381" s="2"/>
      <c r="J6381" s="2" t="s">
        <v>52</v>
      </c>
    </row>
    <row r="6382" spans="1:10" ht="21" customHeight="1">
      <c r="A6382" s="2" t="s">
        <v>7386</v>
      </c>
      <c r="B6382" s="2" t="s">
        <v>52</v>
      </c>
      <c r="C6382" s="4">
        <v>45833.25</v>
      </c>
      <c r="D6382" s="4">
        <v>45833.2503975</v>
      </c>
      <c r="E6382" s="2">
        <v>3.73</v>
      </c>
      <c r="F6382" s="2">
        <v>79.900000000000006</v>
      </c>
      <c r="G6382" s="2" t="s">
        <v>983</v>
      </c>
      <c r="H6382" s="2" t="s">
        <v>984</v>
      </c>
      <c r="I6382" s="2"/>
      <c r="J6382" s="2" t="s">
        <v>52</v>
      </c>
    </row>
    <row r="6383" spans="1:10" ht="21" customHeight="1">
      <c r="A6383" s="2" t="s">
        <v>7387</v>
      </c>
      <c r="B6383" s="2" t="s">
        <v>52</v>
      </c>
      <c r="C6383" s="4">
        <v>45834.25</v>
      </c>
      <c r="D6383" s="4">
        <v>45834.250613310185</v>
      </c>
      <c r="E6383" s="2">
        <v>3.4</v>
      </c>
      <c r="F6383" s="2">
        <v>77.8</v>
      </c>
      <c r="G6383" s="2" t="s">
        <v>983</v>
      </c>
      <c r="H6383" s="2" t="s">
        <v>984</v>
      </c>
      <c r="I6383" s="2"/>
      <c r="J6383" s="2" t="s">
        <v>52</v>
      </c>
    </row>
    <row r="6384" spans="1:10" ht="21" customHeight="1">
      <c r="A6384" s="2" t="s">
        <v>7388</v>
      </c>
      <c r="B6384" s="2" t="s">
        <v>52</v>
      </c>
      <c r="C6384" s="4">
        <v>45835.25</v>
      </c>
      <c r="D6384" s="4">
        <v>45835.250079537036</v>
      </c>
      <c r="E6384" s="2">
        <v>2.81</v>
      </c>
      <c r="F6384" s="2">
        <v>73.8</v>
      </c>
      <c r="G6384" s="2" t="s">
        <v>983</v>
      </c>
      <c r="H6384" s="2" t="s">
        <v>984</v>
      </c>
      <c r="I6384" s="2"/>
      <c r="J6384" s="2" t="s">
        <v>52</v>
      </c>
    </row>
    <row r="6385" spans="1:10" ht="21" customHeight="1">
      <c r="A6385" s="2" t="s">
        <v>7389</v>
      </c>
      <c r="B6385" s="2" t="s">
        <v>52</v>
      </c>
      <c r="C6385" s="4">
        <v>45836.25</v>
      </c>
      <c r="D6385" s="4">
        <v>45836.250378553239</v>
      </c>
      <c r="E6385" s="2">
        <v>3.63</v>
      </c>
      <c r="F6385" s="2">
        <v>75.099999999999994</v>
      </c>
      <c r="G6385" s="2" t="s">
        <v>983</v>
      </c>
      <c r="H6385" s="2" t="s">
        <v>984</v>
      </c>
      <c r="I6385" s="2"/>
      <c r="J6385" s="2" t="s">
        <v>52</v>
      </c>
    </row>
    <row r="6386" spans="1:10" ht="21" customHeight="1">
      <c r="A6386" s="2" t="s">
        <v>7390</v>
      </c>
      <c r="B6386" s="2" t="s">
        <v>52</v>
      </c>
      <c r="C6386" s="4">
        <v>45837.25</v>
      </c>
      <c r="D6386" s="4">
        <v>45837.250547071759</v>
      </c>
      <c r="E6386" s="2">
        <v>3.14</v>
      </c>
      <c r="F6386" s="2">
        <v>78.099999999999994</v>
      </c>
      <c r="G6386" s="2" t="s">
        <v>983</v>
      </c>
      <c r="H6386" s="2" t="s">
        <v>984</v>
      </c>
      <c r="I6386" s="2"/>
      <c r="J6386" s="2" t="s">
        <v>52</v>
      </c>
    </row>
    <row r="6387" spans="1:10" ht="21" customHeight="1">
      <c r="A6387" s="2" t="s">
        <v>7391</v>
      </c>
      <c r="B6387" s="2" t="s">
        <v>52</v>
      </c>
      <c r="C6387" s="4">
        <v>45838.25</v>
      </c>
      <c r="D6387" s="4">
        <v>45838.250518749999</v>
      </c>
      <c r="E6387" s="2">
        <v>3</v>
      </c>
      <c r="F6387" s="2">
        <v>75.3</v>
      </c>
      <c r="G6387" s="2" t="s">
        <v>983</v>
      </c>
      <c r="H6387" s="2" t="s">
        <v>984</v>
      </c>
      <c r="I6387" s="2"/>
      <c r="J6387" s="2" t="s">
        <v>52</v>
      </c>
    </row>
    <row r="6388" spans="1:10" ht="21" customHeight="1">
      <c r="A6388" s="2" t="s">
        <v>7392</v>
      </c>
      <c r="B6388" s="2" t="s">
        <v>52</v>
      </c>
      <c r="C6388" s="4">
        <v>45839.25</v>
      </c>
      <c r="D6388" s="4">
        <v>45839.250425682869</v>
      </c>
      <c r="E6388" s="2">
        <v>3.65</v>
      </c>
      <c r="F6388" s="2">
        <v>76.2</v>
      </c>
      <c r="G6388" s="2" t="s">
        <v>983</v>
      </c>
      <c r="H6388" s="2" t="s">
        <v>984</v>
      </c>
      <c r="I6388" s="2"/>
      <c r="J6388" s="2" t="s">
        <v>52</v>
      </c>
    </row>
    <row r="6389" spans="1:10" ht="21" customHeight="1">
      <c r="A6389" s="2" t="s">
        <v>7393</v>
      </c>
      <c r="B6389" s="2" t="s">
        <v>52</v>
      </c>
      <c r="C6389" s="4">
        <v>45840.25</v>
      </c>
      <c r="D6389" s="4">
        <v>45840.250141331024</v>
      </c>
      <c r="E6389" s="2">
        <v>2.85</v>
      </c>
      <c r="F6389" s="2">
        <v>79.7</v>
      </c>
      <c r="G6389" s="2" t="s">
        <v>983</v>
      </c>
      <c r="H6389" s="2" t="s">
        <v>984</v>
      </c>
      <c r="I6389" s="2"/>
      <c r="J6389" s="2" t="s">
        <v>52</v>
      </c>
    </row>
    <row r="6390" spans="1:10" ht="21" customHeight="1">
      <c r="A6390" s="2" t="s">
        <v>7394</v>
      </c>
      <c r="B6390" s="2" t="s">
        <v>52</v>
      </c>
      <c r="C6390" s="4">
        <v>45841.25</v>
      </c>
      <c r="D6390" s="4">
        <v>45841.250095081021</v>
      </c>
      <c r="E6390" s="2">
        <v>3.02</v>
      </c>
      <c r="F6390" s="2">
        <v>73</v>
      </c>
      <c r="G6390" s="2" t="s">
        <v>983</v>
      </c>
      <c r="H6390" s="2" t="s">
        <v>984</v>
      </c>
      <c r="I6390" s="2"/>
      <c r="J6390" s="2" t="s">
        <v>52</v>
      </c>
    </row>
    <row r="6391" spans="1:10" ht="21" customHeight="1">
      <c r="A6391" s="2" t="s">
        <v>7395</v>
      </c>
      <c r="B6391" s="2" t="s">
        <v>52</v>
      </c>
      <c r="C6391" s="4">
        <v>45842.25</v>
      </c>
      <c r="D6391" s="4">
        <v>45842.25039721065</v>
      </c>
      <c r="E6391" s="2">
        <v>3.68</v>
      </c>
      <c r="F6391" s="2">
        <v>78.599999999999994</v>
      </c>
      <c r="G6391" s="2" t="s">
        <v>983</v>
      </c>
      <c r="H6391" s="2" t="s">
        <v>984</v>
      </c>
      <c r="I6391" s="2"/>
      <c r="J6391" s="2" t="s">
        <v>52</v>
      </c>
    </row>
    <row r="6392" spans="1:10" ht="21" customHeight="1">
      <c r="A6392" s="2" t="s">
        <v>7396</v>
      </c>
      <c r="B6392" s="2" t="s">
        <v>52</v>
      </c>
      <c r="C6392" s="4">
        <v>45843.25</v>
      </c>
      <c r="D6392" s="4">
        <v>45843.250681006946</v>
      </c>
      <c r="E6392" s="2">
        <v>3.22</v>
      </c>
      <c r="F6392" s="2">
        <v>73.8</v>
      </c>
      <c r="G6392" s="2" t="s">
        <v>983</v>
      </c>
      <c r="H6392" s="2" t="s">
        <v>984</v>
      </c>
      <c r="I6392" s="2"/>
      <c r="J6392" s="2" t="s">
        <v>52</v>
      </c>
    </row>
    <row r="6393" spans="1:10" ht="21" customHeight="1">
      <c r="A6393" s="2" t="s">
        <v>7397</v>
      </c>
      <c r="B6393" s="2" t="s">
        <v>52</v>
      </c>
      <c r="C6393" s="4">
        <v>45844.25</v>
      </c>
      <c r="D6393" s="4">
        <v>45844.250168449071</v>
      </c>
      <c r="E6393" s="2">
        <v>3.48</v>
      </c>
      <c r="F6393" s="2">
        <v>74.099999999999994</v>
      </c>
      <c r="G6393" s="2" t="s">
        <v>983</v>
      </c>
      <c r="H6393" s="2" t="s">
        <v>984</v>
      </c>
      <c r="I6393" s="2"/>
      <c r="J6393" s="2" t="s">
        <v>52</v>
      </c>
    </row>
    <row r="6394" spans="1:10" ht="21" customHeight="1">
      <c r="A6394" s="2" t="s">
        <v>7398</v>
      </c>
      <c r="B6394" s="2" t="s">
        <v>52</v>
      </c>
      <c r="C6394" s="4">
        <v>45845.25</v>
      </c>
      <c r="D6394" s="4">
        <v>45845.250554664352</v>
      </c>
      <c r="E6394" s="2">
        <v>3.32</v>
      </c>
      <c r="F6394" s="2">
        <v>74.2</v>
      </c>
      <c r="G6394" s="2" t="s">
        <v>983</v>
      </c>
      <c r="H6394" s="2" t="s">
        <v>984</v>
      </c>
      <c r="I6394" s="2" t="s">
        <v>985</v>
      </c>
      <c r="J6394" s="2" t="s">
        <v>52</v>
      </c>
    </row>
    <row r="6395" spans="1:10" ht="21" customHeight="1">
      <c r="A6395" s="2" t="s">
        <v>7399</v>
      </c>
      <c r="B6395" s="2" t="s">
        <v>52</v>
      </c>
      <c r="C6395" s="4">
        <v>45846.25</v>
      </c>
      <c r="D6395" s="4">
        <v>45846.250647662033</v>
      </c>
      <c r="E6395" s="2">
        <v>6.04</v>
      </c>
      <c r="F6395" s="2">
        <v>85.7</v>
      </c>
      <c r="G6395" s="2" t="s">
        <v>983</v>
      </c>
      <c r="H6395" s="2" t="s">
        <v>984</v>
      </c>
      <c r="I6395" s="2" t="s">
        <v>1053</v>
      </c>
      <c r="J6395" s="2" t="s">
        <v>52</v>
      </c>
    </row>
    <row r="6396" spans="1:10" ht="21" customHeight="1">
      <c r="A6396" s="2" t="s">
        <v>7400</v>
      </c>
      <c r="B6396" s="2" t="s">
        <v>52</v>
      </c>
      <c r="C6396" s="4">
        <v>45847.25</v>
      </c>
      <c r="D6396" s="4">
        <v>45847.25012060185</v>
      </c>
      <c r="E6396" s="2">
        <v>6.98</v>
      </c>
      <c r="F6396" s="2">
        <v>80.3</v>
      </c>
      <c r="G6396" s="2" t="s">
        <v>983</v>
      </c>
      <c r="H6396" s="2" t="s">
        <v>984</v>
      </c>
      <c r="I6396" s="2"/>
      <c r="J6396" s="2" t="s">
        <v>52</v>
      </c>
    </row>
    <row r="6397" spans="1:10" ht="21" customHeight="1">
      <c r="A6397" s="2" t="s">
        <v>7401</v>
      </c>
      <c r="B6397" s="2" t="s">
        <v>52</v>
      </c>
      <c r="C6397" s="4">
        <v>45848.25</v>
      </c>
      <c r="D6397" s="4">
        <v>45848.25023060185</v>
      </c>
      <c r="E6397" s="2">
        <v>4.7300000000000004</v>
      </c>
      <c r="F6397" s="2">
        <v>87.4</v>
      </c>
      <c r="G6397" s="2" t="s">
        <v>983</v>
      </c>
      <c r="H6397" s="2" t="s">
        <v>984</v>
      </c>
      <c r="I6397" s="2" t="s">
        <v>1053</v>
      </c>
      <c r="J6397" s="2" t="s">
        <v>52</v>
      </c>
    </row>
    <row r="6398" spans="1:10" ht="21" customHeight="1">
      <c r="A6398" s="2" t="s">
        <v>7402</v>
      </c>
      <c r="B6398" s="2" t="s">
        <v>7238</v>
      </c>
      <c r="C6398" s="4">
        <v>45849.25</v>
      </c>
      <c r="D6398" s="4">
        <v>45849.250476655092</v>
      </c>
      <c r="E6398" s="2">
        <v>0</v>
      </c>
      <c r="F6398" s="2">
        <v>79.3</v>
      </c>
      <c r="G6398" s="2" t="s">
        <v>1175</v>
      </c>
      <c r="H6398" s="2" t="s">
        <v>984</v>
      </c>
      <c r="I6398" s="2"/>
      <c r="J6398" s="2" t="s">
        <v>52</v>
      </c>
    </row>
    <row r="6399" spans="1:10" ht="21" customHeight="1">
      <c r="A6399" s="2" t="s">
        <v>7403</v>
      </c>
      <c r="B6399" s="2" t="s">
        <v>52</v>
      </c>
      <c r="C6399" s="4">
        <v>45850.25</v>
      </c>
      <c r="D6399" s="4">
        <v>45850.250204293981</v>
      </c>
      <c r="E6399" s="2"/>
      <c r="F6399" s="2"/>
      <c r="G6399" s="2" t="s">
        <v>983</v>
      </c>
      <c r="H6399" s="2" t="s">
        <v>1066</v>
      </c>
      <c r="I6399" s="2"/>
      <c r="J6399" s="2" t="s">
        <v>52</v>
      </c>
    </row>
    <row r="6400" spans="1:10" ht="21" customHeight="1">
      <c r="A6400" s="2" t="s">
        <v>7404</v>
      </c>
      <c r="B6400" s="2" t="s">
        <v>52</v>
      </c>
      <c r="C6400" s="4">
        <v>45851.25</v>
      </c>
      <c r="D6400" s="4">
        <v>45851.250483819444</v>
      </c>
      <c r="E6400" s="2">
        <v>3.98</v>
      </c>
      <c r="F6400" s="2">
        <v>74.5</v>
      </c>
      <c r="G6400" s="2" t="s">
        <v>983</v>
      </c>
      <c r="H6400" s="2" t="s">
        <v>984</v>
      </c>
      <c r="I6400" s="2"/>
      <c r="J6400" s="2" t="s">
        <v>52</v>
      </c>
    </row>
    <row r="6401" spans="1:10" ht="21" customHeight="1">
      <c r="A6401" s="2" t="s">
        <v>7405</v>
      </c>
      <c r="B6401" s="2" t="s">
        <v>52</v>
      </c>
      <c r="C6401" s="4">
        <v>45852.25</v>
      </c>
      <c r="D6401" s="4">
        <v>45852.250042800923</v>
      </c>
      <c r="E6401" s="2">
        <v>3</v>
      </c>
      <c r="F6401" s="2">
        <v>78.400000000000006</v>
      </c>
      <c r="G6401" s="2" t="s">
        <v>983</v>
      </c>
      <c r="H6401" s="2" t="s">
        <v>984</v>
      </c>
      <c r="I6401" s="2"/>
      <c r="J6401" s="2" t="s">
        <v>52</v>
      </c>
    </row>
    <row r="6402" spans="1:10" ht="21" customHeight="1">
      <c r="A6402" s="2" t="s">
        <v>7406</v>
      </c>
      <c r="B6402" s="2" t="s">
        <v>52</v>
      </c>
      <c r="C6402" s="4">
        <v>45853.25</v>
      </c>
      <c r="D6402" s="4">
        <v>45853.250133009264</v>
      </c>
      <c r="E6402" s="2">
        <v>3.49</v>
      </c>
      <c r="F6402" s="2">
        <v>74.099999999999994</v>
      </c>
      <c r="G6402" s="2" t="s">
        <v>983</v>
      </c>
      <c r="H6402" s="2" t="s">
        <v>984</v>
      </c>
      <c r="I6402" s="2"/>
      <c r="J6402" s="2" t="s">
        <v>52</v>
      </c>
    </row>
    <row r="6403" spans="1:10" ht="21" customHeight="1">
      <c r="A6403" s="2" t="s">
        <v>7407</v>
      </c>
      <c r="B6403" s="2" t="s">
        <v>52</v>
      </c>
      <c r="C6403" s="4">
        <v>45854.25</v>
      </c>
      <c r="D6403" s="4">
        <v>45854.250259606481</v>
      </c>
      <c r="E6403" s="2">
        <v>3.7</v>
      </c>
      <c r="F6403" s="2">
        <v>72.5</v>
      </c>
      <c r="G6403" s="2" t="s">
        <v>983</v>
      </c>
      <c r="H6403" s="2" t="s">
        <v>984</v>
      </c>
      <c r="I6403" s="2"/>
      <c r="J6403" s="2" t="s">
        <v>52</v>
      </c>
    </row>
    <row r="6404" spans="1:10" ht="21" customHeight="1">
      <c r="A6404" s="2" t="s">
        <v>7408</v>
      </c>
      <c r="B6404" s="2" t="s">
        <v>52</v>
      </c>
      <c r="C6404" s="4">
        <v>45855.25</v>
      </c>
      <c r="D6404" s="4">
        <v>45855.250492523148</v>
      </c>
      <c r="E6404" s="2">
        <v>2.82</v>
      </c>
      <c r="F6404" s="2">
        <v>77.8</v>
      </c>
      <c r="G6404" s="2" t="s">
        <v>983</v>
      </c>
      <c r="H6404" s="2" t="s">
        <v>984</v>
      </c>
      <c r="I6404" s="2"/>
      <c r="J6404" s="2" t="s">
        <v>52</v>
      </c>
    </row>
    <row r="6405" spans="1:10" ht="21" customHeight="1">
      <c r="A6405" s="2" t="s">
        <v>7409</v>
      </c>
      <c r="B6405" s="2" t="s">
        <v>52</v>
      </c>
      <c r="C6405" s="4">
        <v>45856.25</v>
      </c>
      <c r="D6405" s="4">
        <v>45856.250218796296</v>
      </c>
      <c r="E6405" s="2"/>
      <c r="F6405" s="2"/>
      <c r="G6405" s="2" t="s">
        <v>983</v>
      </c>
      <c r="H6405" s="2" t="s">
        <v>1066</v>
      </c>
      <c r="I6405" s="2"/>
      <c r="J6405" s="2" t="s">
        <v>52</v>
      </c>
    </row>
    <row r="6406" spans="1:10" ht="21" customHeight="1">
      <c r="A6406" s="2" t="s">
        <v>7410</v>
      </c>
      <c r="B6406" s="2" t="s">
        <v>52</v>
      </c>
      <c r="C6406" s="4">
        <v>45857.25</v>
      </c>
      <c r="D6406" s="4">
        <v>45857.250071712959</v>
      </c>
      <c r="E6406" s="2">
        <v>3.77</v>
      </c>
      <c r="F6406" s="2">
        <v>72.599999999999994</v>
      </c>
      <c r="G6406" s="2" t="s">
        <v>983</v>
      </c>
      <c r="H6406" s="2" t="s">
        <v>984</v>
      </c>
      <c r="I6406" s="2"/>
      <c r="J6406" s="2" t="s">
        <v>52</v>
      </c>
    </row>
    <row r="6407" spans="1:10" ht="21" customHeight="1">
      <c r="A6407" s="2" t="s">
        <v>7411</v>
      </c>
      <c r="B6407" s="2" t="s">
        <v>52</v>
      </c>
      <c r="C6407" s="4">
        <v>45858.25</v>
      </c>
      <c r="D6407" s="4">
        <v>45858.250581354165</v>
      </c>
      <c r="E6407" s="2">
        <v>3.19</v>
      </c>
      <c r="F6407" s="2">
        <v>72.900000000000006</v>
      </c>
      <c r="G6407" s="2" t="s">
        <v>983</v>
      </c>
      <c r="H6407" s="2" t="s">
        <v>984</v>
      </c>
      <c r="I6407" s="2"/>
      <c r="J6407" s="2" t="s">
        <v>52</v>
      </c>
    </row>
    <row r="6408" spans="1:10" ht="21" customHeight="1">
      <c r="A6408" s="2" t="s">
        <v>7412</v>
      </c>
      <c r="B6408" s="2" t="s">
        <v>52</v>
      </c>
      <c r="C6408" s="4">
        <v>45859.25</v>
      </c>
      <c r="D6408" s="4">
        <v>45859.250564259259</v>
      </c>
      <c r="E6408" s="2">
        <v>3.5</v>
      </c>
      <c r="F6408" s="2">
        <v>73.099999999999994</v>
      </c>
      <c r="G6408" s="2" t="s">
        <v>983</v>
      </c>
      <c r="H6408" s="2" t="s">
        <v>984</v>
      </c>
      <c r="I6408" s="2"/>
      <c r="J6408" s="2" t="s">
        <v>52</v>
      </c>
    </row>
    <row r="6409" spans="1:10" ht="21" customHeight="1">
      <c r="A6409" s="2" t="s">
        <v>7413</v>
      </c>
      <c r="B6409" s="2" t="s">
        <v>52</v>
      </c>
      <c r="C6409" s="4">
        <v>45860.25</v>
      </c>
      <c r="D6409" s="4">
        <v>45860.250214780091</v>
      </c>
      <c r="E6409" s="2">
        <v>0</v>
      </c>
      <c r="F6409" s="2">
        <v>77.599999999999994</v>
      </c>
      <c r="G6409" s="2" t="s">
        <v>1175</v>
      </c>
      <c r="H6409" s="2" t="s">
        <v>984</v>
      </c>
      <c r="I6409" s="2"/>
      <c r="J6409" s="2" t="s">
        <v>52</v>
      </c>
    </row>
    <row r="6410" spans="1:10" ht="21" customHeight="1">
      <c r="A6410" s="2" t="s">
        <v>7414</v>
      </c>
      <c r="B6410" s="2" t="s">
        <v>52</v>
      </c>
      <c r="C6410" s="4">
        <v>45861.25</v>
      </c>
      <c r="D6410" s="4">
        <v>45861.250475659719</v>
      </c>
      <c r="E6410" s="2">
        <v>2.97</v>
      </c>
      <c r="F6410" s="2">
        <v>78</v>
      </c>
      <c r="G6410" s="2" t="s">
        <v>983</v>
      </c>
      <c r="H6410" s="2" t="s">
        <v>984</v>
      </c>
      <c r="I6410" s="2"/>
      <c r="J6410" s="2" t="s">
        <v>52</v>
      </c>
    </row>
    <row r="6411" spans="1:10" ht="21" customHeight="1">
      <c r="A6411" s="2" t="s">
        <v>7415</v>
      </c>
      <c r="B6411" s="2" t="s">
        <v>52</v>
      </c>
      <c r="C6411" s="4">
        <v>45862.25</v>
      </c>
      <c r="D6411" s="4">
        <v>45862.250275578699</v>
      </c>
      <c r="E6411" s="2">
        <v>3.56</v>
      </c>
      <c r="F6411" s="2">
        <v>79.8</v>
      </c>
      <c r="G6411" s="2" t="s">
        <v>983</v>
      </c>
      <c r="H6411" s="2" t="s">
        <v>984</v>
      </c>
      <c r="I6411" s="2" t="s">
        <v>985</v>
      </c>
      <c r="J6411" s="2" t="s">
        <v>52</v>
      </c>
    </row>
    <row r="6412" spans="1:10" ht="21" customHeight="1">
      <c r="A6412" s="2" t="s">
        <v>7416</v>
      </c>
      <c r="B6412" s="2" t="s">
        <v>52</v>
      </c>
      <c r="C6412" s="4">
        <v>45863.25</v>
      </c>
      <c r="D6412" s="4">
        <v>45863.250471203704</v>
      </c>
      <c r="E6412" s="2"/>
      <c r="F6412" s="2"/>
      <c r="G6412" s="2" t="s">
        <v>983</v>
      </c>
      <c r="H6412" s="2" t="s">
        <v>1066</v>
      </c>
      <c r="I6412" s="2"/>
      <c r="J6412" s="2" t="s">
        <v>52</v>
      </c>
    </row>
    <row r="6413" spans="1:10" ht="21" customHeight="1">
      <c r="A6413" s="2" t="s">
        <v>7417</v>
      </c>
      <c r="B6413" s="2" t="s">
        <v>52</v>
      </c>
      <c r="C6413" s="4">
        <v>45864.25</v>
      </c>
      <c r="D6413" s="4">
        <v>45864.250505706019</v>
      </c>
      <c r="E6413" s="2">
        <v>3.7</v>
      </c>
      <c r="F6413" s="2">
        <v>77.900000000000006</v>
      </c>
      <c r="G6413" s="2" t="s">
        <v>983</v>
      </c>
      <c r="H6413" s="2" t="s">
        <v>984</v>
      </c>
      <c r="I6413" s="2"/>
      <c r="J6413" s="2" t="s">
        <v>52</v>
      </c>
    </row>
    <row r="6414" spans="1:10" ht="21" customHeight="1">
      <c r="A6414" s="2" t="s">
        <v>7418</v>
      </c>
      <c r="B6414" s="2" t="s">
        <v>52</v>
      </c>
      <c r="C6414" s="4">
        <v>45865.25</v>
      </c>
      <c r="D6414" s="4">
        <v>45865.250268935182</v>
      </c>
      <c r="E6414" s="2">
        <v>3.05</v>
      </c>
      <c r="F6414" s="2">
        <v>79.8</v>
      </c>
      <c r="G6414" s="2" t="s">
        <v>983</v>
      </c>
      <c r="H6414" s="2" t="s">
        <v>984</v>
      </c>
      <c r="I6414" s="2"/>
      <c r="J6414" s="2" t="s">
        <v>52</v>
      </c>
    </row>
    <row r="6415" spans="1:10" ht="21" customHeight="1">
      <c r="A6415" s="2" t="s">
        <v>7419</v>
      </c>
      <c r="B6415" s="2" t="s">
        <v>52</v>
      </c>
      <c r="C6415" s="4">
        <v>45866.25</v>
      </c>
      <c r="D6415" s="4">
        <v>45866.250459421295</v>
      </c>
      <c r="E6415" s="2">
        <v>2.87</v>
      </c>
      <c r="F6415" s="2">
        <v>73.5</v>
      </c>
      <c r="G6415" s="2" t="s">
        <v>983</v>
      </c>
      <c r="H6415" s="2" t="s">
        <v>984</v>
      </c>
      <c r="I6415" s="2"/>
      <c r="J6415" s="2" t="s">
        <v>52</v>
      </c>
    </row>
    <row r="6416" spans="1:10" ht="21" customHeight="1">
      <c r="A6416" s="2" t="s">
        <v>7420</v>
      </c>
      <c r="B6416" s="2" t="s">
        <v>52</v>
      </c>
      <c r="C6416" s="4">
        <v>45867.25</v>
      </c>
      <c r="D6416" s="4">
        <v>45867.250433796296</v>
      </c>
      <c r="E6416" s="2">
        <v>3.57</v>
      </c>
      <c r="F6416" s="2">
        <v>77.400000000000006</v>
      </c>
      <c r="G6416" s="2" t="s">
        <v>983</v>
      </c>
      <c r="H6416" s="2" t="s">
        <v>984</v>
      </c>
      <c r="I6416" s="2"/>
      <c r="J6416" s="2" t="s">
        <v>52</v>
      </c>
    </row>
    <row r="6417" spans="1:10" ht="21" customHeight="1">
      <c r="A6417" s="2" t="s">
        <v>7421</v>
      </c>
      <c r="B6417" s="2" t="s">
        <v>52</v>
      </c>
      <c r="C6417" s="4">
        <v>45868.25</v>
      </c>
      <c r="D6417" s="4">
        <v>45868.250050798611</v>
      </c>
      <c r="E6417" s="2">
        <v>3.8</v>
      </c>
      <c r="F6417" s="2">
        <v>75.400000000000006</v>
      </c>
      <c r="G6417" s="2" t="s">
        <v>983</v>
      </c>
      <c r="H6417" s="2" t="s">
        <v>984</v>
      </c>
      <c r="I6417" s="2"/>
      <c r="J6417" s="2" t="s">
        <v>52</v>
      </c>
    </row>
    <row r="6418" spans="1:10" ht="21" customHeight="1">
      <c r="A6418" s="2" t="s">
        <v>7422</v>
      </c>
      <c r="B6418" s="2" t="s">
        <v>52</v>
      </c>
      <c r="C6418" s="4">
        <v>45869.25</v>
      </c>
      <c r="D6418" s="4">
        <v>45869.250042129628</v>
      </c>
      <c r="E6418" s="2">
        <v>3.82</v>
      </c>
      <c r="F6418" s="2">
        <v>79.900000000000006</v>
      </c>
      <c r="G6418" s="2" t="s">
        <v>983</v>
      </c>
      <c r="H6418" s="2" t="s">
        <v>984</v>
      </c>
      <c r="I6418" s="2"/>
      <c r="J6418" s="2" t="s">
        <v>52</v>
      </c>
    </row>
    <row r="6419" spans="1:10" ht="21" customHeight="1">
      <c r="A6419" s="2" t="s">
        <v>7423</v>
      </c>
      <c r="B6419" s="2" t="s">
        <v>52</v>
      </c>
      <c r="C6419" s="4">
        <v>45870.25</v>
      </c>
      <c r="D6419" s="4">
        <v>45870.250013969911</v>
      </c>
      <c r="E6419" s="2">
        <v>3.85</v>
      </c>
      <c r="F6419" s="2">
        <v>76</v>
      </c>
      <c r="G6419" s="2" t="s">
        <v>983</v>
      </c>
      <c r="H6419" s="2" t="s">
        <v>984</v>
      </c>
      <c r="I6419" s="2"/>
      <c r="J6419" s="2" t="s">
        <v>52</v>
      </c>
    </row>
    <row r="6420" spans="1:10" ht="21" customHeight="1">
      <c r="A6420" s="2" t="s">
        <v>7424</v>
      </c>
      <c r="B6420" s="2" t="s">
        <v>52</v>
      </c>
      <c r="C6420" s="4">
        <v>45871.25</v>
      </c>
      <c r="D6420" s="4">
        <v>45871.250319155093</v>
      </c>
      <c r="E6420" s="2">
        <v>2.95</v>
      </c>
      <c r="F6420" s="2">
        <v>74.3</v>
      </c>
      <c r="G6420" s="2" t="s">
        <v>983</v>
      </c>
      <c r="H6420" s="2" t="s">
        <v>984</v>
      </c>
      <c r="I6420" s="2"/>
      <c r="J6420" s="2" t="s">
        <v>52</v>
      </c>
    </row>
    <row r="6421" spans="1:10" ht="21" customHeight="1">
      <c r="A6421" s="2" t="s">
        <v>7425</v>
      </c>
      <c r="B6421" s="2" t="s">
        <v>52</v>
      </c>
      <c r="C6421" s="4">
        <v>45872.25</v>
      </c>
      <c r="D6421" s="4">
        <v>45872.250308240742</v>
      </c>
      <c r="E6421" s="2">
        <v>3.9</v>
      </c>
      <c r="F6421" s="2">
        <v>75.599999999999994</v>
      </c>
      <c r="G6421" s="2" t="s">
        <v>983</v>
      </c>
      <c r="H6421" s="2" t="s">
        <v>984</v>
      </c>
      <c r="I6421" s="2"/>
      <c r="J6421" s="2" t="s">
        <v>52</v>
      </c>
    </row>
    <row r="6422" spans="1:10" ht="21" customHeight="1">
      <c r="A6422" s="2" t="s">
        <v>7426</v>
      </c>
      <c r="B6422" s="2" t="s">
        <v>52</v>
      </c>
      <c r="C6422" s="4">
        <v>45873.25</v>
      </c>
      <c r="D6422" s="4">
        <v>45873.250152499997</v>
      </c>
      <c r="E6422" s="2">
        <v>3.81</v>
      </c>
      <c r="F6422" s="2">
        <v>76</v>
      </c>
      <c r="G6422" s="2" t="s">
        <v>983</v>
      </c>
      <c r="H6422" s="2" t="s">
        <v>984</v>
      </c>
      <c r="I6422" s="2"/>
      <c r="J6422" s="2" t="s">
        <v>52</v>
      </c>
    </row>
    <row r="6423" spans="1:10" ht="21" customHeight="1">
      <c r="A6423" s="2" t="s">
        <v>7427</v>
      </c>
      <c r="B6423" s="2" t="s">
        <v>52</v>
      </c>
      <c r="C6423" s="4">
        <v>45874.25</v>
      </c>
      <c r="D6423" s="4">
        <v>45874.250235312502</v>
      </c>
      <c r="E6423" s="2">
        <v>3.84</v>
      </c>
      <c r="F6423" s="2">
        <v>77.099999999999994</v>
      </c>
      <c r="G6423" s="2" t="s">
        <v>983</v>
      </c>
      <c r="H6423" s="2" t="s">
        <v>984</v>
      </c>
      <c r="I6423" s="2"/>
      <c r="J6423" s="2" t="s">
        <v>52</v>
      </c>
    </row>
    <row r="6424" spans="1:10" ht="21" customHeight="1">
      <c r="A6424" s="2" t="s">
        <v>7428</v>
      </c>
      <c r="B6424" s="2" t="s">
        <v>52</v>
      </c>
      <c r="C6424" s="4">
        <v>45875.25</v>
      </c>
      <c r="D6424" s="4">
        <v>45875.250682129627</v>
      </c>
      <c r="E6424" s="2">
        <v>3.78</v>
      </c>
      <c r="F6424" s="2">
        <v>76.5</v>
      </c>
      <c r="G6424" s="2" t="s">
        <v>983</v>
      </c>
      <c r="H6424" s="2" t="s">
        <v>984</v>
      </c>
      <c r="I6424" s="2"/>
      <c r="J6424" s="2" t="s">
        <v>52</v>
      </c>
    </row>
    <row r="6425" spans="1:10" ht="21" customHeight="1">
      <c r="A6425" s="2" t="s">
        <v>7429</v>
      </c>
      <c r="B6425" s="2" t="s">
        <v>52</v>
      </c>
      <c r="C6425" s="4">
        <v>45876.25</v>
      </c>
      <c r="D6425" s="4">
        <v>45876.250054456017</v>
      </c>
      <c r="E6425" s="2">
        <v>0</v>
      </c>
      <c r="F6425" s="2">
        <v>75.599999999999994</v>
      </c>
      <c r="G6425" s="2" t="s">
        <v>1175</v>
      </c>
      <c r="H6425" s="2" t="s">
        <v>984</v>
      </c>
      <c r="I6425" s="2"/>
      <c r="J6425" s="2" t="s">
        <v>52</v>
      </c>
    </row>
    <row r="6426" spans="1:10" ht="21" customHeight="1">
      <c r="A6426" s="2" t="s">
        <v>7430</v>
      </c>
      <c r="B6426" s="2" t="s">
        <v>52</v>
      </c>
      <c r="C6426" s="4">
        <v>45877.25</v>
      </c>
      <c r="D6426" s="4">
        <v>45877.250606979171</v>
      </c>
      <c r="E6426" s="2"/>
      <c r="F6426" s="2"/>
      <c r="G6426" s="2" t="s">
        <v>983</v>
      </c>
      <c r="H6426" s="2" t="s">
        <v>1066</v>
      </c>
      <c r="I6426" s="2"/>
      <c r="J6426" s="2" t="s">
        <v>52</v>
      </c>
    </row>
    <row r="6427" spans="1:10" ht="21" customHeight="1">
      <c r="A6427" s="2" t="s">
        <v>7431</v>
      </c>
      <c r="B6427" s="2" t="s">
        <v>52</v>
      </c>
      <c r="C6427" s="4">
        <v>45878.25</v>
      </c>
      <c r="D6427" s="4">
        <v>45878.250295821759</v>
      </c>
      <c r="E6427" s="2">
        <v>3.78</v>
      </c>
      <c r="F6427" s="2">
        <v>73.400000000000006</v>
      </c>
      <c r="G6427" s="2" t="s">
        <v>983</v>
      </c>
      <c r="H6427" s="2" t="s">
        <v>984</v>
      </c>
      <c r="I6427" s="2"/>
      <c r="J6427" s="2" t="s">
        <v>52</v>
      </c>
    </row>
    <row r="6428" spans="1:10" ht="21" customHeight="1">
      <c r="A6428" s="2" t="s">
        <v>7432</v>
      </c>
      <c r="B6428" s="2" t="s">
        <v>52</v>
      </c>
      <c r="C6428" s="4">
        <v>45879.25</v>
      </c>
      <c r="D6428" s="4">
        <v>45879.250538194443</v>
      </c>
      <c r="E6428" s="2">
        <v>3.06</v>
      </c>
      <c r="F6428" s="2">
        <v>73.7</v>
      </c>
      <c r="G6428" s="2" t="s">
        <v>983</v>
      </c>
      <c r="H6428" s="2" t="s">
        <v>984</v>
      </c>
      <c r="I6428" s="2" t="s">
        <v>985</v>
      </c>
      <c r="J6428" s="2" t="s">
        <v>52</v>
      </c>
    </row>
    <row r="6429" spans="1:10" ht="21" customHeight="1">
      <c r="A6429" s="2" t="s">
        <v>7433</v>
      </c>
      <c r="B6429" s="2" t="s">
        <v>52</v>
      </c>
      <c r="C6429" s="4">
        <v>45880.25</v>
      </c>
      <c r="D6429" s="4">
        <v>45880.250159699077</v>
      </c>
      <c r="E6429" s="2">
        <v>3.48</v>
      </c>
      <c r="F6429" s="2">
        <v>75.7</v>
      </c>
      <c r="G6429" s="2" t="s">
        <v>983</v>
      </c>
      <c r="H6429" s="2" t="s">
        <v>984</v>
      </c>
      <c r="I6429" s="2"/>
      <c r="J6429" s="2" t="s">
        <v>52</v>
      </c>
    </row>
    <row r="6430" spans="1:10" ht="21" customHeight="1">
      <c r="A6430" s="2" t="s">
        <v>7434</v>
      </c>
      <c r="B6430" s="2" t="s">
        <v>52</v>
      </c>
      <c r="C6430" s="4">
        <v>45881.25</v>
      </c>
      <c r="D6430" s="4">
        <v>45881.250482152776</v>
      </c>
      <c r="E6430" s="2">
        <v>3.99</v>
      </c>
      <c r="F6430" s="2">
        <v>76.900000000000006</v>
      </c>
      <c r="G6430" s="2" t="s">
        <v>983</v>
      </c>
      <c r="H6430" s="2" t="s">
        <v>984</v>
      </c>
      <c r="I6430" s="2"/>
      <c r="J6430" s="2" t="s">
        <v>52</v>
      </c>
    </row>
    <row r="6431" spans="1:10" ht="21" customHeight="1">
      <c r="A6431" s="2" t="s">
        <v>7435</v>
      </c>
      <c r="B6431" s="2" t="s">
        <v>52</v>
      </c>
      <c r="C6431" s="4">
        <v>45882.25</v>
      </c>
      <c r="D6431" s="4">
        <v>45882.250323194443</v>
      </c>
      <c r="E6431" s="2">
        <v>3.08</v>
      </c>
      <c r="F6431" s="2">
        <v>75.3</v>
      </c>
      <c r="G6431" s="2" t="s">
        <v>983</v>
      </c>
      <c r="H6431" s="2" t="s">
        <v>984</v>
      </c>
      <c r="I6431" s="2"/>
      <c r="J6431" s="2" t="s">
        <v>52</v>
      </c>
    </row>
    <row r="6432" spans="1:10" ht="21" customHeight="1">
      <c r="A6432" s="2" t="s">
        <v>7436</v>
      </c>
      <c r="B6432" s="2" t="s">
        <v>52</v>
      </c>
      <c r="C6432" s="4">
        <v>45883.25</v>
      </c>
      <c r="D6432" s="4">
        <v>45883.250125740742</v>
      </c>
      <c r="E6432" s="2">
        <v>3.94</v>
      </c>
      <c r="F6432" s="2">
        <v>72</v>
      </c>
      <c r="G6432" s="2" t="s">
        <v>983</v>
      </c>
      <c r="H6432" s="2" t="s">
        <v>984</v>
      </c>
      <c r="I6432" s="2"/>
      <c r="J6432" s="2" t="s">
        <v>52</v>
      </c>
    </row>
    <row r="6433" spans="1:10" ht="21" customHeight="1">
      <c r="A6433" s="2" t="s">
        <v>7437</v>
      </c>
      <c r="B6433" s="2" t="s">
        <v>52</v>
      </c>
      <c r="C6433" s="4">
        <v>45884.25</v>
      </c>
      <c r="D6433" s="4">
        <v>45884.25014481481</v>
      </c>
      <c r="E6433" s="2"/>
      <c r="F6433" s="2"/>
      <c r="G6433" s="2" t="s">
        <v>983</v>
      </c>
      <c r="H6433" s="2" t="s">
        <v>1066</v>
      </c>
      <c r="I6433" s="2"/>
      <c r="J6433" s="2" t="s">
        <v>52</v>
      </c>
    </row>
    <row r="6434" spans="1:10" ht="21" customHeight="1">
      <c r="A6434" s="2" t="s">
        <v>7438</v>
      </c>
      <c r="B6434" s="2" t="s">
        <v>52</v>
      </c>
      <c r="C6434" s="4">
        <v>45885.25</v>
      </c>
      <c r="D6434" s="4">
        <v>45885.250363888888</v>
      </c>
      <c r="E6434" s="2">
        <v>3.06</v>
      </c>
      <c r="F6434" s="2">
        <v>72.400000000000006</v>
      </c>
      <c r="G6434" s="2" t="s">
        <v>983</v>
      </c>
      <c r="H6434" s="2" t="s">
        <v>984</v>
      </c>
      <c r="I6434" s="2"/>
      <c r="J6434" s="2" t="s">
        <v>52</v>
      </c>
    </row>
    <row r="6435" spans="1:10" ht="21" customHeight="1">
      <c r="A6435" s="2" t="s">
        <v>7439</v>
      </c>
      <c r="B6435" s="2" t="s">
        <v>52</v>
      </c>
      <c r="C6435" s="4">
        <v>45886.25</v>
      </c>
      <c r="D6435" s="4">
        <v>45886.250606562498</v>
      </c>
      <c r="E6435" s="2">
        <v>2.87</v>
      </c>
      <c r="F6435" s="2">
        <v>78.3</v>
      </c>
      <c r="G6435" s="2" t="s">
        <v>983</v>
      </c>
      <c r="H6435" s="2" t="s">
        <v>984</v>
      </c>
      <c r="I6435" s="2"/>
      <c r="J6435" s="2" t="s">
        <v>52</v>
      </c>
    </row>
    <row r="6436" spans="1:10" ht="21" customHeight="1">
      <c r="A6436" s="2" t="s">
        <v>7440</v>
      </c>
      <c r="B6436" s="2" t="s">
        <v>52</v>
      </c>
      <c r="C6436" s="4">
        <v>45887.25</v>
      </c>
      <c r="D6436" s="4">
        <v>45887.250421840276</v>
      </c>
      <c r="E6436" s="2">
        <v>3.69</v>
      </c>
      <c r="F6436" s="2">
        <v>77.3</v>
      </c>
      <c r="G6436" s="2" t="s">
        <v>983</v>
      </c>
      <c r="H6436" s="2" t="s">
        <v>984</v>
      </c>
      <c r="I6436" s="2"/>
      <c r="J6436" s="2" t="s">
        <v>52</v>
      </c>
    </row>
    <row r="6437" spans="1:10" ht="21" customHeight="1">
      <c r="A6437" s="2" t="s">
        <v>7441</v>
      </c>
      <c r="B6437" s="2" t="s">
        <v>52</v>
      </c>
      <c r="C6437" s="4">
        <v>45888.25</v>
      </c>
      <c r="D6437" s="4">
        <v>45888.250462523152</v>
      </c>
      <c r="E6437" s="2">
        <v>3.48</v>
      </c>
      <c r="F6437" s="2">
        <v>79.5</v>
      </c>
      <c r="G6437" s="2" t="s">
        <v>983</v>
      </c>
      <c r="H6437" s="2" t="s">
        <v>984</v>
      </c>
      <c r="I6437" s="2"/>
      <c r="J6437" s="2" t="s">
        <v>52</v>
      </c>
    </row>
    <row r="6438" spans="1:10" ht="21" customHeight="1">
      <c r="A6438" s="2" t="s">
        <v>7442</v>
      </c>
      <c r="B6438" s="2" t="s">
        <v>52</v>
      </c>
      <c r="C6438" s="4">
        <v>45889.25</v>
      </c>
      <c r="D6438" s="4">
        <v>45889.250352650459</v>
      </c>
      <c r="E6438" s="2">
        <v>3.42</v>
      </c>
      <c r="F6438" s="2">
        <v>79</v>
      </c>
      <c r="G6438" s="2" t="s">
        <v>983</v>
      </c>
      <c r="H6438" s="2" t="s">
        <v>984</v>
      </c>
      <c r="I6438" s="2"/>
      <c r="J6438" s="2" t="s">
        <v>52</v>
      </c>
    </row>
    <row r="6439" spans="1:10" ht="21" customHeight="1">
      <c r="A6439" s="2" t="s">
        <v>7443</v>
      </c>
      <c r="B6439" s="2" t="s">
        <v>7238</v>
      </c>
      <c r="C6439" s="4">
        <v>45890.25</v>
      </c>
      <c r="D6439" s="4">
        <v>45890.250195613422</v>
      </c>
      <c r="E6439" s="2"/>
      <c r="F6439" s="2"/>
      <c r="G6439" s="2" t="s">
        <v>983</v>
      </c>
      <c r="H6439" s="2" t="s">
        <v>1066</v>
      </c>
      <c r="I6439" s="2"/>
      <c r="J6439" s="2" t="s">
        <v>52</v>
      </c>
    </row>
    <row r="6440" spans="1:10" ht="21" customHeight="1">
      <c r="A6440" s="2" t="s">
        <v>7444</v>
      </c>
      <c r="B6440" s="2" t="s">
        <v>52</v>
      </c>
      <c r="C6440" s="4">
        <v>45891.25</v>
      </c>
      <c r="D6440" s="4">
        <v>45891.250377442135</v>
      </c>
      <c r="E6440" s="2">
        <v>3.59</v>
      </c>
      <c r="F6440" s="2">
        <v>72.900000000000006</v>
      </c>
      <c r="G6440" s="2" t="s">
        <v>983</v>
      </c>
      <c r="H6440" s="2" t="s">
        <v>984</v>
      </c>
      <c r="I6440" s="2"/>
      <c r="J6440" s="2" t="s">
        <v>52</v>
      </c>
    </row>
    <row r="6441" spans="1:10" ht="21" customHeight="1">
      <c r="A6441" s="2" t="s">
        <v>7445</v>
      </c>
      <c r="B6441" s="2" t="s">
        <v>52</v>
      </c>
      <c r="C6441" s="4">
        <v>45892.25</v>
      </c>
      <c r="D6441" s="4">
        <v>45892.250314212964</v>
      </c>
      <c r="E6441" s="2">
        <v>3.04</v>
      </c>
      <c r="F6441" s="2">
        <v>79.2</v>
      </c>
      <c r="G6441" s="2" t="s">
        <v>983</v>
      </c>
      <c r="H6441" s="2" t="s">
        <v>984</v>
      </c>
      <c r="I6441" s="2"/>
      <c r="J6441" s="2" t="s">
        <v>52</v>
      </c>
    </row>
    <row r="6442" spans="1:10" ht="21" customHeight="1">
      <c r="A6442" s="2" t="s">
        <v>7446</v>
      </c>
      <c r="B6442" s="2" t="s">
        <v>52</v>
      </c>
      <c r="C6442" s="4">
        <v>45893.25</v>
      </c>
      <c r="D6442" s="4">
        <v>45893.250242152775</v>
      </c>
      <c r="E6442" s="2">
        <v>3.59</v>
      </c>
      <c r="F6442" s="2">
        <v>76.099999999999994</v>
      </c>
      <c r="G6442" s="2" t="s">
        <v>983</v>
      </c>
      <c r="H6442" s="2" t="s">
        <v>984</v>
      </c>
      <c r="I6442" s="2"/>
      <c r="J6442" s="2" t="s">
        <v>52</v>
      </c>
    </row>
    <row r="6443" spans="1:10" ht="21" customHeight="1">
      <c r="A6443" s="2" t="s">
        <v>7447</v>
      </c>
      <c r="B6443" s="2" t="s">
        <v>52</v>
      </c>
      <c r="C6443" s="4">
        <v>45894.25</v>
      </c>
      <c r="D6443" s="4">
        <v>45894.250415717594</v>
      </c>
      <c r="E6443" s="2">
        <v>3.57</v>
      </c>
      <c r="F6443" s="2">
        <v>76.8</v>
      </c>
      <c r="G6443" s="2" t="s">
        <v>983</v>
      </c>
      <c r="H6443" s="2" t="s">
        <v>984</v>
      </c>
      <c r="I6443" s="2"/>
      <c r="J6443" s="2" t="s">
        <v>52</v>
      </c>
    </row>
    <row r="6444" spans="1:10" ht="21" customHeight="1">
      <c r="A6444" s="2" t="s">
        <v>7448</v>
      </c>
      <c r="B6444" s="2" t="s">
        <v>52</v>
      </c>
      <c r="C6444" s="4">
        <v>45895.25</v>
      </c>
      <c r="D6444" s="4">
        <v>45895.250650000002</v>
      </c>
      <c r="E6444" s="2">
        <v>3.74</v>
      </c>
      <c r="F6444" s="2">
        <v>79.5</v>
      </c>
      <c r="G6444" s="2" t="s">
        <v>983</v>
      </c>
      <c r="H6444" s="2" t="s">
        <v>984</v>
      </c>
      <c r="I6444" s="2"/>
      <c r="J6444" s="2" t="s">
        <v>52</v>
      </c>
    </row>
    <row r="6445" spans="1:10" ht="21" customHeight="1">
      <c r="A6445" s="2" t="s">
        <v>7449</v>
      </c>
      <c r="B6445" s="2" t="s">
        <v>52</v>
      </c>
      <c r="C6445" s="4">
        <v>45896.25</v>
      </c>
      <c r="D6445" s="4">
        <v>45896.250431724533</v>
      </c>
      <c r="E6445" s="2"/>
      <c r="F6445" s="2"/>
      <c r="G6445" s="2" t="s">
        <v>983</v>
      </c>
      <c r="H6445" s="2" t="s">
        <v>1066</v>
      </c>
      <c r="I6445" s="2" t="s">
        <v>985</v>
      </c>
      <c r="J6445" s="2" t="s">
        <v>52</v>
      </c>
    </row>
    <row r="6446" spans="1:10" ht="21" customHeight="1">
      <c r="A6446" s="2" t="s">
        <v>7450</v>
      </c>
      <c r="B6446" s="2" t="s">
        <v>52</v>
      </c>
      <c r="C6446" s="4">
        <v>45897.25</v>
      </c>
      <c r="D6446" s="4">
        <v>45897.250320057872</v>
      </c>
      <c r="E6446" s="2">
        <v>3.7</v>
      </c>
      <c r="F6446" s="2">
        <v>77.7</v>
      </c>
      <c r="G6446" s="2" t="s">
        <v>983</v>
      </c>
      <c r="H6446" s="2" t="s">
        <v>984</v>
      </c>
      <c r="I6446" s="2"/>
      <c r="J6446" s="2" t="s">
        <v>52</v>
      </c>
    </row>
    <row r="6447" spans="1:10" ht="21" customHeight="1">
      <c r="A6447" s="2" t="s">
        <v>7451</v>
      </c>
      <c r="B6447" s="2" t="s">
        <v>52</v>
      </c>
      <c r="C6447" s="4">
        <v>45898.25</v>
      </c>
      <c r="D6447" s="4">
        <v>45898.250245787036</v>
      </c>
      <c r="E6447" s="2">
        <v>3.84</v>
      </c>
      <c r="F6447" s="2">
        <v>76.099999999999994</v>
      </c>
      <c r="G6447" s="2" t="s">
        <v>983</v>
      </c>
      <c r="H6447" s="2" t="s">
        <v>984</v>
      </c>
      <c r="I6447" s="2"/>
      <c r="J6447" s="2" t="s">
        <v>52</v>
      </c>
    </row>
    <row r="6448" spans="1:10" ht="21" customHeight="1">
      <c r="A6448" s="2" t="s">
        <v>7452</v>
      </c>
      <c r="B6448" s="2" t="s">
        <v>52</v>
      </c>
      <c r="C6448" s="4">
        <v>45899.25</v>
      </c>
      <c r="D6448" s="4">
        <v>45899.250563368056</v>
      </c>
      <c r="E6448" s="2">
        <v>3.44</v>
      </c>
      <c r="F6448" s="2">
        <v>75.5</v>
      </c>
      <c r="G6448" s="2" t="s">
        <v>983</v>
      </c>
      <c r="H6448" s="2" t="s">
        <v>984</v>
      </c>
      <c r="I6448" s="2"/>
      <c r="J6448" s="2" t="s">
        <v>52</v>
      </c>
    </row>
    <row r="6449" spans="1:10" ht="21" customHeight="1">
      <c r="A6449" s="2" t="s">
        <v>7453</v>
      </c>
      <c r="B6449" s="2" t="s">
        <v>52</v>
      </c>
      <c r="C6449" s="4">
        <v>45900.25</v>
      </c>
      <c r="D6449" s="4">
        <v>45900.250287847222</v>
      </c>
      <c r="E6449" s="2">
        <v>2.96</v>
      </c>
      <c r="F6449" s="2">
        <v>73.599999999999994</v>
      </c>
      <c r="G6449" s="2" t="s">
        <v>983</v>
      </c>
      <c r="H6449" s="2" t="s">
        <v>984</v>
      </c>
      <c r="I6449" s="2"/>
      <c r="J6449" s="2" t="s">
        <v>52</v>
      </c>
    </row>
    <row r="6450" spans="1:10" ht="21" customHeight="1">
      <c r="A6450" s="2" t="s">
        <v>7454</v>
      </c>
      <c r="B6450" s="2" t="s">
        <v>52</v>
      </c>
      <c r="C6450" s="4">
        <v>45901.25</v>
      </c>
      <c r="D6450" s="4">
        <v>45901.250023472225</v>
      </c>
      <c r="E6450" s="2">
        <v>2.9</v>
      </c>
      <c r="F6450" s="2">
        <v>72.900000000000006</v>
      </c>
      <c r="G6450" s="2" t="s">
        <v>983</v>
      </c>
      <c r="H6450" s="2" t="s">
        <v>984</v>
      </c>
      <c r="I6450" s="2"/>
      <c r="J6450" s="2" t="s">
        <v>52</v>
      </c>
    </row>
    <row r="6451" spans="1:10" ht="21" customHeight="1">
      <c r="A6451" s="2" t="s">
        <v>7455</v>
      </c>
      <c r="B6451" s="2" t="s">
        <v>52</v>
      </c>
      <c r="C6451" s="4">
        <v>45902.25</v>
      </c>
      <c r="D6451" s="4">
        <v>45902.250540046298</v>
      </c>
      <c r="E6451" s="2">
        <v>3.98</v>
      </c>
      <c r="F6451" s="2">
        <v>73.400000000000006</v>
      </c>
      <c r="G6451" s="2" t="s">
        <v>983</v>
      </c>
      <c r="H6451" s="2" t="s">
        <v>984</v>
      </c>
      <c r="I6451" s="2"/>
      <c r="J6451" s="2" t="s">
        <v>52</v>
      </c>
    </row>
    <row r="6452" spans="1:10" ht="21" customHeight="1">
      <c r="A6452" s="2" t="s">
        <v>7456</v>
      </c>
      <c r="B6452" s="2" t="s">
        <v>52</v>
      </c>
      <c r="C6452" s="4">
        <v>45903.25</v>
      </c>
      <c r="D6452" s="4">
        <v>45903.250197881949</v>
      </c>
      <c r="E6452" s="2">
        <v>3.11</v>
      </c>
      <c r="F6452" s="2">
        <v>78.2</v>
      </c>
      <c r="G6452" s="2" t="s">
        <v>983</v>
      </c>
      <c r="H6452" s="2" t="s">
        <v>984</v>
      </c>
      <c r="I6452" s="2"/>
      <c r="J6452" s="2" t="s">
        <v>52</v>
      </c>
    </row>
    <row r="6453" spans="1:10" ht="21" customHeight="1">
      <c r="A6453" s="2" t="s">
        <v>7457</v>
      </c>
      <c r="B6453" s="2" t="s">
        <v>52</v>
      </c>
      <c r="C6453" s="4">
        <v>45904.25</v>
      </c>
      <c r="D6453" s="4">
        <v>45904.250206712968</v>
      </c>
      <c r="E6453" s="2">
        <v>3.65</v>
      </c>
      <c r="F6453" s="2">
        <v>72</v>
      </c>
      <c r="G6453" s="2" t="s">
        <v>983</v>
      </c>
      <c r="H6453" s="2" t="s">
        <v>984</v>
      </c>
      <c r="I6453" s="2"/>
      <c r="J6453" s="2" t="s">
        <v>52</v>
      </c>
    </row>
    <row r="6454" spans="1:10" ht="21" customHeight="1">
      <c r="A6454" s="2" t="s">
        <v>7458</v>
      </c>
      <c r="B6454" s="2" t="s">
        <v>52</v>
      </c>
      <c r="C6454" s="4">
        <v>45905.25</v>
      </c>
      <c r="D6454" s="4">
        <v>45905.250189571758</v>
      </c>
      <c r="E6454" s="2">
        <v>3.3</v>
      </c>
      <c r="F6454" s="2">
        <v>76.400000000000006</v>
      </c>
      <c r="G6454" s="2" t="s">
        <v>983</v>
      </c>
      <c r="H6454" s="2" t="s">
        <v>984</v>
      </c>
      <c r="I6454" s="2"/>
      <c r="J6454" s="2" t="s">
        <v>52</v>
      </c>
    </row>
    <row r="6455" spans="1:10" ht="21" customHeight="1">
      <c r="A6455" s="2" t="s">
        <v>7459</v>
      </c>
      <c r="B6455" s="2" t="s">
        <v>52</v>
      </c>
      <c r="C6455" s="4">
        <v>45906.25</v>
      </c>
      <c r="D6455" s="4">
        <v>45906.250221030088</v>
      </c>
      <c r="E6455" s="2">
        <v>3.6</v>
      </c>
      <c r="F6455" s="2">
        <v>75.400000000000006</v>
      </c>
      <c r="G6455" s="2" t="s">
        <v>983</v>
      </c>
      <c r="H6455" s="2" t="s">
        <v>984</v>
      </c>
      <c r="I6455" s="2"/>
      <c r="J6455" s="2" t="s">
        <v>52</v>
      </c>
    </row>
    <row r="6456" spans="1:10" ht="21" customHeight="1">
      <c r="A6456" s="2" t="s">
        <v>7460</v>
      </c>
      <c r="B6456" s="2" t="s">
        <v>52</v>
      </c>
      <c r="C6456" s="4">
        <v>45907.25</v>
      </c>
      <c r="D6456" s="4">
        <v>45907.250243263887</v>
      </c>
      <c r="E6456" s="2">
        <v>3.93</v>
      </c>
      <c r="F6456" s="2">
        <v>78.900000000000006</v>
      </c>
      <c r="G6456" s="2" t="s">
        <v>983</v>
      </c>
      <c r="H6456" s="2" t="s">
        <v>984</v>
      </c>
      <c r="I6456" s="2"/>
      <c r="J6456" s="2" t="s">
        <v>52</v>
      </c>
    </row>
    <row r="6457" spans="1:10" ht="21" customHeight="1">
      <c r="A6457" s="2" t="s">
        <v>7461</v>
      </c>
      <c r="B6457" s="2" t="s">
        <v>52</v>
      </c>
      <c r="C6457" s="4">
        <v>45908.25</v>
      </c>
      <c r="D6457" s="4">
        <v>45908.250268391203</v>
      </c>
      <c r="E6457" s="2">
        <v>3.93</v>
      </c>
      <c r="F6457" s="2">
        <v>76.7</v>
      </c>
      <c r="G6457" s="2" t="s">
        <v>983</v>
      </c>
      <c r="H6457" s="2" t="s">
        <v>984</v>
      </c>
      <c r="I6457" s="2"/>
      <c r="J6457" s="2" t="s">
        <v>52</v>
      </c>
    </row>
    <row r="6458" spans="1:10" ht="21" customHeight="1">
      <c r="A6458" s="2" t="s">
        <v>7462</v>
      </c>
      <c r="B6458" s="2" t="s">
        <v>52</v>
      </c>
      <c r="C6458" s="4">
        <v>45909.25</v>
      </c>
      <c r="D6458" s="4">
        <v>45909.250231354163</v>
      </c>
      <c r="E6458" s="2">
        <v>2.88</v>
      </c>
      <c r="F6458" s="2">
        <v>72.5</v>
      </c>
      <c r="G6458" s="2" t="s">
        <v>983</v>
      </c>
      <c r="H6458" s="2" t="s">
        <v>984</v>
      </c>
      <c r="I6458" s="2"/>
      <c r="J6458" s="2" t="s">
        <v>52</v>
      </c>
    </row>
    <row r="6459" spans="1:10" ht="21" customHeight="1">
      <c r="A6459" s="2" t="s">
        <v>7463</v>
      </c>
      <c r="B6459" s="2" t="s">
        <v>52</v>
      </c>
      <c r="C6459" s="4">
        <v>45910.25</v>
      </c>
      <c r="D6459" s="4">
        <v>45910.250383379629</v>
      </c>
      <c r="E6459" s="2">
        <v>3.69</v>
      </c>
      <c r="F6459" s="2">
        <v>78.099999999999994</v>
      </c>
      <c r="G6459" s="2" t="s">
        <v>983</v>
      </c>
      <c r="H6459" s="2" t="s">
        <v>984</v>
      </c>
      <c r="I6459" s="2"/>
      <c r="J6459" s="2" t="s">
        <v>52</v>
      </c>
    </row>
    <row r="6460" spans="1:10" ht="21" customHeight="1">
      <c r="A6460" s="2" t="s">
        <v>7464</v>
      </c>
      <c r="B6460" s="2" t="s">
        <v>52</v>
      </c>
      <c r="C6460" s="4">
        <v>45911.25</v>
      </c>
      <c r="D6460" s="4">
        <v>45911.250059120372</v>
      </c>
      <c r="E6460" s="2">
        <v>2.96</v>
      </c>
      <c r="F6460" s="2">
        <v>73.5</v>
      </c>
      <c r="G6460" s="2" t="s">
        <v>983</v>
      </c>
      <c r="H6460" s="2" t="s">
        <v>984</v>
      </c>
      <c r="I6460" s="2"/>
      <c r="J6460" s="2" t="s">
        <v>52</v>
      </c>
    </row>
    <row r="6461" spans="1:10" ht="21" customHeight="1">
      <c r="A6461" s="2" t="s">
        <v>7465</v>
      </c>
      <c r="B6461" s="2" t="s">
        <v>52</v>
      </c>
      <c r="C6461" s="4">
        <v>45912.25</v>
      </c>
      <c r="D6461" s="4">
        <v>45912.250575949074</v>
      </c>
      <c r="E6461" s="2">
        <v>3.77</v>
      </c>
      <c r="F6461" s="2">
        <v>74.5</v>
      </c>
      <c r="G6461" s="2" t="s">
        <v>983</v>
      </c>
      <c r="H6461" s="2" t="s">
        <v>984</v>
      </c>
      <c r="I6461" s="2"/>
      <c r="J6461" s="2" t="s">
        <v>52</v>
      </c>
    </row>
    <row r="6462" spans="1:10" ht="21" customHeight="1">
      <c r="A6462" s="2" t="s">
        <v>7466</v>
      </c>
      <c r="B6462" s="2" t="s">
        <v>52</v>
      </c>
      <c r="C6462" s="4">
        <v>45913.25</v>
      </c>
      <c r="D6462" s="4">
        <v>45913.250492615742</v>
      </c>
      <c r="E6462" s="2">
        <v>3.56</v>
      </c>
      <c r="F6462" s="2">
        <v>77.900000000000006</v>
      </c>
      <c r="G6462" s="2" t="s">
        <v>983</v>
      </c>
      <c r="H6462" s="2" t="s">
        <v>984</v>
      </c>
      <c r="I6462" s="2" t="s">
        <v>985</v>
      </c>
      <c r="J6462" s="2" t="s">
        <v>52</v>
      </c>
    </row>
    <row r="6463" spans="1:10" ht="21" customHeight="1">
      <c r="A6463" s="2" t="s">
        <v>7467</v>
      </c>
      <c r="B6463" s="2" t="s">
        <v>52</v>
      </c>
      <c r="C6463" s="4">
        <v>45914.25</v>
      </c>
      <c r="D6463" s="4">
        <v>45914.250477337962</v>
      </c>
      <c r="E6463" s="2">
        <v>3.05</v>
      </c>
      <c r="F6463" s="2">
        <v>72.5</v>
      </c>
      <c r="G6463" s="2" t="s">
        <v>983</v>
      </c>
      <c r="H6463" s="2" t="s">
        <v>984</v>
      </c>
      <c r="I6463" s="2"/>
      <c r="J6463" s="2" t="s">
        <v>52</v>
      </c>
    </row>
    <row r="6464" spans="1:10" ht="21" customHeight="1">
      <c r="A6464" s="2" t="s">
        <v>7468</v>
      </c>
      <c r="B6464" s="2" t="s">
        <v>52</v>
      </c>
      <c r="C6464" s="4">
        <v>45915.25</v>
      </c>
      <c r="D6464" s="4">
        <v>45915.250117048607</v>
      </c>
      <c r="E6464" s="2">
        <v>3.16</v>
      </c>
      <c r="F6464" s="2">
        <v>77.900000000000006</v>
      </c>
      <c r="G6464" s="2" t="s">
        <v>983</v>
      </c>
      <c r="H6464" s="2" t="s">
        <v>984</v>
      </c>
      <c r="I6464" s="2"/>
      <c r="J6464" s="2" t="s">
        <v>52</v>
      </c>
    </row>
    <row r="6465" spans="1:10" ht="21" customHeight="1">
      <c r="A6465" s="2" t="s">
        <v>7469</v>
      </c>
      <c r="B6465" s="2" t="s">
        <v>52</v>
      </c>
      <c r="C6465" s="4">
        <v>45916.25</v>
      </c>
      <c r="D6465" s="4">
        <v>45916.250682314814</v>
      </c>
      <c r="E6465" s="2">
        <v>3</v>
      </c>
      <c r="F6465" s="2">
        <v>77</v>
      </c>
      <c r="G6465" s="2" t="s">
        <v>983</v>
      </c>
      <c r="H6465" s="2" t="s">
        <v>984</v>
      </c>
      <c r="I6465" s="2"/>
      <c r="J6465" s="2" t="s">
        <v>52</v>
      </c>
    </row>
    <row r="6466" spans="1:10" ht="21" customHeight="1">
      <c r="A6466" s="2" t="s">
        <v>7470</v>
      </c>
      <c r="B6466" s="2" t="s">
        <v>52</v>
      </c>
      <c r="C6466" s="4">
        <v>45917.25</v>
      </c>
      <c r="D6466" s="4">
        <v>45917.250190081017</v>
      </c>
      <c r="E6466" s="2">
        <v>20.47</v>
      </c>
      <c r="F6466" s="2">
        <v>79.8</v>
      </c>
      <c r="G6466" s="2" t="s">
        <v>983</v>
      </c>
      <c r="H6466" s="2" t="s">
        <v>1022</v>
      </c>
      <c r="I6466" s="2"/>
      <c r="J6466" s="2" t="s">
        <v>52</v>
      </c>
    </row>
    <row r="6467" spans="1:10" ht="21" customHeight="1">
      <c r="A6467" s="2" t="s">
        <v>7471</v>
      </c>
      <c r="B6467" s="2" t="s">
        <v>52</v>
      </c>
      <c r="C6467" s="4">
        <v>45918.25</v>
      </c>
      <c r="D6467" s="4">
        <v>45918.250588738425</v>
      </c>
      <c r="E6467" s="2">
        <v>5.27</v>
      </c>
      <c r="F6467" s="2">
        <v>82.4</v>
      </c>
      <c r="G6467" s="2" t="s">
        <v>983</v>
      </c>
      <c r="H6467" s="2" t="s">
        <v>984</v>
      </c>
      <c r="I6467" s="2" t="s">
        <v>1053</v>
      </c>
      <c r="J6467" s="2" t="s">
        <v>52</v>
      </c>
    </row>
    <row r="6468" spans="1:10" ht="21" customHeight="1">
      <c r="A6468" s="2" t="s">
        <v>7472</v>
      </c>
      <c r="B6468" s="2" t="s">
        <v>52</v>
      </c>
      <c r="C6468" s="4">
        <v>45919.25</v>
      </c>
      <c r="D6468" s="4">
        <v>45919.250672314811</v>
      </c>
      <c r="E6468" s="2">
        <v>5.87</v>
      </c>
      <c r="F6468" s="2">
        <v>82.3</v>
      </c>
      <c r="G6468" s="2" t="s">
        <v>983</v>
      </c>
      <c r="H6468" s="2" t="s">
        <v>984</v>
      </c>
      <c r="I6468" s="2"/>
      <c r="J6468" s="2" t="s">
        <v>52</v>
      </c>
    </row>
    <row r="6469" spans="1:10" ht="21" customHeight="1">
      <c r="A6469" s="2" t="s">
        <v>7473</v>
      </c>
      <c r="B6469" s="2" t="s">
        <v>52</v>
      </c>
      <c r="C6469" s="4">
        <v>45920.25</v>
      </c>
      <c r="D6469" s="4">
        <v>45920.250578611114</v>
      </c>
      <c r="E6469" s="2">
        <v>0</v>
      </c>
      <c r="F6469" s="2">
        <v>72.2</v>
      </c>
      <c r="G6469" s="2" t="s">
        <v>1175</v>
      </c>
      <c r="H6469" s="2" t="s">
        <v>984</v>
      </c>
      <c r="I6469" s="2"/>
      <c r="J6469" s="2" t="s">
        <v>52</v>
      </c>
    </row>
    <row r="6470" spans="1:10" ht="21" customHeight="1">
      <c r="A6470" s="2" t="s">
        <v>7474</v>
      </c>
      <c r="B6470" s="2" t="s">
        <v>52</v>
      </c>
      <c r="C6470" s="4">
        <v>45921.25</v>
      </c>
      <c r="D6470" s="4">
        <v>45921.250690451387</v>
      </c>
      <c r="E6470" s="2">
        <v>3.12</v>
      </c>
      <c r="F6470" s="2">
        <v>77.8</v>
      </c>
      <c r="G6470" s="2" t="s">
        <v>983</v>
      </c>
      <c r="H6470" s="2" t="s">
        <v>984</v>
      </c>
      <c r="I6470" s="2"/>
      <c r="J6470" s="2" t="s">
        <v>52</v>
      </c>
    </row>
    <row r="6471" spans="1:10" ht="21" customHeight="1">
      <c r="A6471" s="2" t="s">
        <v>7475</v>
      </c>
      <c r="B6471" s="2" t="s">
        <v>52</v>
      </c>
      <c r="C6471" s="4">
        <v>45922.25</v>
      </c>
      <c r="D6471" s="4">
        <v>45922.250202025461</v>
      </c>
      <c r="E6471" s="2">
        <v>3.94</v>
      </c>
      <c r="F6471" s="2">
        <v>78</v>
      </c>
      <c r="G6471" s="2" t="s">
        <v>983</v>
      </c>
      <c r="H6471" s="2" t="s">
        <v>984</v>
      </c>
      <c r="I6471" s="2"/>
      <c r="J6471" s="2" t="s">
        <v>52</v>
      </c>
    </row>
    <row r="6472" spans="1:10" ht="21" customHeight="1">
      <c r="A6472" s="2" t="s">
        <v>7476</v>
      </c>
      <c r="B6472" s="2" t="s">
        <v>52</v>
      </c>
      <c r="C6472" s="4">
        <v>45923.25</v>
      </c>
      <c r="D6472" s="4">
        <v>45923.250007615745</v>
      </c>
      <c r="E6472" s="2">
        <v>3.7</v>
      </c>
      <c r="F6472" s="2">
        <v>74.7</v>
      </c>
      <c r="G6472" s="2" t="s">
        <v>983</v>
      </c>
      <c r="H6472" s="2" t="s">
        <v>984</v>
      </c>
      <c r="I6472" s="2"/>
      <c r="J6472" s="2" t="s">
        <v>52</v>
      </c>
    </row>
    <row r="6473" spans="1:10" ht="21" customHeight="1">
      <c r="A6473" s="2" t="s">
        <v>7477</v>
      </c>
      <c r="B6473" s="2" t="s">
        <v>52</v>
      </c>
      <c r="C6473" s="4">
        <v>45924.25</v>
      </c>
      <c r="D6473" s="4">
        <v>45924.250415057875</v>
      </c>
      <c r="E6473" s="2">
        <v>3</v>
      </c>
      <c r="F6473" s="2">
        <v>77.099999999999994</v>
      </c>
      <c r="G6473" s="2" t="s">
        <v>983</v>
      </c>
      <c r="H6473" s="2" t="s">
        <v>984</v>
      </c>
      <c r="I6473" s="2"/>
      <c r="J6473" s="2" t="s">
        <v>52</v>
      </c>
    </row>
    <row r="6474" spans="1:10" ht="21" customHeight="1">
      <c r="A6474" s="2" t="s">
        <v>7478</v>
      </c>
      <c r="B6474" s="2" t="s">
        <v>52</v>
      </c>
      <c r="C6474" s="4">
        <v>45925.25</v>
      </c>
      <c r="D6474" s="4">
        <v>45925.250128206018</v>
      </c>
      <c r="E6474" s="2">
        <v>2.8</v>
      </c>
      <c r="F6474" s="2">
        <v>79</v>
      </c>
      <c r="G6474" s="2" t="s">
        <v>983</v>
      </c>
      <c r="H6474" s="2" t="s">
        <v>984</v>
      </c>
      <c r="I6474" s="2"/>
      <c r="J6474" s="2" t="s">
        <v>52</v>
      </c>
    </row>
    <row r="6475" spans="1:10" ht="21" customHeight="1">
      <c r="A6475" s="2" t="s">
        <v>7479</v>
      </c>
      <c r="B6475" s="2" t="s">
        <v>52</v>
      </c>
      <c r="C6475" s="4">
        <v>45926.25</v>
      </c>
      <c r="D6475" s="4">
        <v>45926.250312962962</v>
      </c>
      <c r="E6475" s="2">
        <v>3.74</v>
      </c>
      <c r="F6475" s="2">
        <v>73.2</v>
      </c>
      <c r="G6475" s="2" t="s">
        <v>983</v>
      </c>
      <c r="H6475" s="2" t="s">
        <v>984</v>
      </c>
      <c r="I6475" s="2"/>
      <c r="J6475" s="2" t="s">
        <v>52</v>
      </c>
    </row>
    <row r="6476" spans="1:10" ht="21" customHeight="1">
      <c r="A6476" s="2" t="s">
        <v>7480</v>
      </c>
      <c r="B6476" s="2" t="s">
        <v>52</v>
      </c>
      <c r="C6476" s="4">
        <v>45927.25</v>
      </c>
      <c r="D6476" s="4">
        <v>45927.250383773149</v>
      </c>
      <c r="E6476" s="2">
        <v>3.91</v>
      </c>
      <c r="F6476" s="2">
        <v>73.900000000000006</v>
      </c>
      <c r="G6476" s="2" t="s">
        <v>983</v>
      </c>
      <c r="H6476" s="2" t="s">
        <v>984</v>
      </c>
      <c r="I6476" s="2"/>
      <c r="J6476" s="2" t="s">
        <v>52</v>
      </c>
    </row>
    <row r="6477" spans="1:10" ht="21" customHeight="1">
      <c r="A6477" s="2" t="s">
        <v>7481</v>
      </c>
      <c r="B6477" s="2" t="s">
        <v>52</v>
      </c>
      <c r="C6477" s="4">
        <v>45928.25</v>
      </c>
      <c r="D6477" s="4">
        <v>45928.250448923616</v>
      </c>
      <c r="E6477" s="2">
        <v>3.49</v>
      </c>
      <c r="F6477" s="2">
        <v>77.5</v>
      </c>
      <c r="G6477" s="2" t="s">
        <v>983</v>
      </c>
      <c r="H6477" s="2" t="s">
        <v>984</v>
      </c>
      <c r="I6477" s="2"/>
      <c r="J6477" s="2" t="s">
        <v>52</v>
      </c>
    </row>
    <row r="6478" spans="1:10" ht="21" customHeight="1">
      <c r="A6478" s="2" t="s">
        <v>7482</v>
      </c>
      <c r="B6478" s="2" t="s">
        <v>52</v>
      </c>
      <c r="C6478" s="4">
        <v>45929.25</v>
      </c>
      <c r="D6478" s="4">
        <v>45929.250554606479</v>
      </c>
      <c r="E6478" s="2">
        <v>3.93</v>
      </c>
      <c r="F6478" s="2">
        <v>74.8</v>
      </c>
      <c r="G6478" s="2" t="s">
        <v>983</v>
      </c>
      <c r="H6478" s="2" t="s">
        <v>984</v>
      </c>
      <c r="I6478" s="2"/>
      <c r="J6478" s="2" t="s">
        <v>52</v>
      </c>
    </row>
    <row r="6479" spans="1:10" ht="21" customHeight="1">
      <c r="A6479" s="2" t="s">
        <v>7483</v>
      </c>
      <c r="B6479" s="2" t="s">
        <v>52</v>
      </c>
      <c r="C6479" s="4">
        <v>45930.25</v>
      </c>
      <c r="D6479" s="4">
        <v>45930.250250856479</v>
      </c>
      <c r="E6479" s="2">
        <v>2.82</v>
      </c>
      <c r="F6479" s="2">
        <v>77.400000000000006</v>
      </c>
      <c r="G6479" s="2" t="s">
        <v>983</v>
      </c>
      <c r="H6479" s="2" t="s">
        <v>984</v>
      </c>
      <c r="I6479" s="2" t="s">
        <v>985</v>
      </c>
      <c r="J6479" s="2" t="s">
        <v>52</v>
      </c>
    </row>
    <row r="6480" spans="1:10" ht="21" customHeight="1">
      <c r="A6480" s="2" t="s">
        <v>7484</v>
      </c>
      <c r="B6480" s="2" t="s">
        <v>7238</v>
      </c>
      <c r="C6480" s="4">
        <v>45931.25</v>
      </c>
      <c r="D6480" s="4">
        <v>45931.250078113429</v>
      </c>
      <c r="E6480" s="2">
        <v>3.75</v>
      </c>
      <c r="F6480" s="2">
        <v>78.900000000000006</v>
      </c>
      <c r="G6480" s="2" t="s">
        <v>983</v>
      </c>
      <c r="H6480" s="2" t="s">
        <v>984</v>
      </c>
      <c r="I6480" s="2"/>
      <c r="J6480" s="2" t="s">
        <v>52</v>
      </c>
    </row>
    <row r="6481" spans="1:10" ht="21" customHeight="1">
      <c r="A6481" s="2" t="s">
        <v>7485</v>
      </c>
      <c r="B6481" s="2" t="s">
        <v>52</v>
      </c>
      <c r="C6481" s="4">
        <v>45932.25</v>
      </c>
      <c r="D6481" s="4">
        <v>45932.250419247684</v>
      </c>
      <c r="E6481" s="2">
        <v>3.29</v>
      </c>
      <c r="F6481" s="2">
        <v>74.900000000000006</v>
      </c>
      <c r="G6481" s="2" t="s">
        <v>983</v>
      </c>
      <c r="H6481" s="2" t="s">
        <v>984</v>
      </c>
      <c r="I6481" s="2"/>
      <c r="J6481" s="2" t="s">
        <v>52</v>
      </c>
    </row>
    <row r="6482" spans="1:10" ht="21" customHeight="1">
      <c r="A6482" s="2" t="s">
        <v>7486</v>
      </c>
      <c r="B6482" s="2" t="s">
        <v>52</v>
      </c>
      <c r="C6482" s="4">
        <v>45933.25</v>
      </c>
      <c r="D6482" s="4">
        <v>45933.250184756944</v>
      </c>
      <c r="E6482" s="2">
        <v>3.46</v>
      </c>
      <c r="F6482" s="2">
        <v>77</v>
      </c>
      <c r="G6482" s="2" t="s">
        <v>983</v>
      </c>
      <c r="H6482" s="2" t="s">
        <v>984</v>
      </c>
      <c r="I6482" s="2"/>
      <c r="J6482" s="2" t="s">
        <v>52</v>
      </c>
    </row>
    <row r="6483" spans="1:10" ht="21" customHeight="1">
      <c r="A6483" s="2" t="s">
        <v>7487</v>
      </c>
      <c r="B6483" s="2" t="s">
        <v>52</v>
      </c>
      <c r="C6483" s="4">
        <v>45934.25</v>
      </c>
      <c r="D6483" s="4">
        <v>45934.250188854166</v>
      </c>
      <c r="E6483" s="2">
        <v>3.81</v>
      </c>
      <c r="F6483" s="2">
        <v>75.5</v>
      </c>
      <c r="G6483" s="2" t="s">
        <v>983</v>
      </c>
      <c r="H6483" s="2" t="s">
        <v>984</v>
      </c>
      <c r="I6483" s="2"/>
      <c r="J6483" s="2" t="s">
        <v>52</v>
      </c>
    </row>
    <row r="6484" spans="1:10" ht="21" customHeight="1">
      <c r="A6484" s="2" t="s">
        <v>7488</v>
      </c>
      <c r="B6484" s="2" t="s">
        <v>52</v>
      </c>
      <c r="C6484" s="4">
        <v>45935.25</v>
      </c>
      <c r="D6484" s="4">
        <v>45935.250182997683</v>
      </c>
      <c r="E6484" s="2">
        <v>2.92</v>
      </c>
      <c r="F6484" s="2">
        <v>74.8</v>
      </c>
      <c r="G6484" s="2" t="s">
        <v>983</v>
      </c>
      <c r="H6484" s="2" t="s">
        <v>984</v>
      </c>
      <c r="I6484" s="2"/>
      <c r="J6484" s="2" t="s">
        <v>52</v>
      </c>
    </row>
    <row r="6485" spans="1:10" ht="21" customHeight="1">
      <c r="A6485" s="2" t="s">
        <v>7489</v>
      </c>
      <c r="B6485" s="2" t="s">
        <v>52</v>
      </c>
      <c r="C6485" s="4">
        <v>45936.25</v>
      </c>
      <c r="D6485" s="4">
        <v>45936.250282361114</v>
      </c>
      <c r="E6485" s="2">
        <v>3.34</v>
      </c>
      <c r="F6485" s="2">
        <v>76.099999999999994</v>
      </c>
      <c r="G6485" s="2" t="s">
        <v>983</v>
      </c>
      <c r="H6485" s="2" t="s">
        <v>984</v>
      </c>
      <c r="I6485" s="2"/>
      <c r="J6485" s="2" t="s">
        <v>52</v>
      </c>
    </row>
    <row r="6486" spans="1:10" ht="21" customHeight="1">
      <c r="A6486" s="2" t="s">
        <v>7490</v>
      </c>
      <c r="B6486" s="2" t="s">
        <v>52</v>
      </c>
      <c r="C6486" s="4">
        <v>45937.25</v>
      </c>
      <c r="D6486" s="4">
        <v>45937.250675196759</v>
      </c>
      <c r="E6486" s="2"/>
      <c r="F6486" s="2"/>
      <c r="G6486" s="2" t="s">
        <v>983</v>
      </c>
      <c r="H6486" s="2" t="s">
        <v>1066</v>
      </c>
      <c r="I6486" s="2"/>
      <c r="J6486" s="2" t="s">
        <v>52</v>
      </c>
    </row>
    <row r="6487" spans="1:10" ht="21" customHeight="1">
      <c r="A6487" s="2" t="s">
        <v>7491</v>
      </c>
      <c r="B6487" s="2" t="s">
        <v>52</v>
      </c>
      <c r="C6487" s="4">
        <v>45938.25</v>
      </c>
      <c r="D6487" s="4">
        <v>45938.250200821756</v>
      </c>
      <c r="E6487" s="2">
        <v>6.74</v>
      </c>
      <c r="F6487" s="2">
        <v>84.8</v>
      </c>
      <c r="G6487" s="2" t="s">
        <v>983</v>
      </c>
      <c r="H6487" s="2" t="s">
        <v>984</v>
      </c>
      <c r="I6487" s="2" t="s">
        <v>1053</v>
      </c>
      <c r="J6487" s="2" t="s">
        <v>52</v>
      </c>
    </row>
    <row r="6488" spans="1:10" ht="21" customHeight="1">
      <c r="A6488" s="2" t="s">
        <v>7492</v>
      </c>
      <c r="B6488" s="2" t="s">
        <v>52</v>
      </c>
      <c r="C6488" s="4">
        <v>45939.25</v>
      </c>
      <c r="D6488" s="4">
        <v>45939.250261562498</v>
      </c>
      <c r="E6488" s="2">
        <v>5.81</v>
      </c>
      <c r="F6488" s="2">
        <v>85</v>
      </c>
      <c r="G6488" s="2" t="s">
        <v>983</v>
      </c>
      <c r="H6488" s="2" t="s">
        <v>984</v>
      </c>
      <c r="I6488" s="2"/>
      <c r="J6488" s="2" t="s">
        <v>52</v>
      </c>
    </row>
    <row r="6489" spans="1:10" ht="21" customHeight="1">
      <c r="A6489" s="2" t="s">
        <v>7493</v>
      </c>
      <c r="B6489" s="2" t="s">
        <v>52</v>
      </c>
      <c r="C6489" s="4">
        <v>45940.25</v>
      </c>
      <c r="D6489" s="4">
        <v>45940.250288368057</v>
      </c>
      <c r="E6489" s="2">
        <v>3.87</v>
      </c>
      <c r="F6489" s="2">
        <v>78.8</v>
      </c>
      <c r="G6489" s="2" t="s">
        <v>983</v>
      </c>
      <c r="H6489" s="2" t="s">
        <v>984</v>
      </c>
      <c r="I6489" s="2"/>
      <c r="J6489" s="2" t="s">
        <v>52</v>
      </c>
    </row>
    <row r="6490" spans="1:10" ht="21" customHeight="1">
      <c r="A6490" s="2" t="s">
        <v>7494</v>
      </c>
      <c r="B6490" s="2" t="s">
        <v>52</v>
      </c>
      <c r="C6490" s="4">
        <v>45941.25</v>
      </c>
      <c r="D6490" s="4">
        <v>45941.250604664354</v>
      </c>
      <c r="E6490" s="2">
        <v>3.55</v>
      </c>
      <c r="F6490" s="2">
        <v>74.900000000000006</v>
      </c>
      <c r="G6490" s="2" t="s">
        <v>983</v>
      </c>
      <c r="H6490" s="2" t="s">
        <v>984</v>
      </c>
      <c r="I6490" s="2"/>
      <c r="J6490" s="2" t="s">
        <v>52</v>
      </c>
    </row>
    <row r="6491" spans="1:10" ht="21" customHeight="1">
      <c r="A6491" s="2" t="s">
        <v>7495</v>
      </c>
      <c r="B6491" s="2" t="s">
        <v>52</v>
      </c>
      <c r="C6491" s="4">
        <v>45942.25</v>
      </c>
      <c r="D6491" s="4">
        <v>45942.250620324077</v>
      </c>
      <c r="E6491" s="2">
        <v>3.98</v>
      </c>
      <c r="F6491" s="2">
        <v>74.400000000000006</v>
      </c>
      <c r="G6491" s="2" t="s">
        <v>983</v>
      </c>
      <c r="H6491" s="2" t="s">
        <v>984</v>
      </c>
      <c r="I6491" s="2"/>
      <c r="J6491" s="2" t="s">
        <v>52</v>
      </c>
    </row>
    <row r="6492" spans="1:10" ht="21" customHeight="1">
      <c r="A6492" s="2" t="s">
        <v>7496</v>
      </c>
      <c r="B6492" s="2" t="s">
        <v>52</v>
      </c>
      <c r="C6492" s="4">
        <v>45943.25</v>
      </c>
      <c r="D6492" s="4">
        <v>45943.250664664352</v>
      </c>
      <c r="E6492" s="2">
        <v>3.95</v>
      </c>
      <c r="F6492" s="2">
        <v>78.3</v>
      </c>
      <c r="G6492" s="2" t="s">
        <v>983</v>
      </c>
      <c r="H6492" s="2" t="s">
        <v>984</v>
      </c>
      <c r="I6492" s="2"/>
      <c r="J6492" s="2" t="s">
        <v>52</v>
      </c>
    </row>
    <row r="6493" spans="1:10" ht="21" customHeight="1">
      <c r="A6493" s="2" t="s">
        <v>7497</v>
      </c>
      <c r="B6493" s="2" t="s">
        <v>52</v>
      </c>
      <c r="C6493" s="4">
        <v>45944.25</v>
      </c>
      <c r="D6493" s="4">
        <v>45944.250068761576</v>
      </c>
      <c r="E6493" s="2">
        <v>3.48</v>
      </c>
      <c r="F6493" s="2">
        <v>73.400000000000006</v>
      </c>
      <c r="G6493" s="2" t="s">
        <v>983</v>
      </c>
      <c r="H6493" s="2" t="s">
        <v>984</v>
      </c>
      <c r="I6493" s="2"/>
      <c r="J6493" s="2" t="s">
        <v>52</v>
      </c>
    </row>
    <row r="6494" spans="1:10" ht="21" customHeight="1">
      <c r="A6494" s="2" t="s">
        <v>7498</v>
      </c>
      <c r="B6494" s="2" t="s">
        <v>52</v>
      </c>
      <c r="C6494" s="4">
        <v>45945.25</v>
      </c>
      <c r="D6494" s="4">
        <v>45945.250228738427</v>
      </c>
      <c r="E6494" s="2">
        <v>2.91</v>
      </c>
      <c r="F6494" s="2">
        <v>78</v>
      </c>
      <c r="G6494" s="2" t="s">
        <v>983</v>
      </c>
      <c r="H6494" s="2" t="s">
        <v>984</v>
      </c>
      <c r="I6494" s="2"/>
      <c r="J6494" s="2" t="s">
        <v>52</v>
      </c>
    </row>
    <row r="6495" spans="1:10" ht="21" customHeight="1">
      <c r="A6495" s="2" t="s">
        <v>7499</v>
      </c>
      <c r="B6495" s="2" t="s">
        <v>52</v>
      </c>
      <c r="C6495" s="4">
        <v>45946.25</v>
      </c>
      <c r="D6495" s="4">
        <v>45946.250474421293</v>
      </c>
      <c r="E6495" s="2">
        <v>3.96</v>
      </c>
      <c r="F6495" s="2">
        <v>72.3</v>
      </c>
      <c r="G6495" s="2" t="s">
        <v>983</v>
      </c>
      <c r="H6495" s="2" t="s">
        <v>984</v>
      </c>
      <c r="I6495" s="2"/>
      <c r="J6495" s="2" t="s">
        <v>52</v>
      </c>
    </row>
    <row r="6496" spans="1:10" ht="21" customHeight="1">
      <c r="A6496" s="2" t="s">
        <v>7500</v>
      </c>
      <c r="B6496" s="2" t="s">
        <v>52</v>
      </c>
      <c r="C6496" s="4">
        <v>45947.25</v>
      </c>
      <c r="D6496" s="4">
        <v>45947.250584027774</v>
      </c>
      <c r="E6496" s="2">
        <v>3.56</v>
      </c>
      <c r="F6496" s="2">
        <v>76.599999999999994</v>
      </c>
      <c r="G6496" s="2" t="s">
        <v>983</v>
      </c>
      <c r="H6496" s="2" t="s">
        <v>984</v>
      </c>
      <c r="I6496" s="2" t="s">
        <v>985</v>
      </c>
      <c r="J6496" s="2" t="s">
        <v>52</v>
      </c>
    </row>
    <row r="6497" spans="1:10" ht="21" customHeight="1">
      <c r="A6497" s="2" t="s">
        <v>7501</v>
      </c>
      <c r="B6497" s="2" t="s">
        <v>52</v>
      </c>
      <c r="C6497" s="4">
        <v>45948.25</v>
      </c>
      <c r="D6497" s="4">
        <v>45948.250446840277</v>
      </c>
      <c r="E6497" s="2">
        <v>3.05</v>
      </c>
      <c r="F6497" s="2">
        <v>73.900000000000006</v>
      </c>
      <c r="G6497" s="2" t="s">
        <v>983</v>
      </c>
      <c r="H6497" s="2" t="s">
        <v>984</v>
      </c>
      <c r="I6497" s="2"/>
      <c r="J6497" s="2" t="s">
        <v>52</v>
      </c>
    </row>
    <row r="6498" spans="1:10" ht="21" customHeight="1">
      <c r="A6498" s="2" t="s">
        <v>7502</v>
      </c>
      <c r="B6498" s="2" t="s">
        <v>52</v>
      </c>
      <c r="C6498" s="4">
        <v>45949.25</v>
      </c>
      <c r="D6498" s="4">
        <v>45949.250185127312</v>
      </c>
      <c r="E6498" s="2">
        <v>3.45</v>
      </c>
      <c r="F6498" s="2">
        <v>74.2</v>
      </c>
      <c r="G6498" s="2" t="s">
        <v>983</v>
      </c>
      <c r="H6498" s="2" t="s">
        <v>984</v>
      </c>
      <c r="I6498" s="2"/>
      <c r="J6498" s="2" t="s">
        <v>52</v>
      </c>
    </row>
    <row r="6499" spans="1:10" ht="21" customHeight="1">
      <c r="A6499" s="2" t="s">
        <v>7503</v>
      </c>
      <c r="B6499" s="2" t="s">
        <v>52</v>
      </c>
      <c r="C6499" s="4">
        <v>45950.25</v>
      </c>
      <c r="D6499" s="4">
        <v>45950.250056990742</v>
      </c>
      <c r="E6499" s="2">
        <v>3.58</v>
      </c>
      <c r="F6499" s="2">
        <v>79.2</v>
      </c>
      <c r="G6499" s="2" t="s">
        <v>983</v>
      </c>
      <c r="H6499" s="2" t="s">
        <v>984</v>
      </c>
      <c r="I6499" s="2"/>
      <c r="J6499" s="2" t="s">
        <v>52</v>
      </c>
    </row>
    <row r="6500" spans="1:10" ht="21" customHeight="1">
      <c r="A6500" s="2" t="s">
        <v>7504</v>
      </c>
      <c r="B6500" s="2" t="s">
        <v>52</v>
      </c>
      <c r="C6500" s="4">
        <v>45951.25</v>
      </c>
      <c r="D6500" s="4">
        <v>45951.250132581015</v>
      </c>
      <c r="E6500" s="2">
        <v>3.83</v>
      </c>
      <c r="F6500" s="2">
        <v>77.900000000000006</v>
      </c>
      <c r="G6500" s="2" t="s">
        <v>983</v>
      </c>
      <c r="H6500" s="2" t="s">
        <v>984</v>
      </c>
      <c r="I6500" s="2"/>
      <c r="J6500" s="2" t="s">
        <v>52</v>
      </c>
    </row>
    <row r="6501" spans="1:10" ht="21" customHeight="1">
      <c r="A6501" s="2" t="s">
        <v>7505</v>
      </c>
      <c r="B6501" s="2" t="s">
        <v>52</v>
      </c>
      <c r="C6501" s="4">
        <v>45952.25</v>
      </c>
      <c r="D6501" s="4">
        <v>45952.250273032405</v>
      </c>
      <c r="E6501" s="2"/>
      <c r="F6501" s="2"/>
      <c r="G6501" s="2" t="s">
        <v>983</v>
      </c>
      <c r="H6501" s="2" t="s">
        <v>1066</v>
      </c>
      <c r="I6501" s="2"/>
      <c r="J6501" s="2" t="s">
        <v>52</v>
      </c>
    </row>
    <row r="6502" spans="1:10" ht="21" customHeight="1">
      <c r="A6502" s="2" t="s">
        <v>7506</v>
      </c>
      <c r="B6502" s="2" t="s">
        <v>52</v>
      </c>
      <c r="C6502" s="4">
        <v>45953.25</v>
      </c>
      <c r="D6502" s="4">
        <v>45953.25021273148</v>
      </c>
      <c r="E6502" s="2">
        <v>3.4</v>
      </c>
      <c r="F6502" s="2">
        <v>74.099999999999994</v>
      </c>
      <c r="G6502" s="2" t="s">
        <v>983</v>
      </c>
      <c r="H6502" s="2" t="s">
        <v>984</v>
      </c>
      <c r="I6502" s="2"/>
      <c r="J6502" s="2" t="s">
        <v>52</v>
      </c>
    </row>
    <row r="6503" spans="1:10" ht="21" customHeight="1">
      <c r="A6503" s="2" t="s">
        <v>7507</v>
      </c>
      <c r="B6503" s="2" t="s">
        <v>52</v>
      </c>
      <c r="C6503" s="4">
        <v>45954.25</v>
      </c>
      <c r="D6503" s="4">
        <v>45954.250143854166</v>
      </c>
      <c r="E6503" s="2">
        <v>3.39</v>
      </c>
      <c r="F6503" s="2">
        <v>79.099999999999994</v>
      </c>
      <c r="G6503" s="2" t="s">
        <v>983</v>
      </c>
      <c r="H6503" s="2" t="s">
        <v>984</v>
      </c>
      <c r="I6503" s="2"/>
      <c r="J6503" s="2" t="s">
        <v>52</v>
      </c>
    </row>
    <row r="6504" spans="1:10" ht="21" customHeight="1">
      <c r="A6504" s="2" t="s">
        <v>7508</v>
      </c>
      <c r="B6504" s="2" t="s">
        <v>52</v>
      </c>
      <c r="C6504" s="4">
        <v>45955.25</v>
      </c>
      <c r="D6504" s="4">
        <v>45955.250527291668</v>
      </c>
      <c r="E6504" s="2">
        <v>3.79</v>
      </c>
      <c r="F6504" s="2">
        <v>75.400000000000006</v>
      </c>
      <c r="G6504" s="2" t="s">
        <v>983</v>
      </c>
      <c r="H6504" s="2" t="s">
        <v>984</v>
      </c>
      <c r="I6504" s="2"/>
      <c r="J6504" s="2" t="s">
        <v>52</v>
      </c>
    </row>
    <row r="6505" spans="1:10" ht="21" customHeight="1">
      <c r="A6505" s="2" t="s">
        <v>7509</v>
      </c>
      <c r="B6505" s="2" t="s">
        <v>52</v>
      </c>
      <c r="C6505" s="4">
        <v>45956.25</v>
      </c>
      <c r="D6505" s="4">
        <v>45956.250646863424</v>
      </c>
      <c r="E6505" s="2"/>
      <c r="F6505" s="2"/>
      <c r="G6505" s="2" t="s">
        <v>983</v>
      </c>
      <c r="H6505" s="2" t="s">
        <v>1066</v>
      </c>
      <c r="I6505" s="2"/>
      <c r="J6505" s="2" t="s">
        <v>52</v>
      </c>
    </row>
    <row r="6506" spans="1:10" ht="21" customHeight="1">
      <c r="A6506" s="2" t="s">
        <v>7510</v>
      </c>
      <c r="B6506" s="2" t="s">
        <v>52</v>
      </c>
      <c r="C6506" s="4">
        <v>45957.25</v>
      </c>
      <c r="D6506" s="4">
        <v>45957.250602326385</v>
      </c>
      <c r="E6506" s="2"/>
      <c r="F6506" s="2"/>
      <c r="G6506" s="2" t="s">
        <v>983</v>
      </c>
      <c r="H6506" s="2" t="s">
        <v>1066</v>
      </c>
      <c r="I6506" s="2"/>
      <c r="J6506" s="2" t="s">
        <v>52</v>
      </c>
    </row>
    <row r="6507" spans="1:10" ht="21" customHeight="1">
      <c r="A6507" s="2" t="s">
        <v>7511</v>
      </c>
      <c r="B6507" s="2" t="s">
        <v>52</v>
      </c>
      <c r="C6507" s="4">
        <v>45958.25</v>
      </c>
      <c r="D6507" s="4">
        <v>45958.250020208332</v>
      </c>
      <c r="E6507" s="2">
        <v>3.15</v>
      </c>
      <c r="F6507" s="2">
        <v>73.2</v>
      </c>
      <c r="G6507" s="2" t="s">
        <v>983</v>
      </c>
      <c r="H6507" s="2" t="s">
        <v>984</v>
      </c>
      <c r="I6507" s="2"/>
      <c r="J6507" s="2" t="s">
        <v>52</v>
      </c>
    </row>
    <row r="6508" spans="1:10" ht="21" customHeight="1">
      <c r="A6508" s="2" t="s">
        <v>7512</v>
      </c>
      <c r="B6508" s="2" t="s">
        <v>52</v>
      </c>
      <c r="C6508" s="4">
        <v>45959.25</v>
      </c>
      <c r="D6508" s="4">
        <v>45959.250410729168</v>
      </c>
      <c r="E6508" s="2">
        <v>3.3</v>
      </c>
      <c r="F6508" s="2">
        <v>74.400000000000006</v>
      </c>
      <c r="G6508" s="2" t="s">
        <v>983</v>
      </c>
      <c r="H6508" s="2" t="s">
        <v>984</v>
      </c>
      <c r="I6508" s="2"/>
      <c r="J6508" s="2" t="s">
        <v>52</v>
      </c>
    </row>
    <row r="6509" spans="1:10" ht="21" customHeight="1">
      <c r="A6509" s="2" t="s">
        <v>7513</v>
      </c>
      <c r="B6509" s="2" t="s">
        <v>52</v>
      </c>
      <c r="C6509" s="4">
        <v>45960.25</v>
      </c>
      <c r="D6509" s="4">
        <v>45960.250054814816</v>
      </c>
      <c r="E6509" s="2"/>
      <c r="F6509" s="2"/>
      <c r="G6509" s="2" t="s">
        <v>983</v>
      </c>
      <c r="H6509" s="2" t="s">
        <v>1066</v>
      </c>
      <c r="I6509" s="2"/>
      <c r="J6509" s="2" t="s">
        <v>52</v>
      </c>
    </row>
    <row r="6510" spans="1:10" ht="21" customHeight="1">
      <c r="A6510" s="2" t="s">
        <v>7514</v>
      </c>
      <c r="B6510" s="2" t="s">
        <v>52</v>
      </c>
      <c r="C6510" s="4">
        <v>45961.25</v>
      </c>
      <c r="D6510" s="4">
        <v>45961.250109375003</v>
      </c>
      <c r="E6510" s="2">
        <v>2.88</v>
      </c>
      <c r="F6510" s="2">
        <v>77.2</v>
      </c>
      <c r="G6510" s="2" t="s">
        <v>983</v>
      </c>
      <c r="H6510" s="2" t="s">
        <v>984</v>
      </c>
      <c r="I6510" s="2"/>
      <c r="J6510" s="2" t="s">
        <v>52</v>
      </c>
    </row>
    <row r="6511" spans="1:10" ht="21" customHeight="1">
      <c r="A6511" s="2" t="s">
        <v>7515</v>
      </c>
      <c r="B6511" s="2" t="s">
        <v>52</v>
      </c>
      <c r="C6511" s="4">
        <v>45962.25</v>
      </c>
      <c r="D6511" s="4">
        <v>45962.250333773147</v>
      </c>
      <c r="E6511" s="2">
        <v>3.41</v>
      </c>
      <c r="F6511" s="2">
        <v>79.2</v>
      </c>
      <c r="G6511" s="2" t="s">
        <v>983</v>
      </c>
      <c r="H6511" s="2" t="s">
        <v>984</v>
      </c>
      <c r="I6511" s="2"/>
      <c r="J6511" s="2" t="s">
        <v>52</v>
      </c>
    </row>
    <row r="6512" spans="1:10" ht="21" customHeight="1">
      <c r="A6512" s="2" t="s">
        <v>7516</v>
      </c>
      <c r="B6512" s="2" t="s">
        <v>52</v>
      </c>
      <c r="C6512" s="4">
        <v>45963.25</v>
      </c>
      <c r="D6512" s="4">
        <v>45963.25016466435</v>
      </c>
      <c r="E6512" s="2">
        <v>3.98</v>
      </c>
      <c r="F6512" s="2">
        <v>74.3</v>
      </c>
      <c r="G6512" s="2" t="s">
        <v>983</v>
      </c>
      <c r="H6512" s="2" t="s">
        <v>984</v>
      </c>
      <c r="I6512" s="2"/>
      <c r="J6512" s="2" t="s">
        <v>52</v>
      </c>
    </row>
    <row r="6513" spans="1:10" ht="21" customHeight="1">
      <c r="A6513" s="2" t="s">
        <v>7517</v>
      </c>
      <c r="B6513" s="2" t="s">
        <v>52</v>
      </c>
      <c r="C6513" s="4">
        <v>45964.25</v>
      </c>
      <c r="D6513" s="4">
        <v>45964.250145300924</v>
      </c>
      <c r="E6513" s="2"/>
      <c r="F6513" s="2"/>
      <c r="G6513" s="2" t="s">
        <v>983</v>
      </c>
      <c r="H6513" s="2" t="s">
        <v>1066</v>
      </c>
      <c r="I6513" s="2" t="s">
        <v>985</v>
      </c>
      <c r="J6513" s="2" t="s">
        <v>52</v>
      </c>
    </row>
    <row r="6514" spans="1:10" ht="21" customHeight="1">
      <c r="A6514" s="2" t="s">
        <v>7518</v>
      </c>
      <c r="B6514" s="2" t="s">
        <v>52</v>
      </c>
      <c r="C6514" s="4">
        <v>45965.25</v>
      </c>
      <c r="D6514" s="4">
        <v>45965.250475613429</v>
      </c>
      <c r="E6514" s="2">
        <v>3.49</v>
      </c>
      <c r="F6514" s="2">
        <v>78.8</v>
      </c>
      <c r="G6514" s="2" t="s">
        <v>983</v>
      </c>
      <c r="H6514" s="2" t="s">
        <v>984</v>
      </c>
      <c r="I6514" s="2"/>
      <c r="J6514" s="2" t="s">
        <v>52</v>
      </c>
    </row>
    <row r="6515" spans="1:10" ht="21" customHeight="1">
      <c r="A6515" s="2" t="s">
        <v>7519</v>
      </c>
      <c r="B6515" s="2" t="s">
        <v>52</v>
      </c>
      <c r="C6515" s="4">
        <v>45966.25</v>
      </c>
      <c r="D6515" s="4">
        <v>45966.250422789351</v>
      </c>
      <c r="E6515" s="2">
        <v>3.67</v>
      </c>
      <c r="F6515" s="2">
        <v>78.900000000000006</v>
      </c>
      <c r="G6515" s="2" t="s">
        <v>983</v>
      </c>
      <c r="H6515" s="2" t="s">
        <v>984</v>
      </c>
      <c r="I6515" s="2"/>
      <c r="J6515" s="2" t="s">
        <v>52</v>
      </c>
    </row>
    <row r="6516" spans="1:10" ht="21" customHeight="1">
      <c r="A6516" s="2" t="s">
        <v>7520</v>
      </c>
      <c r="B6516" s="2" t="s">
        <v>52</v>
      </c>
      <c r="C6516" s="4">
        <v>45967.25</v>
      </c>
      <c r="D6516" s="4">
        <v>45967.250034189812</v>
      </c>
      <c r="E6516" s="2">
        <v>3.43</v>
      </c>
      <c r="F6516" s="2">
        <v>75.900000000000006</v>
      </c>
      <c r="G6516" s="2" t="s">
        <v>983</v>
      </c>
      <c r="H6516" s="2" t="s">
        <v>984</v>
      </c>
      <c r="I6516" s="2"/>
      <c r="J6516" s="2" t="s">
        <v>52</v>
      </c>
    </row>
    <row r="6517" spans="1:10" ht="21" customHeight="1">
      <c r="A6517" s="2" t="s">
        <v>7521</v>
      </c>
      <c r="B6517" s="2" t="s">
        <v>52</v>
      </c>
      <c r="C6517" s="4">
        <v>45968.25</v>
      </c>
      <c r="D6517" s="4">
        <v>45968.250450231484</v>
      </c>
      <c r="E6517" s="2">
        <v>0</v>
      </c>
      <c r="F6517" s="2">
        <v>78.5</v>
      </c>
      <c r="G6517" s="2" t="s">
        <v>1175</v>
      </c>
      <c r="H6517" s="2" t="s">
        <v>984</v>
      </c>
      <c r="I6517" s="2"/>
      <c r="J6517" s="2" t="s">
        <v>52</v>
      </c>
    </row>
    <row r="6518" spans="1:10" ht="21" customHeight="1">
      <c r="A6518" s="2" t="s">
        <v>7522</v>
      </c>
      <c r="B6518" s="2" t="s">
        <v>52</v>
      </c>
      <c r="C6518" s="4">
        <v>45969.25</v>
      </c>
      <c r="D6518" s="4">
        <v>45969.250339270831</v>
      </c>
      <c r="E6518" s="2">
        <v>2.86</v>
      </c>
      <c r="F6518" s="2">
        <v>79.5</v>
      </c>
      <c r="G6518" s="2" t="s">
        <v>983</v>
      </c>
      <c r="H6518" s="2" t="s">
        <v>984</v>
      </c>
      <c r="I6518" s="2"/>
      <c r="J6518" s="2" t="s">
        <v>52</v>
      </c>
    </row>
    <row r="6519" spans="1:10" ht="21" customHeight="1">
      <c r="A6519" s="2" t="s">
        <v>7523</v>
      </c>
      <c r="B6519" s="2" t="s">
        <v>52</v>
      </c>
      <c r="C6519" s="4">
        <v>45970.25</v>
      </c>
      <c r="D6519" s="4">
        <v>45970.250459814815</v>
      </c>
      <c r="E6519" s="2">
        <v>3.9</v>
      </c>
      <c r="F6519" s="2">
        <v>75.5</v>
      </c>
      <c r="G6519" s="2" t="s">
        <v>983</v>
      </c>
      <c r="H6519" s="2" t="s">
        <v>984</v>
      </c>
      <c r="I6519" s="2"/>
      <c r="J6519" s="2" t="s">
        <v>52</v>
      </c>
    </row>
    <row r="6520" spans="1:10" ht="21" customHeight="1">
      <c r="A6520" s="2" t="s">
        <v>7524</v>
      </c>
      <c r="B6520" s="2" t="s">
        <v>52</v>
      </c>
      <c r="C6520" s="4">
        <v>45971.25</v>
      </c>
      <c r="D6520" s="4">
        <v>45971.25027611111</v>
      </c>
      <c r="E6520" s="2">
        <v>3.81</v>
      </c>
      <c r="F6520" s="2">
        <v>78.2</v>
      </c>
      <c r="G6520" s="2" t="s">
        <v>983</v>
      </c>
      <c r="H6520" s="2" t="s">
        <v>984</v>
      </c>
      <c r="I6520" s="2"/>
      <c r="J6520" s="2" t="s">
        <v>52</v>
      </c>
    </row>
    <row r="6521" spans="1:10" ht="21" customHeight="1">
      <c r="A6521" s="2" t="s">
        <v>7525</v>
      </c>
      <c r="B6521" s="2" t="s">
        <v>7238</v>
      </c>
      <c r="C6521" s="4">
        <v>45972.25</v>
      </c>
      <c r="D6521" s="4">
        <v>45972.250119432865</v>
      </c>
      <c r="E6521" s="2">
        <v>2.92</v>
      </c>
      <c r="F6521" s="2">
        <v>78.7</v>
      </c>
      <c r="G6521" s="2" t="s">
        <v>983</v>
      </c>
      <c r="H6521" s="2" t="s">
        <v>984</v>
      </c>
      <c r="I6521" s="2"/>
      <c r="J6521" s="2" t="s">
        <v>52</v>
      </c>
    </row>
    <row r="6522" spans="1:10" ht="21" customHeight="1">
      <c r="A6522" s="2" t="s">
        <v>7526</v>
      </c>
      <c r="B6522" s="2" t="s">
        <v>52</v>
      </c>
      <c r="C6522" s="4">
        <v>45973.25</v>
      </c>
      <c r="D6522" s="4">
        <v>45973.250376504628</v>
      </c>
      <c r="E6522" s="2">
        <v>2.82</v>
      </c>
      <c r="F6522" s="2">
        <v>74.5</v>
      </c>
      <c r="G6522" s="2" t="s">
        <v>983</v>
      </c>
      <c r="H6522" s="2" t="s">
        <v>984</v>
      </c>
      <c r="I6522" s="2"/>
      <c r="J6522" s="2" t="s">
        <v>52</v>
      </c>
    </row>
    <row r="6523" spans="1:10" ht="21" customHeight="1">
      <c r="A6523" s="2" t="s">
        <v>7527</v>
      </c>
      <c r="B6523" s="2" t="s">
        <v>52</v>
      </c>
      <c r="C6523" s="4">
        <v>45974.25</v>
      </c>
      <c r="D6523" s="4">
        <v>45974.250175416666</v>
      </c>
      <c r="E6523" s="2">
        <v>3.75</v>
      </c>
      <c r="F6523" s="2">
        <v>72.900000000000006</v>
      </c>
      <c r="G6523" s="2" t="s">
        <v>983</v>
      </c>
      <c r="H6523" s="2" t="s">
        <v>984</v>
      </c>
      <c r="I6523" s="2"/>
      <c r="J6523" s="2" t="s">
        <v>52</v>
      </c>
    </row>
    <row r="6524" spans="1:10" ht="21" customHeight="1">
      <c r="A6524" s="2" t="s">
        <v>7528</v>
      </c>
      <c r="B6524" s="2" t="s">
        <v>52</v>
      </c>
      <c r="C6524" s="4">
        <v>45975.25</v>
      </c>
      <c r="D6524" s="4">
        <v>45975.250608136572</v>
      </c>
      <c r="E6524" s="2">
        <v>3.26</v>
      </c>
      <c r="F6524" s="2">
        <v>72.7</v>
      </c>
      <c r="G6524" s="2" t="s">
        <v>983</v>
      </c>
      <c r="H6524" s="2" t="s">
        <v>984</v>
      </c>
      <c r="I6524" s="2"/>
      <c r="J6524" s="2" t="s">
        <v>52</v>
      </c>
    </row>
    <row r="6525" spans="1:10" ht="21" customHeight="1">
      <c r="A6525" s="2" t="s">
        <v>7529</v>
      </c>
      <c r="B6525" s="2" t="s">
        <v>52</v>
      </c>
      <c r="C6525" s="4">
        <v>45976.25</v>
      </c>
      <c r="D6525" s="4">
        <v>45976.250602523149</v>
      </c>
      <c r="E6525" s="2">
        <v>2.91</v>
      </c>
      <c r="F6525" s="2">
        <v>72.5</v>
      </c>
      <c r="G6525" s="2" t="s">
        <v>983</v>
      </c>
      <c r="H6525" s="2" t="s">
        <v>984</v>
      </c>
      <c r="I6525" s="2"/>
      <c r="J6525" s="2" t="s">
        <v>52</v>
      </c>
    </row>
    <row r="6526" spans="1:10" ht="21" customHeight="1">
      <c r="A6526" s="2" t="s">
        <v>7530</v>
      </c>
      <c r="B6526" s="2" t="s">
        <v>52</v>
      </c>
      <c r="C6526" s="4">
        <v>45977.25</v>
      </c>
      <c r="D6526" s="4">
        <v>45977.25002334491</v>
      </c>
      <c r="E6526" s="2">
        <v>3.66</v>
      </c>
      <c r="F6526" s="2">
        <v>72.099999999999994</v>
      </c>
      <c r="G6526" s="2" t="s">
        <v>983</v>
      </c>
      <c r="H6526" s="2" t="s">
        <v>984</v>
      </c>
      <c r="I6526" s="2"/>
      <c r="J6526" s="2" t="s">
        <v>52</v>
      </c>
    </row>
    <row r="6527" spans="1:10" ht="21" customHeight="1">
      <c r="A6527" s="2" t="s">
        <v>7531</v>
      </c>
      <c r="B6527" s="2" t="s">
        <v>52</v>
      </c>
      <c r="C6527" s="4">
        <v>45978.25</v>
      </c>
      <c r="D6527" s="4">
        <v>45978.250683159727</v>
      </c>
      <c r="E6527" s="2">
        <v>3.12</v>
      </c>
      <c r="F6527" s="2">
        <v>79.3</v>
      </c>
      <c r="G6527" s="2" t="s">
        <v>983</v>
      </c>
      <c r="H6527" s="2" t="s">
        <v>984</v>
      </c>
      <c r="I6527" s="2"/>
      <c r="J6527" s="2" t="s">
        <v>52</v>
      </c>
    </row>
    <row r="6528" spans="1:10" ht="21" customHeight="1">
      <c r="A6528" s="2" t="s">
        <v>7532</v>
      </c>
      <c r="B6528" s="2" t="s">
        <v>52</v>
      </c>
      <c r="C6528" s="4">
        <v>45979.25</v>
      </c>
      <c r="D6528" s="4">
        <v>45979.250575625003</v>
      </c>
      <c r="E6528" s="2">
        <v>3.74</v>
      </c>
      <c r="F6528" s="2">
        <v>77.8</v>
      </c>
      <c r="G6528" s="2" t="s">
        <v>983</v>
      </c>
      <c r="H6528" s="2" t="s">
        <v>984</v>
      </c>
      <c r="I6528" s="2"/>
      <c r="J6528" s="2" t="s">
        <v>52</v>
      </c>
    </row>
    <row r="6529" spans="1:10" ht="21" customHeight="1">
      <c r="A6529" s="2" t="s">
        <v>7533</v>
      </c>
      <c r="B6529" s="2" t="s">
        <v>52</v>
      </c>
      <c r="C6529" s="4">
        <v>45980.25</v>
      </c>
      <c r="D6529" s="4">
        <v>45980.250608460643</v>
      </c>
      <c r="E6529" s="2">
        <v>3.88</v>
      </c>
      <c r="F6529" s="2">
        <v>77.400000000000006</v>
      </c>
      <c r="G6529" s="2" t="s">
        <v>983</v>
      </c>
      <c r="H6529" s="2" t="s">
        <v>984</v>
      </c>
      <c r="I6529" s="2"/>
      <c r="J6529" s="2" t="s">
        <v>52</v>
      </c>
    </row>
    <row r="6530" spans="1:10" ht="21" customHeight="1">
      <c r="A6530" s="2" t="s">
        <v>7534</v>
      </c>
      <c r="B6530" s="2" t="s">
        <v>52</v>
      </c>
      <c r="C6530" s="4">
        <v>45981.25</v>
      </c>
      <c r="D6530" s="4">
        <v>45981.250328935188</v>
      </c>
      <c r="E6530" s="2">
        <v>3.27</v>
      </c>
      <c r="F6530" s="2">
        <v>73.2</v>
      </c>
      <c r="G6530" s="2" t="s">
        <v>983</v>
      </c>
      <c r="H6530" s="2" t="s">
        <v>984</v>
      </c>
      <c r="I6530" s="2" t="s">
        <v>985</v>
      </c>
      <c r="J6530" s="2" t="s">
        <v>52</v>
      </c>
    </row>
    <row r="6531" spans="1:10" ht="21" customHeight="1">
      <c r="A6531" s="2" t="s">
        <v>7535</v>
      </c>
      <c r="B6531" s="2" t="s">
        <v>52</v>
      </c>
      <c r="C6531" s="4">
        <v>45982.25</v>
      </c>
      <c r="D6531" s="4">
        <v>45982.250128564818</v>
      </c>
      <c r="E6531" s="2">
        <v>2.81</v>
      </c>
      <c r="F6531" s="2">
        <v>79</v>
      </c>
      <c r="G6531" s="2" t="s">
        <v>983</v>
      </c>
      <c r="H6531" s="2" t="s">
        <v>984</v>
      </c>
      <c r="I6531" s="2"/>
      <c r="J6531" s="2" t="s">
        <v>52</v>
      </c>
    </row>
    <row r="6532" spans="1:10" ht="21" customHeight="1">
      <c r="A6532" s="2" t="s">
        <v>7536</v>
      </c>
      <c r="B6532" s="2" t="s">
        <v>52</v>
      </c>
      <c r="C6532" s="4">
        <v>45983.25</v>
      </c>
      <c r="D6532" s="4">
        <v>45983.250607430557</v>
      </c>
      <c r="E6532" s="2">
        <v>25.38</v>
      </c>
      <c r="F6532" s="2">
        <v>78.900000000000006</v>
      </c>
      <c r="G6532" s="2" t="s">
        <v>983</v>
      </c>
      <c r="H6532" s="2" t="s">
        <v>1022</v>
      </c>
      <c r="I6532" s="2"/>
      <c r="J6532" s="2" t="s">
        <v>52</v>
      </c>
    </row>
    <row r="6533" spans="1:10" ht="21" customHeight="1">
      <c r="A6533" s="2" t="s">
        <v>7537</v>
      </c>
      <c r="B6533" s="2" t="s">
        <v>52</v>
      </c>
      <c r="C6533" s="4">
        <v>45984.25</v>
      </c>
      <c r="D6533" s="4">
        <v>45984.250245092597</v>
      </c>
      <c r="E6533" s="2">
        <v>2.86</v>
      </c>
      <c r="F6533" s="2">
        <v>73</v>
      </c>
      <c r="G6533" s="2" t="s">
        <v>983</v>
      </c>
      <c r="H6533" s="2" t="s">
        <v>984</v>
      </c>
      <c r="I6533" s="2"/>
      <c r="J6533" s="2" t="s">
        <v>52</v>
      </c>
    </row>
    <row r="6534" spans="1:10" ht="21" customHeight="1">
      <c r="A6534" s="2" t="s">
        <v>7538</v>
      </c>
      <c r="B6534" s="2" t="s">
        <v>52</v>
      </c>
      <c r="C6534" s="4">
        <v>45985.25</v>
      </c>
      <c r="D6534" s="4">
        <v>45985.250685023144</v>
      </c>
      <c r="E6534" s="2">
        <v>3.97</v>
      </c>
      <c r="F6534" s="2">
        <v>77.7</v>
      </c>
      <c r="G6534" s="2" t="s">
        <v>983</v>
      </c>
      <c r="H6534" s="2" t="s">
        <v>984</v>
      </c>
      <c r="I6534" s="2"/>
      <c r="J6534" s="2" t="s">
        <v>52</v>
      </c>
    </row>
    <row r="6535" spans="1:10" ht="21" customHeight="1">
      <c r="A6535" s="2" t="s">
        <v>7539</v>
      </c>
      <c r="B6535" s="2" t="s">
        <v>52</v>
      </c>
      <c r="C6535" s="4">
        <v>45986.25</v>
      </c>
      <c r="D6535" s="4">
        <v>45986.250097951386</v>
      </c>
      <c r="E6535" s="2">
        <v>3.81</v>
      </c>
      <c r="F6535" s="2">
        <v>76.7</v>
      </c>
      <c r="G6535" s="2" t="s">
        <v>983</v>
      </c>
      <c r="H6535" s="2" t="s">
        <v>984</v>
      </c>
      <c r="I6535" s="2"/>
      <c r="J6535" s="2" t="s">
        <v>52</v>
      </c>
    </row>
    <row r="6536" spans="1:10" ht="21" customHeight="1">
      <c r="A6536" s="2" t="s">
        <v>7540</v>
      </c>
      <c r="B6536" s="2" t="s">
        <v>52</v>
      </c>
      <c r="C6536" s="4">
        <v>45987.25</v>
      </c>
      <c r="D6536" s="4">
        <v>45987.250109293978</v>
      </c>
      <c r="E6536" s="2">
        <v>3.09</v>
      </c>
      <c r="F6536" s="2">
        <v>76</v>
      </c>
      <c r="G6536" s="2" t="s">
        <v>983</v>
      </c>
      <c r="H6536" s="2" t="s">
        <v>984</v>
      </c>
      <c r="I6536" s="2"/>
      <c r="J6536" s="2" t="s">
        <v>52</v>
      </c>
    </row>
    <row r="6537" spans="1:10" ht="21" customHeight="1">
      <c r="A6537" s="2" t="s">
        <v>7541</v>
      </c>
      <c r="B6537" s="2" t="s">
        <v>52</v>
      </c>
      <c r="C6537" s="4">
        <v>45988.25</v>
      </c>
      <c r="D6537" s="4">
        <v>45988.250425254635</v>
      </c>
      <c r="E6537" s="2">
        <v>3.93</v>
      </c>
      <c r="F6537" s="2">
        <v>77</v>
      </c>
      <c r="G6537" s="2" t="s">
        <v>983</v>
      </c>
      <c r="H6537" s="2" t="s">
        <v>984</v>
      </c>
      <c r="I6537" s="2"/>
      <c r="J6537" s="2" t="s">
        <v>52</v>
      </c>
    </row>
    <row r="6538" spans="1:10" ht="21" customHeight="1">
      <c r="A6538" s="2" t="s">
        <v>7542</v>
      </c>
      <c r="B6538" s="2" t="s">
        <v>52</v>
      </c>
      <c r="C6538" s="4">
        <v>45989.25</v>
      </c>
      <c r="D6538" s="4">
        <v>45989.25012232639</v>
      </c>
      <c r="E6538" s="2">
        <v>2.87</v>
      </c>
      <c r="F6538" s="2">
        <v>78.2</v>
      </c>
      <c r="G6538" s="2" t="s">
        <v>983</v>
      </c>
      <c r="H6538" s="2" t="s">
        <v>984</v>
      </c>
      <c r="I6538" s="2"/>
      <c r="J6538" s="2" t="s">
        <v>52</v>
      </c>
    </row>
    <row r="6539" spans="1:10" ht="21" customHeight="1">
      <c r="A6539" s="2" t="s">
        <v>7543</v>
      </c>
      <c r="B6539" s="2" t="s">
        <v>52</v>
      </c>
      <c r="C6539" s="4">
        <v>45990.25</v>
      </c>
      <c r="D6539" s="4">
        <v>45990.250279143518</v>
      </c>
      <c r="E6539" s="2">
        <v>2.84</v>
      </c>
      <c r="F6539" s="2">
        <v>73.8</v>
      </c>
      <c r="G6539" s="2" t="s">
        <v>983</v>
      </c>
      <c r="H6539" s="2" t="s">
        <v>984</v>
      </c>
      <c r="I6539" s="2"/>
      <c r="J6539" s="2" t="s">
        <v>52</v>
      </c>
    </row>
    <row r="6540" spans="1:10" ht="21" customHeight="1">
      <c r="A6540" s="2" t="s">
        <v>7544</v>
      </c>
      <c r="B6540" s="2" t="s">
        <v>52</v>
      </c>
      <c r="C6540" s="4">
        <v>45991.25</v>
      </c>
      <c r="D6540" s="4">
        <v>45991.250129525462</v>
      </c>
      <c r="E6540" s="2">
        <v>3.79</v>
      </c>
      <c r="F6540" s="2">
        <v>74.900000000000006</v>
      </c>
      <c r="G6540" s="2" t="s">
        <v>983</v>
      </c>
      <c r="H6540" s="2" t="s">
        <v>984</v>
      </c>
      <c r="I6540" s="2"/>
      <c r="J6540" s="2" t="s">
        <v>52</v>
      </c>
    </row>
    <row r="6541" spans="1:10" ht="21" customHeight="1">
      <c r="A6541" s="2" t="s">
        <v>7545</v>
      </c>
      <c r="B6541" s="2" t="s">
        <v>52</v>
      </c>
      <c r="C6541" s="4">
        <v>45992.25</v>
      </c>
      <c r="D6541" s="4">
        <v>45992.250381238424</v>
      </c>
      <c r="E6541" s="2">
        <v>2.92</v>
      </c>
      <c r="F6541" s="2">
        <v>74.8</v>
      </c>
      <c r="G6541" s="2" t="s">
        <v>983</v>
      </c>
      <c r="H6541" s="2" t="s">
        <v>984</v>
      </c>
      <c r="I6541" s="2"/>
      <c r="J6541" s="2" t="s">
        <v>52</v>
      </c>
    </row>
    <row r="6542" spans="1:10" ht="21" customHeight="1">
      <c r="A6542" s="2" t="s">
        <v>7546</v>
      </c>
      <c r="B6542" s="2" t="s">
        <v>52</v>
      </c>
      <c r="C6542" s="4">
        <v>45993.25</v>
      </c>
      <c r="D6542" s="4">
        <v>45993.250172233791</v>
      </c>
      <c r="E6542" s="2">
        <v>7.05</v>
      </c>
      <c r="F6542" s="2">
        <v>84.5</v>
      </c>
      <c r="G6542" s="2" t="s">
        <v>983</v>
      </c>
      <c r="H6542" s="2" t="s">
        <v>984</v>
      </c>
      <c r="I6542" s="2"/>
      <c r="J6542" s="2" t="s">
        <v>52</v>
      </c>
    </row>
    <row r="6543" spans="1:10" ht="21" customHeight="1">
      <c r="A6543" s="2" t="s">
        <v>7547</v>
      </c>
      <c r="B6543" s="2" t="s">
        <v>52</v>
      </c>
      <c r="C6543" s="4">
        <v>45994.25</v>
      </c>
      <c r="D6543" s="4">
        <v>45994.250556851854</v>
      </c>
      <c r="E6543" s="2">
        <v>5.13</v>
      </c>
      <c r="F6543" s="2">
        <v>87</v>
      </c>
      <c r="G6543" s="2" t="s">
        <v>983</v>
      </c>
      <c r="H6543" s="2" t="s">
        <v>984</v>
      </c>
      <c r="I6543" s="2" t="s">
        <v>1053</v>
      </c>
      <c r="J6543" s="2" t="s">
        <v>52</v>
      </c>
    </row>
    <row r="6544" spans="1:10" ht="21" customHeight="1">
      <c r="A6544" s="2" t="s">
        <v>7548</v>
      </c>
      <c r="B6544" s="2" t="s">
        <v>52</v>
      </c>
      <c r="C6544" s="4">
        <v>45995.25</v>
      </c>
      <c r="D6544" s="4">
        <v>45995.250640266204</v>
      </c>
      <c r="E6544" s="2">
        <v>6.64</v>
      </c>
      <c r="F6544" s="2">
        <v>85.7</v>
      </c>
      <c r="G6544" s="2" t="s">
        <v>983</v>
      </c>
      <c r="H6544" s="2" t="s">
        <v>984</v>
      </c>
      <c r="I6544" s="2"/>
      <c r="J6544" s="2" t="s">
        <v>52</v>
      </c>
    </row>
    <row r="6545" spans="1:10" ht="21" customHeight="1">
      <c r="A6545" s="2" t="s">
        <v>7549</v>
      </c>
      <c r="B6545" s="2" t="s">
        <v>52</v>
      </c>
      <c r="C6545" s="4">
        <v>45996.25</v>
      </c>
      <c r="D6545" s="4">
        <v>45996.250203831019</v>
      </c>
      <c r="E6545" s="2">
        <v>3.15</v>
      </c>
      <c r="F6545" s="2">
        <v>76.8</v>
      </c>
      <c r="G6545" s="2" t="s">
        <v>983</v>
      </c>
      <c r="H6545" s="2" t="s">
        <v>984</v>
      </c>
      <c r="I6545" s="2"/>
      <c r="J6545" s="2" t="s">
        <v>52</v>
      </c>
    </row>
    <row r="6546" spans="1:10" ht="21" customHeight="1">
      <c r="A6546" s="2" t="s">
        <v>7550</v>
      </c>
      <c r="B6546" s="2" t="s">
        <v>52</v>
      </c>
      <c r="C6546" s="4">
        <v>45997.25</v>
      </c>
      <c r="D6546" s="4">
        <v>45997.250044178239</v>
      </c>
      <c r="E6546" s="2">
        <v>3.66</v>
      </c>
      <c r="F6546" s="2">
        <v>79.099999999999994</v>
      </c>
      <c r="G6546" s="2" t="s">
        <v>983</v>
      </c>
      <c r="H6546" s="2" t="s">
        <v>984</v>
      </c>
      <c r="I6546" s="2"/>
      <c r="J6546" s="2" t="s">
        <v>52</v>
      </c>
    </row>
    <row r="6547" spans="1:10" ht="21" customHeight="1">
      <c r="A6547" s="2" t="s">
        <v>7551</v>
      </c>
      <c r="B6547" s="2" t="s">
        <v>52</v>
      </c>
      <c r="C6547" s="4">
        <v>45998.25</v>
      </c>
      <c r="D6547" s="4">
        <v>45998.250222337963</v>
      </c>
      <c r="E6547" s="2">
        <v>3.4</v>
      </c>
      <c r="F6547" s="2">
        <v>75.900000000000006</v>
      </c>
      <c r="G6547" s="2" t="s">
        <v>983</v>
      </c>
      <c r="H6547" s="2" t="s">
        <v>984</v>
      </c>
      <c r="I6547" s="2" t="s">
        <v>985</v>
      </c>
      <c r="J6547" s="2" t="s">
        <v>52</v>
      </c>
    </row>
    <row r="6548" spans="1:10" ht="21" customHeight="1">
      <c r="A6548" s="2" t="s">
        <v>7552</v>
      </c>
      <c r="B6548" s="2" t="s">
        <v>52</v>
      </c>
      <c r="C6548" s="4">
        <v>45999.25</v>
      </c>
      <c r="D6548" s="4">
        <v>45999.250481817129</v>
      </c>
      <c r="E6548" s="2">
        <v>2.89</v>
      </c>
      <c r="F6548" s="2">
        <v>75.400000000000006</v>
      </c>
      <c r="G6548" s="2" t="s">
        <v>983</v>
      </c>
      <c r="H6548" s="2" t="s">
        <v>984</v>
      </c>
      <c r="I6548" s="2"/>
      <c r="J6548" s="2" t="s">
        <v>52</v>
      </c>
    </row>
    <row r="6549" spans="1:10" ht="21" customHeight="1">
      <c r="A6549" s="2" t="s">
        <v>7553</v>
      </c>
      <c r="B6549" s="2" t="s">
        <v>52</v>
      </c>
      <c r="C6549" s="4">
        <v>46000.25</v>
      </c>
      <c r="D6549" s="4">
        <v>46000.250506539349</v>
      </c>
      <c r="E6549" s="2">
        <v>3.45</v>
      </c>
      <c r="F6549" s="2">
        <v>75.8</v>
      </c>
      <c r="G6549" s="2" t="s">
        <v>983</v>
      </c>
      <c r="H6549" s="2" t="s">
        <v>984</v>
      </c>
      <c r="I6549" s="2"/>
      <c r="J6549" s="2" t="s">
        <v>52</v>
      </c>
    </row>
    <row r="6550" spans="1:10" ht="21" customHeight="1">
      <c r="A6550" s="2" t="s">
        <v>7554</v>
      </c>
      <c r="B6550" s="2" t="s">
        <v>52</v>
      </c>
      <c r="C6550" s="4">
        <v>46001.25</v>
      </c>
      <c r="D6550" s="4">
        <v>46001.250571099532</v>
      </c>
      <c r="E6550" s="2">
        <v>2.97</v>
      </c>
      <c r="F6550" s="2">
        <v>77.2</v>
      </c>
      <c r="G6550" s="2" t="s">
        <v>983</v>
      </c>
      <c r="H6550" s="2" t="s">
        <v>984</v>
      </c>
      <c r="I6550" s="2"/>
      <c r="J6550" s="2" t="s">
        <v>52</v>
      </c>
    </row>
    <row r="6551" spans="1:10" ht="21" customHeight="1">
      <c r="A6551" s="2" t="s">
        <v>7555</v>
      </c>
      <c r="B6551" s="2" t="s">
        <v>52</v>
      </c>
      <c r="C6551" s="4">
        <v>46002.25</v>
      </c>
      <c r="D6551" s="4">
        <v>46002.250669687499</v>
      </c>
      <c r="E6551" s="2">
        <v>3.37</v>
      </c>
      <c r="F6551" s="2">
        <v>78</v>
      </c>
      <c r="G6551" s="2" t="s">
        <v>983</v>
      </c>
      <c r="H6551" s="2" t="s">
        <v>984</v>
      </c>
      <c r="I6551" s="2"/>
      <c r="J6551" s="2" t="s">
        <v>52</v>
      </c>
    </row>
    <row r="6552" spans="1:10" ht="21" customHeight="1">
      <c r="A6552" s="2" t="s">
        <v>7556</v>
      </c>
      <c r="B6552" s="2" t="s">
        <v>52</v>
      </c>
      <c r="C6552" s="4">
        <v>46003.25</v>
      </c>
      <c r="D6552" s="4">
        <v>46003.250654351854</v>
      </c>
      <c r="E6552" s="2">
        <v>3</v>
      </c>
      <c r="F6552" s="2">
        <v>77.400000000000006</v>
      </c>
      <c r="G6552" s="2" t="s">
        <v>983</v>
      </c>
      <c r="H6552" s="2" t="s">
        <v>984</v>
      </c>
      <c r="I6552" s="2"/>
      <c r="J6552" s="2" t="s">
        <v>52</v>
      </c>
    </row>
    <row r="6553" spans="1:10" ht="21" customHeight="1">
      <c r="A6553" s="2" t="s">
        <v>7557</v>
      </c>
      <c r="B6553" s="2" t="s">
        <v>52</v>
      </c>
      <c r="C6553" s="4">
        <v>46004.25</v>
      </c>
      <c r="D6553" s="4">
        <v>46004.25045634259</v>
      </c>
      <c r="E6553" s="2">
        <v>3.36</v>
      </c>
      <c r="F6553" s="2">
        <v>75.099999999999994</v>
      </c>
      <c r="G6553" s="2" t="s">
        <v>983</v>
      </c>
      <c r="H6553" s="2" t="s">
        <v>984</v>
      </c>
      <c r="I6553" s="2"/>
      <c r="J6553" s="2" t="s">
        <v>52</v>
      </c>
    </row>
    <row r="6554" spans="1:10" ht="21" customHeight="1">
      <c r="A6554" s="2" t="s">
        <v>7558</v>
      </c>
      <c r="B6554" s="2" t="s">
        <v>52</v>
      </c>
      <c r="C6554" s="4">
        <v>46005.25</v>
      </c>
      <c r="D6554" s="4">
        <v>46005.250423124999</v>
      </c>
      <c r="E6554" s="2">
        <v>3.75</v>
      </c>
      <c r="F6554" s="2">
        <v>76.599999999999994</v>
      </c>
      <c r="G6554" s="2" t="s">
        <v>983</v>
      </c>
      <c r="H6554" s="2" t="s">
        <v>984</v>
      </c>
      <c r="I6554" s="2"/>
      <c r="J6554" s="2" t="s">
        <v>52</v>
      </c>
    </row>
    <row r="6555" spans="1:10" ht="21" customHeight="1">
      <c r="A6555" s="2" t="s">
        <v>7559</v>
      </c>
      <c r="B6555" s="2" t="s">
        <v>52</v>
      </c>
      <c r="C6555" s="4">
        <v>46006.25</v>
      </c>
      <c r="D6555" s="4">
        <v>46006.250452893517</v>
      </c>
      <c r="E6555" s="2">
        <v>3.14</v>
      </c>
      <c r="F6555" s="2">
        <v>75</v>
      </c>
      <c r="G6555" s="2" t="s">
        <v>983</v>
      </c>
      <c r="H6555" s="2" t="s">
        <v>984</v>
      </c>
      <c r="I6555" s="2"/>
      <c r="J6555" s="2" t="s">
        <v>52</v>
      </c>
    </row>
    <row r="6556" spans="1:10" ht="21" customHeight="1">
      <c r="A6556" s="2" t="s">
        <v>7560</v>
      </c>
      <c r="B6556" s="2" t="s">
        <v>52</v>
      </c>
      <c r="C6556" s="4">
        <v>46007.25</v>
      </c>
      <c r="D6556" s="4">
        <v>46007.250088483794</v>
      </c>
      <c r="E6556" s="2"/>
      <c r="F6556" s="2"/>
      <c r="G6556" s="2" t="s">
        <v>983</v>
      </c>
      <c r="H6556" s="2" t="s">
        <v>1066</v>
      </c>
      <c r="I6556" s="2"/>
      <c r="J6556" s="2" t="s">
        <v>52</v>
      </c>
    </row>
    <row r="6557" spans="1:10" ht="21" customHeight="1">
      <c r="A6557" s="2" t="s">
        <v>7561</v>
      </c>
      <c r="B6557" s="2" t="s">
        <v>52</v>
      </c>
      <c r="C6557" s="4">
        <v>46008.25</v>
      </c>
      <c r="D6557" s="4">
        <v>46008.250347986112</v>
      </c>
      <c r="E6557" s="2">
        <v>3.32</v>
      </c>
      <c r="F6557" s="2">
        <v>75.599999999999994</v>
      </c>
      <c r="G6557" s="2" t="s">
        <v>983</v>
      </c>
      <c r="H6557" s="2" t="s">
        <v>984</v>
      </c>
      <c r="I6557" s="2"/>
      <c r="J6557" s="2" t="s">
        <v>52</v>
      </c>
    </row>
    <row r="6558" spans="1:10" ht="21" customHeight="1">
      <c r="A6558" s="2" t="s">
        <v>7562</v>
      </c>
      <c r="B6558" s="2" t="s">
        <v>52</v>
      </c>
      <c r="C6558" s="4">
        <v>46009.25</v>
      </c>
      <c r="D6558" s="4">
        <v>46009.250107916669</v>
      </c>
      <c r="E6558" s="2">
        <v>3.54</v>
      </c>
      <c r="F6558" s="2">
        <v>77</v>
      </c>
      <c r="G6558" s="2" t="s">
        <v>983</v>
      </c>
      <c r="H6558" s="2" t="s">
        <v>984</v>
      </c>
      <c r="I6558" s="2"/>
      <c r="J6558" s="2" t="s">
        <v>52</v>
      </c>
    </row>
    <row r="6559" spans="1:10" ht="21" customHeight="1">
      <c r="A6559" s="2" t="s">
        <v>7563</v>
      </c>
      <c r="B6559" s="2" t="s">
        <v>52</v>
      </c>
      <c r="C6559" s="4">
        <v>46010.25</v>
      </c>
      <c r="D6559" s="4">
        <v>46010.250396921299</v>
      </c>
      <c r="E6559" s="2">
        <v>3.03</v>
      </c>
      <c r="F6559" s="2">
        <v>76.7</v>
      </c>
      <c r="G6559" s="2" t="s">
        <v>983</v>
      </c>
      <c r="H6559" s="2" t="s">
        <v>984</v>
      </c>
      <c r="I6559" s="2"/>
      <c r="J6559" s="2" t="s">
        <v>52</v>
      </c>
    </row>
    <row r="6560" spans="1:10" ht="21" customHeight="1">
      <c r="A6560" s="2" t="s">
        <v>7564</v>
      </c>
      <c r="B6560" s="2" t="s">
        <v>52</v>
      </c>
      <c r="C6560" s="4">
        <v>46011.25</v>
      </c>
      <c r="D6560" s="4">
        <v>46011.250462256939</v>
      </c>
      <c r="E6560" s="2">
        <v>3.84</v>
      </c>
      <c r="F6560" s="2">
        <v>75.900000000000006</v>
      </c>
      <c r="G6560" s="2" t="s">
        <v>983</v>
      </c>
      <c r="H6560" s="2" t="s">
        <v>984</v>
      </c>
      <c r="I6560" s="2"/>
      <c r="J6560" s="2" t="s">
        <v>52</v>
      </c>
    </row>
    <row r="6561" spans="1:10" ht="21" customHeight="1">
      <c r="A6561" s="2" t="s">
        <v>7565</v>
      </c>
      <c r="B6561" s="2" t="s">
        <v>52</v>
      </c>
      <c r="C6561" s="4">
        <v>46012.25</v>
      </c>
      <c r="D6561" s="4">
        <v>46012.250025925925</v>
      </c>
      <c r="E6561" s="2">
        <v>3.58</v>
      </c>
      <c r="F6561" s="2">
        <v>77.599999999999994</v>
      </c>
      <c r="G6561" s="2" t="s">
        <v>983</v>
      </c>
      <c r="H6561" s="2" t="s">
        <v>984</v>
      </c>
      <c r="I6561" s="2"/>
      <c r="J6561" s="2" t="s">
        <v>52</v>
      </c>
    </row>
    <row r="6562" spans="1:10" ht="21" customHeight="1">
      <c r="A6562" s="2" t="s">
        <v>7566</v>
      </c>
      <c r="B6562" s="2" t="s">
        <v>7238</v>
      </c>
      <c r="C6562" s="4">
        <v>46013.25</v>
      </c>
      <c r="D6562" s="4">
        <v>46013.250278344909</v>
      </c>
      <c r="E6562" s="2">
        <v>3.45</v>
      </c>
      <c r="F6562" s="2">
        <v>76.400000000000006</v>
      </c>
      <c r="G6562" s="2" t="s">
        <v>983</v>
      </c>
      <c r="H6562" s="2" t="s">
        <v>984</v>
      </c>
      <c r="I6562" s="2"/>
      <c r="J6562" s="2" t="s">
        <v>52</v>
      </c>
    </row>
    <row r="6563" spans="1:10" ht="21" customHeight="1">
      <c r="A6563" s="2" t="s">
        <v>7567</v>
      </c>
      <c r="B6563" s="2" t="s">
        <v>52</v>
      </c>
      <c r="C6563" s="4">
        <v>46014.25</v>
      </c>
      <c r="D6563" s="4">
        <v>46014.250408761574</v>
      </c>
      <c r="E6563" s="2">
        <v>3.83</v>
      </c>
      <c r="F6563" s="2">
        <v>75.599999999999994</v>
      </c>
      <c r="G6563" s="2" t="s">
        <v>983</v>
      </c>
      <c r="H6563" s="2" t="s">
        <v>984</v>
      </c>
      <c r="I6563" s="2"/>
      <c r="J6563" s="2" t="s">
        <v>52</v>
      </c>
    </row>
    <row r="6564" spans="1:10" ht="21" customHeight="1">
      <c r="A6564" s="2" t="s">
        <v>7568</v>
      </c>
      <c r="B6564" s="2" t="s">
        <v>52</v>
      </c>
      <c r="C6564" s="4">
        <v>46015.25</v>
      </c>
      <c r="D6564" s="4">
        <v>46015.250072604162</v>
      </c>
      <c r="E6564" s="2">
        <v>2.86</v>
      </c>
      <c r="F6564" s="2">
        <v>73.8</v>
      </c>
      <c r="G6564" s="2" t="s">
        <v>983</v>
      </c>
      <c r="H6564" s="2" t="s">
        <v>984</v>
      </c>
      <c r="I6564" s="2" t="s">
        <v>985</v>
      </c>
      <c r="J6564" s="2" t="s">
        <v>52</v>
      </c>
    </row>
    <row r="6565" spans="1:10" ht="21" customHeight="1">
      <c r="A6565" s="2" t="s">
        <v>7569</v>
      </c>
      <c r="B6565" s="2" t="s">
        <v>52</v>
      </c>
      <c r="C6565" s="4">
        <v>46016.25</v>
      </c>
      <c r="D6565" s="4">
        <v>46016.250542384259</v>
      </c>
      <c r="E6565" s="2">
        <v>2.92</v>
      </c>
      <c r="F6565" s="2">
        <v>78.400000000000006</v>
      </c>
      <c r="G6565" s="2" t="s">
        <v>983</v>
      </c>
      <c r="H6565" s="2" t="s">
        <v>984</v>
      </c>
      <c r="I6565" s="2"/>
      <c r="J6565" s="2" t="s">
        <v>52</v>
      </c>
    </row>
    <row r="6566" spans="1:10" ht="21" customHeight="1">
      <c r="A6566" s="2" t="s">
        <v>7570</v>
      </c>
      <c r="B6566" s="2" t="s">
        <v>52</v>
      </c>
      <c r="C6566" s="4">
        <v>46017.25</v>
      </c>
      <c r="D6566" s="4">
        <v>46017.250110104171</v>
      </c>
      <c r="E6566" s="2">
        <v>3.54</v>
      </c>
      <c r="F6566" s="2">
        <v>77.400000000000006</v>
      </c>
      <c r="G6566" s="2" t="s">
        <v>983</v>
      </c>
      <c r="H6566" s="2" t="s">
        <v>984</v>
      </c>
      <c r="I6566" s="2"/>
      <c r="J6566" s="2" t="s">
        <v>52</v>
      </c>
    </row>
    <row r="6567" spans="1:10" ht="21" customHeight="1">
      <c r="A6567" s="2" t="s">
        <v>7571</v>
      </c>
      <c r="B6567" s="2" t="s">
        <v>52</v>
      </c>
      <c r="C6567" s="4">
        <v>46018.25</v>
      </c>
      <c r="D6567" s="4">
        <v>46018.250062824074</v>
      </c>
      <c r="E6567" s="2">
        <v>3.32</v>
      </c>
      <c r="F6567" s="2">
        <v>77.2</v>
      </c>
      <c r="G6567" s="2" t="s">
        <v>983</v>
      </c>
      <c r="H6567" s="2" t="s">
        <v>984</v>
      </c>
      <c r="I6567" s="2"/>
      <c r="J6567" s="2" t="s">
        <v>52</v>
      </c>
    </row>
    <row r="6568" spans="1:10" ht="21" customHeight="1">
      <c r="A6568" s="2" t="s">
        <v>7572</v>
      </c>
      <c r="B6568" s="2" t="s">
        <v>52</v>
      </c>
      <c r="C6568" s="4">
        <v>46019.25</v>
      </c>
      <c r="D6568" s="4">
        <v>46019.250107083339</v>
      </c>
      <c r="E6568" s="2">
        <v>3.79</v>
      </c>
      <c r="F6568" s="2">
        <v>75.7</v>
      </c>
      <c r="G6568" s="2" t="s">
        <v>983</v>
      </c>
      <c r="H6568" s="2" t="s">
        <v>984</v>
      </c>
      <c r="I6568" s="2"/>
      <c r="J6568" s="2" t="s">
        <v>52</v>
      </c>
    </row>
    <row r="6569" spans="1:10" ht="21" customHeight="1">
      <c r="A6569" s="2" t="s">
        <v>7573</v>
      </c>
      <c r="B6569" s="2" t="s">
        <v>52</v>
      </c>
      <c r="C6569" s="4">
        <v>46020.25</v>
      </c>
      <c r="D6569" s="4">
        <v>46020.250016284721</v>
      </c>
      <c r="E6569" s="2">
        <v>3.18</v>
      </c>
      <c r="F6569" s="2">
        <v>78.599999999999994</v>
      </c>
      <c r="G6569" s="2" t="s">
        <v>983</v>
      </c>
      <c r="H6569" s="2" t="s">
        <v>984</v>
      </c>
      <c r="I6569" s="2"/>
      <c r="J6569" s="2" t="s">
        <v>52</v>
      </c>
    </row>
    <row r="6570" spans="1:10" ht="21" customHeight="1">
      <c r="A6570" s="2" t="s">
        <v>7574</v>
      </c>
      <c r="B6570" s="2" t="s">
        <v>52</v>
      </c>
      <c r="C6570" s="4">
        <v>46021.25</v>
      </c>
      <c r="D6570" s="4">
        <v>46021.250120462966</v>
      </c>
      <c r="E6570" s="2">
        <v>3.92</v>
      </c>
      <c r="F6570" s="2">
        <v>79.8</v>
      </c>
      <c r="G6570" s="2" t="s">
        <v>983</v>
      </c>
      <c r="H6570" s="2" t="s">
        <v>984</v>
      </c>
      <c r="I6570" s="2"/>
      <c r="J6570" s="2" t="s">
        <v>52</v>
      </c>
    </row>
    <row r="6571" spans="1:10" ht="21" customHeight="1">
      <c r="A6571" s="2" t="s">
        <v>7575</v>
      </c>
      <c r="B6571" s="2" t="s">
        <v>52</v>
      </c>
      <c r="C6571" s="4">
        <v>46022.25</v>
      </c>
      <c r="D6571" s="4">
        <v>46022.250424143524</v>
      </c>
      <c r="E6571" s="2">
        <v>3.35</v>
      </c>
      <c r="F6571" s="2">
        <v>78.2</v>
      </c>
      <c r="G6571" s="2" t="s">
        <v>983</v>
      </c>
      <c r="H6571" s="2" t="s">
        <v>984</v>
      </c>
      <c r="I6571" s="2"/>
      <c r="J6571" s="2" t="s">
        <v>52</v>
      </c>
    </row>
    <row r="6572" spans="1:10" ht="21" customHeight="1"/>
    <row r="6573" spans="1:10" ht="21" customHeight="1"/>
    <row r="6574" spans="1:10" ht="21" customHeight="1"/>
    <row r="6575" spans="1:10" ht="21" customHeight="1"/>
    <row r="6576" spans="1:10" ht="21" customHeight="1"/>
    <row r="6577" ht="21" customHeight="1"/>
    <row r="6578" ht="21" customHeight="1"/>
    <row r="6579" ht="21" customHeight="1"/>
    <row r="6580" ht="21" customHeight="1"/>
    <row r="6581" ht="21" customHeight="1"/>
    <row r="6582" ht="21" customHeight="1"/>
    <row r="6583" ht="21" customHeight="1"/>
    <row r="6584" ht="15.75" customHeight="1"/>
    <row r="6585" ht="15.75" customHeight="1"/>
    <row r="6586" ht="15.75" customHeight="1"/>
    <row r="6587" ht="15.75" customHeight="1"/>
    <row r="6588" ht="15.75" customHeight="1"/>
    <row r="6589" ht="15.75" customHeight="1"/>
    <row r="6590" ht="15.75" customHeight="1"/>
    <row r="6591" ht="15.75" customHeight="1"/>
    <row r="6592" ht="15.75" customHeight="1"/>
    <row r="6593" ht="15.75" customHeight="1"/>
    <row r="6594" ht="15.75" customHeight="1"/>
    <row r="6595" ht="15.75" customHeight="1"/>
    <row r="6596" ht="15.75" customHeight="1"/>
    <row r="6597" ht="15.75" customHeight="1"/>
    <row r="6598" ht="15.75" customHeight="1"/>
    <row r="6599" ht="15.75" customHeight="1"/>
    <row r="6600" ht="15.75" customHeight="1"/>
    <row r="6601" ht="15.75" customHeight="1"/>
    <row r="6602" ht="15.75" customHeight="1"/>
    <row r="6603" ht="15.75" customHeight="1"/>
    <row r="6604" ht="15.75" customHeight="1"/>
    <row r="6605" ht="15.75" customHeight="1"/>
    <row r="6606" ht="15.75" customHeight="1"/>
    <row r="6607" ht="15.75" customHeight="1"/>
    <row r="6608" ht="15.75" customHeight="1"/>
    <row r="6609" ht="15.75" customHeight="1"/>
    <row r="6610" ht="15.75" customHeight="1"/>
    <row r="6611" ht="15.75" customHeight="1"/>
    <row r="6612" ht="15.75" customHeight="1"/>
    <row r="6613" ht="15.75" customHeight="1"/>
    <row r="6614" ht="15.75" customHeight="1"/>
    <row r="6615" ht="15.75" customHeight="1"/>
    <row r="6616" ht="15.75" customHeight="1"/>
    <row r="6617" ht="15.75" customHeight="1"/>
    <row r="6618" ht="15.75" customHeight="1"/>
    <row r="6619" ht="15.75" customHeight="1"/>
    <row r="6620" ht="15.75" customHeight="1"/>
    <row r="6621" ht="15.75" customHeight="1"/>
    <row r="6622" ht="15.75" customHeight="1"/>
    <row r="6623" ht="15.75" customHeight="1"/>
    <row r="6624" ht="15.75" customHeight="1"/>
    <row r="6625" ht="15.75" customHeight="1"/>
    <row r="6626" ht="15.75" customHeight="1"/>
    <row r="6627" ht="15.75" customHeight="1"/>
    <row r="6628" ht="15.75" customHeight="1"/>
    <row r="6629" ht="15.75" customHeight="1"/>
    <row r="6630" ht="15.75" customHeight="1"/>
    <row r="6631" ht="15.75" customHeight="1"/>
    <row r="6632" ht="15.75" customHeight="1"/>
    <row r="6633" ht="15.75" customHeight="1"/>
    <row r="6634" ht="15.75" customHeight="1"/>
    <row r="6635" ht="15.75" customHeight="1"/>
    <row r="6636" ht="15.75" customHeight="1"/>
    <row r="6637" ht="15.75" customHeight="1"/>
    <row r="6638" ht="15.75" customHeight="1"/>
    <row r="6639" ht="15.75" customHeight="1"/>
    <row r="6640" ht="15.75" customHeight="1"/>
    <row r="6641" ht="15.75" customHeight="1"/>
    <row r="6642" ht="15.75" customHeight="1"/>
    <row r="6643" ht="15.75" customHeight="1"/>
    <row r="6644" ht="15.75" customHeight="1"/>
    <row r="6645" ht="15.75" customHeight="1"/>
    <row r="6646" ht="15.75" customHeight="1"/>
    <row r="6647" ht="15.75" customHeight="1"/>
    <row r="6648" ht="15.75" customHeight="1"/>
    <row r="6649" ht="15.75" customHeight="1"/>
    <row r="6650" ht="15.75" customHeight="1"/>
    <row r="6651" ht="15.75" customHeight="1"/>
    <row r="6652" ht="15.75" customHeight="1"/>
    <row r="6653" ht="15.75" customHeight="1"/>
    <row r="6654" ht="15.75" customHeight="1"/>
    <row r="6655" ht="15.75" customHeight="1"/>
    <row r="6656" ht="15.75" customHeight="1"/>
    <row r="6657" ht="15.75" customHeight="1"/>
    <row r="6658" ht="15.75" customHeight="1"/>
    <row r="6659" ht="15.75" customHeight="1"/>
    <row r="6660" ht="15.75" customHeight="1"/>
    <row r="6661" ht="15.75" customHeight="1"/>
    <row r="6662" ht="15.75" customHeight="1"/>
    <row r="6663" ht="15.75" customHeight="1"/>
    <row r="6664" ht="15.75" customHeight="1"/>
    <row r="6665" ht="15.75" customHeight="1"/>
    <row r="6666" ht="15.75" customHeight="1"/>
    <row r="6667" ht="15.75" customHeight="1"/>
    <row r="6668" ht="15.75" customHeight="1"/>
    <row r="6669" ht="15.75" customHeight="1"/>
    <row r="6670" ht="15.75" customHeight="1"/>
    <row r="6671" ht="15.75" customHeight="1"/>
    <row r="6672" ht="15.75" customHeight="1"/>
    <row r="6673" ht="15.75" customHeight="1"/>
    <row r="6674" ht="15.75" customHeight="1"/>
    <row r="6675" ht="15.75" customHeight="1"/>
    <row r="6676" ht="15.75" customHeight="1"/>
    <row r="6677" ht="15.75" customHeight="1"/>
    <row r="6678" ht="15.75" customHeight="1"/>
    <row r="6679" ht="15.75" customHeight="1"/>
    <row r="6680" ht="15.75" customHeight="1"/>
    <row r="6681" ht="15.75" customHeight="1"/>
    <row r="6682" ht="15.75" customHeight="1"/>
    <row r="6683" ht="15.75" customHeight="1"/>
    <row r="6684" ht="15.75" customHeight="1"/>
    <row r="6685" ht="15.75" customHeight="1"/>
    <row r="6686" ht="15.75" customHeight="1"/>
    <row r="6687" ht="15.75" customHeight="1"/>
    <row r="6688" ht="15.75" customHeight="1"/>
    <row r="6689" ht="15.75" customHeight="1"/>
    <row r="6690" ht="15.75" customHeight="1"/>
    <row r="6691" ht="15.75" customHeight="1"/>
    <row r="6692" ht="15.75" customHeight="1"/>
    <row r="6693" ht="15.75" customHeight="1"/>
    <row r="6694" ht="15.75" customHeight="1"/>
    <row r="6695" ht="15.75" customHeight="1"/>
    <row r="6696" ht="15.75" customHeight="1"/>
    <row r="6697" ht="15.75" customHeight="1"/>
    <row r="6698" ht="15.75" customHeight="1"/>
    <row r="6699" ht="15.75" customHeight="1"/>
    <row r="6700" ht="15.75" customHeight="1"/>
    <row r="6701" ht="15.75" customHeight="1"/>
    <row r="6702" ht="15.75" customHeight="1"/>
    <row r="6703" ht="15.75" customHeight="1"/>
    <row r="6704" ht="15.75" customHeight="1"/>
    <row r="6705" ht="15.75" customHeight="1"/>
    <row r="6706" ht="15.75" customHeight="1"/>
    <row r="6707" ht="15.75" customHeight="1"/>
    <row r="6708" ht="15.75" customHeight="1"/>
    <row r="6709" ht="15.75" customHeight="1"/>
    <row r="6710" ht="15.75" customHeight="1"/>
    <row r="6711" ht="15.75" customHeight="1"/>
    <row r="6712" ht="15.75" customHeight="1"/>
    <row r="6713" ht="15.75" customHeight="1"/>
    <row r="6714" ht="15.75" customHeight="1"/>
    <row r="6715" ht="15.75" customHeight="1"/>
    <row r="6716" ht="15.75" customHeight="1"/>
    <row r="6717" ht="15.75" customHeight="1"/>
    <row r="6718" ht="15.75" customHeight="1"/>
    <row r="6719" ht="15.75" customHeight="1"/>
    <row r="6720" ht="15.75" customHeight="1"/>
    <row r="6721" ht="15.75" customHeight="1"/>
    <row r="6722" ht="15.75" customHeight="1"/>
    <row r="6723" ht="15.75" customHeight="1"/>
    <row r="6724" ht="15.75" customHeight="1"/>
    <row r="6725" ht="15.75" customHeight="1"/>
    <row r="6726" ht="15.75" customHeight="1"/>
    <row r="6727" ht="15.75" customHeight="1"/>
    <row r="6728" ht="15.75" customHeight="1"/>
    <row r="6729" ht="15.75" customHeight="1"/>
    <row r="6730" ht="15.75" customHeight="1"/>
    <row r="6731" ht="15.75" customHeight="1"/>
    <row r="6732" ht="15.75" customHeight="1"/>
    <row r="6733" ht="15.75" customHeight="1"/>
    <row r="6734" ht="15.75" customHeight="1"/>
    <row r="6735" ht="15.75" customHeight="1"/>
    <row r="6736" ht="15.75" customHeight="1"/>
    <row r="6737" ht="15.75" customHeight="1"/>
    <row r="6738" ht="15.75" customHeight="1"/>
    <row r="6739" ht="15.75" customHeight="1"/>
    <row r="6740" ht="15.75" customHeight="1"/>
    <row r="6741" ht="15.75" customHeight="1"/>
    <row r="6742" ht="15.75" customHeight="1"/>
    <row r="6743" ht="15.75" customHeight="1"/>
    <row r="6744" ht="15.75" customHeight="1"/>
    <row r="6745" ht="15.75" customHeight="1"/>
    <row r="6746" ht="15.75" customHeight="1"/>
    <row r="6747" ht="15.75" customHeight="1"/>
    <row r="6748" ht="15.75" customHeight="1"/>
    <row r="6749" ht="15.75" customHeight="1"/>
    <row r="6750" ht="15.75" customHeight="1"/>
    <row r="6751" ht="15.75" customHeight="1"/>
    <row r="6752" ht="15.75" customHeight="1"/>
    <row r="6753" ht="15.75" customHeight="1"/>
    <row r="6754" ht="15.75" customHeight="1"/>
    <row r="6755" ht="15.75" customHeight="1"/>
    <row r="6756" ht="15.75" customHeight="1"/>
    <row r="6757" ht="15.75" customHeight="1"/>
    <row r="6758" ht="15.75" customHeight="1"/>
    <row r="6759" ht="15.75" customHeight="1"/>
    <row r="6760" ht="15.75" customHeight="1"/>
    <row r="6761" ht="15.75" customHeight="1"/>
    <row r="6762" ht="15.75" customHeight="1"/>
    <row r="6763" ht="15.75" customHeight="1"/>
    <row r="6764" ht="15.75" customHeight="1"/>
    <row r="6765" ht="15.75" customHeight="1"/>
    <row r="6766" ht="15.75" customHeight="1"/>
    <row r="6767" ht="15.75" customHeight="1"/>
    <row r="6768" ht="15.75" customHeight="1"/>
    <row r="6769" ht="15.75" customHeight="1"/>
    <row r="6770" ht="15.75" customHeight="1"/>
    <row r="6771" ht="15.75" customHeight="1"/>
    <row r="6772" ht="15.75" customHeight="1"/>
    <row r="6773" ht="15.75" customHeight="1"/>
    <row r="6774" ht="15.75" customHeight="1"/>
    <row r="6775" ht="15.75" customHeight="1"/>
    <row r="6776" ht="15.75" customHeight="1"/>
    <row r="6777" ht="15.75" customHeight="1"/>
    <row r="6778" ht="15.75" customHeight="1"/>
    <row r="6779" ht="15.75" customHeight="1"/>
    <row r="6780" ht="15.75" customHeight="1"/>
    <row r="6781" ht="15.75" customHeight="1"/>
    <row r="6782" ht="15.75" customHeight="1"/>
    <row r="6783" ht="15.75" customHeight="1"/>
    <row r="6784" ht="15.75" customHeight="1"/>
    <row r="6785" ht="15.75" customHeight="1"/>
    <row r="6786" ht="15.75" customHeight="1"/>
    <row r="6787" ht="15.75" customHeight="1"/>
    <row r="6788" ht="15.75" customHeight="1"/>
    <row r="6789" ht="15.75" customHeight="1"/>
    <row r="6790" ht="15.75" customHeight="1"/>
    <row r="6791" ht="15.75" customHeight="1"/>
    <row r="6792" ht="15.75" customHeight="1"/>
    <row r="6793" ht="15.75" customHeight="1"/>
    <row r="6794" ht="15.75" customHeight="1"/>
    <row r="6795" ht="15.75" customHeight="1"/>
    <row r="6796" ht="15.75" customHeight="1"/>
    <row r="6797" ht="15.75" customHeight="1"/>
    <row r="6798" ht="15.75" customHeight="1"/>
    <row r="6799" ht="15.75" customHeight="1"/>
    <row r="6800" ht="15.75" customHeight="1"/>
    <row r="6801" ht="15.75" customHeight="1"/>
    <row r="6802" ht="15.75" customHeight="1"/>
    <row r="6803" ht="15.75" customHeight="1"/>
    <row r="6804" ht="15.75" customHeight="1"/>
    <row r="6805" ht="15.75" customHeight="1"/>
    <row r="6806" ht="15.75" customHeight="1"/>
    <row r="6807" ht="15.75" customHeight="1"/>
    <row r="6808" ht="15.75" customHeight="1"/>
    <row r="6809" ht="15.75" customHeight="1"/>
    <row r="6810" ht="15.75" customHeight="1"/>
    <row r="6811" ht="15.75" customHeight="1"/>
    <row r="6812" ht="15.75" customHeight="1"/>
    <row r="6813" ht="15.75" customHeight="1"/>
    <row r="6814" ht="15.75" customHeight="1"/>
    <row r="6815" ht="15.75" customHeight="1"/>
    <row r="6816" ht="15.75" customHeight="1"/>
    <row r="6817" ht="15.75" customHeight="1"/>
    <row r="6818" ht="15.75" customHeight="1"/>
    <row r="6819" ht="15.75" customHeight="1"/>
    <row r="6820" ht="15.75" customHeight="1"/>
    <row r="6821" ht="15.75" customHeight="1"/>
    <row r="6822" ht="15.75" customHeight="1"/>
    <row r="6823" ht="15.75" customHeight="1"/>
    <row r="6824" ht="15.75" customHeight="1"/>
    <row r="6825" ht="15.75" customHeight="1"/>
    <row r="6826" ht="15.75" customHeight="1"/>
    <row r="6827" ht="15.75" customHeight="1"/>
    <row r="6828" ht="15.75" customHeight="1"/>
    <row r="6829" ht="15.75" customHeight="1"/>
    <row r="6830" ht="15.75" customHeight="1"/>
    <row r="6831" ht="15.75" customHeight="1"/>
    <row r="6832" ht="15.75" customHeight="1"/>
    <row r="6833" ht="15.75" customHeight="1"/>
    <row r="6834" ht="15.75" customHeight="1"/>
    <row r="6835" ht="15.75" customHeight="1"/>
    <row r="6836" ht="15.75" customHeight="1"/>
    <row r="6837" ht="15.75" customHeight="1"/>
    <row r="6838" ht="15.75" customHeight="1"/>
    <row r="6839" ht="15.75" customHeight="1"/>
    <row r="6840" ht="15.75" customHeight="1"/>
    <row r="6841" ht="15.75" customHeight="1"/>
    <row r="6842" ht="15.75" customHeight="1"/>
    <row r="6843" ht="15.75" customHeight="1"/>
    <row r="6844" ht="15.75" customHeight="1"/>
    <row r="6845" ht="15.75" customHeight="1"/>
    <row r="6846" ht="15.75" customHeight="1"/>
    <row r="6847" ht="15.75" customHeight="1"/>
    <row r="6848" ht="15.75" customHeight="1"/>
    <row r="6849" ht="15.75" customHeight="1"/>
    <row r="6850" ht="15.75" customHeight="1"/>
    <row r="6851" ht="15.75" customHeight="1"/>
    <row r="6852" ht="15.75" customHeight="1"/>
    <row r="6853" ht="15.75" customHeight="1"/>
    <row r="6854" ht="15.75" customHeight="1"/>
    <row r="6855" ht="15.75" customHeight="1"/>
    <row r="6856" ht="15.75" customHeight="1"/>
    <row r="6857" ht="15.75" customHeight="1"/>
    <row r="6858" ht="15.75" customHeight="1"/>
    <row r="6859" ht="15.75" customHeight="1"/>
    <row r="6860" ht="15.75" customHeight="1"/>
    <row r="6861" ht="15.75" customHeight="1"/>
    <row r="6862" ht="15.75" customHeight="1"/>
    <row r="6863" ht="15.75" customHeight="1"/>
    <row r="6864" ht="15.75" customHeight="1"/>
    <row r="6865" ht="15.75" customHeight="1"/>
    <row r="6866" ht="15.75" customHeight="1"/>
    <row r="6867" ht="15.75" customHeight="1"/>
    <row r="6868" ht="15.75" customHeight="1"/>
    <row r="6869" ht="15.75" customHeight="1"/>
    <row r="6870" ht="15.75" customHeight="1"/>
    <row r="6871" ht="15.75" customHeight="1"/>
    <row r="6872" ht="15.75" customHeight="1"/>
    <row r="6873" ht="15.75" customHeight="1"/>
    <row r="6874" ht="15.75" customHeight="1"/>
    <row r="6875" ht="15.75" customHeight="1"/>
    <row r="6876" ht="15.75" customHeight="1"/>
    <row r="6877" ht="15.75" customHeight="1"/>
    <row r="6878" ht="15.75" customHeight="1"/>
    <row r="6879" ht="15.75" customHeight="1"/>
    <row r="6880" ht="15.75" customHeight="1"/>
    <row r="6881" ht="15.75" customHeight="1"/>
    <row r="6882" ht="15.75" customHeight="1"/>
    <row r="6883" ht="15.75" customHeight="1"/>
    <row r="6884" ht="15.75" customHeight="1"/>
    <row r="6885" ht="15.75" customHeight="1"/>
    <row r="6886" ht="15.75" customHeight="1"/>
    <row r="6887" ht="15.75" customHeight="1"/>
    <row r="6888" ht="15.75" customHeight="1"/>
    <row r="6889" ht="15.75" customHeight="1"/>
    <row r="6890" ht="15.75" customHeight="1"/>
    <row r="6891" ht="15.75" customHeight="1"/>
    <row r="6892" ht="15.75" customHeight="1"/>
    <row r="6893" ht="15.75" customHeight="1"/>
    <row r="6894" ht="15.75" customHeight="1"/>
    <row r="6895" ht="15.75" customHeight="1"/>
    <row r="6896" ht="15.75" customHeight="1"/>
    <row r="6897" ht="15.75" customHeight="1"/>
    <row r="6898" ht="15.75" customHeight="1"/>
    <row r="6899" ht="15.75" customHeight="1"/>
    <row r="6900" ht="15.75" customHeight="1"/>
    <row r="6901" ht="15.75" customHeight="1"/>
    <row r="6902" ht="15.75" customHeight="1"/>
    <row r="6903" ht="15.75" customHeight="1"/>
    <row r="6904" ht="15.75" customHeight="1"/>
    <row r="6905" ht="15.75" customHeight="1"/>
    <row r="6906" ht="15.75" customHeight="1"/>
    <row r="6907" ht="15.75" customHeight="1"/>
    <row r="6908" ht="15.75" customHeight="1"/>
    <row r="6909" ht="15.75" customHeight="1"/>
    <row r="6910" ht="15.75" customHeight="1"/>
    <row r="6911" ht="15.75" customHeight="1"/>
    <row r="6912" ht="15.75" customHeight="1"/>
    <row r="6913" ht="15.75" customHeight="1"/>
    <row r="6914" ht="15.75" customHeight="1"/>
    <row r="6915" ht="15.75" customHeight="1"/>
    <row r="6916" ht="15.75" customHeight="1"/>
    <row r="6917" ht="15.75" customHeight="1"/>
    <row r="6918" ht="15.75" customHeight="1"/>
    <row r="6919" ht="15.75" customHeight="1"/>
    <row r="6920" ht="15.75" customHeight="1"/>
    <row r="6921" ht="15.75" customHeight="1"/>
    <row r="6922" ht="15.75" customHeight="1"/>
    <row r="6923" ht="15.75" customHeight="1"/>
    <row r="6924" ht="15.75" customHeight="1"/>
    <row r="6925" ht="15.75" customHeight="1"/>
    <row r="6926" ht="15.75" customHeight="1"/>
    <row r="6927" ht="15.75" customHeight="1"/>
    <row r="6928" ht="15.75" customHeight="1"/>
    <row r="6929" ht="15.75" customHeight="1"/>
    <row r="6930" ht="15.75" customHeight="1"/>
    <row r="6931" ht="15.75" customHeight="1"/>
    <row r="6932" ht="15.75" customHeight="1"/>
    <row r="6933" ht="15.75" customHeight="1"/>
    <row r="6934" ht="15.75" customHeight="1"/>
    <row r="6935" ht="15.75" customHeight="1"/>
    <row r="6936" ht="15.75" customHeight="1"/>
    <row r="6937" ht="15.75" customHeight="1"/>
    <row r="6938" ht="15.75" customHeight="1"/>
    <row r="6939" ht="15.75" customHeight="1"/>
    <row r="6940" ht="15.75" customHeight="1"/>
    <row r="6941" ht="15.75" customHeight="1"/>
    <row r="6942" ht="15.75" customHeight="1"/>
    <row r="6943" ht="15.75" customHeight="1"/>
    <row r="6944" ht="15.75" customHeight="1"/>
    <row r="6945" ht="15.75" customHeight="1"/>
    <row r="6946" ht="15.75" customHeight="1"/>
    <row r="6947" ht="15.75" customHeight="1"/>
    <row r="6948" ht="15.75" customHeight="1"/>
    <row r="6949" ht="15.75" customHeight="1"/>
    <row r="6950" ht="15.75" customHeight="1"/>
    <row r="6951" ht="15.75" customHeight="1"/>
    <row r="6952" ht="15.75" customHeight="1"/>
    <row r="6953" ht="15.75" customHeight="1"/>
    <row r="6954" ht="15.75" customHeight="1"/>
    <row r="6955" ht="15.75" customHeight="1"/>
    <row r="6956" ht="15.75" customHeight="1"/>
    <row r="6957" ht="15.75" customHeight="1"/>
    <row r="6958" ht="15.75" customHeight="1"/>
    <row r="6959" ht="15.75" customHeight="1"/>
    <row r="6960" ht="15.75" customHeight="1"/>
    <row r="6961" ht="15.75" customHeight="1"/>
    <row r="6962" ht="15.75" customHeight="1"/>
    <row r="6963" ht="15.75" customHeight="1"/>
    <row r="6964" ht="15.75" customHeight="1"/>
    <row r="6965" ht="15.75" customHeight="1"/>
    <row r="6966" ht="15.75" customHeight="1"/>
    <row r="6967" ht="15.75" customHeight="1"/>
    <row r="6968" ht="15.75" customHeight="1"/>
    <row r="6969" ht="15.75" customHeight="1"/>
    <row r="6970" ht="15.75" customHeight="1"/>
    <row r="6971" ht="15.75" customHeight="1"/>
    <row r="6972" ht="15.75" customHeight="1"/>
    <row r="6973" ht="15.75" customHeight="1"/>
    <row r="6974" ht="15.75" customHeight="1"/>
    <row r="6975" ht="15.75" customHeight="1"/>
    <row r="6976" ht="15.75" customHeight="1"/>
    <row r="6977" ht="15.75" customHeight="1"/>
    <row r="6978" ht="15.75" customHeight="1"/>
    <row r="6979" ht="15.75" customHeight="1"/>
    <row r="6980" ht="15.75" customHeight="1"/>
    <row r="6981" ht="15.75" customHeight="1"/>
    <row r="6982" ht="15.75" customHeight="1"/>
    <row r="6983" ht="15.75" customHeight="1"/>
    <row r="6984" ht="15.75" customHeight="1"/>
    <row r="6985" ht="15.75" customHeight="1"/>
    <row r="6986" ht="15.75" customHeight="1"/>
    <row r="6987" ht="15.75" customHeight="1"/>
    <row r="6988" ht="15.75" customHeight="1"/>
    <row r="6989" ht="15.75" customHeight="1"/>
    <row r="6990" ht="15.75" customHeight="1"/>
    <row r="6991" ht="15.75" customHeight="1"/>
    <row r="6992" ht="15.75" customHeight="1"/>
    <row r="6993" ht="15.75" customHeight="1"/>
    <row r="6994" ht="15.75" customHeight="1"/>
    <row r="6995" ht="15.75" customHeight="1"/>
    <row r="6996" ht="15.75" customHeight="1"/>
    <row r="6997" ht="15.75" customHeight="1"/>
    <row r="6998" ht="15.75" customHeight="1"/>
    <row r="6999" ht="15.75" customHeight="1"/>
    <row r="7000" ht="15.75" customHeight="1"/>
    <row r="7001" ht="15.75" customHeight="1"/>
    <row r="7002" ht="15.75" customHeight="1"/>
    <row r="7003" ht="15.75" customHeight="1"/>
    <row r="7004" ht="15.75" customHeight="1"/>
    <row r="7005" ht="15.75" customHeight="1"/>
    <row r="7006" ht="15.75" customHeight="1"/>
    <row r="7007" ht="15.75" customHeight="1"/>
    <row r="7008" ht="15.75" customHeight="1"/>
    <row r="7009" ht="15.75" customHeight="1"/>
    <row r="7010" ht="15.75" customHeight="1"/>
    <row r="7011" ht="15.75" customHeight="1"/>
    <row r="7012" ht="15.75" customHeight="1"/>
    <row r="7013" ht="15.75" customHeight="1"/>
    <row r="7014" ht="15.75" customHeight="1"/>
    <row r="7015" ht="15.75" customHeight="1"/>
    <row r="7016" ht="15.75" customHeight="1"/>
    <row r="7017" ht="15.75" customHeight="1"/>
    <row r="7018" ht="15.75" customHeight="1"/>
    <row r="7019" ht="15.75" customHeight="1"/>
    <row r="7020" ht="15.75" customHeight="1"/>
    <row r="7021" ht="15.75" customHeight="1"/>
    <row r="7022" ht="15.75" customHeight="1"/>
    <row r="7023" ht="15.75" customHeight="1"/>
    <row r="7024" ht="15.75" customHeight="1"/>
    <row r="7025" ht="15.75" customHeight="1"/>
    <row r="7026" ht="15.75" customHeight="1"/>
    <row r="7027" ht="15.75" customHeight="1"/>
    <row r="7028" ht="15.75" customHeight="1"/>
    <row r="7029" ht="15.75" customHeight="1"/>
    <row r="7030" ht="15.75" customHeight="1"/>
    <row r="7031" ht="15.75" customHeight="1"/>
    <row r="7032" ht="15.75" customHeight="1"/>
    <row r="7033" ht="15.75" customHeight="1"/>
    <row r="7034" ht="15.75" customHeight="1"/>
    <row r="7035" ht="15.75" customHeight="1"/>
    <row r="7036" ht="15.75" customHeight="1"/>
    <row r="7037" ht="15.75" customHeight="1"/>
    <row r="7038" ht="15.75" customHeight="1"/>
    <row r="7039" ht="15.75" customHeight="1"/>
    <row r="7040" ht="15.75" customHeight="1"/>
    <row r="7041" ht="15.75" customHeight="1"/>
    <row r="7042" ht="15.75" customHeight="1"/>
    <row r="7043" ht="15.75" customHeight="1"/>
    <row r="7044" ht="15.75" customHeight="1"/>
    <row r="7045" ht="15.75" customHeight="1"/>
    <row r="7046" ht="15.75" customHeight="1"/>
    <row r="7047" ht="15.75" customHeight="1"/>
    <row r="7048" ht="15.75" customHeight="1"/>
    <row r="7049" ht="15.75" customHeight="1"/>
    <row r="7050" ht="15.75" customHeight="1"/>
    <row r="7051" ht="15.75" customHeight="1"/>
    <row r="7052" ht="15.75" customHeight="1"/>
    <row r="7053" ht="15.75" customHeight="1"/>
    <row r="7054" ht="15.75" customHeight="1"/>
    <row r="7055" ht="15.75" customHeight="1"/>
    <row r="7056" ht="15.75" customHeight="1"/>
    <row r="7057" ht="15.75" customHeight="1"/>
    <row r="7058" ht="15.75" customHeight="1"/>
    <row r="7059" ht="15.75" customHeight="1"/>
    <row r="7060" ht="15.75" customHeight="1"/>
    <row r="7061" ht="15.75" customHeight="1"/>
    <row r="7062" ht="15.75" customHeight="1"/>
    <row r="7063" ht="15.75" customHeight="1"/>
    <row r="7064" ht="15.75" customHeight="1"/>
    <row r="7065" ht="15.75" customHeight="1"/>
    <row r="7066" ht="15.75" customHeight="1"/>
    <row r="7067" ht="15.75" customHeight="1"/>
    <row r="7068" ht="15.75" customHeight="1"/>
    <row r="7069" ht="15.75" customHeight="1"/>
    <row r="7070" ht="15.75" customHeight="1"/>
    <row r="7071" ht="15.75" customHeight="1"/>
    <row r="7072" ht="15.75" customHeight="1"/>
    <row r="7073" ht="15.75" customHeight="1"/>
    <row r="7074" ht="15.75" customHeight="1"/>
    <row r="7075" ht="15.75" customHeight="1"/>
    <row r="7076" ht="15.75" customHeight="1"/>
    <row r="7077" ht="15.75" customHeight="1"/>
    <row r="7078" ht="15.75" customHeight="1"/>
    <row r="7079" ht="15.75" customHeight="1"/>
    <row r="7080" ht="15.75" customHeight="1"/>
    <row r="7081" ht="15.75" customHeight="1"/>
    <row r="7082" ht="15.75" customHeight="1"/>
    <row r="7083" ht="15.75" customHeight="1"/>
    <row r="7084" ht="15.75" customHeight="1"/>
    <row r="7085" ht="15.75" customHeight="1"/>
    <row r="7086" ht="15.75" customHeight="1"/>
    <row r="7087" ht="15.75" customHeight="1"/>
    <row r="7088" ht="15.75" customHeight="1"/>
    <row r="7089" ht="15.75" customHeight="1"/>
    <row r="7090" ht="15.75" customHeight="1"/>
    <row r="7091" ht="15.75" customHeight="1"/>
    <row r="7092" ht="15.75" customHeight="1"/>
    <row r="7093" ht="15.75" customHeight="1"/>
    <row r="7094" ht="15.75" customHeight="1"/>
    <row r="7095" ht="15.75" customHeight="1"/>
    <row r="7096" ht="15.75" customHeight="1"/>
    <row r="7097" ht="15.75" customHeight="1"/>
    <row r="7098" ht="15.75" customHeight="1"/>
    <row r="7099" ht="15.75" customHeight="1"/>
    <row r="7100" ht="15.75" customHeight="1"/>
    <row r="7101" ht="15.75" customHeight="1"/>
    <row r="7102" ht="15.75" customHeight="1"/>
    <row r="7103" ht="15.75" customHeight="1"/>
    <row r="7104" ht="15.75" customHeight="1"/>
    <row r="7105" ht="15.75" customHeight="1"/>
    <row r="7106" ht="15.75" customHeight="1"/>
    <row r="7107" ht="15.75" customHeight="1"/>
    <row r="7108" ht="15.75" customHeight="1"/>
    <row r="7109" ht="15.75" customHeight="1"/>
    <row r="7110" ht="15.75" customHeight="1"/>
    <row r="7111" ht="15.75" customHeight="1"/>
    <row r="7112" ht="15.75" customHeight="1"/>
    <row r="7113" ht="15.75" customHeight="1"/>
    <row r="7114" ht="15.75" customHeight="1"/>
    <row r="7115" ht="15.75" customHeight="1"/>
    <row r="7116" ht="15.75" customHeight="1"/>
    <row r="7117" ht="15.75" customHeight="1"/>
    <row r="7118" ht="15.75" customHeight="1"/>
    <row r="7119" ht="15.75" customHeight="1"/>
    <row r="7120" ht="15.75" customHeight="1"/>
    <row r="7121" ht="15.75" customHeight="1"/>
    <row r="7122" ht="15.75" customHeight="1"/>
    <row r="7123" ht="15.75" customHeight="1"/>
    <row r="7124" ht="15.75" customHeight="1"/>
    <row r="7125" ht="15.75" customHeight="1"/>
    <row r="7126" ht="15.75" customHeight="1"/>
    <row r="7127" ht="15.75" customHeight="1"/>
    <row r="7128" ht="15.75" customHeight="1"/>
    <row r="7129" ht="15.75" customHeight="1"/>
    <row r="7130" ht="15.75" customHeight="1"/>
    <row r="7131" ht="15.75" customHeight="1"/>
    <row r="7132" ht="15.75" customHeight="1"/>
    <row r="7133" ht="15.75" customHeight="1"/>
    <row r="7134" ht="15.75" customHeight="1"/>
    <row r="7135" ht="15.75" customHeight="1"/>
    <row r="7136" ht="15.75" customHeight="1"/>
    <row r="7137" ht="15.75" customHeight="1"/>
    <row r="7138" ht="15.75" customHeight="1"/>
    <row r="7139" ht="15.75" customHeight="1"/>
    <row r="7140" ht="15.75" customHeight="1"/>
    <row r="7141" ht="15.75" customHeight="1"/>
    <row r="7142" ht="15.75" customHeight="1"/>
    <row r="7143" ht="15.75" customHeight="1"/>
    <row r="7144" ht="15.75" customHeight="1"/>
    <row r="7145" ht="15.75" customHeight="1"/>
    <row r="7146" ht="15.75" customHeight="1"/>
    <row r="7147" ht="15.75" customHeight="1"/>
    <row r="7148" ht="15.75" customHeight="1"/>
    <row r="7149" ht="15.75" customHeight="1"/>
    <row r="7150" ht="15.75" customHeight="1"/>
    <row r="7151" ht="15.75" customHeight="1"/>
    <row r="7152" ht="15.75" customHeight="1"/>
    <row r="7153" ht="15.75" customHeight="1"/>
    <row r="7154" ht="15.75" customHeight="1"/>
    <row r="7155" ht="15.75" customHeight="1"/>
    <row r="7156" ht="15.75" customHeight="1"/>
    <row r="7157" ht="15.75" customHeight="1"/>
    <row r="7158" ht="15.75" customHeight="1"/>
    <row r="7159" ht="15.75" customHeight="1"/>
    <row r="7160" ht="15.75" customHeight="1"/>
    <row r="7161" ht="15.75" customHeight="1"/>
    <row r="7162" ht="15.75" customHeight="1"/>
    <row r="7163" ht="15.75" customHeight="1"/>
    <row r="7164" ht="15.75" customHeight="1"/>
    <row r="7165" ht="15.75" customHeight="1"/>
    <row r="7166" ht="15.75" customHeight="1"/>
    <row r="7167" ht="15.75" customHeight="1"/>
    <row r="7168" ht="15.75" customHeight="1"/>
    <row r="7169" ht="15.75" customHeight="1"/>
    <row r="7170" ht="15.75" customHeight="1"/>
    <row r="7171" ht="15.75" customHeight="1"/>
    <row r="7172" ht="15.75" customHeight="1"/>
    <row r="7173" ht="15.75" customHeight="1"/>
    <row r="7174" ht="15.75" customHeight="1"/>
    <row r="7175" ht="15.75" customHeight="1"/>
    <row r="7176" ht="15.75" customHeight="1"/>
    <row r="7177" ht="15.75" customHeight="1"/>
    <row r="7178" ht="15.75" customHeight="1"/>
    <row r="7179" ht="15.75" customHeight="1"/>
    <row r="7180" ht="15.75" customHeight="1"/>
    <row r="7181" ht="15.75" customHeight="1"/>
    <row r="7182" ht="15.75" customHeight="1"/>
    <row r="7183" ht="15.75" customHeight="1"/>
    <row r="7184" ht="15.75" customHeight="1"/>
    <row r="7185" ht="15.75" customHeight="1"/>
    <row r="7186" ht="15.75" customHeight="1"/>
    <row r="7187" ht="15.75" customHeight="1"/>
    <row r="7188" ht="15.75" customHeight="1"/>
    <row r="7189" ht="15.75" customHeight="1"/>
    <row r="7190" ht="15.75" customHeight="1"/>
    <row r="7191" ht="15.75" customHeight="1"/>
    <row r="7192" ht="15.75" customHeight="1"/>
    <row r="7193" ht="15.75" customHeight="1"/>
    <row r="7194" ht="15.75" customHeight="1"/>
    <row r="7195" ht="15.75" customHeight="1"/>
    <row r="7196" ht="15.75" customHeight="1"/>
    <row r="7197" ht="15.75" customHeight="1"/>
    <row r="7198" ht="15.75" customHeight="1"/>
    <row r="7199" ht="15.75" customHeight="1"/>
    <row r="7200" ht="15.75" customHeight="1"/>
    <row r="7201" ht="15.75" customHeight="1"/>
    <row r="7202" ht="15.75" customHeight="1"/>
    <row r="7203" ht="15.75" customHeight="1"/>
    <row r="7204" ht="15.75" customHeight="1"/>
    <row r="7205" ht="15.75" customHeight="1"/>
    <row r="7206" ht="15.75" customHeight="1"/>
    <row r="7207" ht="15.75" customHeight="1"/>
    <row r="7208" ht="15.75" customHeight="1"/>
    <row r="7209" ht="15.75" customHeight="1"/>
    <row r="7210" ht="15.75" customHeight="1"/>
    <row r="7211" ht="15.75" customHeight="1"/>
    <row r="7212" ht="15.75" customHeight="1"/>
    <row r="7213" ht="15.75" customHeight="1"/>
    <row r="7214" ht="15.75" customHeight="1"/>
    <row r="7215" ht="15.75" customHeight="1"/>
    <row r="7216" ht="15.75" customHeight="1"/>
    <row r="7217" ht="15.75" customHeight="1"/>
    <row r="7218" ht="15.75" customHeight="1"/>
    <row r="7219" ht="15.75" customHeight="1"/>
    <row r="7220" ht="15.75" customHeight="1"/>
    <row r="7221" ht="15.75" customHeight="1"/>
    <row r="7222" ht="15.75" customHeight="1"/>
    <row r="7223" ht="15.75" customHeight="1"/>
    <row r="7224" ht="15.75" customHeight="1"/>
    <row r="7225" ht="15.75" customHeight="1"/>
    <row r="7226" ht="15.75" customHeight="1"/>
    <row r="7227" ht="15.75" customHeight="1"/>
    <row r="7228" ht="15.75" customHeight="1"/>
    <row r="7229" ht="15.75" customHeight="1"/>
    <row r="7230" ht="15.75" customHeight="1"/>
    <row r="7231" ht="15.75" customHeight="1"/>
    <row r="7232" ht="15.75" customHeight="1"/>
    <row r="7233" ht="15.75" customHeight="1"/>
    <row r="7234" ht="15.75" customHeight="1"/>
    <row r="7235" ht="15.75" customHeight="1"/>
    <row r="7236" ht="15.75" customHeight="1"/>
    <row r="7237" ht="15.75" customHeight="1"/>
    <row r="7238" ht="15.75" customHeight="1"/>
    <row r="7239" ht="15.75" customHeight="1"/>
    <row r="7240" ht="15.75" customHeight="1"/>
    <row r="7241" ht="15.75" customHeight="1"/>
    <row r="7242" ht="15.75" customHeight="1"/>
    <row r="7243" ht="15.75" customHeight="1"/>
    <row r="7244" ht="15.75" customHeight="1"/>
    <row r="7245" ht="15.75" customHeight="1"/>
    <row r="7246" ht="15.75" customHeight="1"/>
    <row r="7247" ht="15.75" customHeight="1"/>
    <row r="7248" ht="15.75" customHeight="1"/>
    <row r="7249" ht="15.75" customHeight="1"/>
    <row r="7250" ht="15.75" customHeight="1"/>
    <row r="7251" ht="15.75" customHeight="1"/>
    <row r="7252" ht="15.75" customHeight="1"/>
    <row r="7253" ht="15.75" customHeight="1"/>
    <row r="7254" ht="15.75" customHeight="1"/>
    <row r="7255" ht="15.75" customHeight="1"/>
    <row r="7256" ht="15.75" customHeight="1"/>
    <row r="7257" ht="15.75" customHeight="1"/>
    <row r="7258" ht="15.75" customHeight="1"/>
    <row r="7259" ht="15.75" customHeight="1"/>
    <row r="7260" ht="15.75" customHeight="1"/>
    <row r="7261" ht="15.75" customHeight="1"/>
    <row r="7262" ht="15.75" customHeight="1"/>
    <row r="7263" ht="15.75" customHeight="1"/>
    <row r="7264" ht="15.75" customHeight="1"/>
    <row r="7265" ht="15.75" customHeight="1"/>
    <row r="7266" ht="15.75" customHeight="1"/>
    <row r="7267" ht="15.75" customHeight="1"/>
    <row r="7268" ht="15.75" customHeight="1"/>
    <row r="7269" ht="15.75" customHeight="1"/>
    <row r="7270" ht="15.75" customHeight="1"/>
    <row r="7271" ht="15.75" customHeight="1"/>
    <row r="7272" ht="15.75" customHeight="1"/>
    <row r="7273" ht="15.75" customHeight="1"/>
    <row r="7274" ht="15.75" customHeight="1"/>
    <row r="7275" ht="15.75" customHeight="1"/>
    <row r="7276" ht="15.75" customHeight="1"/>
    <row r="7277" ht="15.75" customHeight="1"/>
    <row r="7278" ht="15.75" customHeight="1"/>
    <row r="7279" ht="15.75" customHeight="1"/>
    <row r="7280" ht="15.75" customHeight="1"/>
    <row r="7281" ht="15.75" customHeight="1"/>
    <row r="7282" ht="15.75" customHeight="1"/>
    <row r="7283" ht="15.75" customHeight="1"/>
    <row r="7284" ht="15.75" customHeight="1"/>
    <row r="7285" ht="15.75" customHeight="1"/>
    <row r="7286" ht="15.75" customHeight="1"/>
    <row r="7287" ht="15.75" customHeight="1"/>
    <row r="7288" ht="15.75" customHeight="1"/>
    <row r="7289" ht="15.75" customHeight="1"/>
    <row r="7290" ht="15.75" customHeight="1"/>
    <row r="7291" ht="15.75" customHeight="1"/>
    <row r="7292" ht="15.75" customHeight="1"/>
    <row r="7293" ht="15.75" customHeight="1"/>
    <row r="7294" ht="15.75" customHeight="1"/>
    <row r="7295" ht="15.75" customHeight="1"/>
    <row r="7296" ht="15.75" customHeight="1"/>
    <row r="7297" ht="15.75" customHeight="1"/>
    <row r="7298" ht="15.75" customHeight="1"/>
    <row r="7299" ht="15.75" customHeight="1"/>
    <row r="7300" ht="15.75" customHeight="1"/>
    <row r="7301" ht="15.75" customHeight="1"/>
    <row r="7302" ht="15.75" customHeight="1"/>
    <row r="7303" ht="15.75" customHeight="1"/>
    <row r="7304" ht="15.75" customHeight="1"/>
    <row r="7305" ht="15.75" customHeight="1"/>
    <row r="7306" ht="15.75" customHeight="1"/>
    <row r="7307" ht="15.75" customHeight="1"/>
    <row r="7308" ht="15.75" customHeight="1"/>
    <row r="7309" ht="15.75" customHeight="1"/>
    <row r="7310" ht="15.75" customHeight="1"/>
    <row r="7311" ht="15.75" customHeight="1"/>
    <row r="7312" ht="15.75" customHeight="1"/>
    <row r="7313" ht="15.75" customHeight="1"/>
    <row r="7314" ht="15.75" customHeight="1"/>
    <row r="7315" ht="15.75" customHeight="1"/>
    <row r="7316" ht="15.75" customHeight="1"/>
    <row r="7317" ht="15.75" customHeight="1"/>
    <row r="7318" ht="15.75" customHeight="1"/>
    <row r="7319" ht="15.75" customHeight="1"/>
    <row r="7320" ht="15.75" customHeight="1"/>
    <row r="7321" ht="15.75" customHeight="1"/>
    <row r="7322" ht="15.75" customHeight="1"/>
    <row r="7323" ht="15.75" customHeight="1"/>
    <row r="7324" ht="15.75" customHeight="1"/>
    <row r="7325" ht="15.75" customHeight="1"/>
    <row r="7326" ht="15.75" customHeight="1"/>
    <row r="7327" ht="15.75" customHeight="1"/>
    <row r="7328" ht="15.75" customHeight="1"/>
    <row r="7329" ht="15.75" customHeight="1"/>
    <row r="7330" ht="15.75" customHeight="1"/>
    <row r="7331" ht="15.75" customHeight="1"/>
    <row r="7332" ht="15.75" customHeight="1"/>
    <row r="7333" ht="15.75" customHeight="1"/>
    <row r="7334" ht="15.75" customHeight="1"/>
    <row r="7335" ht="15.75" customHeight="1"/>
    <row r="7336" ht="15.75" customHeight="1"/>
    <row r="7337" ht="15.75" customHeight="1"/>
    <row r="7338" ht="15.75" customHeight="1"/>
    <row r="7339" ht="15.75" customHeight="1"/>
    <row r="7340" ht="15.75" customHeight="1"/>
    <row r="7341" ht="15.75" customHeight="1"/>
    <row r="7342" ht="15.75" customHeight="1"/>
    <row r="7343" ht="15.75" customHeight="1"/>
    <row r="7344" ht="15.75" customHeight="1"/>
    <row r="7345" ht="15.75" customHeight="1"/>
    <row r="7346" ht="15.75" customHeight="1"/>
    <row r="7347" ht="15.75" customHeight="1"/>
    <row r="7348" ht="15.75" customHeight="1"/>
    <row r="7349" ht="15.75" customHeight="1"/>
    <row r="7350" ht="15.75" customHeight="1"/>
    <row r="7351" ht="15.75" customHeight="1"/>
    <row r="7352" ht="15.75" customHeight="1"/>
    <row r="7353" ht="15.75" customHeight="1"/>
    <row r="7354" ht="15.75" customHeight="1"/>
    <row r="7355" ht="15.75" customHeight="1"/>
    <row r="7356" ht="15.75" customHeight="1"/>
    <row r="7357" ht="15.75" customHeight="1"/>
    <row r="7358" ht="15.75" customHeight="1"/>
    <row r="7359" ht="15.75" customHeight="1"/>
    <row r="7360" ht="15.75" customHeight="1"/>
    <row r="7361" ht="15.75" customHeight="1"/>
    <row r="7362" ht="15.75" customHeight="1"/>
    <row r="7363" ht="15.75" customHeight="1"/>
    <row r="7364" ht="15.75" customHeight="1"/>
    <row r="7365" ht="15.75" customHeight="1"/>
    <row r="7366" ht="15.75" customHeight="1"/>
    <row r="7367" ht="15.75" customHeight="1"/>
    <row r="7368" ht="15.75" customHeight="1"/>
    <row r="7369" ht="15.75" customHeight="1"/>
    <row r="7370" ht="15.75" customHeight="1"/>
    <row r="7371" ht="15.75" customHeight="1"/>
    <row r="7372" ht="15.75" customHeight="1"/>
    <row r="7373" ht="15.75" customHeight="1"/>
    <row r="7374" ht="15.75" customHeight="1"/>
    <row r="7375" ht="15.75" customHeight="1"/>
    <row r="7376" ht="15.75" customHeight="1"/>
    <row r="7377" ht="15.75" customHeight="1"/>
    <row r="7378" ht="15.75" customHeight="1"/>
    <row r="7379" ht="15.75" customHeight="1"/>
    <row r="7380" ht="15.75" customHeight="1"/>
    <row r="7381" ht="15.75" customHeight="1"/>
    <row r="7382" ht="15.75" customHeight="1"/>
    <row r="7383" ht="15.75" customHeight="1"/>
    <row r="7384" ht="15.75" customHeight="1"/>
    <row r="7385" ht="15.75" customHeight="1"/>
    <row r="7386" ht="15.75" customHeight="1"/>
    <row r="7387" ht="15.75" customHeight="1"/>
    <row r="7388" ht="15.75" customHeight="1"/>
    <row r="7389" ht="15.75" customHeight="1"/>
    <row r="7390" ht="15.75" customHeight="1"/>
    <row r="7391" ht="15.75" customHeight="1"/>
    <row r="7392" ht="15.75" customHeight="1"/>
    <row r="7393" ht="15.75" customHeight="1"/>
    <row r="7394" ht="15.75" customHeight="1"/>
    <row r="7395" ht="15.75" customHeight="1"/>
    <row r="7396" ht="15.75" customHeight="1"/>
    <row r="7397" ht="15.75" customHeight="1"/>
    <row r="7398" ht="15.75" customHeight="1"/>
    <row r="7399" ht="15.75" customHeight="1"/>
    <row r="7400" ht="15.75" customHeight="1"/>
    <row r="7401" ht="15.75" customHeight="1"/>
    <row r="7402" ht="15.75" customHeight="1"/>
    <row r="7403" ht="15.75" customHeight="1"/>
    <row r="7404" ht="15.75" customHeight="1"/>
    <row r="7405" ht="15.75" customHeight="1"/>
    <row r="7406" ht="15.75" customHeight="1"/>
    <row r="7407" ht="15.75" customHeight="1"/>
    <row r="7408" ht="15.75" customHeight="1"/>
    <row r="7409" ht="15.75" customHeight="1"/>
    <row r="7410" ht="15.75" customHeight="1"/>
    <row r="7411" ht="15.75" customHeight="1"/>
    <row r="7412" ht="15.75" customHeight="1"/>
    <row r="7413" ht="15.75" customHeight="1"/>
    <row r="7414" ht="15.75" customHeight="1"/>
    <row r="7415" ht="15.75" customHeight="1"/>
    <row r="7416" ht="15.75" customHeight="1"/>
    <row r="7417" ht="15.75" customHeight="1"/>
    <row r="7418" ht="15.75" customHeight="1"/>
    <row r="7419" ht="15.75" customHeight="1"/>
    <row r="7420" ht="15.75" customHeight="1"/>
    <row r="7421" ht="15.75" customHeight="1"/>
    <row r="7422" ht="15.75" customHeight="1"/>
    <row r="7423" ht="15.75" customHeight="1"/>
    <row r="7424" ht="15.75" customHeight="1"/>
    <row r="7425" ht="15.75" customHeight="1"/>
    <row r="7426" ht="15.75" customHeight="1"/>
    <row r="7427" ht="15.75" customHeight="1"/>
    <row r="7428" ht="15.75" customHeight="1"/>
    <row r="7429" ht="15.75" customHeight="1"/>
    <row r="7430" ht="15.75" customHeight="1"/>
    <row r="7431" ht="15.75" customHeight="1"/>
    <row r="7432" ht="15.75" customHeight="1"/>
    <row r="7433" ht="15.75" customHeight="1"/>
    <row r="7434" ht="15.75" customHeight="1"/>
    <row r="7435" ht="15.75" customHeight="1"/>
    <row r="7436" ht="15.75" customHeight="1"/>
    <row r="7437" ht="15.75" customHeight="1"/>
    <row r="7438" ht="15.75" customHeight="1"/>
    <row r="7439" ht="15.75" customHeight="1"/>
    <row r="7440" ht="15.75" customHeight="1"/>
    <row r="7441" ht="15.75" customHeight="1"/>
    <row r="7442" ht="15.75" customHeight="1"/>
    <row r="7443" ht="15.75" customHeight="1"/>
    <row r="7444" ht="15.75" customHeight="1"/>
    <row r="7445" ht="15.75" customHeight="1"/>
    <row r="7446" ht="15.75" customHeight="1"/>
    <row r="7447" ht="15.75" customHeight="1"/>
    <row r="7448" ht="15.75" customHeight="1"/>
    <row r="7449" ht="15.75" customHeight="1"/>
    <row r="7450" ht="15.75" customHeight="1"/>
    <row r="7451" ht="15.75" customHeight="1"/>
    <row r="7452" ht="15.75" customHeight="1"/>
    <row r="7453" ht="15.75" customHeight="1"/>
    <row r="7454" ht="15.75" customHeight="1"/>
    <row r="7455" ht="15.75" customHeight="1"/>
    <row r="7456" ht="15.75" customHeight="1"/>
    <row r="7457" ht="15.75" customHeight="1"/>
    <row r="7458" ht="15.75" customHeight="1"/>
    <row r="7459" ht="15.75" customHeight="1"/>
    <row r="7460" ht="15.75" customHeight="1"/>
    <row r="7461" ht="15.75" customHeight="1"/>
    <row r="7462" ht="15.75" customHeight="1"/>
    <row r="7463" ht="15.75" customHeight="1"/>
    <row r="7464" ht="15.75" customHeight="1"/>
    <row r="7465" ht="15.75" customHeight="1"/>
    <row r="7466" ht="15.75" customHeight="1"/>
    <row r="7467" ht="15.75" customHeight="1"/>
    <row r="7468" ht="15.75" customHeight="1"/>
    <row r="7469" ht="15.75" customHeight="1"/>
    <row r="7470" ht="15.75" customHeight="1"/>
    <row r="7471" ht="15.75" customHeight="1"/>
    <row r="7472" ht="15.75" customHeight="1"/>
    <row r="7473" ht="15.75" customHeight="1"/>
    <row r="7474" ht="15.75" customHeight="1"/>
    <row r="7475" ht="15.75" customHeight="1"/>
    <row r="7476" ht="15.75" customHeight="1"/>
    <row r="7477" ht="15.75" customHeight="1"/>
    <row r="7478" ht="15.75" customHeight="1"/>
    <row r="7479" ht="15.75" customHeight="1"/>
    <row r="7480" ht="15.75" customHeight="1"/>
    <row r="7481" ht="15.75" customHeight="1"/>
    <row r="7482" ht="15.75" customHeight="1"/>
    <row r="7483" ht="15.75" customHeight="1"/>
    <row r="7484" ht="15.75" customHeight="1"/>
    <row r="7485" ht="15.75" customHeight="1"/>
    <row r="7486" ht="15.75" customHeight="1"/>
    <row r="7487" ht="15.75" customHeight="1"/>
    <row r="7488" ht="15.75" customHeight="1"/>
    <row r="7489" ht="15.75" customHeight="1"/>
    <row r="7490" ht="15.75" customHeight="1"/>
    <row r="7491" ht="15.75" customHeight="1"/>
    <row r="7492" ht="15.75" customHeight="1"/>
    <row r="7493" ht="15.75" customHeight="1"/>
    <row r="7494" ht="15.75" customHeight="1"/>
    <row r="7495" ht="15.75" customHeight="1"/>
    <row r="7496" ht="15.75" customHeight="1"/>
    <row r="7497" ht="15.75" customHeight="1"/>
    <row r="7498" ht="15.75" customHeight="1"/>
    <row r="7499" ht="15.75" customHeight="1"/>
    <row r="7500" ht="15.75" customHeight="1"/>
    <row r="7501" ht="15.75" customHeight="1"/>
    <row r="7502" ht="15.75" customHeight="1"/>
    <row r="7503" ht="15.75" customHeight="1"/>
    <row r="7504" ht="15.75" customHeight="1"/>
    <row r="7505" ht="15.75" customHeight="1"/>
    <row r="7506" ht="15.75" customHeight="1"/>
    <row r="7507" ht="15.75" customHeight="1"/>
    <row r="7508" ht="15.75" customHeight="1"/>
    <row r="7509" ht="15.75" customHeight="1"/>
    <row r="7510" ht="15.75" customHeight="1"/>
    <row r="7511" ht="15.75" customHeight="1"/>
    <row r="7512" ht="15.75" customHeight="1"/>
    <row r="7513" ht="15.75" customHeight="1"/>
    <row r="7514" ht="15.75" customHeight="1"/>
    <row r="7515" ht="15.75" customHeight="1"/>
    <row r="7516" ht="15.75" customHeight="1"/>
    <row r="7517" ht="15.75" customHeight="1"/>
    <row r="7518" ht="15.75" customHeight="1"/>
    <row r="7519" ht="15.75" customHeight="1"/>
    <row r="7520" ht="15.75" customHeight="1"/>
    <row r="7521" ht="15.75" customHeight="1"/>
    <row r="7522" ht="15.75" customHeight="1"/>
    <row r="7523" ht="15.75" customHeight="1"/>
    <row r="7524" ht="15.75" customHeight="1"/>
    <row r="7525" ht="15.75" customHeight="1"/>
    <row r="7526" ht="15.75" customHeight="1"/>
    <row r="7527" ht="15.75" customHeight="1"/>
    <row r="7528" ht="15.75" customHeight="1"/>
    <row r="7529" ht="15.75" customHeight="1"/>
    <row r="7530" ht="15.75" customHeight="1"/>
    <row r="7531" ht="15.75" customHeight="1"/>
    <row r="7532" ht="15.75" customHeight="1"/>
    <row r="7533" ht="15.75" customHeight="1"/>
    <row r="7534" ht="15.75" customHeight="1"/>
    <row r="7535" ht="15.75" customHeight="1"/>
    <row r="7536" ht="15.75" customHeight="1"/>
    <row r="7537" ht="15.75" customHeight="1"/>
    <row r="7538" ht="15.75" customHeight="1"/>
    <row r="7539" ht="15.75" customHeight="1"/>
    <row r="7540" ht="15.75" customHeight="1"/>
    <row r="7541" ht="15.75" customHeight="1"/>
    <row r="7542" ht="15.75" customHeight="1"/>
    <row r="7543" ht="15.75" customHeight="1"/>
    <row r="7544" ht="15.75" customHeight="1"/>
    <row r="7545" ht="15.75" customHeight="1"/>
    <row r="7546" ht="15.75" customHeight="1"/>
    <row r="7547" ht="15.75" customHeight="1"/>
    <row r="7548" ht="15.75" customHeight="1"/>
    <row r="7549" ht="15.75" customHeight="1"/>
    <row r="7550" ht="15.75" customHeight="1"/>
    <row r="7551" ht="15.75" customHeight="1"/>
    <row r="7552" ht="15.75" customHeight="1"/>
    <row r="7553" ht="15.75" customHeight="1"/>
    <row r="7554" ht="15.75" customHeight="1"/>
    <row r="7555" ht="15.75" customHeight="1"/>
    <row r="7556" ht="15.75" customHeight="1"/>
    <row r="7557" ht="15.75" customHeight="1"/>
    <row r="7558" ht="15.75" customHeight="1"/>
    <row r="7559" ht="15.75" customHeight="1"/>
    <row r="7560" ht="15.75" customHeight="1"/>
    <row r="7561" ht="15.75" customHeight="1"/>
    <row r="7562" ht="15.75" customHeight="1"/>
    <row r="7563" ht="15.75" customHeight="1"/>
    <row r="7564" ht="15.75" customHeight="1"/>
    <row r="7565" ht="15.75" customHeight="1"/>
    <row r="7566" ht="15.75" customHeight="1"/>
    <row r="7567" ht="15.75" customHeight="1"/>
    <row r="7568" ht="15.75" customHeight="1"/>
    <row r="7569" ht="15.75" customHeight="1"/>
    <row r="7570" ht="15.75" customHeight="1"/>
    <row r="7571" ht="15.75" customHeight="1"/>
    <row r="7572" ht="15.75" customHeight="1"/>
    <row r="7573" ht="15.75" customHeight="1"/>
    <row r="7574" ht="15.75" customHeight="1"/>
    <row r="7575" ht="15.75" customHeight="1"/>
    <row r="7576" ht="15.75" customHeight="1"/>
    <row r="7577" ht="15.75" customHeight="1"/>
    <row r="7578" ht="15.75" customHeight="1"/>
    <row r="7579" ht="15.75" customHeight="1"/>
    <row r="7580" ht="15.75" customHeight="1"/>
    <row r="7581" ht="15.75" customHeight="1"/>
    <row r="7582" ht="15.75" customHeight="1"/>
    <row r="7583" ht="15.75" customHeight="1"/>
    <row r="7584" ht="15.75" customHeight="1"/>
    <row r="7585" ht="15.75" customHeight="1"/>
    <row r="7586" ht="15.75" customHeight="1"/>
    <row r="7587" ht="15.75" customHeight="1"/>
    <row r="7588" ht="15.75" customHeight="1"/>
    <row r="7589" ht="15.75" customHeight="1"/>
    <row r="7590" ht="15.75" customHeight="1"/>
    <row r="7591" ht="15.75" customHeight="1"/>
    <row r="7592" ht="15.75" customHeight="1"/>
    <row r="7593" ht="15.75" customHeight="1"/>
    <row r="7594" ht="15.75" customHeight="1"/>
    <row r="7595" ht="15.75" customHeight="1"/>
    <row r="7596" ht="15.75" customHeight="1"/>
    <row r="7597" ht="15.75" customHeight="1"/>
    <row r="7598" ht="15.75" customHeight="1"/>
    <row r="7599" ht="15.75" customHeight="1"/>
    <row r="7600" ht="15.75" customHeight="1"/>
    <row r="7601" ht="15.75" customHeight="1"/>
    <row r="7602" ht="15.75" customHeight="1"/>
    <row r="7603" ht="15.75" customHeight="1"/>
    <row r="7604" ht="15.75" customHeight="1"/>
    <row r="7605" ht="15.75" customHeight="1"/>
    <row r="7606" ht="15.75" customHeight="1"/>
    <row r="7607" ht="15.75" customHeight="1"/>
    <row r="7608" ht="15.75" customHeight="1"/>
    <row r="7609" ht="15.75" customHeight="1"/>
    <row r="7610" ht="15.75" customHeight="1"/>
    <row r="7611" ht="15.75" customHeight="1"/>
    <row r="7612" ht="15.75" customHeight="1"/>
    <row r="7613" ht="15.75" customHeight="1"/>
    <row r="7614" ht="15.75" customHeight="1"/>
    <row r="7615" ht="15.75" customHeight="1"/>
    <row r="7616" ht="15.75" customHeight="1"/>
    <row r="7617" ht="15.75" customHeight="1"/>
    <row r="7618" ht="15.75" customHeight="1"/>
    <row r="7619" ht="15.75" customHeight="1"/>
    <row r="7620" ht="15.75" customHeight="1"/>
    <row r="7621" ht="15.75" customHeight="1"/>
    <row r="7622" ht="15.75" customHeight="1"/>
    <row r="7623" ht="15.75" customHeight="1"/>
    <row r="7624" ht="15.75" customHeight="1"/>
    <row r="7625" ht="15.75" customHeight="1"/>
    <row r="7626" ht="15.75" customHeight="1"/>
    <row r="7627" ht="15.75" customHeight="1"/>
    <row r="7628" ht="15.75" customHeight="1"/>
    <row r="7629" ht="15.75" customHeight="1"/>
    <row r="7630" ht="15.75" customHeight="1"/>
    <row r="7631" ht="15.75" customHeight="1"/>
    <row r="7632" ht="15.75" customHeight="1"/>
    <row r="7633" ht="15.75" customHeight="1"/>
    <row r="7634" ht="15.75" customHeight="1"/>
    <row r="7635" ht="15.75" customHeight="1"/>
    <row r="7636" ht="15.75" customHeight="1"/>
    <row r="7637" ht="15.75" customHeight="1"/>
    <row r="7638" ht="15.75" customHeight="1"/>
    <row r="7639" ht="15.75" customHeight="1"/>
    <row r="7640" ht="15.75" customHeight="1"/>
    <row r="7641" ht="15.75" customHeight="1"/>
    <row r="7642" ht="15.75" customHeight="1"/>
    <row r="7643" ht="15.75" customHeight="1"/>
    <row r="7644" ht="15.75" customHeight="1"/>
    <row r="7645" ht="15.75" customHeight="1"/>
    <row r="7646" ht="15.75" customHeight="1"/>
    <row r="7647" ht="15.75" customHeight="1"/>
    <row r="7648" ht="15.75" customHeight="1"/>
    <row r="7649" ht="15.75" customHeight="1"/>
    <row r="7650" ht="15.75" customHeight="1"/>
    <row r="7651" ht="15.75" customHeight="1"/>
    <row r="7652" ht="15.75" customHeight="1"/>
    <row r="7653" ht="15.75" customHeight="1"/>
    <row r="7654" ht="15.75" customHeight="1"/>
    <row r="7655" ht="15.75" customHeight="1"/>
    <row r="7656" ht="15.75" customHeight="1"/>
    <row r="7657" ht="15.75" customHeight="1"/>
    <row r="7658" ht="15.75" customHeight="1"/>
    <row r="7659" ht="15.75" customHeight="1"/>
    <row r="7660" ht="15.75" customHeight="1"/>
    <row r="7661" ht="15.75" customHeight="1"/>
    <row r="7662" ht="15.75" customHeight="1"/>
    <row r="7663" ht="15.75" customHeight="1"/>
    <row r="7664" ht="15.75" customHeight="1"/>
    <row r="7665" ht="15.75" customHeight="1"/>
    <row r="7666" ht="15.75" customHeight="1"/>
    <row r="7667" ht="15.75" customHeight="1"/>
    <row r="7668" ht="15.75" customHeight="1"/>
    <row r="7669" ht="15.75" customHeight="1"/>
    <row r="7670" ht="15.75" customHeight="1"/>
    <row r="7671" ht="15.75" customHeight="1"/>
    <row r="7672" ht="15.75" customHeight="1"/>
    <row r="7673" ht="15.75" customHeight="1"/>
    <row r="7674" ht="15.75" customHeight="1"/>
    <row r="7675" ht="15.75" customHeight="1"/>
    <row r="7676" ht="15.75" customHeight="1"/>
    <row r="7677" ht="15.75" customHeight="1"/>
    <row r="7678" ht="15.75" customHeight="1"/>
    <row r="7679" ht="15.75" customHeight="1"/>
    <row r="7680" ht="15.75" customHeight="1"/>
    <row r="7681" ht="15.75" customHeight="1"/>
    <row r="7682" ht="15.75" customHeight="1"/>
    <row r="7683" ht="15.75" customHeight="1"/>
    <row r="7684" ht="15.75" customHeight="1"/>
    <row r="7685" ht="15.75" customHeight="1"/>
    <row r="7686" ht="15.75" customHeight="1"/>
    <row r="7687" ht="15.75" customHeight="1"/>
    <row r="7688" ht="15.75" customHeight="1"/>
    <row r="7689" ht="15.75" customHeight="1"/>
    <row r="7690" ht="15.75" customHeight="1"/>
    <row r="7691" ht="15.75" customHeight="1"/>
    <row r="7692" ht="15.75" customHeight="1"/>
    <row r="7693" ht="15.75" customHeight="1"/>
    <row r="7694" ht="15.75" customHeight="1"/>
    <row r="7695" ht="15.75" customHeight="1"/>
    <row r="7696" ht="15.75" customHeight="1"/>
    <row r="7697" ht="15.75" customHeight="1"/>
    <row r="7698" ht="15.75" customHeight="1"/>
    <row r="7699" ht="15.75" customHeight="1"/>
    <row r="7700" ht="15.75" customHeight="1"/>
    <row r="7701" ht="15.75" customHeight="1"/>
    <row r="7702" ht="15.75" customHeight="1"/>
    <row r="7703" ht="15.75" customHeight="1"/>
    <row r="7704" ht="15.75" customHeight="1"/>
    <row r="7705" ht="15.75" customHeight="1"/>
    <row r="7706" ht="15.75" customHeight="1"/>
    <row r="7707" ht="15.75" customHeight="1"/>
    <row r="7708" ht="15.75" customHeight="1"/>
    <row r="7709" ht="15.75" customHeight="1"/>
    <row r="7710" ht="15.75" customHeight="1"/>
    <row r="7711" ht="15.75" customHeight="1"/>
    <row r="7712" ht="15.75" customHeight="1"/>
    <row r="7713" ht="15.75" customHeight="1"/>
    <row r="7714" ht="15.75" customHeight="1"/>
    <row r="7715" ht="15.75" customHeight="1"/>
    <row r="7716" ht="15.75" customHeight="1"/>
    <row r="7717" ht="15.75" customHeight="1"/>
    <row r="7718" ht="15.75" customHeight="1"/>
    <row r="7719" ht="15.75" customHeight="1"/>
    <row r="7720" ht="15.75" customHeight="1"/>
    <row r="7721" ht="15.75" customHeight="1"/>
    <row r="7722" ht="15.75" customHeight="1"/>
    <row r="7723" ht="15.75" customHeight="1"/>
    <row r="7724" ht="15.75" customHeight="1"/>
    <row r="7725" ht="15.75" customHeight="1"/>
    <row r="7726" ht="15.75" customHeight="1"/>
    <row r="7727" ht="15.75" customHeight="1"/>
    <row r="7728" ht="15.75" customHeight="1"/>
    <row r="7729" ht="15.75" customHeight="1"/>
    <row r="7730" ht="15.75" customHeight="1"/>
    <row r="7731" ht="15.75" customHeight="1"/>
    <row r="7732" ht="15.75" customHeight="1"/>
    <row r="7733" ht="15.75" customHeight="1"/>
    <row r="7734" ht="15.75" customHeight="1"/>
    <row r="7735" ht="15.75" customHeight="1"/>
    <row r="7736" ht="15.75" customHeight="1"/>
    <row r="7737" ht="15.75" customHeight="1"/>
    <row r="7738" ht="15.75" customHeight="1"/>
    <row r="7739" ht="15.75" customHeight="1"/>
    <row r="7740" ht="15.75" customHeight="1"/>
    <row r="7741" ht="15.75" customHeight="1"/>
    <row r="7742" ht="15.75" customHeight="1"/>
    <row r="7743" ht="15.75" customHeight="1"/>
    <row r="7744" ht="15.75" customHeight="1"/>
    <row r="7745" ht="15.75" customHeight="1"/>
    <row r="7746" ht="15.75" customHeight="1"/>
    <row r="7747" ht="15.75" customHeight="1"/>
    <row r="7748" ht="15.75" customHeight="1"/>
    <row r="7749" ht="15.75" customHeight="1"/>
    <row r="7750" ht="15.75" customHeight="1"/>
    <row r="7751" ht="15.75" customHeight="1"/>
    <row r="7752" ht="15.75" customHeight="1"/>
    <row r="7753" ht="15.75" customHeight="1"/>
    <row r="7754" ht="15.75" customHeight="1"/>
    <row r="7755" ht="15.75" customHeight="1"/>
    <row r="7756" ht="15.75" customHeight="1"/>
    <row r="7757" ht="15.75" customHeight="1"/>
    <row r="7758" ht="15.75" customHeight="1"/>
    <row r="7759" ht="15.75" customHeight="1"/>
    <row r="7760" ht="15.75" customHeight="1"/>
    <row r="7761" ht="15.75" customHeight="1"/>
    <row r="7762" ht="15.75" customHeight="1"/>
    <row r="7763" ht="15.75" customHeight="1"/>
    <row r="7764" ht="15.75" customHeight="1"/>
    <row r="7765" ht="15.75" customHeight="1"/>
    <row r="7766" ht="15.75" customHeight="1"/>
    <row r="7767" ht="15.75" customHeight="1"/>
    <row r="7768" ht="15.75" customHeight="1"/>
    <row r="7769" ht="15.75" customHeight="1"/>
    <row r="7770" ht="15.75" customHeight="1"/>
    <row r="7771" ht="15.75" customHeight="1"/>
    <row r="7772" ht="15.75" customHeight="1"/>
    <row r="7773" ht="15.75" customHeight="1"/>
    <row r="7774" ht="15.75" customHeight="1"/>
    <row r="7775" ht="15.75" customHeight="1"/>
    <row r="7776" ht="15.75" customHeight="1"/>
    <row r="7777" ht="15.75" customHeight="1"/>
    <row r="7778" ht="15.75" customHeight="1"/>
    <row r="7779" ht="15.75" customHeight="1"/>
    <row r="7780" ht="15.75" customHeight="1"/>
    <row r="7781" ht="15.75" customHeight="1"/>
    <row r="7782" ht="15.75" customHeight="1"/>
    <row r="7783" ht="15.75" customHeight="1"/>
    <row r="7784" ht="15.75" customHeight="1"/>
    <row r="7785" ht="15.75" customHeight="1"/>
    <row r="7786" ht="15.75" customHeight="1"/>
    <row r="7787" ht="15.75" customHeight="1"/>
    <row r="7788" ht="15.75" customHeight="1"/>
    <row r="7789" ht="15.75" customHeight="1"/>
    <row r="7790" ht="15.75" customHeight="1"/>
    <row r="7791" ht="15.75" customHeight="1"/>
    <row r="7792" ht="15.75" customHeight="1"/>
    <row r="7793" ht="15.75" customHeight="1"/>
    <row r="7794" ht="15.75" customHeight="1"/>
    <row r="7795" ht="15.75" customHeight="1"/>
    <row r="7796" ht="15.75" customHeight="1"/>
    <row r="7797" ht="15.75" customHeight="1"/>
    <row r="7798" ht="15.75" customHeight="1"/>
    <row r="7799" ht="15.75" customHeight="1"/>
    <row r="7800" ht="15.75" customHeight="1"/>
    <row r="7801" ht="15.75" customHeight="1"/>
    <row r="7802" ht="15.75" customHeight="1"/>
    <row r="7803" ht="15.75" customHeight="1"/>
    <row r="7804" ht="15.75" customHeight="1"/>
    <row r="7805" ht="15.75" customHeight="1"/>
    <row r="7806" ht="15.75" customHeight="1"/>
    <row r="7807" ht="15.75" customHeight="1"/>
    <row r="7808" ht="15.75" customHeight="1"/>
    <row r="7809" ht="15.75" customHeight="1"/>
    <row r="7810" ht="15.75" customHeight="1"/>
    <row r="7811" ht="15.75" customHeight="1"/>
    <row r="7812" ht="15.75" customHeight="1"/>
    <row r="7813" ht="15.75" customHeight="1"/>
    <row r="7814" ht="15.75" customHeight="1"/>
    <row r="7815" ht="15.75" customHeight="1"/>
    <row r="7816" ht="15.75" customHeight="1"/>
    <row r="7817" ht="15.75" customHeight="1"/>
    <row r="7818" ht="15.75" customHeight="1"/>
    <row r="7819" ht="15.75" customHeight="1"/>
    <row r="7820" ht="15.75" customHeight="1"/>
    <row r="7821" ht="15.75" customHeight="1"/>
    <row r="7822" ht="15.75" customHeight="1"/>
    <row r="7823" ht="15.75" customHeight="1"/>
    <row r="7824" ht="15.75" customHeight="1"/>
    <row r="7825" ht="15.75" customHeight="1"/>
    <row r="7826" ht="15.75" customHeight="1"/>
    <row r="7827" ht="15.75" customHeight="1"/>
    <row r="7828" ht="15.75" customHeight="1"/>
    <row r="7829" ht="15.75" customHeight="1"/>
    <row r="7830" ht="15.75" customHeight="1"/>
    <row r="7831" ht="15.75" customHeight="1"/>
    <row r="7832" ht="15.75" customHeight="1"/>
    <row r="7833" ht="15.75" customHeight="1"/>
    <row r="7834" ht="15.75" customHeight="1"/>
    <row r="7835" ht="15.75" customHeight="1"/>
    <row r="7836" ht="15.75" customHeight="1"/>
    <row r="7837" ht="15.75" customHeight="1"/>
    <row r="7838" ht="15.75" customHeight="1"/>
    <row r="7839" ht="15.75" customHeight="1"/>
    <row r="7840" ht="15.75" customHeight="1"/>
    <row r="7841" ht="15.75" customHeight="1"/>
    <row r="7842" ht="15.75" customHeight="1"/>
    <row r="7843" ht="15.75" customHeight="1"/>
    <row r="7844" ht="15.75" customHeight="1"/>
    <row r="7845" ht="15.75" customHeight="1"/>
    <row r="7846" ht="15.75" customHeight="1"/>
    <row r="7847" ht="15.75" customHeight="1"/>
    <row r="7848" ht="15.75" customHeight="1"/>
    <row r="7849" ht="15.75" customHeight="1"/>
    <row r="7850" ht="15.75" customHeight="1"/>
    <row r="7851" ht="15.75" customHeight="1"/>
    <row r="7852" ht="15.75" customHeight="1"/>
    <row r="7853" ht="15.75" customHeight="1"/>
    <row r="7854" ht="15.75" customHeight="1"/>
    <row r="7855" ht="15.75" customHeight="1"/>
    <row r="7856" ht="15.75" customHeight="1"/>
    <row r="7857" ht="15.75" customHeight="1"/>
    <row r="7858" ht="15.75" customHeight="1"/>
    <row r="7859" ht="15.75" customHeight="1"/>
    <row r="7860" ht="15.75" customHeight="1"/>
    <row r="7861" ht="15.75" customHeight="1"/>
    <row r="7862" ht="15.75" customHeight="1"/>
    <row r="7863" ht="15.75" customHeight="1"/>
    <row r="7864" ht="15.75" customHeight="1"/>
    <row r="7865" ht="15.75" customHeight="1"/>
    <row r="7866" ht="15.75" customHeight="1"/>
    <row r="7867" ht="15.75" customHeight="1"/>
    <row r="7868" ht="15.75" customHeight="1"/>
    <row r="7869" ht="15.75" customHeight="1"/>
    <row r="7870" ht="15.75" customHeight="1"/>
    <row r="7871" ht="15.75" customHeight="1"/>
    <row r="7872" ht="15.75" customHeight="1"/>
    <row r="7873" ht="15.75" customHeight="1"/>
    <row r="7874" ht="15.75" customHeight="1"/>
    <row r="7875" ht="15.75" customHeight="1"/>
    <row r="7876" ht="15.75" customHeight="1"/>
    <row r="7877" ht="15.75" customHeight="1"/>
    <row r="7878" ht="15.75" customHeight="1"/>
    <row r="7879" ht="15.75" customHeight="1"/>
    <row r="7880" ht="15.75" customHeight="1"/>
    <row r="7881" ht="15.75" customHeight="1"/>
    <row r="7882" ht="15.75" customHeight="1"/>
    <row r="7883" ht="15.75" customHeight="1"/>
    <row r="7884" ht="15.75" customHeight="1"/>
    <row r="7885" ht="15.75" customHeight="1"/>
    <row r="7886" ht="15.75" customHeight="1"/>
    <row r="7887" ht="15.75" customHeight="1"/>
    <row r="7888" ht="15.75" customHeight="1"/>
    <row r="7889" ht="15.75" customHeight="1"/>
    <row r="7890" ht="15.75" customHeight="1"/>
    <row r="7891" ht="15.75" customHeight="1"/>
    <row r="7892" ht="15.75" customHeight="1"/>
    <row r="7893" ht="15.75" customHeight="1"/>
    <row r="7894" ht="15.75" customHeight="1"/>
    <row r="7895" ht="15.75" customHeight="1"/>
    <row r="7896" ht="15.75" customHeight="1"/>
    <row r="7897" ht="15.75" customHeight="1"/>
    <row r="7898" ht="15.75" customHeight="1"/>
    <row r="7899" ht="15.75" customHeight="1"/>
    <row r="7900" ht="15.75" customHeight="1"/>
    <row r="7901" ht="15.75" customHeight="1"/>
    <row r="7902" ht="15.75" customHeight="1"/>
    <row r="7903" ht="15.75" customHeight="1"/>
    <row r="7904" ht="15.75" customHeight="1"/>
    <row r="7905" ht="15.75" customHeight="1"/>
    <row r="7906" ht="15.75" customHeight="1"/>
    <row r="7907" ht="15.75" customHeight="1"/>
    <row r="7908" ht="15.75" customHeight="1"/>
    <row r="7909" ht="15.75" customHeight="1"/>
    <row r="7910" ht="15.75" customHeight="1"/>
    <row r="7911" ht="15.75" customHeight="1"/>
    <row r="7912" ht="15.75" customHeight="1"/>
    <row r="7913" ht="15.75" customHeight="1"/>
    <row r="7914" ht="15.75" customHeight="1"/>
    <row r="7915" ht="15.75" customHeight="1"/>
    <row r="7916" ht="15.75" customHeight="1"/>
    <row r="7917" ht="15.75" customHeight="1"/>
    <row r="7918" ht="15.75" customHeight="1"/>
    <row r="7919" ht="15.75" customHeight="1"/>
    <row r="7920" ht="15.75" customHeight="1"/>
    <row r="7921" ht="15.75" customHeight="1"/>
    <row r="7922" ht="15.75" customHeight="1"/>
    <row r="7923" ht="15.75" customHeight="1"/>
    <row r="7924" ht="15.75" customHeight="1"/>
    <row r="7925" ht="15.75" customHeight="1"/>
    <row r="7926" ht="15.75" customHeight="1"/>
    <row r="7927" ht="15.75" customHeight="1"/>
    <row r="7928" ht="15.75" customHeight="1"/>
    <row r="7929" ht="15.75" customHeight="1"/>
    <row r="7930" ht="15.75" customHeight="1"/>
    <row r="7931" ht="15.75" customHeight="1"/>
    <row r="7932" ht="15.75" customHeight="1"/>
    <row r="7933" ht="15.75" customHeight="1"/>
    <row r="7934" ht="15.75" customHeight="1"/>
    <row r="7935" ht="15.75" customHeight="1"/>
    <row r="7936" ht="15.75" customHeight="1"/>
    <row r="7937" ht="15.75" customHeight="1"/>
    <row r="7938" ht="15.75" customHeight="1"/>
    <row r="7939" ht="15.75" customHeight="1"/>
    <row r="7940" ht="15.75" customHeight="1"/>
    <row r="7941" ht="15.75" customHeight="1"/>
    <row r="7942" ht="15.75" customHeight="1"/>
    <row r="7943" ht="15.75" customHeight="1"/>
    <row r="7944" ht="15.75" customHeight="1"/>
    <row r="7945" ht="15.75" customHeight="1"/>
    <row r="7946" ht="15.75" customHeight="1"/>
    <row r="7947" ht="15.75" customHeight="1"/>
    <row r="7948" ht="15.75" customHeight="1"/>
    <row r="7949" ht="15.75" customHeight="1"/>
    <row r="7950" ht="15.75" customHeight="1"/>
    <row r="7951" ht="15.75" customHeight="1"/>
    <row r="7952" ht="15.75" customHeight="1"/>
    <row r="7953" ht="15.75" customHeight="1"/>
    <row r="7954" ht="15.75" customHeight="1"/>
    <row r="7955" ht="15.75" customHeight="1"/>
    <row r="7956" ht="15.75" customHeight="1"/>
    <row r="7957" ht="15.75" customHeight="1"/>
    <row r="7958" ht="15.75" customHeight="1"/>
    <row r="7959" ht="15.75" customHeight="1"/>
    <row r="7960" ht="15.75" customHeight="1"/>
    <row r="7961" ht="15.75" customHeight="1"/>
    <row r="7962" ht="15.75" customHeight="1"/>
    <row r="7963" ht="15.75" customHeight="1"/>
    <row r="7964" ht="15.75" customHeight="1"/>
    <row r="7965" ht="15.75" customHeight="1"/>
    <row r="7966" ht="15.75" customHeight="1"/>
    <row r="7967" ht="15.75" customHeight="1"/>
    <row r="7968" ht="15.75" customHeight="1"/>
    <row r="7969" ht="15.75" customHeight="1"/>
    <row r="7970" ht="15.75" customHeight="1"/>
    <row r="7971" ht="15.75" customHeight="1"/>
    <row r="7972" ht="15.75" customHeight="1"/>
    <row r="7973" ht="15.75" customHeight="1"/>
    <row r="7974" ht="15.75" customHeight="1"/>
    <row r="7975" ht="15.75" customHeight="1"/>
    <row r="7976" ht="15.75" customHeight="1"/>
    <row r="7977" ht="15.75" customHeight="1"/>
    <row r="7978" ht="15.75" customHeight="1"/>
    <row r="7979" ht="15.75" customHeight="1"/>
    <row r="7980" ht="15.75" customHeight="1"/>
    <row r="7981" ht="15.75" customHeight="1"/>
    <row r="7982" ht="15.75" customHeight="1"/>
    <row r="7983" ht="15.75" customHeight="1"/>
    <row r="7984" ht="15.75" customHeight="1"/>
    <row r="7985" ht="15.75" customHeight="1"/>
    <row r="7986" ht="15.75" customHeight="1"/>
    <row r="7987" ht="15.75" customHeight="1"/>
    <row r="7988" ht="15.75" customHeight="1"/>
    <row r="7989" ht="15.75" customHeight="1"/>
    <row r="7990" ht="15.75" customHeight="1"/>
    <row r="7991" ht="15.75" customHeight="1"/>
    <row r="7992" ht="15.75" customHeight="1"/>
    <row r="7993" ht="15.75" customHeight="1"/>
    <row r="7994" ht="15.75" customHeight="1"/>
    <row r="7995" ht="15.75" customHeight="1"/>
    <row r="7996" ht="15.75" customHeight="1"/>
    <row r="7997" ht="15.75" customHeight="1"/>
    <row r="7998" ht="15.75" customHeight="1"/>
    <row r="7999" ht="15.75" customHeight="1"/>
    <row r="8000" ht="15.75" customHeight="1"/>
    <row r="8001" ht="15.75" customHeight="1"/>
    <row r="8002" ht="15.75" customHeight="1"/>
    <row r="8003" ht="15.75" customHeight="1"/>
    <row r="8004" ht="15.75" customHeight="1"/>
    <row r="8005" ht="15.75" customHeight="1"/>
    <row r="8006" ht="15.75" customHeight="1"/>
    <row r="8007" ht="15.75" customHeight="1"/>
    <row r="8008" ht="15.75" customHeight="1"/>
    <row r="8009" ht="15.75" customHeight="1"/>
    <row r="8010" ht="15.75" customHeight="1"/>
    <row r="8011" ht="15.75" customHeight="1"/>
    <row r="8012" ht="15.75" customHeight="1"/>
    <row r="8013" ht="15.75" customHeight="1"/>
    <row r="8014" ht="15.75" customHeight="1"/>
    <row r="8015" ht="15.75" customHeight="1"/>
    <row r="8016" ht="15.75" customHeight="1"/>
    <row r="8017" ht="15.75" customHeight="1"/>
    <row r="8018" ht="15.75" customHeight="1"/>
    <row r="8019" ht="15.75" customHeight="1"/>
    <row r="8020" ht="15.75" customHeight="1"/>
    <row r="8021" ht="15.75" customHeight="1"/>
    <row r="8022" ht="15.75" customHeight="1"/>
    <row r="8023" ht="15.75" customHeight="1"/>
    <row r="8024" ht="15.75" customHeight="1"/>
    <row r="8025" ht="15.75" customHeight="1"/>
    <row r="8026" ht="15.75" customHeight="1"/>
    <row r="8027" ht="15.75" customHeight="1"/>
    <row r="8028" ht="15.75" customHeight="1"/>
    <row r="8029" ht="15.75" customHeight="1"/>
    <row r="8030" ht="15.75" customHeight="1"/>
    <row r="8031" ht="15.75" customHeight="1"/>
    <row r="8032" ht="15.75" customHeight="1"/>
    <row r="8033" ht="15.75" customHeight="1"/>
    <row r="8034" ht="15.75" customHeight="1"/>
    <row r="8035" ht="15.75" customHeight="1"/>
    <row r="8036" ht="15.75" customHeight="1"/>
    <row r="8037" ht="15.75" customHeight="1"/>
    <row r="8038" ht="15.75" customHeight="1"/>
    <row r="8039" ht="15.75" customHeight="1"/>
    <row r="8040" ht="15.75" customHeight="1"/>
    <row r="8041" ht="15.75" customHeight="1"/>
    <row r="8042" ht="15.75" customHeight="1"/>
    <row r="8043" ht="15.75" customHeight="1"/>
    <row r="8044" ht="15.75" customHeight="1"/>
    <row r="8045" ht="15.75" customHeight="1"/>
    <row r="8046" ht="15.75" customHeight="1"/>
    <row r="8047" ht="15.75" customHeight="1"/>
    <row r="8048" ht="15.75" customHeight="1"/>
    <row r="8049" ht="15.75" customHeight="1"/>
    <row r="8050" ht="15.75" customHeight="1"/>
    <row r="8051" ht="15.75" customHeight="1"/>
    <row r="8052" ht="15.75" customHeight="1"/>
    <row r="8053" ht="15.75" customHeight="1"/>
    <row r="8054" ht="15.75" customHeight="1"/>
    <row r="8055" ht="15.75" customHeight="1"/>
    <row r="8056" ht="15.75" customHeight="1"/>
    <row r="8057" ht="15.75" customHeight="1"/>
    <row r="8058" ht="15.75" customHeight="1"/>
    <row r="8059" ht="15.75" customHeight="1"/>
    <row r="8060" ht="15.75" customHeight="1"/>
    <row r="8061" ht="15.75" customHeight="1"/>
    <row r="8062" ht="15.75" customHeight="1"/>
    <row r="8063" ht="15.75" customHeight="1"/>
    <row r="8064" ht="15.75" customHeight="1"/>
    <row r="8065" ht="15.75" customHeight="1"/>
    <row r="8066" ht="15.75" customHeight="1"/>
    <row r="8067" ht="15.75" customHeight="1"/>
    <row r="8068" ht="15.75" customHeight="1"/>
    <row r="8069" ht="15.75" customHeight="1"/>
    <row r="8070" ht="15.75" customHeight="1"/>
    <row r="8071" ht="15.75" customHeight="1"/>
    <row r="8072" ht="15.75" customHeight="1"/>
    <row r="8073" ht="15.75" customHeight="1"/>
    <row r="8074" ht="15.75" customHeight="1"/>
    <row r="8075" ht="15.75" customHeight="1"/>
    <row r="8076" ht="15.75" customHeight="1"/>
    <row r="8077" ht="15.75" customHeight="1"/>
    <row r="8078" ht="15.75" customHeight="1"/>
    <row r="8079" ht="15.75" customHeight="1"/>
    <row r="8080" ht="15.75" customHeight="1"/>
    <row r="8081" ht="15.75" customHeight="1"/>
    <row r="8082" ht="15.75" customHeight="1"/>
    <row r="8083" ht="15.75" customHeight="1"/>
    <row r="8084" ht="15.75" customHeight="1"/>
    <row r="8085" ht="15.75" customHeight="1"/>
    <row r="8086" ht="15.75" customHeight="1"/>
    <row r="8087" ht="15.75" customHeight="1"/>
    <row r="8088" ht="15.75" customHeight="1"/>
    <row r="8089" ht="15.75" customHeight="1"/>
    <row r="8090" ht="15.75" customHeight="1"/>
    <row r="8091" ht="15.75" customHeight="1"/>
    <row r="8092" ht="15.75" customHeight="1"/>
    <row r="8093" ht="15.75" customHeight="1"/>
    <row r="8094" ht="15.75" customHeight="1"/>
    <row r="8095" ht="15.75" customHeight="1"/>
    <row r="8096" ht="15.75" customHeight="1"/>
    <row r="8097" ht="15.75" customHeight="1"/>
    <row r="8098" ht="15.75" customHeight="1"/>
    <row r="8099" ht="15.75" customHeight="1"/>
    <row r="8100" ht="15.75" customHeight="1"/>
    <row r="8101" ht="15.75" customHeight="1"/>
    <row r="8102" ht="15.75" customHeight="1"/>
    <row r="8103" ht="15.75" customHeight="1"/>
    <row r="8104" ht="15.75" customHeight="1"/>
    <row r="8105" ht="15.75" customHeight="1"/>
    <row r="8106" ht="15.75" customHeight="1"/>
    <row r="8107" ht="15.75" customHeight="1"/>
    <row r="8108" ht="15.75" customHeight="1"/>
    <row r="8109" ht="15.75" customHeight="1"/>
    <row r="8110" ht="15.75" customHeight="1"/>
    <row r="8111" ht="15.75" customHeight="1"/>
    <row r="8112" ht="15.75" customHeight="1"/>
    <row r="8113" ht="15.75" customHeight="1"/>
    <row r="8114" ht="15.75" customHeight="1"/>
    <row r="8115" ht="15.75" customHeight="1"/>
    <row r="8116" ht="15.75" customHeight="1"/>
    <row r="8117" ht="15.75" customHeight="1"/>
    <row r="8118" ht="15.75" customHeight="1"/>
    <row r="8119" ht="15.75" customHeight="1"/>
    <row r="8120" ht="15.75" customHeight="1"/>
    <row r="8121" ht="15.75" customHeight="1"/>
    <row r="8122" ht="15.75" customHeight="1"/>
    <row r="8123" ht="15.75" customHeight="1"/>
    <row r="8124" ht="15.75" customHeight="1"/>
    <row r="8125" ht="15.75" customHeight="1"/>
    <row r="8126" ht="15.75" customHeight="1"/>
    <row r="8127" ht="15.75" customHeight="1"/>
    <row r="8128" ht="15.75" customHeight="1"/>
    <row r="8129" ht="15.75" customHeight="1"/>
    <row r="8130" ht="15.75" customHeight="1"/>
    <row r="8131" ht="15.75" customHeight="1"/>
    <row r="8132" ht="15.75" customHeight="1"/>
    <row r="8133" ht="15.75" customHeight="1"/>
    <row r="8134" ht="15.75" customHeight="1"/>
    <row r="8135" ht="15.75" customHeight="1"/>
    <row r="8136" ht="15.75" customHeight="1"/>
    <row r="8137" ht="15.75" customHeight="1"/>
    <row r="8138" ht="15.75" customHeight="1"/>
    <row r="8139" ht="15.75" customHeight="1"/>
    <row r="8140" ht="15.75" customHeight="1"/>
    <row r="8141" ht="15.75" customHeight="1"/>
    <row r="8142" ht="15.75" customHeight="1"/>
    <row r="8143" ht="15.75" customHeight="1"/>
    <row r="8144" ht="15.75" customHeight="1"/>
    <row r="8145" ht="15.75" customHeight="1"/>
    <row r="8146" ht="15.75" customHeight="1"/>
    <row r="8147" ht="15.75" customHeight="1"/>
    <row r="8148" ht="15.75" customHeight="1"/>
    <row r="8149" ht="15.75" customHeight="1"/>
    <row r="8150" ht="15.75" customHeight="1"/>
    <row r="8151" ht="15.75" customHeight="1"/>
    <row r="8152" ht="15.75" customHeight="1"/>
    <row r="8153" ht="15.75" customHeight="1"/>
    <row r="8154" ht="15.75" customHeight="1"/>
    <row r="8155" ht="15.75" customHeight="1"/>
    <row r="8156" ht="15.75" customHeight="1"/>
    <row r="8157" ht="15.75" customHeight="1"/>
    <row r="8158" ht="15.75" customHeight="1"/>
    <row r="8159" ht="15.75" customHeight="1"/>
    <row r="8160" ht="15.75" customHeight="1"/>
    <row r="8161" ht="15.75" customHeight="1"/>
    <row r="8162" ht="15.75" customHeight="1"/>
    <row r="8163" ht="15.75" customHeight="1"/>
    <row r="8164" ht="15.75" customHeight="1"/>
    <row r="8165" ht="15.75" customHeight="1"/>
    <row r="8166" ht="15.75" customHeight="1"/>
    <row r="8167" ht="15.75" customHeight="1"/>
    <row r="8168" ht="15.75" customHeight="1"/>
    <row r="8169" ht="15.75" customHeight="1"/>
    <row r="8170" ht="15.75" customHeight="1"/>
    <row r="8171" ht="15.75" customHeight="1"/>
    <row r="8172" ht="15.75" customHeight="1"/>
    <row r="8173" ht="15.75" customHeight="1"/>
    <row r="8174" ht="15.75" customHeight="1"/>
    <row r="8175" ht="15.75" customHeight="1"/>
    <row r="8176" ht="15.75" customHeight="1"/>
    <row r="8177" ht="15.75" customHeight="1"/>
    <row r="8178" ht="15.75" customHeight="1"/>
    <row r="8179" ht="15.75" customHeight="1"/>
    <row r="8180" ht="15.75" customHeight="1"/>
    <row r="8181" ht="15.75" customHeight="1"/>
    <row r="8182" ht="15.75" customHeight="1"/>
    <row r="8183" ht="15.75" customHeight="1"/>
    <row r="8184" ht="15.75" customHeight="1"/>
    <row r="8185" ht="15.75" customHeight="1"/>
    <row r="8186" ht="15.75" customHeight="1"/>
    <row r="8187" ht="15.75" customHeight="1"/>
    <row r="8188" ht="15.75" customHeight="1"/>
    <row r="8189" ht="15.75" customHeight="1"/>
    <row r="8190" ht="15.75" customHeight="1"/>
    <row r="8191" ht="15.75" customHeight="1"/>
    <row r="8192" ht="15.75" customHeight="1"/>
    <row r="8193" ht="15.75" customHeight="1"/>
    <row r="8194" ht="15.75" customHeight="1"/>
    <row r="8195" ht="15.75" customHeight="1"/>
    <row r="8196" ht="15.75" customHeight="1"/>
    <row r="8197" ht="15.75" customHeight="1"/>
    <row r="8198" ht="15.75" customHeight="1"/>
    <row r="8199" ht="15.75" customHeight="1"/>
    <row r="8200" ht="15.75" customHeight="1"/>
    <row r="8201" ht="15.75" customHeight="1"/>
    <row r="8202" ht="15.75" customHeight="1"/>
    <row r="8203" ht="15.75" customHeight="1"/>
    <row r="8204" ht="15.75" customHeight="1"/>
    <row r="8205" ht="15.75" customHeight="1"/>
    <row r="8206" ht="15.75" customHeight="1"/>
    <row r="8207" ht="15.75" customHeight="1"/>
    <row r="8208" ht="15.75" customHeight="1"/>
    <row r="8209" ht="15.75" customHeight="1"/>
    <row r="8210" ht="15.75" customHeight="1"/>
    <row r="8211" ht="15.75" customHeight="1"/>
    <row r="8212" ht="15.75" customHeight="1"/>
    <row r="8213" ht="15.75" customHeight="1"/>
    <row r="8214" ht="15.75" customHeight="1"/>
    <row r="8215" ht="15.75" customHeight="1"/>
    <row r="8216" ht="15.75" customHeight="1"/>
    <row r="8217" ht="15.75" customHeight="1"/>
    <row r="8218" ht="15.75" customHeight="1"/>
    <row r="8219" ht="15.75" customHeight="1"/>
    <row r="8220" ht="15.75" customHeight="1"/>
    <row r="8221" ht="15.75" customHeight="1"/>
    <row r="8222" ht="15.75" customHeight="1"/>
    <row r="8223" ht="15.75" customHeight="1"/>
    <row r="8224" ht="15.75" customHeight="1"/>
    <row r="8225" ht="15.75" customHeight="1"/>
    <row r="8226" ht="15.75" customHeight="1"/>
    <row r="8227" ht="15.75" customHeight="1"/>
    <row r="8228" ht="15.75" customHeight="1"/>
    <row r="8229" ht="15.75" customHeight="1"/>
    <row r="8230" ht="15.75" customHeight="1"/>
    <row r="8231" ht="15.75" customHeight="1"/>
    <row r="8232" ht="15.75" customHeight="1"/>
    <row r="8233" ht="15.75" customHeight="1"/>
    <row r="8234" ht="15.75" customHeight="1"/>
    <row r="8235" ht="15.75" customHeight="1"/>
    <row r="8236" ht="15.75" customHeight="1"/>
    <row r="8237" ht="15.75" customHeight="1"/>
    <row r="8238" ht="15.75" customHeight="1"/>
    <row r="8239" ht="15.75" customHeight="1"/>
    <row r="8240" ht="15.75" customHeight="1"/>
    <row r="8241" ht="15.75" customHeight="1"/>
    <row r="8242" ht="15.75" customHeight="1"/>
    <row r="8243" ht="15.75" customHeight="1"/>
    <row r="8244" ht="15.75" customHeight="1"/>
    <row r="8245" ht="15.75" customHeight="1"/>
    <row r="8246" ht="15.75" customHeight="1"/>
    <row r="8247" ht="15.75" customHeight="1"/>
    <row r="8248" ht="15.75" customHeight="1"/>
    <row r="8249" ht="15.75" customHeight="1"/>
    <row r="8250" ht="15.75" customHeight="1"/>
    <row r="8251" ht="15.75" customHeight="1"/>
    <row r="8252" ht="15.75" customHeight="1"/>
    <row r="8253" ht="15.75" customHeight="1"/>
    <row r="8254" ht="15.75" customHeight="1"/>
    <row r="8255" ht="15.75" customHeight="1"/>
    <row r="8256" ht="15.75" customHeight="1"/>
    <row r="8257" ht="15.75" customHeight="1"/>
    <row r="8258" ht="15.75" customHeight="1"/>
    <row r="8259" ht="15.75" customHeight="1"/>
    <row r="8260" ht="15.75" customHeight="1"/>
    <row r="8261" ht="15.75" customHeight="1"/>
    <row r="8262" ht="15.75" customHeight="1"/>
    <row r="8263" ht="15.75" customHeight="1"/>
    <row r="8264" ht="15.75" customHeight="1"/>
    <row r="8265" ht="15.75" customHeight="1"/>
    <row r="8266" ht="15.75" customHeight="1"/>
    <row r="8267" ht="15.75" customHeight="1"/>
    <row r="8268" ht="15.75" customHeight="1"/>
    <row r="8269" ht="15.75" customHeight="1"/>
    <row r="8270" ht="15.75" customHeight="1"/>
    <row r="8271" ht="15.75" customHeight="1"/>
    <row r="8272" ht="15.75" customHeight="1"/>
    <row r="8273" ht="15.75" customHeight="1"/>
    <row r="8274" ht="15.75" customHeight="1"/>
    <row r="8275" ht="15.75" customHeight="1"/>
    <row r="8276" ht="15.75" customHeight="1"/>
    <row r="8277" ht="15.75" customHeight="1"/>
    <row r="8278" ht="15.75" customHeight="1"/>
    <row r="8279" ht="15.75" customHeight="1"/>
    <row r="8280" ht="15.75" customHeight="1"/>
    <row r="8281" ht="15.75" customHeight="1"/>
    <row r="8282" ht="15.75" customHeight="1"/>
    <row r="8283" ht="15.75" customHeight="1"/>
    <row r="8284" ht="15.75" customHeight="1"/>
    <row r="8285" ht="15.75" customHeight="1"/>
    <row r="8286" ht="15.75" customHeight="1"/>
    <row r="8287" ht="15.75" customHeight="1"/>
    <row r="8288" ht="15.75" customHeight="1"/>
    <row r="8289" ht="15.75" customHeight="1"/>
    <row r="8290" ht="15.75" customHeight="1"/>
    <row r="8291" ht="15.75" customHeight="1"/>
    <row r="8292" ht="15.75" customHeight="1"/>
    <row r="8293" ht="15.75" customHeight="1"/>
    <row r="8294" ht="15.75" customHeight="1"/>
    <row r="8295" ht="15.75" customHeight="1"/>
    <row r="8296" ht="15.75" customHeight="1"/>
    <row r="8297" ht="15.75" customHeight="1"/>
    <row r="8298" ht="15.75" customHeight="1"/>
    <row r="8299" ht="15.75" customHeight="1"/>
    <row r="8300" ht="15.75" customHeight="1"/>
    <row r="8301" ht="15.75" customHeight="1"/>
    <row r="8302" ht="15.75" customHeight="1"/>
    <row r="8303" ht="15.75" customHeight="1"/>
    <row r="8304" ht="15.75" customHeight="1"/>
    <row r="8305" ht="15.75" customHeight="1"/>
    <row r="8306" ht="15.75" customHeight="1"/>
    <row r="8307" ht="15.75" customHeight="1"/>
    <row r="8308" ht="15.75" customHeight="1"/>
    <row r="8309" ht="15.75" customHeight="1"/>
    <row r="8310" ht="15.75" customHeight="1"/>
    <row r="8311" ht="15.75" customHeight="1"/>
    <row r="8312" ht="15.75" customHeight="1"/>
    <row r="8313" ht="15.75" customHeight="1"/>
    <row r="8314" ht="15.75" customHeight="1"/>
    <row r="8315" ht="15.75" customHeight="1"/>
    <row r="8316" ht="15.75" customHeight="1"/>
    <row r="8317" ht="15.75" customHeight="1"/>
    <row r="8318" ht="15.75" customHeight="1"/>
    <row r="8319" ht="15.75" customHeight="1"/>
    <row r="8320" ht="15.75" customHeight="1"/>
    <row r="8321" ht="15.75" customHeight="1"/>
    <row r="8322" ht="15.75" customHeight="1"/>
    <row r="8323" ht="15.75" customHeight="1"/>
    <row r="8324" ht="15.75" customHeight="1"/>
    <row r="8325" ht="15.75" customHeight="1"/>
    <row r="8326" ht="15.75" customHeight="1"/>
    <row r="8327" ht="15.75" customHeight="1"/>
    <row r="8328" ht="15.75" customHeight="1"/>
    <row r="8329" ht="15.75" customHeight="1"/>
    <row r="8330" ht="15.75" customHeight="1"/>
    <row r="8331" ht="15.75" customHeight="1"/>
    <row r="8332" ht="15.75" customHeight="1"/>
    <row r="8333" ht="15.75" customHeight="1"/>
    <row r="8334" ht="15.75" customHeight="1"/>
    <row r="8335" ht="15.75" customHeight="1"/>
    <row r="8336" ht="15.75" customHeight="1"/>
    <row r="8337" ht="15.75" customHeight="1"/>
    <row r="8338" ht="15.75" customHeight="1"/>
    <row r="8339" ht="15.75" customHeight="1"/>
    <row r="8340" ht="15.75" customHeight="1"/>
    <row r="8341" ht="15.75" customHeight="1"/>
    <row r="8342" ht="15.75" customHeight="1"/>
    <row r="8343" ht="15.75" customHeight="1"/>
    <row r="8344" ht="15.75" customHeight="1"/>
    <row r="8345" ht="15.75" customHeight="1"/>
    <row r="8346" ht="15.75" customHeight="1"/>
    <row r="8347" ht="15.75" customHeight="1"/>
    <row r="8348" ht="15.75" customHeight="1"/>
    <row r="8349" ht="15.75" customHeight="1"/>
    <row r="8350" ht="15.75" customHeight="1"/>
    <row r="8351" ht="15.75" customHeight="1"/>
    <row r="8352" ht="15.75" customHeight="1"/>
    <row r="8353" ht="15.75" customHeight="1"/>
    <row r="8354" ht="15.75" customHeight="1"/>
    <row r="8355" ht="15.75" customHeight="1"/>
    <row r="8356" ht="15.75" customHeight="1"/>
    <row r="8357" ht="15.75" customHeight="1"/>
    <row r="8358" ht="15.75" customHeight="1"/>
    <row r="8359" ht="15.75" customHeight="1"/>
    <row r="8360" ht="15.75" customHeight="1"/>
    <row r="8361" ht="15.75" customHeight="1"/>
    <row r="8362" ht="15.75" customHeight="1"/>
    <row r="8363" ht="15.75" customHeight="1"/>
    <row r="8364" ht="15.75" customHeight="1"/>
    <row r="8365" ht="15.75" customHeight="1"/>
    <row r="8366" ht="15.75" customHeight="1"/>
    <row r="8367" ht="15.75" customHeight="1"/>
    <row r="8368" ht="15.75" customHeight="1"/>
    <row r="8369" ht="15.75" customHeight="1"/>
    <row r="8370" ht="15.75" customHeight="1"/>
    <row r="8371" ht="15.75" customHeight="1"/>
    <row r="8372" ht="15.75" customHeight="1"/>
    <row r="8373" ht="15.75" customHeight="1"/>
    <row r="8374" ht="15.75" customHeight="1"/>
    <row r="8375" ht="15.75" customHeight="1"/>
    <row r="8376" ht="15.75" customHeight="1"/>
    <row r="8377" ht="15.75" customHeight="1"/>
    <row r="8378" ht="15.75" customHeight="1"/>
    <row r="8379" ht="15.75" customHeight="1"/>
    <row r="8380" ht="15.75" customHeight="1"/>
    <row r="8381" ht="15.75" customHeight="1"/>
    <row r="8382" ht="15.75" customHeight="1"/>
    <row r="8383" ht="15.75" customHeight="1"/>
    <row r="8384" ht="15.75" customHeight="1"/>
    <row r="8385" ht="15.75" customHeight="1"/>
    <row r="8386" ht="15.75" customHeight="1"/>
    <row r="8387" ht="15.75" customHeight="1"/>
    <row r="8388" ht="15.75" customHeight="1"/>
    <row r="8389" ht="15.75" customHeight="1"/>
    <row r="8390" ht="15.75" customHeight="1"/>
    <row r="8391" ht="15.75" customHeight="1"/>
    <row r="8392" ht="15.75" customHeight="1"/>
    <row r="8393" ht="15.75" customHeight="1"/>
    <row r="8394" ht="15.75" customHeight="1"/>
    <row r="8395" ht="15.75" customHeight="1"/>
    <row r="8396" ht="15.75" customHeight="1"/>
    <row r="8397" ht="15.75" customHeight="1"/>
    <row r="8398" ht="15.75" customHeight="1"/>
    <row r="8399" ht="15.75" customHeight="1"/>
    <row r="8400" ht="15.75" customHeight="1"/>
    <row r="8401" ht="15.75" customHeight="1"/>
    <row r="8402" ht="15.75" customHeight="1"/>
    <row r="8403" ht="15.75" customHeight="1"/>
    <row r="8404" ht="15.75" customHeight="1"/>
    <row r="8405" ht="15.75" customHeight="1"/>
    <row r="8406" ht="15.75" customHeight="1"/>
    <row r="8407" ht="15.75" customHeight="1"/>
    <row r="8408" ht="15.75" customHeight="1"/>
    <row r="8409" ht="15.75" customHeight="1"/>
    <row r="8410" ht="15.75" customHeight="1"/>
    <row r="8411" ht="15.75" customHeight="1"/>
    <row r="8412" ht="15.75" customHeight="1"/>
    <row r="8413" ht="15.75" customHeight="1"/>
    <row r="8414" ht="15.75" customHeight="1"/>
    <row r="8415" ht="15.75" customHeight="1"/>
    <row r="8416" ht="15.75" customHeight="1"/>
    <row r="8417" ht="15.75" customHeight="1"/>
    <row r="8418" ht="15.75" customHeight="1"/>
    <row r="8419" ht="15.75" customHeight="1"/>
    <row r="8420" ht="15.75" customHeight="1"/>
    <row r="8421" ht="15.75" customHeight="1"/>
    <row r="8422" ht="15.75" customHeight="1"/>
    <row r="8423" ht="15.75" customHeight="1"/>
    <row r="8424" ht="15.75" customHeight="1"/>
    <row r="8425" ht="15.75" customHeight="1"/>
    <row r="8426" ht="15.75" customHeight="1"/>
    <row r="8427" ht="15.75" customHeight="1"/>
    <row r="8428" ht="15.75" customHeight="1"/>
    <row r="8429" ht="15.75" customHeight="1"/>
    <row r="8430" ht="15.75" customHeight="1"/>
    <row r="8431" ht="15.75" customHeight="1"/>
    <row r="8432" ht="15.75" customHeight="1"/>
    <row r="8433" ht="15.75" customHeight="1"/>
    <row r="8434" ht="15.75" customHeight="1"/>
    <row r="8435" ht="15.75" customHeight="1"/>
    <row r="8436" ht="15.75" customHeight="1"/>
    <row r="8437" ht="15.75" customHeight="1"/>
    <row r="8438" ht="15.75" customHeight="1"/>
    <row r="8439" ht="15.75" customHeight="1"/>
    <row r="8440" ht="15.75" customHeight="1"/>
    <row r="8441" ht="15.75" customHeight="1"/>
    <row r="8442" ht="15.75" customHeight="1"/>
    <row r="8443" ht="15.75" customHeight="1"/>
    <row r="8444" ht="15.75" customHeight="1"/>
    <row r="8445" ht="15.75" customHeight="1"/>
    <row r="8446" ht="15.75" customHeight="1"/>
    <row r="8447" ht="15.75" customHeight="1"/>
    <row r="8448" ht="15.75" customHeight="1"/>
    <row r="8449" ht="15.75" customHeight="1"/>
    <row r="8450" ht="15.75" customHeight="1"/>
    <row r="8451" ht="15.75" customHeight="1"/>
    <row r="8452" ht="15.75" customHeight="1"/>
    <row r="8453" ht="15.75" customHeight="1"/>
    <row r="8454" ht="15.75" customHeight="1"/>
    <row r="8455" ht="15.75" customHeight="1"/>
    <row r="8456" ht="15.75" customHeight="1"/>
    <row r="8457" ht="15.75" customHeight="1"/>
    <row r="8458" ht="15.75" customHeight="1"/>
    <row r="8459" ht="15.75" customHeight="1"/>
    <row r="8460" ht="15.75" customHeight="1"/>
    <row r="8461" ht="15.75" customHeight="1"/>
    <row r="8462" ht="15.75" customHeight="1"/>
    <row r="8463" ht="15.75" customHeight="1"/>
    <row r="8464" ht="15.75" customHeight="1"/>
    <row r="8465" ht="15.75" customHeight="1"/>
    <row r="8466" ht="15.75" customHeight="1"/>
    <row r="8467" ht="15.75" customHeight="1"/>
    <row r="8468" ht="15.75" customHeight="1"/>
    <row r="8469" ht="15.75" customHeight="1"/>
    <row r="8470" ht="15.75" customHeight="1"/>
    <row r="8471" ht="15.75" customHeight="1"/>
    <row r="8472" ht="15.75" customHeight="1"/>
    <row r="8473" ht="15.75" customHeight="1"/>
    <row r="8474" ht="15.75" customHeight="1"/>
    <row r="8475" ht="15.75" customHeight="1"/>
    <row r="8476" ht="15.75" customHeight="1"/>
    <row r="8477" ht="15.75" customHeight="1"/>
    <row r="8478" ht="15.75" customHeight="1"/>
    <row r="8479" ht="15.75" customHeight="1"/>
    <row r="8480" ht="15.75" customHeight="1"/>
    <row r="8481" ht="15.75" customHeight="1"/>
    <row r="8482" ht="15.75" customHeight="1"/>
    <row r="8483" ht="15.75" customHeight="1"/>
    <row r="8484" ht="15.75" customHeight="1"/>
    <row r="8485" ht="15.75" customHeight="1"/>
    <row r="8486" ht="15.75" customHeight="1"/>
    <row r="8487" ht="15.75" customHeight="1"/>
    <row r="8488" ht="15.75" customHeight="1"/>
    <row r="8489" ht="15.75" customHeight="1"/>
    <row r="8490" ht="15.75" customHeight="1"/>
    <row r="8491" ht="15.75" customHeight="1"/>
    <row r="8492" ht="15.75" customHeight="1"/>
    <row r="8493" ht="15.75" customHeight="1"/>
    <row r="8494" ht="15.75" customHeight="1"/>
    <row r="8495" ht="15.75" customHeight="1"/>
    <row r="8496" ht="15.75" customHeight="1"/>
    <row r="8497" ht="15.75" customHeight="1"/>
    <row r="8498" ht="15.75" customHeight="1"/>
    <row r="8499" ht="15.75" customHeight="1"/>
    <row r="8500" ht="15.75" customHeight="1"/>
    <row r="8501" ht="15.75" customHeight="1"/>
    <row r="8502" ht="15.75" customHeight="1"/>
    <row r="8503" ht="15.75" customHeight="1"/>
    <row r="8504" ht="15.75" customHeight="1"/>
    <row r="8505" ht="15.75" customHeight="1"/>
    <row r="8506" ht="15.75" customHeight="1"/>
    <row r="8507" ht="15.75" customHeight="1"/>
    <row r="8508" ht="15.75" customHeight="1"/>
    <row r="8509" ht="15.75" customHeight="1"/>
    <row r="8510" ht="15.75" customHeight="1"/>
    <row r="8511" ht="15.75" customHeight="1"/>
    <row r="8512" ht="15.75" customHeight="1"/>
    <row r="8513" ht="15.75" customHeight="1"/>
    <row r="8514" ht="15.75" customHeight="1"/>
    <row r="8515" ht="15.75" customHeight="1"/>
    <row r="8516" ht="15.75" customHeight="1"/>
    <row r="8517" ht="15.75" customHeight="1"/>
    <row r="8518" ht="15.75" customHeight="1"/>
    <row r="8519" ht="15.75" customHeight="1"/>
    <row r="8520" ht="15.75" customHeight="1"/>
    <row r="8521" ht="15.75" customHeight="1"/>
    <row r="8522" ht="15.75" customHeight="1"/>
    <row r="8523" ht="15.75" customHeight="1"/>
    <row r="8524" ht="15.75" customHeight="1"/>
    <row r="8525" ht="15.75" customHeight="1"/>
    <row r="8526" ht="15.75" customHeight="1"/>
    <row r="8527" ht="15.75" customHeight="1"/>
    <row r="8528" ht="15.75" customHeight="1"/>
    <row r="8529" ht="15.75" customHeight="1"/>
    <row r="8530" ht="15.75" customHeight="1"/>
    <row r="8531" ht="15.75" customHeight="1"/>
    <row r="8532" ht="15.75" customHeight="1"/>
    <row r="8533" ht="15.75" customHeight="1"/>
    <row r="8534" ht="15.75" customHeight="1"/>
    <row r="8535" ht="15.75" customHeight="1"/>
    <row r="8536" ht="15.75" customHeight="1"/>
    <row r="8537" ht="15.75" customHeight="1"/>
    <row r="8538" ht="15.75" customHeight="1"/>
    <row r="8539" ht="15.75" customHeight="1"/>
    <row r="8540" ht="15.75" customHeight="1"/>
    <row r="8541" ht="15.75" customHeight="1"/>
    <row r="8542" ht="15.75" customHeight="1"/>
    <row r="8543" ht="15.75" customHeight="1"/>
    <row r="8544" ht="15.75" customHeight="1"/>
    <row r="8545" ht="15.75" customHeight="1"/>
    <row r="8546" ht="15.75" customHeight="1"/>
    <row r="8547" ht="15.75" customHeight="1"/>
    <row r="8548" ht="15.75" customHeight="1"/>
    <row r="8549" ht="15.75" customHeight="1"/>
    <row r="8550" ht="15.75" customHeight="1"/>
    <row r="8551" ht="15.75" customHeight="1"/>
    <row r="8552" ht="15.75" customHeight="1"/>
    <row r="8553" ht="15.75" customHeight="1"/>
    <row r="8554" ht="15.75" customHeight="1"/>
    <row r="8555" ht="15.75" customHeight="1"/>
    <row r="8556" ht="15.75" customHeight="1"/>
    <row r="8557" ht="15.75" customHeight="1"/>
    <row r="8558" ht="15.75" customHeight="1"/>
    <row r="8559" ht="15.75" customHeight="1"/>
    <row r="8560" ht="15.75" customHeight="1"/>
    <row r="8561" ht="15.75" customHeight="1"/>
    <row r="8562" ht="15.75" customHeight="1"/>
    <row r="8563" ht="15.75" customHeight="1"/>
    <row r="8564" ht="15.75" customHeight="1"/>
    <row r="8565" ht="15.75" customHeight="1"/>
    <row r="8566" ht="15.75" customHeight="1"/>
    <row r="8567" ht="15.75" customHeight="1"/>
    <row r="8568" ht="15.75" customHeight="1"/>
    <row r="8569" ht="15.75" customHeight="1"/>
    <row r="8570" ht="15.75" customHeight="1"/>
    <row r="8571" ht="15.75" customHeight="1"/>
    <row r="8572" ht="15.75" customHeight="1"/>
    <row r="8573" ht="15.75" customHeight="1"/>
    <row r="8574" ht="15.75" customHeight="1"/>
    <row r="8575" ht="15.75" customHeight="1"/>
    <row r="8576" ht="15.75" customHeight="1"/>
    <row r="8577" ht="15.75" customHeight="1"/>
    <row r="8578" ht="15.75" customHeight="1"/>
    <row r="8579" ht="15.75" customHeight="1"/>
    <row r="8580" ht="15.75" customHeight="1"/>
    <row r="8581" ht="15.75" customHeight="1"/>
    <row r="8582" ht="15.75" customHeight="1"/>
    <row r="8583" ht="15.75" customHeight="1"/>
    <row r="8584" ht="15.75" customHeight="1"/>
    <row r="8585" ht="15.75" customHeight="1"/>
    <row r="8586" ht="15.75" customHeight="1"/>
    <row r="8587" ht="15.75" customHeight="1"/>
    <row r="8588" ht="15.75" customHeight="1"/>
    <row r="8589" ht="15.75" customHeight="1"/>
    <row r="8590" ht="15.75" customHeight="1"/>
    <row r="8591" ht="15.75" customHeight="1"/>
    <row r="8592" ht="15.75" customHeight="1"/>
    <row r="8593" ht="15.75" customHeight="1"/>
    <row r="8594" ht="15.75" customHeight="1"/>
    <row r="8595" ht="15.75" customHeight="1"/>
    <row r="8596" ht="15.75" customHeight="1"/>
    <row r="8597" ht="15.75" customHeight="1"/>
    <row r="8598" ht="15.75" customHeight="1"/>
    <row r="8599" ht="15.75" customHeight="1"/>
    <row r="8600" ht="15.75" customHeight="1"/>
    <row r="8601" ht="15.75" customHeight="1"/>
    <row r="8602" ht="15.75" customHeight="1"/>
    <row r="8603" ht="15.75" customHeight="1"/>
    <row r="8604" ht="15.75" customHeight="1"/>
    <row r="8605" ht="15.75" customHeight="1"/>
    <row r="8606" ht="15.75" customHeight="1"/>
    <row r="8607" ht="15.75" customHeight="1"/>
    <row r="8608" ht="15.75" customHeight="1"/>
    <row r="8609" ht="15.75" customHeight="1"/>
    <row r="8610" ht="15.75" customHeight="1"/>
    <row r="8611" ht="15.75" customHeight="1"/>
    <row r="8612" ht="15.75" customHeight="1"/>
    <row r="8613" ht="15.75" customHeight="1"/>
    <row r="8614" ht="15.75" customHeight="1"/>
    <row r="8615" ht="15.75" customHeight="1"/>
    <row r="8616" ht="15.75" customHeight="1"/>
    <row r="8617" ht="15.75" customHeight="1"/>
    <row r="8618" ht="15.75" customHeight="1"/>
    <row r="8619" ht="15.75" customHeight="1"/>
    <row r="8620" ht="15.75" customHeight="1"/>
    <row r="8621" ht="15.75" customHeight="1"/>
    <row r="8622" ht="15.75" customHeight="1"/>
    <row r="8623" ht="15.75" customHeight="1"/>
    <row r="8624" ht="15.75" customHeight="1"/>
    <row r="8625" ht="15.75" customHeight="1"/>
    <row r="8626" ht="15.75" customHeight="1"/>
    <row r="8627" ht="15.75" customHeight="1"/>
    <row r="8628" ht="15.75" customHeight="1"/>
    <row r="8629" ht="15.75" customHeight="1"/>
    <row r="8630" ht="15.75" customHeight="1"/>
    <row r="8631" ht="15.75" customHeight="1"/>
    <row r="8632" ht="15.75" customHeight="1"/>
    <row r="8633" ht="15.75" customHeight="1"/>
    <row r="8634" ht="15.75" customHeight="1"/>
    <row r="8635" ht="15.75" customHeight="1"/>
    <row r="8636" ht="15.75" customHeight="1"/>
    <row r="8637" ht="15.75" customHeight="1"/>
    <row r="8638" ht="15.75" customHeight="1"/>
    <row r="8639" ht="15.75" customHeight="1"/>
    <row r="8640" ht="15.75" customHeight="1"/>
    <row r="8641" ht="15.75" customHeight="1"/>
    <row r="8642" ht="15.75" customHeight="1"/>
    <row r="8643" ht="15.75" customHeight="1"/>
    <row r="8644" ht="15.75" customHeight="1"/>
    <row r="8645" ht="15.75" customHeight="1"/>
    <row r="8646" ht="15.75" customHeight="1"/>
    <row r="8647" ht="15.75" customHeight="1"/>
    <row r="8648" ht="15.75" customHeight="1"/>
    <row r="8649" ht="15.75" customHeight="1"/>
    <row r="8650" ht="15.75" customHeight="1"/>
    <row r="8651" ht="15.75" customHeight="1"/>
    <row r="8652" ht="15.75" customHeight="1"/>
    <row r="8653" ht="15.75" customHeight="1"/>
    <row r="8654" ht="15.75" customHeight="1"/>
    <row r="8655" ht="15.75" customHeight="1"/>
    <row r="8656" ht="15.75" customHeight="1"/>
    <row r="8657" ht="15.75" customHeight="1"/>
    <row r="8658" ht="15.75" customHeight="1"/>
    <row r="8659" ht="15.75" customHeight="1"/>
    <row r="8660" ht="15.75" customHeight="1"/>
    <row r="8661" ht="15.75" customHeight="1"/>
    <row r="8662" ht="15.75" customHeight="1"/>
    <row r="8663" ht="15.75" customHeight="1"/>
    <row r="8664" ht="15.75" customHeight="1"/>
    <row r="8665" ht="15.75" customHeight="1"/>
    <row r="8666" ht="15.75" customHeight="1"/>
    <row r="8667" ht="15.75" customHeight="1"/>
    <row r="8668" ht="15.75" customHeight="1"/>
    <row r="8669" ht="15.75" customHeight="1"/>
    <row r="8670" ht="15.75" customHeight="1"/>
    <row r="8671" ht="15.75" customHeight="1"/>
    <row r="8672" ht="15.75" customHeight="1"/>
    <row r="8673" ht="15.75" customHeight="1"/>
    <row r="8674" ht="15.75" customHeight="1"/>
    <row r="8675" ht="15.75" customHeight="1"/>
    <row r="8676" ht="15.75" customHeight="1"/>
    <row r="8677" ht="15.75" customHeight="1"/>
    <row r="8678" ht="15.75" customHeight="1"/>
    <row r="8679" ht="15.75" customHeight="1"/>
    <row r="8680" ht="15.75" customHeight="1"/>
    <row r="8681" ht="15.75" customHeight="1"/>
    <row r="8682" ht="15.75" customHeight="1"/>
    <row r="8683" ht="15.75" customHeight="1"/>
    <row r="8684" ht="15.75" customHeight="1"/>
    <row r="8685" ht="15.75" customHeight="1"/>
    <row r="8686" ht="15.75" customHeight="1"/>
    <row r="8687" ht="15.75" customHeight="1"/>
    <row r="8688" ht="15.75" customHeight="1"/>
    <row r="8689" ht="15.75" customHeight="1"/>
    <row r="8690" ht="15.75" customHeight="1"/>
    <row r="8691" ht="15.75" customHeight="1"/>
    <row r="8692" ht="15.75" customHeight="1"/>
    <row r="8693" ht="15.75" customHeight="1"/>
    <row r="8694" ht="15.75" customHeight="1"/>
    <row r="8695" ht="15.75" customHeight="1"/>
    <row r="8696" ht="15.75" customHeight="1"/>
    <row r="8697" ht="15.75" customHeight="1"/>
    <row r="8698" ht="15.75" customHeight="1"/>
    <row r="8699" ht="15.75" customHeight="1"/>
    <row r="8700" ht="15.75" customHeight="1"/>
    <row r="8701" ht="15.75" customHeight="1"/>
    <row r="8702" ht="15.75" customHeight="1"/>
    <row r="8703" ht="15.75" customHeight="1"/>
    <row r="8704" ht="15.75" customHeight="1"/>
    <row r="8705" ht="15.75" customHeight="1"/>
    <row r="8706" ht="15.75" customHeight="1"/>
    <row r="8707" ht="15.75" customHeight="1"/>
    <row r="8708" ht="15.75" customHeight="1"/>
    <row r="8709" ht="15.75" customHeight="1"/>
    <row r="8710" ht="15.75" customHeight="1"/>
    <row r="8711" ht="15.75" customHeight="1"/>
    <row r="8712" ht="15.75" customHeight="1"/>
    <row r="8713" ht="15.75" customHeight="1"/>
    <row r="8714" ht="15.75" customHeight="1"/>
    <row r="8715" ht="15.75" customHeight="1"/>
    <row r="8716" ht="15.75" customHeight="1"/>
    <row r="8717" ht="15.75" customHeight="1"/>
    <row r="8718" ht="15.75" customHeight="1"/>
    <row r="8719" ht="15.75" customHeight="1"/>
    <row r="8720" ht="15.75" customHeight="1"/>
    <row r="8721" ht="15.75" customHeight="1"/>
    <row r="8722" ht="15.75" customHeight="1"/>
    <row r="8723" ht="15.75" customHeight="1"/>
    <row r="8724" ht="15.75" customHeight="1"/>
    <row r="8725" ht="15.75" customHeight="1"/>
    <row r="8726" ht="15.75" customHeight="1"/>
    <row r="8727" ht="15.75" customHeight="1"/>
    <row r="8728" ht="15.75" customHeight="1"/>
    <row r="8729" ht="15.75" customHeight="1"/>
    <row r="8730" ht="15.75" customHeight="1"/>
    <row r="8731" ht="15.75" customHeight="1"/>
    <row r="8732" ht="15.75" customHeight="1"/>
    <row r="8733" ht="15.75" customHeight="1"/>
    <row r="8734" ht="15.75" customHeight="1"/>
    <row r="8735" ht="15.75" customHeight="1"/>
    <row r="8736" ht="15.75" customHeight="1"/>
    <row r="8737" ht="15.75" customHeight="1"/>
    <row r="8738" ht="15.75" customHeight="1"/>
    <row r="8739" ht="15.75" customHeight="1"/>
    <row r="8740" ht="15.75" customHeight="1"/>
    <row r="8741" ht="15.75" customHeight="1"/>
    <row r="8742" ht="15.75" customHeight="1"/>
    <row r="8743" ht="15.75" customHeight="1"/>
    <row r="8744" ht="15.75" customHeight="1"/>
    <row r="8745" ht="15.75" customHeight="1"/>
    <row r="8746" ht="15.75" customHeight="1"/>
    <row r="8747" ht="15.75" customHeight="1"/>
    <row r="8748" ht="15.75" customHeight="1"/>
    <row r="8749" ht="15.75" customHeight="1"/>
    <row r="8750" ht="15.75" customHeight="1"/>
    <row r="8751" ht="15.75" customHeight="1"/>
    <row r="8752" ht="15.75" customHeight="1"/>
    <row r="8753" ht="15.75" customHeight="1"/>
    <row r="8754" ht="15.75" customHeight="1"/>
    <row r="8755" ht="15.75" customHeight="1"/>
    <row r="8756" ht="15.75" customHeight="1"/>
    <row r="8757" ht="15.75" customHeight="1"/>
    <row r="8758" ht="15.75" customHeight="1"/>
    <row r="8759" ht="15.75" customHeight="1"/>
    <row r="8760" ht="15.75" customHeight="1"/>
    <row r="8761" ht="15.75" customHeight="1"/>
    <row r="8762" ht="15.75" customHeight="1"/>
    <row r="8763" ht="15.75" customHeight="1"/>
    <row r="8764" ht="15.75" customHeight="1"/>
    <row r="8765" ht="15.75" customHeight="1"/>
    <row r="8766" ht="15.75" customHeight="1"/>
    <row r="8767" ht="15.75" customHeight="1"/>
    <row r="8768" ht="15.75" customHeight="1"/>
    <row r="8769" ht="15.75" customHeight="1"/>
    <row r="8770" ht="15.75" customHeight="1"/>
    <row r="8771" ht="15.75" customHeight="1"/>
    <row r="8772" ht="15.75" customHeight="1"/>
    <row r="8773" ht="15.75" customHeight="1"/>
    <row r="8774" ht="15.75" customHeight="1"/>
    <row r="8775" ht="15.75" customHeight="1"/>
    <row r="8776" ht="15.75" customHeight="1"/>
    <row r="8777" ht="15.75" customHeight="1"/>
    <row r="8778" ht="15.75" customHeight="1"/>
    <row r="8779" ht="15.75" customHeight="1"/>
    <row r="8780" ht="15.75" customHeight="1"/>
    <row r="8781" ht="15.75" customHeight="1"/>
    <row r="8782" ht="15.75" customHeight="1"/>
    <row r="8783" ht="15.75" customHeight="1"/>
    <row r="8784" ht="15.75" customHeight="1"/>
    <row r="8785" ht="15.75" customHeight="1"/>
    <row r="8786" ht="15.75" customHeight="1"/>
    <row r="8787" ht="15.75" customHeight="1"/>
    <row r="8788" ht="15.75" customHeight="1"/>
    <row r="8789" ht="15.75" customHeight="1"/>
    <row r="8790" ht="15.75" customHeight="1"/>
    <row r="8791" ht="15.75" customHeight="1"/>
    <row r="8792" ht="15.75" customHeight="1"/>
    <row r="8793" ht="15.75" customHeight="1"/>
    <row r="8794" ht="15.75" customHeight="1"/>
    <row r="8795" ht="15.75" customHeight="1"/>
    <row r="8796" ht="15.75" customHeight="1"/>
    <row r="8797" ht="15.75" customHeight="1"/>
    <row r="8798" ht="15.75" customHeight="1"/>
    <row r="8799" ht="15.75" customHeight="1"/>
    <row r="8800" ht="15.75" customHeight="1"/>
    <row r="8801" ht="15.75" customHeight="1"/>
    <row r="8802" ht="15.75" customHeight="1"/>
    <row r="8803" ht="15.75" customHeight="1"/>
    <row r="8804" ht="15.75" customHeight="1"/>
    <row r="8805" ht="15.75" customHeight="1"/>
    <row r="8806" ht="15.75" customHeight="1"/>
    <row r="8807" ht="15.75" customHeight="1"/>
    <row r="8808" ht="15.75" customHeight="1"/>
    <row r="8809" ht="15.75" customHeight="1"/>
    <row r="8810" ht="15.75" customHeight="1"/>
    <row r="8811" ht="15.75" customHeight="1"/>
    <row r="8812" ht="15.75" customHeight="1"/>
    <row r="8813" ht="15.75" customHeight="1"/>
    <row r="8814" ht="15.75" customHeight="1"/>
    <row r="8815" ht="15.75" customHeight="1"/>
    <row r="8816" ht="15.75" customHeight="1"/>
    <row r="8817" ht="15.75" customHeight="1"/>
    <row r="8818" ht="15.75" customHeight="1"/>
    <row r="8819" ht="15.75" customHeight="1"/>
    <row r="8820" ht="15.75" customHeight="1"/>
    <row r="8821" ht="15.75" customHeight="1"/>
    <row r="8822" ht="15.75" customHeight="1"/>
    <row r="8823" ht="15.75" customHeight="1"/>
    <row r="8824" ht="15.75" customHeight="1"/>
    <row r="8825" ht="15.75" customHeight="1"/>
    <row r="8826" ht="15.75" customHeight="1"/>
    <row r="8827" ht="15.75" customHeight="1"/>
    <row r="8828" ht="15.75" customHeight="1"/>
    <row r="8829" ht="15.75" customHeight="1"/>
    <row r="8830" ht="15.75" customHeight="1"/>
    <row r="8831" ht="15.75" customHeight="1"/>
    <row r="8832" ht="15.75" customHeight="1"/>
    <row r="8833" ht="15.75" customHeight="1"/>
    <row r="8834" ht="15.75" customHeight="1"/>
    <row r="8835" ht="15.75" customHeight="1"/>
    <row r="8836" ht="15.75" customHeight="1"/>
    <row r="8837" ht="15.75" customHeight="1"/>
    <row r="8838" ht="15.75" customHeight="1"/>
    <row r="8839" ht="15.75" customHeight="1"/>
    <row r="8840" ht="15.75" customHeight="1"/>
    <row r="8841" ht="15.75" customHeight="1"/>
    <row r="8842" ht="15.75" customHeight="1"/>
    <row r="8843" ht="15.75" customHeight="1"/>
    <row r="8844" ht="15.75" customHeight="1"/>
    <row r="8845" ht="15.75" customHeight="1"/>
    <row r="8846" ht="15.75" customHeight="1"/>
    <row r="8847" ht="15.75" customHeight="1"/>
    <row r="8848" ht="15.75" customHeight="1"/>
    <row r="8849" ht="15.75" customHeight="1"/>
    <row r="8850" ht="15.75" customHeight="1"/>
    <row r="8851" ht="15.75" customHeight="1"/>
    <row r="8852" ht="15.75" customHeight="1"/>
    <row r="8853" ht="15.75" customHeight="1"/>
    <row r="8854" ht="15.75" customHeight="1"/>
    <row r="8855" ht="15.75" customHeight="1"/>
    <row r="8856" ht="15.75" customHeight="1"/>
    <row r="8857" ht="15.75" customHeight="1"/>
    <row r="8858" ht="15.75" customHeight="1"/>
    <row r="8859" ht="15.75" customHeight="1"/>
    <row r="8860" ht="15.75" customHeight="1"/>
    <row r="8861" ht="15.75" customHeight="1"/>
    <row r="8862" ht="15.75" customHeight="1"/>
    <row r="8863" ht="15.75" customHeight="1"/>
    <row r="8864" ht="15.75" customHeight="1"/>
    <row r="8865" ht="15.75" customHeight="1"/>
    <row r="8866" ht="15.75" customHeight="1"/>
    <row r="8867" ht="15.75" customHeight="1"/>
    <row r="8868" ht="15.75" customHeight="1"/>
    <row r="8869" ht="15.75" customHeight="1"/>
    <row r="8870" ht="15.75" customHeight="1"/>
    <row r="8871" ht="15.75" customHeight="1"/>
    <row r="8872" ht="15.75" customHeight="1"/>
    <row r="8873" ht="15.75" customHeight="1"/>
    <row r="8874" ht="15.75" customHeight="1"/>
    <row r="8875" ht="15.75" customHeight="1"/>
    <row r="8876" ht="15.75" customHeight="1"/>
    <row r="8877" ht="15.75" customHeight="1"/>
    <row r="8878" ht="15.75" customHeight="1"/>
    <row r="8879" ht="15.75" customHeight="1"/>
    <row r="8880" ht="15.75" customHeight="1"/>
    <row r="8881" ht="15.75" customHeight="1"/>
    <row r="8882" ht="15.75" customHeight="1"/>
    <row r="8883" ht="15.75" customHeight="1"/>
    <row r="8884" ht="15.75" customHeight="1"/>
    <row r="8885" ht="15.75" customHeight="1"/>
    <row r="8886" ht="15.75" customHeight="1"/>
    <row r="8887" ht="15.75" customHeight="1"/>
    <row r="8888" ht="15.75" customHeight="1"/>
    <row r="8889" ht="15.75" customHeight="1"/>
    <row r="8890" ht="15.75" customHeight="1"/>
    <row r="8891" ht="15.75" customHeight="1"/>
    <row r="8892" ht="15.75" customHeight="1"/>
    <row r="8893" ht="15.75" customHeight="1"/>
    <row r="8894" ht="15.75" customHeight="1"/>
    <row r="8895" ht="15.75" customHeight="1"/>
    <row r="8896" ht="15.75" customHeight="1"/>
    <row r="8897" ht="15.75" customHeight="1"/>
    <row r="8898" ht="15.75" customHeight="1"/>
    <row r="8899" ht="15.75" customHeight="1"/>
    <row r="8900" ht="15.75" customHeight="1"/>
    <row r="8901" ht="15.75" customHeight="1"/>
    <row r="8902" ht="15.75" customHeight="1"/>
    <row r="8903" ht="15.75" customHeight="1"/>
    <row r="8904" ht="15.75" customHeight="1"/>
    <row r="8905" ht="15.75" customHeight="1"/>
    <row r="8906" ht="15.75" customHeight="1"/>
    <row r="8907" ht="15.75" customHeight="1"/>
    <row r="8908" ht="15.75" customHeight="1"/>
    <row r="8909" ht="15.75" customHeight="1"/>
    <row r="8910" ht="15.75" customHeight="1"/>
    <row r="8911" ht="15.75" customHeight="1"/>
    <row r="8912" ht="15.75" customHeight="1"/>
    <row r="8913" ht="15.75" customHeight="1"/>
    <row r="8914" ht="15.75" customHeight="1"/>
    <row r="8915" ht="15.75" customHeight="1"/>
    <row r="8916" ht="15.75" customHeight="1"/>
    <row r="8917" ht="15.75" customHeight="1"/>
    <row r="8918" ht="15.75" customHeight="1"/>
    <row r="8919" ht="15.75" customHeight="1"/>
    <row r="8920" ht="15.75" customHeight="1"/>
    <row r="8921" ht="15.75" customHeight="1"/>
    <row r="8922" ht="15.75" customHeight="1"/>
    <row r="8923" ht="15.75" customHeight="1"/>
    <row r="8924" ht="15.75" customHeight="1"/>
    <row r="8925" ht="15.75" customHeight="1"/>
    <row r="8926" ht="15.75" customHeight="1"/>
    <row r="8927" ht="15.75" customHeight="1"/>
    <row r="8928" ht="15.75" customHeight="1"/>
    <row r="8929" ht="15.75" customHeight="1"/>
    <row r="8930" ht="15.75" customHeight="1"/>
    <row r="8931" ht="15.75" customHeight="1"/>
    <row r="8932" ht="15.75" customHeight="1"/>
    <row r="8933" ht="15.75" customHeight="1"/>
    <row r="8934" ht="15.75" customHeight="1"/>
    <row r="8935" ht="15.75" customHeight="1"/>
    <row r="8936" ht="15.75" customHeight="1"/>
    <row r="8937" ht="15.75" customHeight="1"/>
    <row r="8938" ht="15.75" customHeight="1"/>
    <row r="8939" ht="15.75" customHeight="1"/>
    <row r="8940" ht="15.75" customHeight="1"/>
    <row r="8941" ht="15.75" customHeight="1"/>
    <row r="8942" ht="15.75" customHeight="1"/>
    <row r="8943" ht="15.75" customHeight="1"/>
    <row r="8944" ht="15.75" customHeight="1"/>
    <row r="8945" ht="15.75" customHeight="1"/>
    <row r="8946" ht="15.75" customHeight="1"/>
    <row r="8947" ht="15.75" customHeight="1"/>
    <row r="8948" ht="15.75" customHeight="1"/>
    <row r="8949" ht="15.75" customHeight="1"/>
    <row r="8950" ht="15.75" customHeight="1"/>
    <row r="8951" ht="15.75" customHeight="1"/>
    <row r="8952" ht="15.75" customHeight="1"/>
    <row r="8953" ht="15.75" customHeight="1"/>
    <row r="8954" ht="15.75" customHeight="1"/>
    <row r="8955" ht="15.75" customHeight="1"/>
    <row r="8956" ht="15.75" customHeight="1"/>
    <row r="8957" ht="15.75" customHeight="1"/>
    <row r="8958" ht="15.75" customHeight="1"/>
    <row r="8959" ht="15.75" customHeight="1"/>
    <row r="8960" ht="15.75" customHeight="1"/>
    <row r="8961" ht="15.75" customHeight="1"/>
    <row r="8962" ht="15.75" customHeight="1"/>
    <row r="8963" ht="15.75" customHeight="1"/>
    <row r="8964" ht="15.75" customHeight="1"/>
    <row r="8965" ht="15.75" customHeight="1"/>
    <row r="8966" ht="15.75" customHeight="1"/>
    <row r="8967" ht="15.75" customHeight="1"/>
    <row r="8968" ht="15.75" customHeight="1"/>
    <row r="8969" ht="15.75" customHeight="1"/>
    <row r="8970" ht="15.75" customHeight="1"/>
    <row r="8971" ht="15.75" customHeight="1"/>
    <row r="8972" ht="15.75" customHeight="1"/>
    <row r="8973" ht="15.75" customHeight="1"/>
    <row r="8974" ht="15.75" customHeight="1"/>
    <row r="8975" ht="15.75" customHeight="1"/>
    <row r="8976" ht="15.75" customHeight="1"/>
    <row r="8977" ht="15.75" customHeight="1"/>
    <row r="8978" ht="15.75" customHeight="1"/>
    <row r="8979" ht="15.75" customHeight="1"/>
    <row r="8980" ht="15.75" customHeight="1"/>
    <row r="8981" ht="15.75" customHeight="1"/>
    <row r="8982" ht="15.75" customHeight="1"/>
    <row r="8983" ht="15.75" customHeight="1"/>
    <row r="8984" ht="15.75" customHeight="1"/>
    <row r="8985" ht="15.75" customHeight="1"/>
    <row r="8986" ht="15.75" customHeight="1"/>
    <row r="8987" ht="15.75" customHeight="1"/>
    <row r="8988" ht="15.75" customHeight="1"/>
    <row r="8989" ht="15.75" customHeight="1"/>
    <row r="8990" ht="15.75" customHeight="1"/>
    <row r="8991" ht="15.75" customHeight="1"/>
    <row r="8992" ht="15.75" customHeight="1"/>
    <row r="8993" ht="15.75" customHeight="1"/>
    <row r="8994" ht="15.75" customHeight="1"/>
    <row r="8995" ht="15.75" customHeight="1"/>
    <row r="8996" ht="15.75" customHeight="1"/>
    <row r="8997" ht="15.75" customHeight="1"/>
    <row r="8998" ht="15.75" customHeight="1"/>
    <row r="8999" ht="15.75" customHeight="1"/>
    <row r="9000" ht="15.75" customHeight="1"/>
    <row r="9001" ht="15.75" customHeight="1"/>
    <row r="9002" ht="15.75" customHeight="1"/>
    <row r="9003" ht="15.75" customHeight="1"/>
    <row r="9004" ht="15.75" customHeight="1"/>
    <row r="9005" ht="15.75" customHeight="1"/>
    <row r="9006" ht="15.75" customHeight="1"/>
    <row r="9007" ht="15.75" customHeight="1"/>
    <row r="9008" ht="15.75" customHeight="1"/>
    <row r="9009" ht="15.75" customHeight="1"/>
    <row r="9010" ht="15.75" customHeight="1"/>
    <row r="9011" ht="15.75" customHeight="1"/>
    <row r="9012" ht="15.75" customHeight="1"/>
    <row r="9013" ht="15.75" customHeight="1"/>
    <row r="9014" ht="15.75" customHeight="1"/>
    <row r="9015" ht="15.75" customHeight="1"/>
    <row r="9016" ht="15.75" customHeight="1"/>
    <row r="9017" ht="15.75" customHeight="1"/>
    <row r="9018" ht="15.75" customHeight="1"/>
    <row r="9019" ht="15.75" customHeight="1"/>
    <row r="9020" ht="15.75" customHeight="1"/>
    <row r="9021" ht="15.75" customHeight="1"/>
    <row r="9022" ht="15.75" customHeight="1"/>
    <row r="9023" ht="15.75" customHeight="1"/>
    <row r="9024" ht="15.75" customHeight="1"/>
    <row r="9025" ht="15.75" customHeight="1"/>
    <row r="9026" ht="15.75" customHeight="1"/>
    <row r="9027" ht="15.75" customHeight="1"/>
    <row r="9028" ht="15.75" customHeight="1"/>
    <row r="9029" ht="15.75" customHeight="1"/>
    <row r="9030" ht="15.75" customHeight="1"/>
    <row r="9031" ht="15.75" customHeight="1"/>
    <row r="9032" ht="15.75" customHeight="1"/>
    <row r="9033" ht="15.75" customHeight="1"/>
    <row r="9034" ht="15.75" customHeight="1"/>
    <row r="9035" ht="15.75" customHeight="1"/>
    <row r="9036" ht="15.75" customHeight="1"/>
    <row r="9037" ht="15.75" customHeight="1"/>
    <row r="9038" ht="15.75" customHeight="1"/>
    <row r="9039" ht="15.75" customHeight="1"/>
    <row r="9040" ht="15.75" customHeight="1"/>
    <row r="9041" ht="15.75" customHeight="1"/>
    <row r="9042" ht="15.75" customHeight="1"/>
    <row r="9043" ht="15.75" customHeight="1"/>
    <row r="9044" ht="15.75" customHeight="1"/>
    <row r="9045" ht="15.75" customHeight="1"/>
    <row r="9046" ht="15.75" customHeight="1"/>
    <row r="9047" ht="15.75" customHeight="1"/>
    <row r="9048" ht="15.75" customHeight="1"/>
    <row r="9049" ht="15.75" customHeight="1"/>
    <row r="9050" ht="15.75" customHeight="1"/>
    <row r="9051" ht="15.75" customHeight="1"/>
    <row r="9052" ht="15.75" customHeight="1"/>
    <row r="9053" ht="15.75" customHeight="1"/>
    <row r="9054" ht="15.75" customHeight="1"/>
    <row r="9055" ht="15.75" customHeight="1"/>
    <row r="9056" ht="15.75" customHeight="1"/>
    <row r="9057" ht="15.75" customHeight="1"/>
    <row r="9058" ht="15.75" customHeight="1"/>
    <row r="9059" ht="15.75" customHeight="1"/>
    <row r="9060" ht="15.75" customHeight="1"/>
    <row r="9061" ht="15.75" customHeight="1"/>
    <row r="9062" ht="15.75" customHeight="1"/>
    <row r="9063" ht="15.75" customHeight="1"/>
    <row r="9064" ht="15.75" customHeight="1"/>
    <row r="9065" ht="15.75" customHeight="1"/>
    <row r="9066" ht="15.75" customHeight="1"/>
    <row r="9067" ht="15.75" customHeight="1"/>
    <row r="9068" ht="15.75" customHeight="1"/>
    <row r="9069" ht="15.75" customHeight="1"/>
    <row r="9070" ht="15.75" customHeight="1"/>
    <row r="9071" ht="15.75" customHeight="1"/>
    <row r="9072" ht="15.75" customHeight="1"/>
    <row r="9073" ht="15.75" customHeight="1"/>
    <row r="9074" ht="15.75" customHeight="1"/>
    <row r="9075" ht="15.75" customHeight="1"/>
    <row r="9076" ht="15.75" customHeight="1"/>
    <row r="9077" ht="15.75" customHeight="1"/>
    <row r="9078" ht="15.75" customHeight="1"/>
    <row r="9079" ht="15.75" customHeight="1"/>
    <row r="9080" ht="15.75" customHeight="1"/>
    <row r="9081" ht="15.75" customHeight="1"/>
    <row r="9082" ht="15.75" customHeight="1"/>
    <row r="9083" ht="15.75" customHeight="1"/>
    <row r="9084" ht="15.75" customHeight="1"/>
    <row r="9085" ht="15.75" customHeight="1"/>
    <row r="9086" ht="15.75" customHeight="1"/>
    <row r="9087" ht="15.75" customHeight="1"/>
    <row r="9088" ht="15.75" customHeight="1"/>
    <row r="9089" ht="15.75" customHeight="1"/>
    <row r="9090" ht="15.75" customHeight="1"/>
    <row r="9091" ht="15.75" customHeight="1"/>
    <row r="9092" ht="15.75" customHeight="1"/>
    <row r="9093" ht="15.75" customHeight="1"/>
    <row r="9094" ht="15.75" customHeight="1"/>
    <row r="9095" ht="15.75" customHeight="1"/>
    <row r="9096" ht="15.75" customHeight="1"/>
    <row r="9097" ht="15.75" customHeight="1"/>
    <row r="9098" ht="15.75" customHeight="1"/>
    <row r="9099" ht="15.75" customHeight="1"/>
    <row r="9100" ht="15.75" customHeight="1"/>
    <row r="9101" ht="15.75" customHeight="1"/>
    <row r="9102" ht="15.75" customHeight="1"/>
    <row r="9103" ht="15.75" customHeight="1"/>
    <row r="9104" ht="15.75" customHeight="1"/>
    <row r="9105" ht="15.75" customHeight="1"/>
    <row r="9106" ht="15.75" customHeight="1"/>
    <row r="9107" ht="15.75" customHeight="1"/>
    <row r="9108" ht="15.75" customHeight="1"/>
    <row r="9109" ht="15.75" customHeight="1"/>
    <row r="9110" ht="15.75" customHeight="1"/>
    <row r="9111" ht="15.75" customHeight="1"/>
    <row r="9112" ht="15.75" customHeight="1"/>
    <row r="9113" ht="15.75" customHeight="1"/>
    <row r="9114" ht="15.75" customHeight="1"/>
    <row r="9115" ht="15.75" customHeight="1"/>
    <row r="9116" ht="15.75" customHeight="1"/>
    <row r="9117" ht="15.75" customHeight="1"/>
    <row r="9118" ht="15.75" customHeight="1"/>
    <row r="9119" ht="15.75" customHeight="1"/>
    <row r="9120" ht="15.75" customHeight="1"/>
    <row r="9121" ht="15.75" customHeight="1"/>
    <row r="9122" ht="15.75" customHeight="1"/>
    <row r="9123" ht="15.75" customHeight="1"/>
    <row r="9124" ht="15.75" customHeight="1"/>
    <row r="9125" ht="15.75" customHeight="1"/>
    <row r="9126" ht="15.75" customHeight="1"/>
    <row r="9127" ht="15.75" customHeight="1"/>
    <row r="9128" ht="15.75" customHeight="1"/>
    <row r="9129" ht="15.75" customHeight="1"/>
    <row r="9130" ht="15.75" customHeight="1"/>
    <row r="9131" ht="15.75" customHeight="1"/>
    <row r="9132" ht="15.75" customHeight="1"/>
    <row r="9133" ht="15.75" customHeight="1"/>
    <row r="9134" ht="15.75" customHeight="1"/>
    <row r="9135" ht="15.75" customHeight="1"/>
    <row r="9136" ht="15.75" customHeight="1"/>
    <row r="9137" ht="15.75" customHeight="1"/>
    <row r="9138" ht="15.75" customHeight="1"/>
    <row r="9139" ht="15.75" customHeight="1"/>
    <row r="9140" ht="15.75" customHeight="1"/>
    <row r="9141" ht="15.75" customHeight="1"/>
    <row r="9142" ht="15.75" customHeight="1"/>
    <row r="9143" ht="15.75" customHeight="1"/>
    <row r="9144" ht="15.75" customHeight="1"/>
    <row r="9145" ht="15.75" customHeight="1"/>
    <row r="9146" ht="15.75" customHeight="1"/>
    <row r="9147" ht="15.75" customHeight="1"/>
    <row r="9148" ht="15.75" customHeight="1"/>
    <row r="9149" ht="15.75" customHeight="1"/>
    <row r="9150" ht="15.75" customHeight="1"/>
    <row r="9151" ht="15.75" customHeight="1"/>
    <row r="9152" ht="15.75" customHeight="1"/>
    <row r="9153" ht="15.75" customHeight="1"/>
    <row r="9154" ht="15.75" customHeight="1"/>
    <row r="9155" ht="15.75" customHeight="1"/>
    <row r="9156" ht="15.75" customHeight="1"/>
    <row r="9157" ht="15.75" customHeight="1"/>
    <row r="9158" ht="15.75" customHeight="1"/>
    <row r="9159" ht="15.75" customHeight="1"/>
    <row r="9160" ht="15.75" customHeight="1"/>
    <row r="9161" ht="15.75" customHeight="1"/>
    <row r="9162" ht="15.75" customHeight="1"/>
    <row r="9163" ht="15.75" customHeight="1"/>
    <row r="9164" ht="15.75" customHeight="1"/>
    <row r="9165" ht="15.75" customHeight="1"/>
    <row r="9166" ht="15.75" customHeight="1"/>
    <row r="9167" ht="15.75" customHeight="1"/>
    <row r="9168" ht="15.75" customHeight="1"/>
    <row r="9169" ht="15.75" customHeight="1"/>
    <row r="9170" ht="15.75" customHeight="1"/>
    <row r="9171" ht="15.75" customHeight="1"/>
    <row r="9172" ht="15.75" customHeight="1"/>
    <row r="9173" ht="15.75" customHeight="1"/>
    <row r="9174" ht="15.75" customHeight="1"/>
    <row r="9175" ht="15.75" customHeight="1"/>
    <row r="9176" ht="15.75" customHeight="1"/>
    <row r="9177" ht="15.75" customHeight="1"/>
    <row r="9178" ht="15.75" customHeight="1"/>
    <row r="9179" ht="15.75" customHeight="1"/>
    <row r="9180" ht="15.75" customHeight="1"/>
    <row r="9181" ht="15.75" customHeight="1"/>
    <row r="9182" ht="15.75" customHeight="1"/>
    <row r="9183" ht="15.75" customHeight="1"/>
    <row r="9184" ht="15.75" customHeight="1"/>
    <row r="9185" ht="15.75" customHeight="1"/>
    <row r="9186" ht="15.75" customHeight="1"/>
    <row r="9187" ht="15.75" customHeight="1"/>
    <row r="9188" ht="15.75" customHeight="1"/>
    <row r="9189" ht="15.75" customHeight="1"/>
    <row r="9190" ht="15.75" customHeight="1"/>
    <row r="9191" ht="15.75" customHeight="1"/>
    <row r="9192" ht="15.75" customHeight="1"/>
    <row r="9193" ht="15.75" customHeight="1"/>
    <row r="9194" ht="15.75" customHeight="1"/>
    <row r="9195" ht="15.75" customHeight="1"/>
    <row r="9196" ht="15.75" customHeight="1"/>
    <row r="9197" ht="15.75" customHeight="1"/>
    <row r="9198" ht="15.75" customHeight="1"/>
    <row r="9199" ht="15.75" customHeight="1"/>
    <row r="9200" ht="15.75" customHeight="1"/>
    <row r="9201" ht="15.75" customHeight="1"/>
    <row r="9202" ht="15.75" customHeight="1"/>
    <row r="9203" ht="15.75" customHeight="1"/>
    <row r="9204" ht="15.75" customHeight="1"/>
    <row r="9205" ht="15.75" customHeight="1"/>
    <row r="9206" ht="15.75" customHeight="1"/>
    <row r="9207" ht="15.75" customHeight="1"/>
    <row r="9208" ht="15.75" customHeight="1"/>
    <row r="9209" ht="15.75" customHeight="1"/>
    <row r="9210" ht="15.75" customHeight="1"/>
    <row r="9211" ht="15.75" customHeight="1"/>
    <row r="9212" ht="15.75" customHeight="1"/>
    <row r="9213" ht="15.75" customHeight="1"/>
    <row r="9214" ht="15.75" customHeight="1"/>
    <row r="9215" ht="15.75" customHeight="1"/>
    <row r="9216" ht="15.75" customHeight="1"/>
    <row r="9217" ht="15.75" customHeight="1"/>
    <row r="9218" ht="15.75" customHeight="1"/>
    <row r="9219" ht="15.75" customHeight="1"/>
    <row r="9220" ht="15.75" customHeight="1"/>
    <row r="9221" ht="15.75" customHeight="1"/>
    <row r="9222" ht="15.75" customHeight="1"/>
    <row r="9223" ht="15.75" customHeight="1"/>
    <row r="9224" ht="15.75" customHeight="1"/>
    <row r="9225" ht="15.75" customHeight="1"/>
    <row r="9226" ht="15.75" customHeight="1"/>
    <row r="9227" ht="15.75" customHeight="1"/>
    <row r="9228" ht="15.75" customHeight="1"/>
    <row r="9229" ht="15.75" customHeight="1"/>
    <row r="9230" ht="15.75" customHeight="1"/>
    <row r="9231" ht="15.75" customHeight="1"/>
    <row r="9232" ht="15.75" customHeight="1"/>
    <row r="9233" ht="15.75" customHeight="1"/>
    <row r="9234" ht="15.75" customHeight="1"/>
    <row r="9235" ht="15.75" customHeight="1"/>
    <row r="9236" ht="15.75" customHeight="1"/>
    <row r="9237" ht="15.75" customHeight="1"/>
    <row r="9238" ht="15.75" customHeight="1"/>
    <row r="9239" ht="15.75" customHeight="1"/>
    <row r="9240" ht="15.75" customHeight="1"/>
    <row r="9241" ht="15.75" customHeight="1"/>
    <row r="9242" ht="15.75" customHeight="1"/>
    <row r="9243" ht="15.75" customHeight="1"/>
    <row r="9244" ht="15.75" customHeight="1"/>
    <row r="9245" ht="15.75" customHeight="1"/>
    <row r="9246" ht="15.75" customHeight="1"/>
    <row r="9247" ht="15.75" customHeight="1"/>
    <row r="9248" ht="15.75" customHeight="1"/>
    <row r="9249" ht="15.75" customHeight="1"/>
    <row r="9250" ht="15.75" customHeight="1"/>
    <row r="9251" ht="15.75" customHeight="1"/>
    <row r="9252" ht="15.75" customHeight="1"/>
    <row r="9253" ht="15.75" customHeight="1"/>
    <row r="9254" ht="15.75" customHeight="1"/>
    <row r="9255" ht="15.75" customHeight="1"/>
    <row r="9256" ht="15.75" customHeight="1"/>
    <row r="9257" ht="15.75" customHeight="1"/>
    <row r="9258" ht="15.75" customHeight="1"/>
    <row r="9259" ht="15.75" customHeight="1"/>
    <row r="9260" ht="15.75" customHeight="1"/>
    <row r="9261" ht="15.75" customHeight="1"/>
    <row r="9262" ht="15.75" customHeight="1"/>
    <row r="9263" ht="15.75" customHeight="1"/>
    <row r="9264" ht="15.75" customHeight="1"/>
    <row r="9265" ht="15.75" customHeight="1"/>
    <row r="9266" ht="15.75" customHeight="1"/>
    <row r="9267" ht="15.75" customHeight="1"/>
    <row r="9268" ht="15.75" customHeight="1"/>
    <row r="9269" ht="15.75" customHeight="1"/>
    <row r="9270" ht="15.75" customHeight="1"/>
    <row r="9271" ht="15.75" customHeight="1"/>
    <row r="9272" ht="15.75" customHeight="1"/>
    <row r="9273" ht="15.75" customHeight="1"/>
    <row r="9274" ht="15.75" customHeight="1"/>
    <row r="9275" ht="15.75" customHeight="1"/>
    <row r="9276" ht="15.75" customHeight="1"/>
    <row r="9277" ht="15.75" customHeight="1"/>
    <row r="9278" ht="15.75" customHeight="1"/>
    <row r="9279" ht="15.75" customHeight="1"/>
    <row r="9280" ht="15.75" customHeight="1"/>
    <row r="9281" ht="15.75" customHeight="1"/>
    <row r="9282" ht="15.75" customHeight="1"/>
    <row r="9283" ht="15.75" customHeight="1"/>
    <row r="9284" ht="15.75" customHeight="1"/>
    <row r="9285" ht="15.75" customHeight="1"/>
    <row r="9286" ht="15.75" customHeight="1"/>
    <row r="9287" ht="15.75" customHeight="1"/>
    <row r="9288" ht="15.75" customHeight="1"/>
    <row r="9289" ht="15.75" customHeight="1"/>
    <row r="9290" ht="15.75" customHeight="1"/>
    <row r="9291" ht="15.75" customHeight="1"/>
    <row r="9292" ht="15.75" customHeight="1"/>
    <row r="9293" ht="15.75" customHeight="1"/>
    <row r="9294" ht="15.75" customHeight="1"/>
    <row r="9295" ht="15.75" customHeight="1"/>
    <row r="9296" ht="15.75" customHeight="1"/>
    <row r="9297" ht="15.75" customHeight="1"/>
    <row r="9298" ht="15.75" customHeight="1"/>
    <row r="9299" ht="15.75" customHeight="1"/>
    <row r="9300" ht="15.75" customHeight="1"/>
    <row r="9301" ht="15.75" customHeight="1"/>
    <row r="9302" ht="15.75" customHeight="1"/>
    <row r="9303" ht="15.75" customHeight="1"/>
    <row r="9304" ht="15.75" customHeight="1"/>
    <row r="9305" ht="15.75" customHeight="1"/>
    <row r="9306" ht="15.75" customHeight="1"/>
    <row r="9307" ht="15.75" customHeight="1"/>
    <row r="9308" ht="15.75" customHeight="1"/>
    <row r="9309" ht="15.75" customHeight="1"/>
    <row r="9310" ht="15.75" customHeight="1"/>
    <row r="9311" ht="15.75" customHeight="1"/>
    <row r="9312" ht="15.75" customHeight="1"/>
    <row r="9313" ht="15.75" customHeight="1"/>
    <row r="9314" ht="15.75" customHeight="1"/>
    <row r="9315" ht="15.75" customHeight="1"/>
    <row r="9316" ht="15.75" customHeight="1"/>
    <row r="9317" ht="15.75" customHeight="1"/>
    <row r="9318" ht="15.75" customHeight="1"/>
    <row r="9319" ht="15.75" customHeight="1"/>
    <row r="9320" ht="15.75" customHeight="1"/>
    <row r="9321" ht="15.75" customHeight="1"/>
    <row r="9322" ht="15.75" customHeight="1"/>
    <row r="9323" ht="15.75" customHeight="1"/>
    <row r="9324" ht="15.75" customHeight="1"/>
    <row r="9325" ht="15.75" customHeight="1"/>
    <row r="9326" ht="15.75" customHeight="1"/>
    <row r="9327" ht="15.75" customHeight="1"/>
    <row r="9328" ht="15.75" customHeight="1"/>
    <row r="9329" ht="15.75" customHeight="1"/>
    <row r="9330" ht="15.75" customHeight="1"/>
    <row r="9331" ht="15.75" customHeight="1"/>
    <row r="9332" ht="15.75" customHeight="1"/>
    <row r="9333" ht="15.75" customHeight="1"/>
    <row r="9334" ht="15.75" customHeight="1"/>
    <row r="9335" ht="15.75" customHeight="1"/>
    <row r="9336" ht="15.75" customHeight="1"/>
    <row r="9337" ht="15.75" customHeight="1"/>
    <row r="9338" ht="15.75" customHeight="1"/>
    <row r="9339" ht="15.75" customHeight="1"/>
    <row r="9340" ht="15.75" customHeight="1"/>
    <row r="9341" ht="15.75" customHeight="1"/>
    <row r="9342" ht="15.75" customHeight="1"/>
    <row r="9343" ht="15.75" customHeight="1"/>
    <row r="9344" ht="15.75" customHeight="1"/>
    <row r="9345" ht="15.75" customHeight="1"/>
    <row r="9346" ht="15.75" customHeight="1"/>
    <row r="9347" ht="15.75" customHeight="1"/>
    <row r="9348" ht="15.75" customHeight="1"/>
    <row r="9349" ht="15.75" customHeight="1"/>
    <row r="9350" ht="15.75" customHeight="1"/>
    <row r="9351" ht="15.75" customHeight="1"/>
    <row r="9352" ht="15.75" customHeight="1"/>
    <row r="9353" ht="15.75" customHeight="1"/>
    <row r="9354" ht="15.75" customHeight="1"/>
    <row r="9355" ht="15.75" customHeight="1"/>
    <row r="9356" ht="15.75" customHeight="1"/>
    <row r="9357" ht="15.75" customHeight="1"/>
    <row r="9358" ht="15.75" customHeight="1"/>
    <row r="9359" ht="15.75" customHeight="1"/>
    <row r="9360" ht="15.75" customHeight="1"/>
    <row r="9361" ht="15.75" customHeight="1"/>
    <row r="9362" ht="15.75" customHeight="1"/>
    <row r="9363" ht="15.75" customHeight="1"/>
    <row r="9364" ht="15.75" customHeight="1"/>
    <row r="9365" ht="15.75" customHeight="1"/>
    <row r="9366" ht="15.75" customHeight="1"/>
    <row r="9367" ht="15.75" customHeight="1"/>
    <row r="9368" ht="15.75" customHeight="1"/>
    <row r="9369" ht="15.75" customHeight="1"/>
    <row r="9370" ht="15.75" customHeight="1"/>
    <row r="9371" ht="15.75" customHeight="1"/>
    <row r="9372" ht="15.75" customHeight="1"/>
    <row r="9373" ht="15.75" customHeight="1"/>
    <row r="9374" ht="15.75" customHeight="1"/>
    <row r="9375" ht="15.75" customHeight="1"/>
    <row r="9376" ht="15.75" customHeight="1"/>
    <row r="9377" ht="15.75" customHeight="1"/>
    <row r="9378" ht="15.75" customHeight="1"/>
    <row r="9379" ht="15.75" customHeight="1"/>
    <row r="9380" ht="15.75" customHeight="1"/>
    <row r="9381" ht="15.75" customHeight="1"/>
    <row r="9382" ht="15.75" customHeight="1"/>
    <row r="9383" ht="15.75" customHeight="1"/>
    <row r="9384" ht="15.75" customHeight="1"/>
    <row r="9385" ht="15.75" customHeight="1"/>
    <row r="9386" ht="15.75" customHeight="1"/>
    <row r="9387" ht="15.75" customHeight="1"/>
    <row r="9388" ht="15.75" customHeight="1"/>
    <row r="9389" ht="15.75" customHeight="1"/>
    <row r="9390" ht="15.75" customHeight="1"/>
    <row r="9391" ht="15.75" customHeight="1"/>
    <row r="9392" ht="15.75" customHeight="1"/>
    <row r="9393" ht="15.75" customHeight="1"/>
    <row r="9394" ht="15.75" customHeight="1"/>
    <row r="9395" ht="15.75" customHeight="1"/>
    <row r="9396" ht="15.75" customHeight="1"/>
    <row r="9397" ht="15.75" customHeight="1"/>
    <row r="9398" ht="15.75" customHeight="1"/>
    <row r="9399" ht="15.75" customHeight="1"/>
    <row r="9400" ht="15.75" customHeight="1"/>
    <row r="9401" ht="15.75" customHeight="1"/>
    <row r="9402" ht="15.75" customHeight="1"/>
    <row r="9403" ht="15.75" customHeight="1"/>
    <row r="9404" ht="15.75" customHeight="1"/>
    <row r="9405" ht="15.75" customHeight="1"/>
    <row r="9406" ht="15.75" customHeight="1"/>
    <row r="9407" ht="15.75" customHeight="1"/>
    <row r="9408" ht="15.75" customHeight="1"/>
    <row r="9409" ht="15.75" customHeight="1"/>
    <row r="9410" ht="15.75" customHeight="1"/>
    <row r="9411" ht="15.75" customHeight="1"/>
    <row r="9412" ht="15.75" customHeight="1"/>
    <row r="9413" ht="15.75" customHeight="1"/>
    <row r="9414" ht="15.75" customHeight="1"/>
    <row r="9415" ht="15.75" customHeight="1"/>
    <row r="9416" ht="15.75" customHeight="1"/>
    <row r="9417" ht="15.75" customHeight="1"/>
    <row r="9418" ht="15.75" customHeight="1"/>
    <row r="9419" ht="15.75" customHeight="1"/>
    <row r="9420" ht="15.75" customHeight="1"/>
    <row r="9421" ht="15.75" customHeight="1"/>
    <row r="9422" ht="15.75" customHeight="1"/>
    <row r="9423" ht="15.75" customHeight="1"/>
    <row r="9424" ht="15.75" customHeight="1"/>
    <row r="9425" ht="15.75" customHeight="1"/>
    <row r="9426" ht="15.75" customHeight="1"/>
    <row r="9427" ht="15.75" customHeight="1"/>
    <row r="9428" ht="15.75" customHeight="1"/>
    <row r="9429" ht="15.75" customHeight="1"/>
    <row r="9430" ht="15.75" customHeight="1"/>
    <row r="9431" ht="15.75" customHeight="1"/>
    <row r="9432" ht="15.75" customHeight="1"/>
    <row r="9433" ht="15.75" customHeight="1"/>
    <row r="9434" ht="15.75" customHeight="1"/>
    <row r="9435" ht="15.75" customHeight="1"/>
    <row r="9436" ht="15.75" customHeight="1"/>
    <row r="9437" ht="15.75" customHeight="1"/>
    <row r="9438" ht="15.75" customHeight="1"/>
    <row r="9439" ht="15.75" customHeight="1"/>
    <row r="9440" ht="15.75" customHeight="1"/>
    <row r="9441" ht="15.75" customHeight="1"/>
    <row r="9442" ht="15.75" customHeight="1"/>
    <row r="9443" ht="15.75" customHeight="1"/>
    <row r="9444" ht="15.75" customHeight="1"/>
    <row r="9445" ht="15.75" customHeight="1"/>
    <row r="9446" ht="15.75" customHeight="1"/>
    <row r="9447" ht="15.75" customHeight="1"/>
    <row r="9448" ht="15.75" customHeight="1"/>
    <row r="9449" ht="15.75" customHeight="1"/>
    <row r="9450" ht="15.75" customHeight="1"/>
    <row r="9451" ht="15.75" customHeight="1"/>
    <row r="9452" ht="15.75" customHeight="1"/>
    <row r="9453" ht="15.75" customHeight="1"/>
    <row r="9454" ht="15.75" customHeight="1"/>
    <row r="9455" ht="15.75" customHeight="1"/>
    <row r="9456" ht="15.75" customHeight="1"/>
    <row r="9457" ht="15.75" customHeight="1"/>
    <row r="9458" ht="15.75" customHeight="1"/>
    <row r="9459" ht="15.75" customHeight="1"/>
    <row r="9460" ht="15.75" customHeight="1"/>
    <row r="9461" ht="15.75" customHeight="1"/>
    <row r="9462" ht="15.75" customHeight="1"/>
    <row r="9463" ht="15.75" customHeight="1"/>
    <row r="9464" ht="15.75" customHeight="1"/>
    <row r="9465" ht="15.75" customHeight="1"/>
    <row r="9466" ht="15.75" customHeight="1"/>
    <row r="9467" ht="15.75" customHeight="1"/>
    <row r="9468" ht="15.75" customHeight="1"/>
    <row r="9469" ht="15.75" customHeight="1"/>
    <row r="9470" ht="15.75" customHeight="1"/>
    <row r="9471" ht="15.75" customHeight="1"/>
    <row r="9472" ht="15.75" customHeight="1"/>
    <row r="9473" ht="15.75" customHeight="1"/>
    <row r="9474" ht="15.75" customHeight="1"/>
    <row r="9475" ht="15.75" customHeight="1"/>
    <row r="9476" ht="15.75" customHeight="1"/>
    <row r="9477" ht="15.75" customHeight="1"/>
    <row r="9478" ht="15.75" customHeight="1"/>
    <row r="9479" ht="15.75" customHeight="1"/>
    <row r="9480" ht="15.75" customHeight="1"/>
    <row r="9481" ht="15.75" customHeight="1"/>
    <row r="9482" ht="15.75" customHeight="1"/>
    <row r="9483" ht="15.75" customHeight="1"/>
    <row r="9484" ht="15.75" customHeight="1"/>
    <row r="9485" ht="15.75" customHeight="1"/>
    <row r="9486" ht="15.75" customHeight="1"/>
    <row r="9487" ht="15.75" customHeight="1"/>
    <row r="9488" ht="15.75" customHeight="1"/>
    <row r="9489" ht="15.75" customHeight="1"/>
    <row r="9490" ht="15.75" customHeight="1"/>
    <row r="9491" ht="15.75" customHeight="1"/>
    <row r="9492" ht="15.75" customHeight="1"/>
    <row r="9493" ht="15.75" customHeight="1"/>
    <row r="9494" ht="15.75" customHeight="1"/>
    <row r="9495" ht="15.75" customHeight="1"/>
    <row r="9496" ht="15.75" customHeight="1"/>
    <row r="9497" ht="15.75" customHeight="1"/>
    <row r="9498" ht="15.75" customHeight="1"/>
    <row r="9499" ht="15.75" customHeight="1"/>
    <row r="9500" ht="15.75" customHeight="1"/>
    <row r="9501" ht="15.75" customHeight="1"/>
    <row r="9502" ht="15.75" customHeight="1"/>
    <row r="9503" ht="15.75" customHeight="1"/>
    <row r="9504" ht="15.75" customHeight="1"/>
    <row r="9505" ht="15.75" customHeight="1"/>
    <row r="9506" ht="15.75" customHeight="1"/>
    <row r="9507" ht="15.75" customHeight="1"/>
    <row r="9508" ht="15.75" customHeight="1"/>
    <row r="9509" ht="15.75" customHeight="1"/>
    <row r="9510" ht="15.75" customHeight="1"/>
    <row r="9511" ht="15.75" customHeight="1"/>
    <row r="9512" ht="15.75" customHeight="1"/>
    <row r="9513" ht="15.75" customHeight="1"/>
    <row r="9514" ht="15.75" customHeight="1"/>
    <row r="9515" ht="15.75" customHeight="1"/>
    <row r="9516" ht="15.75" customHeight="1"/>
    <row r="9517" ht="15.75" customHeight="1"/>
    <row r="9518" ht="15.75" customHeight="1"/>
    <row r="9519" ht="15.75" customHeight="1"/>
    <row r="9520" ht="15.75" customHeight="1"/>
    <row r="9521" ht="15.75" customHeight="1"/>
    <row r="9522" ht="15.75" customHeight="1"/>
    <row r="9523" ht="15.75" customHeight="1"/>
    <row r="9524" ht="15.75" customHeight="1"/>
    <row r="9525" ht="15.75" customHeight="1"/>
    <row r="9526" ht="15.75" customHeight="1"/>
    <row r="9527" ht="15.75" customHeight="1"/>
    <row r="9528" ht="15.75" customHeight="1"/>
    <row r="9529" ht="15.75" customHeight="1"/>
    <row r="9530" ht="15.75" customHeight="1"/>
    <row r="9531" ht="15.75" customHeight="1"/>
    <row r="9532" ht="15.75" customHeight="1"/>
    <row r="9533" ht="15.75" customHeight="1"/>
    <row r="9534" ht="15.75" customHeight="1"/>
    <row r="9535" ht="15.75" customHeight="1"/>
    <row r="9536" ht="15.75" customHeight="1"/>
    <row r="9537" ht="15.75" customHeight="1"/>
    <row r="9538" ht="15.75" customHeight="1"/>
    <row r="9539" ht="15.75" customHeight="1"/>
    <row r="9540" ht="15.75" customHeight="1"/>
    <row r="9541" ht="15.75" customHeight="1"/>
    <row r="9542" ht="15.75" customHeight="1"/>
    <row r="9543" ht="15.75" customHeight="1"/>
    <row r="9544" ht="15.75" customHeight="1"/>
    <row r="9545" ht="15.75" customHeight="1"/>
    <row r="9546" ht="15.75" customHeight="1"/>
    <row r="9547" ht="15.75" customHeight="1"/>
    <row r="9548" ht="15.75" customHeight="1"/>
    <row r="9549" ht="15.75" customHeight="1"/>
    <row r="9550" ht="15.75" customHeight="1"/>
    <row r="9551" ht="15.75" customHeight="1"/>
    <row r="9552" ht="15.75" customHeight="1"/>
    <row r="9553" ht="15.75" customHeight="1"/>
    <row r="9554" ht="15.75" customHeight="1"/>
    <row r="9555" ht="15.75" customHeight="1"/>
    <row r="9556" ht="15.75" customHeight="1"/>
    <row r="9557" ht="15.75" customHeight="1"/>
    <row r="9558" ht="15.75" customHeight="1"/>
    <row r="9559" ht="15.75" customHeight="1"/>
    <row r="9560" ht="15.75" customHeight="1"/>
    <row r="9561" ht="15.75" customHeight="1"/>
    <row r="9562" ht="15.75" customHeight="1"/>
    <row r="9563" ht="15.75" customHeight="1"/>
    <row r="9564" ht="15.75" customHeight="1"/>
    <row r="9565" ht="15.75" customHeight="1"/>
    <row r="9566" ht="15.75" customHeight="1"/>
    <row r="9567" ht="15.75" customHeight="1"/>
    <row r="9568" ht="15.75" customHeight="1"/>
    <row r="9569" ht="15.75" customHeight="1"/>
    <row r="9570" ht="15.75" customHeight="1"/>
    <row r="9571" ht="15.75" customHeight="1"/>
    <row r="9572" ht="15.75" customHeight="1"/>
    <row r="9573" ht="15.75" customHeight="1"/>
    <row r="9574" ht="15.75" customHeight="1"/>
    <row r="9575" ht="15.75" customHeight="1"/>
    <row r="9576" ht="15.75" customHeight="1"/>
    <row r="9577" ht="15.75" customHeight="1"/>
    <row r="9578" ht="15.75" customHeight="1"/>
    <row r="9579" ht="15.75" customHeight="1"/>
    <row r="9580" ht="15.75" customHeight="1"/>
    <row r="9581" ht="15.75" customHeight="1"/>
    <row r="9582" ht="15.75" customHeight="1"/>
    <row r="9583" ht="15.75" customHeight="1"/>
    <row r="9584" ht="15.75" customHeight="1"/>
    <row r="9585" ht="15.75" customHeight="1"/>
    <row r="9586" ht="15.75" customHeight="1"/>
    <row r="9587" ht="15.75" customHeight="1"/>
    <row r="9588" ht="15.75" customHeight="1"/>
    <row r="9589" ht="15.75" customHeight="1"/>
    <row r="9590" ht="15.75" customHeight="1"/>
    <row r="9591" ht="15.75" customHeight="1"/>
    <row r="9592" ht="15.75" customHeight="1"/>
    <row r="9593" ht="15.75" customHeight="1"/>
    <row r="9594" ht="15.75" customHeight="1"/>
    <row r="9595" ht="15.75" customHeight="1"/>
    <row r="9596" ht="15.75" customHeight="1"/>
    <row r="9597" ht="15.75" customHeight="1"/>
    <row r="9598" ht="15.75" customHeight="1"/>
    <row r="9599" ht="15.75" customHeight="1"/>
    <row r="9600" ht="15.75" customHeight="1"/>
    <row r="9601" ht="15.75" customHeight="1"/>
    <row r="9602" ht="15.75" customHeight="1"/>
    <row r="9603" ht="15.75" customHeight="1"/>
    <row r="9604" ht="15.75" customHeight="1"/>
    <row r="9605" ht="15.75" customHeight="1"/>
    <row r="9606" ht="15.75" customHeight="1"/>
    <row r="9607" ht="15.75" customHeight="1"/>
    <row r="9608" ht="15.75" customHeight="1"/>
    <row r="9609" ht="15.75" customHeight="1"/>
    <row r="9610" ht="15.75" customHeight="1"/>
    <row r="9611" ht="15.75" customHeight="1"/>
    <row r="9612" ht="15.75" customHeight="1"/>
    <row r="9613" ht="15.75" customHeight="1"/>
    <row r="9614" ht="15.75" customHeight="1"/>
    <row r="9615" ht="15.75" customHeight="1"/>
    <row r="9616" ht="15.75" customHeight="1"/>
    <row r="9617" ht="15.75" customHeight="1"/>
    <row r="9618" ht="15.75" customHeight="1"/>
    <row r="9619" ht="15.75" customHeight="1"/>
    <row r="9620" ht="15.75" customHeight="1"/>
    <row r="9621" ht="15.75" customHeight="1"/>
    <row r="9622" ht="15.75" customHeight="1"/>
    <row r="9623" ht="15.75" customHeight="1"/>
    <row r="9624" ht="15.75" customHeight="1"/>
    <row r="9625" ht="15.75" customHeight="1"/>
    <row r="9626" ht="15.75" customHeight="1"/>
    <row r="9627" ht="15.75" customHeight="1"/>
    <row r="9628" ht="15.75" customHeight="1"/>
    <row r="9629" ht="15.75" customHeight="1"/>
    <row r="9630" ht="15.75" customHeight="1"/>
    <row r="9631" ht="15.75" customHeight="1"/>
    <row r="9632" ht="15.75" customHeight="1"/>
    <row r="9633" ht="15.75" customHeight="1"/>
    <row r="9634" ht="15.75" customHeight="1"/>
    <row r="9635" ht="15.75" customHeight="1"/>
    <row r="9636" ht="15.75" customHeight="1"/>
    <row r="9637" ht="15.75" customHeight="1"/>
    <row r="9638" ht="15.75" customHeight="1"/>
    <row r="9639" ht="15.75" customHeight="1"/>
    <row r="9640" ht="15.75" customHeight="1"/>
    <row r="9641" ht="15.75" customHeight="1"/>
    <row r="9642" ht="15.75" customHeight="1"/>
    <row r="9643" ht="15.75" customHeight="1"/>
    <row r="9644" ht="15.75" customHeight="1"/>
    <row r="9645" ht="15.75" customHeight="1"/>
    <row r="9646" ht="15.75" customHeight="1"/>
    <row r="9647" ht="15.75" customHeight="1"/>
    <row r="9648" ht="15.75" customHeight="1"/>
    <row r="9649" ht="15.75" customHeight="1"/>
    <row r="9650" ht="15.75" customHeight="1"/>
    <row r="9651" ht="15.75" customHeight="1"/>
    <row r="9652" ht="15.75" customHeight="1"/>
    <row r="9653" ht="15.75" customHeight="1"/>
    <row r="9654" ht="15.75" customHeight="1"/>
    <row r="9655" ht="15.75" customHeight="1"/>
    <row r="9656" ht="15.75" customHeight="1"/>
    <row r="9657" ht="15.75" customHeight="1"/>
    <row r="9658" ht="15.75" customHeight="1"/>
    <row r="9659" ht="15.75" customHeight="1"/>
    <row r="9660" ht="15.75" customHeight="1"/>
    <row r="9661" ht="15.75" customHeight="1"/>
    <row r="9662" ht="15.75" customHeight="1"/>
    <row r="9663" ht="15.75" customHeight="1"/>
    <row r="9664" ht="15.75" customHeight="1"/>
    <row r="9665" ht="15.75" customHeight="1"/>
    <row r="9666" ht="15.75" customHeight="1"/>
    <row r="9667" ht="15.75" customHeight="1"/>
    <row r="9668" ht="15.75" customHeight="1"/>
    <row r="9669" ht="15.75" customHeight="1"/>
    <row r="9670" ht="15.75" customHeight="1"/>
    <row r="9671" ht="15.75" customHeight="1"/>
    <row r="9672" ht="15.75" customHeight="1"/>
    <row r="9673" ht="15.75" customHeight="1"/>
    <row r="9674" ht="15.75" customHeight="1"/>
    <row r="9675" ht="15.75" customHeight="1"/>
    <row r="9676" ht="15.75" customHeight="1"/>
    <row r="9677" ht="15.75" customHeight="1"/>
    <row r="9678" ht="15.75" customHeight="1"/>
    <row r="9679" ht="15.75" customHeight="1"/>
    <row r="9680" ht="15.75" customHeight="1"/>
    <row r="9681" ht="15.75" customHeight="1"/>
    <row r="9682" ht="15.75" customHeight="1"/>
    <row r="9683" ht="15.75" customHeight="1"/>
    <row r="9684" ht="15.75" customHeight="1"/>
    <row r="9685" ht="15.75" customHeight="1"/>
    <row r="9686" ht="15.75" customHeight="1"/>
    <row r="9687" ht="15.75" customHeight="1"/>
    <row r="9688" ht="15.75" customHeight="1"/>
    <row r="9689" ht="15.75" customHeight="1"/>
    <row r="9690" ht="15.75" customHeight="1"/>
    <row r="9691" ht="15.75" customHeight="1"/>
    <row r="9692" ht="15.75" customHeight="1"/>
    <row r="9693" ht="15.75" customHeight="1"/>
    <row r="9694" ht="15.75" customHeight="1"/>
    <row r="9695" ht="15.75" customHeight="1"/>
    <row r="9696" ht="15.75" customHeight="1"/>
    <row r="9697" ht="15.75" customHeight="1"/>
    <row r="9698" ht="15.75" customHeight="1"/>
    <row r="9699" ht="15.75" customHeight="1"/>
    <row r="9700" ht="15.75" customHeight="1"/>
    <row r="9701" ht="15.75" customHeight="1"/>
    <row r="9702" ht="15.75" customHeight="1"/>
    <row r="9703" ht="15.75" customHeight="1"/>
    <row r="9704" ht="15.75" customHeight="1"/>
    <row r="9705" ht="15.75" customHeight="1"/>
    <row r="9706" ht="15.75" customHeight="1"/>
    <row r="9707" ht="15.75" customHeight="1"/>
    <row r="9708" ht="15.75" customHeight="1"/>
    <row r="9709" ht="15.75" customHeight="1"/>
    <row r="9710" ht="15.75" customHeight="1"/>
    <row r="9711" ht="15.75" customHeight="1"/>
    <row r="9712" ht="15.75" customHeight="1"/>
    <row r="9713" ht="15.75" customHeight="1"/>
    <row r="9714" ht="15.75" customHeight="1"/>
    <row r="9715" ht="15.75" customHeight="1"/>
    <row r="9716" ht="15.75" customHeight="1"/>
    <row r="9717" ht="15.75" customHeight="1"/>
    <row r="9718" ht="15.75" customHeight="1"/>
    <row r="9719" ht="15.75" customHeight="1"/>
    <row r="9720" ht="15.75" customHeight="1"/>
    <row r="9721" ht="15.75" customHeight="1"/>
    <row r="9722" ht="15.75" customHeight="1"/>
    <row r="9723" ht="15.75" customHeight="1"/>
    <row r="9724" ht="15.75" customHeight="1"/>
    <row r="9725" ht="15.75" customHeight="1"/>
    <row r="9726" ht="15.75" customHeight="1"/>
    <row r="9727" ht="15.75" customHeight="1"/>
    <row r="9728" ht="15.75" customHeight="1"/>
    <row r="9729" ht="15.75" customHeight="1"/>
    <row r="9730" ht="15.75" customHeight="1"/>
    <row r="9731" ht="15.75" customHeight="1"/>
    <row r="9732" ht="15.75" customHeight="1"/>
    <row r="9733" ht="15.75" customHeight="1"/>
    <row r="9734" ht="15.75" customHeight="1"/>
    <row r="9735" ht="15.75" customHeight="1"/>
    <row r="9736" ht="15.75" customHeight="1"/>
    <row r="9737" ht="15.75" customHeight="1"/>
    <row r="9738" ht="15.75" customHeight="1"/>
    <row r="9739" ht="15.75" customHeight="1"/>
    <row r="9740" ht="15.75" customHeight="1"/>
    <row r="9741" ht="15.75" customHeight="1"/>
    <row r="9742" ht="15.75" customHeight="1"/>
    <row r="9743" ht="15.75" customHeight="1"/>
    <row r="9744" ht="15.75" customHeight="1"/>
    <row r="9745" ht="15.75" customHeight="1"/>
    <row r="9746" ht="15.75" customHeight="1"/>
    <row r="9747" ht="15.75" customHeight="1"/>
    <row r="9748" ht="15.75" customHeight="1"/>
    <row r="9749" ht="15.75" customHeight="1"/>
    <row r="9750" ht="15.75" customHeight="1"/>
    <row r="9751" ht="15.75" customHeight="1"/>
    <row r="9752" ht="15.75" customHeight="1"/>
    <row r="9753" ht="15.75" customHeight="1"/>
    <row r="9754" ht="15.75" customHeight="1"/>
    <row r="9755" ht="15.75" customHeight="1"/>
    <row r="9756" ht="15.75" customHeight="1"/>
    <row r="9757" ht="15.75" customHeight="1"/>
    <row r="9758" ht="15.75" customHeight="1"/>
    <row r="9759" ht="15.75" customHeight="1"/>
    <row r="9760" ht="15.75" customHeight="1"/>
    <row r="9761" ht="15.75" customHeight="1"/>
    <row r="9762" ht="15.75" customHeight="1"/>
    <row r="9763" ht="15.75" customHeight="1"/>
    <row r="9764" ht="15.75" customHeight="1"/>
    <row r="9765" ht="15.75" customHeight="1"/>
    <row r="9766" ht="15.75" customHeight="1"/>
    <row r="9767" ht="15.75" customHeight="1"/>
    <row r="9768" ht="15.75" customHeight="1"/>
    <row r="9769" ht="15.75" customHeight="1"/>
    <row r="9770" ht="15.75" customHeight="1"/>
    <row r="9771" ht="15.75" customHeight="1"/>
    <row r="9772" ht="15.75" customHeight="1"/>
    <row r="9773" ht="15.75" customHeight="1"/>
    <row r="9774" ht="15.75" customHeight="1"/>
    <row r="9775" ht="15.75" customHeight="1"/>
    <row r="9776" ht="15.75" customHeight="1"/>
    <row r="9777" ht="15.75" customHeight="1"/>
    <row r="9778" ht="15.75" customHeight="1"/>
    <row r="9779" ht="15.75" customHeight="1"/>
    <row r="9780" ht="15.75" customHeight="1"/>
    <row r="9781" ht="15.75" customHeight="1"/>
    <row r="9782" ht="15.75" customHeight="1"/>
    <row r="9783" ht="15.75" customHeight="1"/>
    <row r="9784" ht="15.75" customHeight="1"/>
    <row r="9785" ht="15.75" customHeight="1"/>
    <row r="9786" ht="15.75" customHeight="1"/>
    <row r="9787" ht="15.75" customHeight="1"/>
    <row r="9788" ht="15.75" customHeight="1"/>
    <row r="9789" ht="15.75" customHeight="1"/>
    <row r="9790" ht="15.75" customHeight="1"/>
    <row r="9791" ht="15.75" customHeight="1"/>
    <row r="9792" ht="15.75" customHeight="1"/>
    <row r="9793" ht="15.75" customHeight="1"/>
    <row r="9794" ht="15.75" customHeight="1"/>
    <row r="9795" ht="15.75" customHeight="1"/>
    <row r="9796" ht="15.75" customHeight="1"/>
    <row r="9797" ht="15.75" customHeight="1"/>
    <row r="9798" ht="15.75" customHeight="1"/>
    <row r="9799" ht="15.75" customHeight="1"/>
    <row r="9800" ht="15.75" customHeight="1"/>
    <row r="9801" ht="15.75" customHeight="1"/>
    <row r="9802" ht="15.75" customHeight="1"/>
    <row r="9803" ht="15.75" customHeight="1"/>
    <row r="9804" ht="15.75" customHeight="1"/>
    <row r="9805" ht="15.75" customHeight="1"/>
    <row r="9806" ht="15.75" customHeight="1"/>
    <row r="9807" ht="15.75" customHeight="1"/>
    <row r="9808" ht="15.75" customHeight="1"/>
    <row r="9809" ht="15.75" customHeight="1"/>
    <row r="9810" ht="15.75" customHeight="1"/>
    <row r="9811" ht="15.75" customHeight="1"/>
    <row r="9812" ht="15.75" customHeight="1"/>
    <row r="9813" ht="15.75" customHeight="1"/>
    <row r="9814" ht="15.75" customHeight="1"/>
    <row r="9815" ht="15.75" customHeight="1"/>
    <row r="9816" ht="15.75" customHeight="1"/>
    <row r="9817" ht="15.75" customHeight="1"/>
    <row r="9818" ht="15.75" customHeight="1"/>
    <row r="9819" ht="15.75" customHeight="1"/>
    <row r="9820" ht="15.75" customHeight="1"/>
    <row r="9821" ht="15.75" customHeight="1"/>
    <row r="9822" ht="15.75" customHeight="1"/>
    <row r="9823" ht="15.75" customHeight="1"/>
    <row r="9824" ht="15.75" customHeight="1"/>
    <row r="9825" ht="15.75" customHeight="1"/>
    <row r="9826" ht="15.75" customHeight="1"/>
    <row r="9827" ht="15.75" customHeight="1"/>
    <row r="9828" ht="15.75" customHeight="1"/>
    <row r="9829" ht="15.75" customHeight="1"/>
    <row r="9830" ht="15.75" customHeight="1"/>
    <row r="9831" ht="15.75" customHeight="1"/>
    <row r="9832" ht="15.75" customHeight="1"/>
    <row r="9833" ht="15.75" customHeight="1"/>
    <row r="9834" ht="15.75" customHeight="1"/>
    <row r="9835" ht="15.75" customHeight="1"/>
    <row r="9836" ht="15.75" customHeight="1"/>
    <row r="9837" ht="15.75" customHeight="1"/>
    <row r="9838" ht="15.75" customHeight="1"/>
    <row r="9839" ht="15.75" customHeight="1"/>
    <row r="9840" ht="15.75" customHeight="1"/>
    <row r="9841" ht="15.75" customHeight="1"/>
    <row r="9842" ht="15.75" customHeight="1"/>
    <row r="9843" ht="15.75" customHeight="1"/>
    <row r="9844" ht="15.75" customHeight="1"/>
    <row r="9845" ht="15.75" customHeight="1"/>
    <row r="9846" ht="15.75" customHeight="1"/>
    <row r="9847" ht="15.75" customHeight="1"/>
    <row r="9848" ht="15.75" customHeight="1"/>
    <row r="9849" ht="15.75" customHeight="1"/>
    <row r="9850" ht="15.75" customHeight="1"/>
    <row r="9851" ht="15.75" customHeight="1"/>
    <row r="9852" ht="15.75" customHeight="1"/>
    <row r="9853" ht="15.75" customHeight="1"/>
    <row r="9854" ht="15.75" customHeight="1"/>
    <row r="9855" ht="15.75" customHeight="1"/>
    <row r="9856" ht="15.75" customHeight="1"/>
    <row r="9857" ht="15.75" customHeight="1"/>
    <row r="9858" ht="15.75" customHeight="1"/>
    <row r="9859" ht="15.75" customHeight="1"/>
    <row r="9860" ht="15.75" customHeight="1"/>
    <row r="9861" ht="15.75" customHeight="1"/>
    <row r="9862" ht="15.75" customHeight="1"/>
    <row r="9863" ht="15.75" customHeight="1"/>
    <row r="9864" ht="15.75" customHeight="1"/>
    <row r="9865" ht="15.75" customHeight="1"/>
    <row r="9866" ht="15.75" customHeight="1"/>
    <row r="9867" ht="15.75" customHeight="1"/>
    <row r="9868" ht="15.75" customHeight="1"/>
    <row r="9869" ht="15.75" customHeight="1"/>
    <row r="9870" ht="15.75" customHeight="1"/>
    <row r="9871" ht="15.75" customHeight="1"/>
    <row r="9872" ht="15.75" customHeight="1"/>
    <row r="9873" ht="15.75" customHeight="1"/>
    <row r="9874" ht="15.75" customHeight="1"/>
    <row r="9875" ht="15.75" customHeight="1"/>
    <row r="9876" ht="15.75" customHeight="1"/>
    <row r="9877" ht="15.75" customHeight="1"/>
    <row r="9878" ht="15.75" customHeight="1"/>
    <row r="9879" ht="15.75" customHeight="1"/>
    <row r="9880" ht="15.75" customHeight="1"/>
    <row r="9881" ht="15.75" customHeight="1"/>
    <row r="9882" ht="15.75" customHeight="1"/>
    <row r="9883" ht="15.75" customHeight="1"/>
    <row r="9884" ht="15.75" customHeight="1"/>
    <row r="9885" ht="15.75" customHeight="1"/>
    <row r="9886" ht="15.75" customHeight="1"/>
    <row r="9887" ht="15.75" customHeight="1"/>
    <row r="9888" ht="15.75" customHeight="1"/>
    <row r="9889" ht="15.75" customHeight="1"/>
    <row r="9890" ht="15.75" customHeight="1"/>
    <row r="9891" ht="15.75" customHeight="1"/>
    <row r="9892" ht="15.75" customHeight="1"/>
    <row r="9893" ht="15.75" customHeight="1"/>
    <row r="9894" ht="15.75" customHeight="1"/>
    <row r="9895" ht="15.75" customHeight="1"/>
    <row r="9896" ht="15.75" customHeight="1"/>
    <row r="9897" ht="15.75" customHeight="1"/>
    <row r="9898" ht="15.75" customHeight="1"/>
    <row r="9899" ht="15.75" customHeight="1"/>
    <row r="9900" ht="15.75" customHeight="1"/>
    <row r="9901" ht="15.75" customHeight="1"/>
    <row r="9902" ht="15.75" customHeight="1"/>
    <row r="9903" ht="15.75" customHeight="1"/>
    <row r="9904" ht="15.75" customHeight="1"/>
    <row r="9905" ht="15.75" customHeight="1"/>
    <row r="9906" ht="15.75" customHeight="1"/>
    <row r="9907" ht="15.75" customHeight="1"/>
    <row r="9908" ht="15.75" customHeight="1"/>
    <row r="9909" ht="15.75" customHeight="1"/>
    <row r="9910" ht="15.75" customHeight="1"/>
    <row r="9911" ht="15.75" customHeight="1"/>
    <row r="9912" ht="15.75" customHeight="1"/>
    <row r="9913" ht="15.75" customHeight="1"/>
    <row r="9914" ht="15.75" customHeight="1"/>
    <row r="9915" ht="15.75" customHeight="1"/>
    <row r="9916" ht="15.75" customHeight="1"/>
    <row r="9917" ht="15.75" customHeight="1"/>
    <row r="9918" ht="15.75" customHeight="1"/>
    <row r="9919" ht="15.75" customHeight="1"/>
    <row r="9920" ht="15.75" customHeight="1"/>
    <row r="9921" ht="15.75" customHeight="1"/>
    <row r="9922" ht="15.75" customHeight="1"/>
    <row r="9923" ht="15.75" customHeight="1"/>
    <row r="9924" ht="15.75" customHeight="1"/>
    <row r="9925" ht="15.75" customHeight="1"/>
    <row r="9926" ht="15.75" customHeight="1"/>
    <row r="9927" ht="15.75" customHeight="1"/>
    <row r="9928" ht="15.75" customHeight="1"/>
    <row r="9929" ht="15.75" customHeight="1"/>
    <row r="9930" ht="15.75" customHeight="1"/>
    <row r="9931" ht="15.75" customHeight="1"/>
    <row r="9932" ht="15.75" customHeight="1"/>
    <row r="9933" ht="15.75" customHeight="1"/>
    <row r="9934" ht="15.75" customHeight="1"/>
    <row r="9935" ht="15.75" customHeight="1"/>
    <row r="9936" ht="15.75" customHeight="1"/>
    <row r="9937" ht="15.75" customHeight="1"/>
    <row r="9938" ht="15.75" customHeight="1"/>
    <row r="9939" ht="15.75" customHeight="1"/>
    <row r="9940" ht="15.75" customHeight="1"/>
    <row r="9941" ht="15.75" customHeight="1"/>
    <row r="9942" ht="15.75" customHeight="1"/>
    <row r="9943" ht="15.75" customHeight="1"/>
    <row r="9944" ht="15.75" customHeight="1"/>
    <row r="9945" ht="15.75" customHeight="1"/>
    <row r="9946" ht="15.75" customHeight="1"/>
    <row r="9947" ht="15.75" customHeight="1"/>
    <row r="9948" ht="15.75" customHeight="1"/>
    <row r="9949" ht="15.75" customHeight="1"/>
    <row r="9950" ht="15.75" customHeight="1"/>
    <row r="9951" ht="15.75" customHeight="1"/>
    <row r="9952" ht="15.75" customHeight="1"/>
    <row r="9953" ht="15.75" customHeight="1"/>
    <row r="9954" ht="15.75" customHeight="1"/>
    <row r="9955" ht="15.75" customHeight="1"/>
    <row r="9956" ht="15.75" customHeight="1"/>
    <row r="9957" ht="15.75" customHeight="1"/>
    <row r="9958" ht="15.75" customHeight="1"/>
    <row r="9959" ht="15.75" customHeight="1"/>
    <row r="9960" ht="15.75" customHeight="1"/>
    <row r="9961" ht="15.75" customHeight="1"/>
    <row r="9962" ht="15.75" customHeight="1"/>
    <row r="9963" ht="15.75" customHeight="1"/>
    <row r="9964" ht="15.75" customHeight="1"/>
    <row r="9965" ht="15.75" customHeight="1"/>
    <row r="9966" ht="15.75" customHeight="1"/>
    <row r="9967" ht="15.75" customHeight="1"/>
    <row r="9968" ht="15.75" customHeight="1"/>
    <row r="9969" ht="15.75" customHeight="1"/>
    <row r="9970" ht="15.75" customHeight="1"/>
    <row r="9971" ht="15.75" customHeight="1"/>
    <row r="9972" ht="15.75" customHeight="1"/>
    <row r="9973" ht="15.75" customHeight="1"/>
    <row r="9974" ht="15.75" customHeight="1"/>
    <row r="9975" ht="15.75" customHeight="1"/>
    <row r="9976" ht="15.75" customHeight="1"/>
    <row r="9977" ht="15.75" customHeight="1"/>
    <row r="9978" ht="15.75" customHeight="1"/>
    <row r="9979" ht="15.75" customHeight="1"/>
    <row r="9980" ht="15.75" customHeight="1"/>
    <row r="9981" ht="15.75" customHeight="1"/>
    <row r="9982" ht="15.75" customHeight="1"/>
    <row r="9983" ht="15.75" customHeight="1"/>
    <row r="9984" ht="15.75" customHeight="1"/>
    <row r="9985" ht="15.75" customHeight="1"/>
    <row r="9986" ht="15.75" customHeight="1"/>
    <row r="9987" ht="15.75" customHeight="1"/>
    <row r="9988" ht="15.75" customHeight="1"/>
    <row r="9989" ht="15.75" customHeight="1"/>
    <row r="9990" ht="15.75" customHeight="1"/>
    <row r="9991" ht="15.75" customHeight="1"/>
    <row r="9992" ht="15.75" customHeight="1"/>
    <row r="9993" ht="15.75" customHeight="1"/>
    <row r="9994" ht="15.75" customHeight="1"/>
    <row r="9995" ht="15.75" customHeight="1"/>
    <row r="9996" ht="15.75" customHeight="1"/>
    <row r="9997" ht="15.75" customHeight="1"/>
    <row r="9998" ht="15.75" customHeight="1"/>
    <row r="9999" ht="15.75" customHeight="1"/>
    <row r="10000" ht="15.75" customHeight="1"/>
    <row r="10001" ht="15.75" customHeight="1"/>
    <row r="10002" ht="15.75" customHeight="1"/>
    <row r="10003" ht="15.75" customHeight="1"/>
    <row r="10004" ht="15.75" customHeight="1"/>
    <row r="10005" ht="15.75" customHeight="1"/>
    <row r="10006" ht="15.75" customHeight="1"/>
    <row r="10007" ht="15.75" customHeight="1"/>
    <row r="10008" ht="15.75" customHeight="1"/>
    <row r="10009" ht="15.75" customHeight="1"/>
    <row r="10010" ht="15.75" customHeight="1"/>
    <row r="10011" ht="15.75" customHeight="1"/>
    <row r="10012" ht="15.75" customHeight="1"/>
    <row r="10013" ht="15.75" customHeight="1"/>
    <row r="10014" ht="15.75" customHeight="1"/>
    <row r="10015" ht="15.75" customHeight="1"/>
    <row r="10016" ht="15.75" customHeight="1"/>
    <row r="10017" ht="15.75" customHeight="1"/>
    <row r="10018" ht="15.75" customHeight="1"/>
    <row r="10019" ht="15.75" customHeight="1"/>
    <row r="10020" ht="15.75" customHeight="1"/>
    <row r="10021" ht="15.75" customHeight="1"/>
    <row r="10022" ht="15.75" customHeight="1"/>
    <row r="10023" ht="15.75" customHeight="1"/>
    <row r="10024" ht="15.75" customHeight="1"/>
    <row r="10025" ht="15.75" customHeight="1"/>
    <row r="10026" ht="15.75" customHeight="1"/>
    <row r="10027" ht="15.75" customHeight="1"/>
    <row r="10028" ht="15.75" customHeight="1"/>
    <row r="10029" ht="15.75" customHeight="1"/>
    <row r="10030" ht="15.75" customHeight="1"/>
    <row r="10031" ht="15.75" customHeight="1"/>
    <row r="10032" ht="15.75" customHeight="1"/>
    <row r="10033" ht="15.75" customHeight="1"/>
    <row r="10034" ht="15.75" customHeight="1"/>
    <row r="10035" ht="15.75" customHeight="1"/>
    <row r="10036" ht="15.75" customHeight="1"/>
    <row r="10037" ht="15.75" customHeight="1"/>
    <row r="10038" ht="15.75" customHeight="1"/>
    <row r="10039" ht="15.75" customHeight="1"/>
    <row r="10040" ht="15.75" customHeight="1"/>
    <row r="10041" ht="15.75" customHeight="1"/>
    <row r="10042" ht="15.75" customHeight="1"/>
    <row r="10043" ht="15.75" customHeight="1"/>
    <row r="10044" ht="15.75" customHeight="1"/>
    <row r="10045" ht="15.75" customHeight="1"/>
    <row r="10046" ht="15.75" customHeight="1"/>
    <row r="10047" ht="15.75" customHeight="1"/>
    <row r="10048" ht="15.75" customHeight="1"/>
    <row r="10049" ht="15.75" customHeight="1"/>
    <row r="10050" ht="15.75" customHeight="1"/>
    <row r="10051" ht="15.75" customHeight="1"/>
    <row r="10052" ht="15.75" customHeight="1"/>
    <row r="10053" ht="15.75" customHeight="1"/>
    <row r="10054" ht="15.75" customHeight="1"/>
    <row r="10055" ht="15.75" customHeight="1"/>
    <row r="10056" ht="15.75" customHeight="1"/>
    <row r="10057" ht="15.75" customHeight="1"/>
    <row r="10058" ht="15.75" customHeight="1"/>
    <row r="10059" ht="15.75" customHeight="1"/>
    <row r="10060" ht="15.75" customHeight="1"/>
    <row r="10061" ht="15.75" customHeight="1"/>
    <row r="10062" ht="15.75" customHeight="1"/>
    <row r="10063" ht="15.75" customHeight="1"/>
    <row r="10064" ht="15.75" customHeight="1"/>
    <row r="10065" ht="15.75" customHeight="1"/>
    <row r="10066" ht="15.75" customHeight="1"/>
    <row r="10067" ht="15.75" customHeight="1"/>
    <row r="10068" ht="15.75" customHeight="1"/>
    <row r="10069" ht="15.75" customHeight="1"/>
    <row r="10070" ht="15.75" customHeight="1"/>
    <row r="10071" ht="15.75" customHeight="1"/>
    <row r="10072" ht="15.75" customHeight="1"/>
    <row r="10073" ht="15.75" customHeight="1"/>
    <row r="10074" ht="15.75" customHeight="1"/>
    <row r="10075" ht="15.75" customHeight="1"/>
    <row r="10076" ht="15.75" customHeight="1"/>
    <row r="10077" ht="15.75" customHeight="1"/>
    <row r="10078" ht="15.75" customHeight="1"/>
    <row r="10079" ht="15.75" customHeight="1"/>
    <row r="10080" ht="15.75" customHeight="1"/>
    <row r="10081" ht="15.75" customHeight="1"/>
    <row r="10082" ht="15.75" customHeight="1"/>
    <row r="10083" ht="15.75" customHeight="1"/>
    <row r="10084" ht="15.75" customHeight="1"/>
    <row r="10085" ht="15.75" customHeight="1"/>
    <row r="10086" ht="15.75" customHeight="1"/>
    <row r="10087" ht="15.75" customHeight="1"/>
    <row r="10088" ht="15.75" customHeight="1"/>
    <row r="10089" ht="15.75" customHeight="1"/>
    <row r="10090" ht="15.75" customHeight="1"/>
    <row r="10091" ht="15.75" customHeight="1"/>
    <row r="10092" ht="15.75" customHeight="1"/>
    <row r="10093" ht="15.75" customHeight="1"/>
    <row r="10094" ht="15.75" customHeight="1"/>
    <row r="10095" ht="15.75" customHeight="1"/>
    <row r="10096" ht="15.75" customHeight="1"/>
    <row r="10097" ht="15.75" customHeight="1"/>
    <row r="10098" ht="15.75" customHeight="1"/>
    <row r="10099" ht="15.75" customHeight="1"/>
    <row r="10100" ht="15.75" customHeight="1"/>
    <row r="10101" ht="15.75" customHeight="1"/>
    <row r="10102" ht="15.75" customHeight="1"/>
    <row r="10103" ht="15.75" customHeight="1"/>
    <row r="10104" ht="15.75" customHeight="1"/>
    <row r="10105" ht="15.75" customHeight="1"/>
    <row r="10106" ht="15.75" customHeight="1"/>
    <row r="10107" ht="15.75" customHeight="1"/>
    <row r="10108" ht="15.75" customHeight="1"/>
    <row r="10109" ht="15.75" customHeight="1"/>
    <row r="10110" ht="15.75" customHeight="1"/>
    <row r="10111" ht="15.75" customHeight="1"/>
    <row r="10112" ht="15.75" customHeight="1"/>
    <row r="10113" ht="15.75" customHeight="1"/>
    <row r="10114" ht="15.75" customHeight="1"/>
    <row r="10115" ht="15.75" customHeight="1"/>
    <row r="10116" ht="15.75" customHeight="1"/>
    <row r="10117" ht="15.75" customHeight="1"/>
    <row r="10118" ht="15.75" customHeight="1"/>
    <row r="10119" ht="15.75" customHeight="1"/>
    <row r="10120" ht="15.75" customHeight="1"/>
    <row r="10121" ht="15.75" customHeight="1"/>
    <row r="10122" ht="15.75" customHeight="1"/>
    <row r="10123" ht="15.75" customHeight="1"/>
    <row r="10124" ht="15.75" customHeight="1"/>
    <row r="10125" ht="15.75" customHeight="1"/>
    <row r="10126" ht="15.75" customHeight="1"/>
    <row r="10127" ht="15.75" customHeight="1"/>
    <row r="10128" ht="15.75" customHeight="1"/>
    <row r="10129" ht="15.75" customHeight="1"/>
    <row r="10130" ht="15.75" customHeight="1"/>
    <row r="10131" ht="15.75" customHeight="1"/>
    <row r="10132" ht="15.75" customHeight="1"/>
    <row r="10133" ht="15.75" customHeight="1"/>
    <row r="10134" ht="15.75" customHeight="1"/>
    <row r="10135" ht="15.75" customHeight="1"/>
    <row r="10136" ht="15.75" customHeight="1"/>
    <row r="10137" ht="15.75" customHeight="1"/>
    <row r="10138" ht="15.75" customHeight="1"/>
    <row r="10139" ht="15.75" customHeight="1"/>
    <row r="10140" ht="15.75" customHeight="1"/>
    <row r="10141" ht="15.75" customHeight="1"/>
    <row r="10142" ht="15.75" customHeight="1"/>
    <row r="10143" ht="15.75" customHeight="1"/>
    <row r="10144" ht="15.75" customHeight="1"/>
    <row r="10145" ht="15.75" customHeight="1"/>
    <row r="10146" ht="15.75" customHeight="1"/>
    <row r="10147" ht="15.75" customHeight="1"/>
    <row r="10148" ht="15.75" customHeight="1"/>
    <row r="10149" ht="15.75" customHeight="1"/>
    <row r="10150" ht="15.75" customHeight="1"/>
    <row r="10151" ht="15.75" customHeight="1"/>
    <row r="10152" ht="15.75" customHeight="1"/>
    <row r="10153" ht="15.75" customHeight="1"/>
    <row r="10154" ht="15.75" customHeight="1"/>
    <row r="10155" ht="15.75" customHeight="1"/>
    <row r="10156" ht="15.75" customHeight="1"/>
    <row r="10157" ht="15.75" customHeight="1"/>
    <row r="10158" ht="15.75" customHeight="1"/>
    <row r="10159" ht="15.75" customHeight="1"/>
    <row r="10160" ht="15.75" customHeight="1"/>
    <row r="10161" ht="15.75" customHeight="1"/>
    <row r="10162" ht="15.75" customHeight="1"/>
    <row r="10163" ht="15.75" customHeight="1"/>
    <row r="10164" ht="15.75" customHeight="1"/>
    <row r="10165" ht="15.75" customHeight="1"/>
    <row r="10166" ht="15.75" customHeight="1"/>
    <row r="10167" ht="15.75" customHeight="1"/>
    <row r="10168" ht="15.75" customHeight="1"/>
    <row r="10169" ht="15.75" customHeight="1"/>
    <row r="10170" ht="15.75" customHeight="1"/>
    <row r="10171" ht="15.75" customHeight="1"/>
    <row r="10172" ht="15.75" customHeight="1"/>
    <row r="10173" ht="15.75" customHeight="1"/>
    <row r="10174" ht="15.75" customHeight="1"/>
    <row r="10175" ht="15.75" customHeight="1"/>
    <row r="10176" ht="15.75" customHeight="1"/>
    <row r="10177" ht="15.75" customHeight="1"/>
    <row r="10178" ht="15.75" customHeight="1"/>
    <row r="10179" ht="15.75" customHeight="1"/>
    <row r="10180" ht="15.75" customHeight="1"/>
    <row r="10181" ht="15.75" customHeight="1"/>
    <row r="10182" ht="15.75" customHeight="1"/>
    <row r="10183" ht="15.75" customHeight="1"/>
    <row r="10184" ht="15.75" customHeight="1"/>
    <row r="10185" ht="15.75" customHeight="1"/>
    <row r="10186" ht="15.75" customHeight="1"/>
    <row r="10187" ht="15.75" customHeight="1"/>
    <row r="10188" ht="15.75" customHeight="1"/>
    <row r="10189" ht="15.75" customHeight="1"/>
    <row r="10190" ht="15.75" customHeight="1"/>
    <row r="10191" ht="15.75" customHeight="1"/>
    <row r="10192" ht="15.75" customHeight="1"/>
    <row r="10193" ht="15.75" customHeight="1"/>
    <row r="10194" ht="15.75" customHeight="1"/>
    <row r="10195" ht="15.75" customHeight="1"/>
    <row r="10196" ht="15.75" customHeight="1"/>
    <row r="10197" ht="15.75" customHeight="1"/>
    <row r="10198" ht="15.75" customHeight="1"/>
    <row r="10199" ht="15.75" customHeight="1"/>
    <row r="10200" ht="15.75" customHeight="1"/>
    <row r="10201" ht="15.75" customHeight="1"/>
    <row r="10202" ht="15.75" customHeight="1"/>
    <row r="10203" ht="15.75" customHeight="1"/>
    <row r="10204" ht="15.75" customHeight="1"/>
    <row r="10205" ht="15.75" customHeight="1"/>
    <row r="10206" ht="15.75" customHeight="1"/>
    <row r="10207" ht="15.75" customHeight="1"/>
    <row r="10208" ht="15.75" customHeight="1"/>
    <row r="10209" ht="15.75" customHeight="1"/>
    <row r="10210" ht="15.75" customHeight="1"/>
    <row r="10211" ht="15.75" customHeight="1"/>
    <row r="10212" ht="15.75" customHeight="1"/>
    <row r="10213" ht="15.75" customHeight="1"/>
    <row r="10214" ht="15.75" customHeight="1"/>
    <row r="10215" ht="15.75" customHeight="1"/>
    <row r="10216" ht="15.75" customHeight="1"/>
    <row r="10217" ht="15.75" customHeight="1"/>
    <row r="10218" ht="15.75" customHeight="1"/>
    <row r="10219" ht="15.75" customHeight="1"/>
    <row r="10220" ht="15.75" customHeight="1"/>
    <row r="10221" ht="15.75" customHeight="1"/>
    <row r="10222" ht="15.75" customHeight="1"/>
    <row r="10223" ht="15.75" customHeight="1"/>
    <row r="10224" ht="15.75" customHeight="1"/>
    <row r="10225" ht="15.75" customHeight="1"/>
    <row r="10226" ht="15.75" customHeight="1"/>
    <row r="10227" ht="15.75" customHeight="1"/>
    <row r="10228" ht="15.75" customHeight="1"/>
    <row r="10229" ht="15.75" customHeight="1"/>
    <row r="10230" ht="15.75" customHeight="1"/>
    <row r="10231" ht="15.75" customHeight="1"/>
    <row r="10232" ht="15.75" customHeight="1"/>
    <row r="10233" ht="15.75" customHeight="1"/>
    <row r="10234" ht="15.75" customHeight="1"/>
    <row r="10235" ht="15.75" customHeight="1"/>
    <row r="10236" ht="15.75" customHeight="1"/>
    <row r="10237" ht="15.75" customHeight="1"/>
    <row r="10238" ht="15.75" customHeight="1"/>
    <row r="10239" ht="15.75" customHeight="1"/>
    <row r="10240" ht="15.75" customHeight="1"/>
    <row r="10241" ht="15.75" customHeight="1"/>
    <row r="10242" ht="15.75" customHeight="1"/>
    <row r="10243" ht="15.75" customHeight="1"/>
    <row r="10244" ht="15.75" customHeight="1"/>
    <row r="10245" ht="15.75" customHeight="1"/>
    <row r="10246" ht="15.75" customHeight="1"/>
    <row r="10247" ht="15.75" customHeight="1"/>
    <row r="10248" ht="15.75" customHeight="1"/>
    <row r="10249" ht="15.75" customHeight="1"/>
    <row r="10250" ht="15.75" customHeight="1"/>
    <row r="10251" ht="15.75" customHeight="1"/>
    <row r="10252" ht="15.75" customHeight="1"/>
    <row r="10253" ht="15.75" customHeight="1"/>
    <row r="10254" ht="15.75" customHeight="1"/>
    <row r="10255" ht="15.75" customHeight="1"/>
    <row r="10256" ht="15.75" customHeight="1"/>
    <row r="10257" ht="15.75" customHeight="1"/>
    <row r="10258" ht="15.75" customHeight="1"/>
    <row r="10259" ht="15.75" customHeight="1"/>
    <row r="10260" ht="15.75" customHeight="1"/>
    <row r="10261" ht="15.75" customHeight="1"/>
    <row r="10262" ht="15.75" customHeight="1"/>
    <row r="10263" ht="15.75" customHeight="1"/>
    <row r="10264" ht="15.75" customHeight="1"/>
    <row r="10265" ht="15.75" customHeight="1"/>
    <row r="10266" ht="15.75" customHeight="1"/>
    <row r="10267" ht="15.75" customHeight="1"/>
    <row r="10268" ht="15.75" customHeight="1"/>
    <row r="10269" ht="15.75" customHeight="1"/>
    <row r="10270" ht="15.75" customHeight="1"/>
    <row r="10271" ht="15.75" customHeight="1"/>
    <row r="10272" ht="15.75" customHeight="1"/>
    <row r="10273" ht="15.75" customHeight="1"/>
    <row r="10274" ht="15.75" customHeight="1"/>
    <row r="10275" ht="15.75" customHeight="1"/>
    <row r="10276" ht="15.75" customHeight="1"/>
    <row r="10277" ht="15.75" customHeight="1"/>
    <row r="10278" ht="15.75" customHeight="1"/>
    <row r="10279" ht="15.75" customHeight="1"/>
    <row r="10280" ht="15.75" customHeight="1"/>
    <row r="10281" ht="15.75" customHeight="1"/>
    <row r="10282" ht="15.75" customHeight="1"/>
    <row r="10283" ht="15.75" customHeight="1"/>
    <row r="10284" ht="15.75" customHeight="1"/>
    <row r="10285" ht="15.75" customHeight="1"/>
    <row r="10286" ht="15.75" customHeight="1"/>
    <row r="10287" ht="15.75" customHeight="1"/>
    <row r="10288" ht="15.75" customHeight="1"/>
    <row r="10289" ht="15.75" customHeight="1"/>
    <row r="10290" ht="15.75" customHeight="1"/>
    <row r="10291" ht="15.75" customHeight="1"/>
    <row r="10292" ht="15.75" customHeight="1"/>
    <row r="10293" ht="15.75" customHeight="1"/>
    <row r="10294" ht="15.75" customHeight="1"/>
    <row r="10295" ht="15.75" customHeight="1"/>
    <row r="10296" ht="15.75" customHeight="1"/>
    <row r="10297" ht="15.75" customHeight="1"/>
    <row r="10298" ht="15.75" customHeight="1"/>
    <row r="10299" ht="15.75" customHeight="1"/>
    <row r="10300" ht="15.75" customHeight="1"/>
    <row r="10301" ht="15.75" customHeight="1"/>
    <row r="10302" ht="15.75" customHeight="1"/>
    <row r="10303" ht="15.75" customHeight="1"/>
    <row r="10304" ht="15.75" customHeight="1"/>
    <row r="10305" ht="15.75" customHeight="1"/>
    <row r="10306" ht="15.75" customHeight="1"/>
    <row r="10307" ht="15.75" customHeight="1"/>
    <row r="10308" ht="15.75" customHeight="1"/>
    <row r="10309" ht="15.75" customHeight="1"/>
    <row r="10310" ht="15.75" customHeight="1"/>
    <row r="10311" ht="15.75" customHeight="1"/>
    <row r="10312" ht="15.75" customHeight="1"/>
    <row r="10313" ht="15.75" customHeight="1"/>
    <row r="10314" ht="15.75" customHeight="1"/>
    <row r="10315" ht="15.75" customHeight="1"/>
    <row r="10316" ht="15.75" customHeight="1"/>
    <row r="10317" ht="15.75" customHeight="1"/>
    <row r="10318" ht="15.75" customHeight="1"/>
    <row r="10319" ht="15.75" customHeight="1"/>
    <row r="10320" ht="15.75" customHeight="1"/>
    <row r="10321" ht="15.75" customHeight="1"/>
    <row r="10322" ht="15.75" customHeight="1"/>
    <row r="10323" ht="15.75" customHeight="1"/>
    <row r="10324" ht="15.75" customHeight="1"/>
    <row r="10325" ht="15.75" customHeight="1"/>
    <row r="10326" ht="15.75" customHeight="1"/>
    <row r="10327" ht="15.75" customHeight="1"/>
    <row r="10328" ht="15.75" customHeight="1"/>
    <row r="10329" ht="15.75" customHeight="1"/>
    <row r="10330" ht="15.75" customHeight="1"/>
    <row r="10331" ht="15.75" customHeight="1"/>
    <row r="10332" ht="15.75" customHeight="1"/>
    <row r="10333" ht="15.75" customHeight="1"/>
    <row r="10334" ht="15.75" customHeight="1"/>
    <row r="10335" ht="15.75" customHeight="1"/>
    <row r="10336" ht="15.75" customHeight="1"/>
    <row r="10337" ht="15.75" customHeight="1"/>
    <row r="10338" ht="15.75" customHeight="1"/>
    <row r="10339" ht="15.75" customHeight="1"/>
    <row r="10340" ht="15.75" customHeight="1"/>
    <row r="10341" ht="15.75" customHeight="1"/>
    <row r="10342" ht="15.75" customHeight="1"/>
    <row r="10343" ht="15.75" customHeight="1"/>
    <row r="10344" ht="15.75" customHeight="1"/>
    <row r="10345" ht="15.75" customHeight="1"/>
    <row r="10346" ht="15.75" customHeight="1"/>
    <row r="10347" ht="15.75" customHeight="1"/>
    <row r="10348" ht="15.75" customHeight="1"/>
    <row r="10349" ht="15.75" customHeight="1"/>
    <row r="10350" ht="15.75" customHeight="1"/>
    <row r="10351" ht="15.75" customHeight="1"/>
    <row r="10352" ht="15.75" customHeight="1"/>
    <row r="10353" ht="15.75" customHeight="1"/>
    <row r="10354" ht="15.75" customHeight="1"/>
    <row r="10355" ht="15.75" customHeight="1"/>
    <row r="10356" ht="15.75" customHeight="1"/>
    <row r="10357" ht="15.75" customHeight="1"/>
    <row r="10358" ht="15.75" customHeight="1"/>
    <row r="10359" ht="15.75" customHeight="1"/>
    <row r="10360" ht="15.75" customHeight="1"/>
    <row r="10361" ht="15.75" customHeight="1"/>
    <row r="10362" ht="15.75" customHeight="1"/>
    <row r="10363" ht="15.75" customHeight="1"/>
    <row r="10364" ht="15.75" customHeight="1"/>
    <row r="10365" ht="15.75" customHeight="1"/>
    <row r="10366" ht="15.75" customHeight="1"/>
    <row r="10367" ht="15.75" customHeight="1"/>
    <row r="10368" ht="15.75" customHeight="1"/>
    <row r="10369" ht="15.75" customHeight="1"/>
    <row r="10370" ht="15.75" customHeight="1"/>
    <row r="10371" ht="15.75" customHeight="1"/>
    <row r="10372" ht="15.75" customHeight="1"/>
    <row r="10373" ht="15.75" customHeight="1"/>
    <row r="10374" ht="15.75" customHeight="1"/>
    <row r="10375" ht="15.75" customHeight="1"/>
    <row r="10376" ht="15.75" customHeight="1"/>
    <row r="10377" ht="15.75" customHeight="1"/>
    <row r="10378" ht="15.75" customHeight="1"/>
    <row r="10379" ht="15.75" customHeight="1"/>
    <row r="10380" ht="15.75" customHeight="1"/>
    <row r="10381" ht="15.75" customHeight="1"/>
    <row r="10382" ht="15.75" customHeight="1"/>
    <row r="10383" ht="15.75" customHeight="1"/>
    <row r="10384" ht="15.75" customHeight="1"/>
    <row r="10385" ht="15.75" customHeight="1"/>
    <row r="10386" ht="15.75" customHeight="1"/>
    <row r="10387" ht="15.75" customHeight="1"/>
    <row r="10388" ht="15.75" customHeight="1"/>
    <row r="10389" ht="15.75" customHeight="1"/>
    <row r="10390" ht="15.75" customHeight="1"/>
    <row r="10391" ht="15.75" customHeight="1"/>
    <row r="10392" ht="15.75" customHeight="1"/>
    <row r="10393" ht="15.75" customHeight="1"/>
    <row r="10394" ht="15.75" customHeight="1"/>
    <row r="10395" ht="15.75" customHeight="1"/>
    <row r="10396" ht="15.75" customHeight="1"/>
    <row r="10397" ht="15.75" customHeight="1"/>
    <row r="10398" ht="15.75" customHeight="1"/>
    <row r="10399" ht="15.75" customHeight="1"/>
    <row r="10400" ht="15.75" customHeight="1"/>
    <row r="10401" ht="15.75" customHeight="1"/>
    <row r="10402" ht="15.75" customHeight="1"/>
    <row r="10403" ht="15.75" customHeight="1"/>
    <row r="10404" ht="15.75" customHeight="1"/>
    <row r="10405" ht="15.75" customHeight="1"/>
    <row r="10406" ht="15.75" customHeight="1"/>
    <row r="10407" ht="15.75" customHeight="1"/>
    <row r="10408" ht="15.75" customHeight="1"/>
    <row r="10409" ht="15.75" customHeight="1"/>
    <row r="10410" ht="15.75" customHeight="1"/>
    <row r="10411" ht="15.75" customHeight="1"/>
    <row r="10412" ht="15.75" customHeight="1"/>
    <row r="10413" ht="15.75" customHeight="1"/>
    <row r="10414" ht="15.75" customHeight="1"/>
    <row r="10415" ht="15.75" customHeight="1"/>
    <row r="10416" ht="15.75" customHeight="1"/>
    <row r="10417" ht="15.75" customHeight="1"/>
    <row r="10418" ht="15.75" customHeight="1"/>
    <row r="10419" ht="15.75" customHeight="1"/>
    <row r="10420" ht="15.75" customHeight="1"/>
    <row r="10421" ht="15.75" customHeight="1"/>
    <row r="10422" ht="15.75" customHeight="1"/>
    <row r="10423" ht="15.75" customHeight="1"/>
    <row r="10424" ht="15.75" customHeight="1"/>
    <row r="10425" ht="15.75" customHeight="1"/>
    <row r="10426" ht="15.75" customHeight="1"/>
    <row r="10427" ht="15.75" customHeight="1"/>
    <row r="10428" ht="15.75" customHeight="1"/>
    <row r="10429" ht="15.75" customHeight="1"/>
    <row r="10430" ht="15.75" customHeight="1"/>
    <row r="10431" ht="15.75" customHeight="1"/>
    <row r="10432" ht="15.75" customHeight="1"/>
    <row r="10433" ht="15.75" customHeight="1"/>
    <row r="10434" ht="15.75" customHeight="1"/>
    <row r="10435" ht="15.75" customHeight="1"/>
    <row r="10436" ht="15.75" customHeight="1"/>
    <row r="10437" ht="15.75" customHeight="1"/>
    <row r="10438" ht="15.75" customHeight="1"/>
    <row r="10439" ht="15.75" customHeight="1"/>
    <row r="10440" ht="15.75" customHeight="1"/>
    <row r="10441" ht="15.75" customHeight="1"/>
    <row r="10442" ht="15.75" customHeight="1"/>
    <row r="10443" ht="15.75" customHeight="1"/>
    <row r="10444" ht="15.75" customHeight="1"/>
    <row r="10445" ht="15.75" customHeight="1"/>
    <row r="10446" ht="15.75" customHeight="1"/>
    <row r="10447" ht="15.75" customHeight="1"/>
    <row r="10448" ht="15.75" customHeight="1"/>
    <row r="10449" ht="15.75" customHeight="1"/>
    <row r="10450" ht="15.75" customHeight="1"/>
    <row r="10451" ht="15.75" customHeight="1"/>
    <row r="10452" ht="15.75" customHeight="1"/>
    <row r="10453" ht="15.75" customHeight="1"/>
    <row r="10454" ht="15.75" customHeight="1"/>
    <row r="10455" ht="15.75" customHeight="1"/>
    <row r="10456" ht="15.75" customHeight="1"/>
    <row r="10457" ht="15.75" customHeight="1"/>
    <row r="10458" ht="15.75" customHeight="1"/>
    <row r="10459" ht="15.75" customHeight="1"/>
    <row r="10460" ht="15.75" customHeight="1"/>
    <row r="10461" ht="15.75" customHeight="1"/>
    <row r="10462" ht="15.75" customHeight="1"/>
    <row r="10463" ht="15.75" customHeight="1"/>
    <row r="10464" ht="15.75" customHeight="1"/>
    <row r="10465" ht="15.75" customHeight="1"/>
    <row r="10466" ht="15.75" customHeight="1"/>
    <row r="10467" ht="15.75" customHeight="1"/>
    <row r="10468" ht="15.75" customHeight="1"/>
    <row r="10469" ht="15.75" customHeight="1"/>
    <row r="10470" ht="15.75" customHeight="1"/>
    <row r="10471" ht="15.75" customHeight="1"/>
    <row r="10472" ht="15.75" customHeight="1"/>
    <row r="10473" ht="15.75" customHeight="1"/>
    <row r="10474" ht="15.75" customHeight="1"/>
    <row r="10475" ht="15.75" customHeight="1"/>
    <row r="10476" ht="15.75" customHeight="1"/>
    <row r="10477" ht="15.75" customHeight="1"/>
    <row r="10478" ht="15.75" customHeight="1"/>
    <row r="10479" ht="15.75" customHeight="1"/>
    <row r="10480" ht="15.75" customHeight="1"/>
    <row r="10481" ht="15.75" customHeight="1"/>
    <row r="10482" ht="15.75" customHeight="1"/>
    <row r="10483" ht="15.75" customHeight="1"/>
    <row r="10484" ht="15.75" customHeight="1"/>
    <row r="10485" ht="15.75" customHeight="1"/>
    <row r="10486" ht="15.75" customHeight="1"/>
    <row r="10487" ht="15.75" customHeight="1"/>
    <row r="10488" ht="15.75" customHeight="1"/>
    <row r="10489" ht="15.75" customHeight="1"/>
    <row r="10490" ht="15.75" customHeight="1"/>
    <row r="10491" ht="15.75" customHeight="1"/>
    <row r="10492" ht="15.75" customHeight="1"/>
    <row r="10493" ht="15.75" customHeight="1"/>
    <row r="10494" ht="15.75" customHeight="1"/>
    <row r="10495" ht="15.75" customHeight="1"/>
    <row r="10496" ht="15.75" customHeight="1"/>
    <row r="10497" ht="15.75" customHeight="1"/>
    <row r="10498" ht="15.75" customHeight="1"/>
    <row r="10499" ht="15.75" customHeight="1"/>
    <row r="10500" ht="15.75" customHeight="1"/>
    <row r="10501" ht="15.75" customHeight="1"/>
    <row r="10502" ht="15.75" customHeight="1"/>
    <row r="10503" ht="15.75" customHeight="1"/>
    <row r="10504" ht="15.75" customHeight="1"/>
    <row r="10505" ht="15.75" customHeight="1"/>
    <row r="10506" ht="15.75" customHeight="1"/>
    <row r="10507" ht="15.75" customHeight="1"/>
    <row r="10508" ht="15.75" customHeight="1"/>
    <row r="10509" ht="15.75" customHeight="1"/>
    <row r="10510" ht="15.75" customHeight="1"/>
    <row r="10511" ht="15.75" customHeight="1"/>
    <row r="10512" ht="15.75" customHeight="1"/>
    <row r="10513" ht="15.75" customHeight="1"/>
    <row r="10514" ht="15.75" customHeight="1"/>
    <row r="10515" ht="15.75" customHeight="1"/>
    <row r="10516" ht="15.75" customHeight="1"/>
    <row r="10517" ht="15.75" customHeight="1"/>
    <row r="10518" ht="15.75" customHeight="1"/>
    <row r="10519" ht="15.75" customHeight="1"/>
    <row r="10520" ht="15.75" customHeight="1"/>
    <row r="10521" ht="15.75" customHeight="1"/>
    <row r="10522" ht="15.75" customHeight="1"/>
    <row r="10523" ht="15.75" customHeight="1"/>
    <row r="10524" ht="15.75" customHeight="1"/>
    <row r="10525" ht="15.75" customHeight="1"/>
    <row r="10526" ht="15.75" customHeight="1"/>
    <row r="10527" ht="15.75" customHeight="1"/>
    <row r="10528" ht="15.75" customHeight="1"/>
    <row r="10529" ht="15.75" customHeight="1"/>
    <row r="10530" ht="15.75" customHeight="1"/>
    <row r="10531" ht="15.75" customHeight="1"/>
    <row r="10532" ht="15.75" customHeight="1"/>
    <row r="10533" ht="15.75" customHeight="1"/>
    <row r="10534" ht="15.75" customHeight="1"/>
    <row r="10535" ht="15.75" customHeight="1"/>
    <row r="10536" ht="15.75" customHeight="1"/>
    <row r="10537" ht="15.75" customHeight="1"/>
    <row r="10538" ht="15.75" customHeight="1"/>
    <row r="10539" ht="15.75" customHeight="1"/>
    <row r="10540" ht="15.75" customHeight="1"/>
    <row r="10541" ht="15.75" customHeight="1"/>
    <row r="10542" ht="15.75" customHeight="1"/>
    <row r="10543" ht="15.75" customHeight="1"/>
    <row r="10544" ht="15.75" customHeight="1"/>
    <row r="10545" ht="15.75" customHeight="1"/>
    <row r="10546" ht="15.75" customHeight="1"/>
    <row r="10547" ht="15.75" customHeight="1"/>
    <row r="10548" ht="15.75" customHeight="1"/>
    <row r="10549" ht="15.75" customHeight="1"/>
    <row r="10550" ht="15.75" customHeight="1"/>
    <row r="10551" ht="15.75" customHeight="1"/>
    <row r="10552" ht="15.75" customHeight="1"/>
    <row r="10553" ht="15.75" customHeight="1"/>
    <row r="10554" ht="15.75" customHeight="1"/>
    <row r="10555" ht="15.75" customHeight="1"/>
    <row r="10556" ht="15.75" customHeight="1"/>
    <row r="10557" ht="15.75" customHeight="1"/>
    <row r="10558" ht="15.75" customHeight="1"/>
    <row r="10559" ht="15.75" customHeight="1"/>
    <row r="10560" ht="15.75" customHeight="1"/>
    <row r="10561" ht="15.75" customHeight="1"/>
    <row r="10562" ht="15.75" customHeight="1"/>
    <row r="10563" ht="15.75" customHeight="1"/>
    <row r="10564" ht="15.75" customHeight="1"/>
    <row r="10565" ht="15.75" customHeight="1"/>
    <row r="10566" ht="15.75" customHeight="1"/>
    <row r="10567" ht="15.75" customHeight="1"/>
    <row r="10568" ht="15.75" customHeight="1"/>
    <row r="10569" ht="15.75" customHeight="1"/>
    <row r="10570" ht="15.75" customHeight="1"/>
    <row r="10571" ht="15.75" customHeight="1"/>
    <row r="10572" ht="15.75" customHeight="1"/>
    <row r="10573" ht="15.75" customHeight="1"/>
    <row r="10574" ht="15.75" customHeight="1"/>
    <row r="10575" ht="15.75" customHeight="1"/>
    <row r="10576" ht="15.75" customHeight="1"/>
    <row r="10577" ht="15.75" customHeight="1"/>
    <row r="10578" ht="15.75" customHeight="1"/>
    <row r="10579" ht="15.75" customHeight="1"/>
    <row r="10580" ht="15.75" customHeight="1"/>
    <row r="10581" ht="15.75" customHeight="1"/>
    <row r="10582" ht="15.75" customHeight="1"/>
    <row r="10583" ht="15.75" customHeight="1"/>
    <row r="10584" ht="15.75" customHeight="1"/>
    <row r="10585" ht="15.75" customHeight="1"/>
    <row r="10586" ht="15.75" customHeight="1"/>
    <row r="10587" ht="15.75" customHeight="1"/>
    <row r="10588" ht="15.75" customHeight="1"/>
    <row r="10589" ht="15.75" customHeight="1"/>
    <row r="10590" ht="15.75" customHeight="1"/>
    <row r="10591" ht="15.75" customHeight="1"/>
    <row r="10592" ht="15.75" customHeight="1"/>
    <row r="10593" ht="15.75" customHeight="1"/>
    <row r="10594" ht="15.75" customHeight="1"/>
    <row r="10595" ht="15.75" customHeight="1"/>
    <row r="10596" ht="15.75" customHeight="1"/>
    <row r="10597" ht="15.75" customHeight="1"/>
    <row r="10598" ht="15.75" customHeight="1"/>
    <row r="10599" ht="15.75" customHeight="1"/>
    <row r="10600" ht="15.75" customHeight="1"/>
    <row r="10601" ht="15.75" customHeight="1"/>
    <row r="10602" ht="15.75" customHeight="1"/>
    <row r="10603" ht="15.75" customHeight="1"/>
    <row r="10604" ht="15.75" customHeight="1"/>
    <row r="10605" ht="15.75" customHeight="1"/>
    <row r="10606" ht="15.75" customHeight="1"/>
    <row r="10607" ht="15.75" customHeight="1"/>
    <row r="10608" ht="15.75" customHeight="1"/>
    <row r="10609" ht="15.75" customHeight="1"/>
    <row r="10610" ht="15.75" customHeight="1"/>
    <row r="10611" ht="15.75" customHeight="1"/>
    <row r="10612" ht="15.75" customHeight="1"/>
    <row r="10613" ht="15.75" customHeight="1"/>
    <row r="10614" ht="15.75" customHeight="1"/>
    <row r="10615" ht="15.75" customHeight="1"/>
    <row r="10616" ht="15.75" customHeight="1"/>
    <row r="10617" ht="15.75" customHeight="1"/>
    <row r="10618" ht="15.75" customHeight="1"/>
    <row r="10619" ht="15.75" customHeight="1"/>
    <row r="10620" ht="15.75" customHeight="1"/>
    <row r="10621" ht="15.75" customHeight="1"/>
    <row r="10622" ht="15.75" customHeight="1"/>
    <row r="10623" ht="15.75" customHeight="1"/>
    <row r="10624" ht="15.75" customHeight="1"/>
    <row r="10625" ht="15.75" customHeight="1"/>
    <row r="10626" ht="15.75" customHeight="1"/>
    <row r="10627" ht="15.75" customHeight="1"/>
    <row r="10628" ht="15.75" customHeight="1"/>
    <row r="10629" ht="15.75" customHeight="1"/>
    <row r="10630" ht="15.75" customHeight="1"/>
    <row r="10631" ht="15.75" customHeight="1"/>
    <row r="10632" ht="15.75" customHeight="1"/>
    <row r="10633" ht="15.75" customHeight="1"/>
    <row r="10634" ht="15.75" customHeight="1"/>
    <row r="10635" ht="15.75" customHeight="1"/>
    <row r="10636" ht="15.75" customHeight="1"/>
    <row r="10637" ht="15.75" customHeight="1"/>
    <row r="10638" ht="15.75" customHeight="1"/>
    <row r="10639" ht="15.75" customHeight="1"/>
    <row r="10640" ht="15.75" customHeight="1"/>
    <row r="10641" ht="15.75" customHeight="1"/>
    <row r="10642" ht="15.75" customHeight="1"/>
    <row r="10643" ht="15.75" customHeight="1"/>
    <row r="10644" ht="15.75" customHeight="1"/>
    <row r="10645" ht="15.75" customHeight="1"/>
    <row r="10646" ht="15.75" customHeight="1"/>
    <row r="10647" ht="15.75" customHeight="1"/>
    <row r="10648" ht="15.75" customHeight="1"/>
    <row r="10649" ht="15.75" customHeight="1"/>
    <row r="10650" ht="15.75" customHeight="1"/>
    <row r="10651" ht="15.75" customHeight="1"/>
    <row r="10652" ht="15.75" customHeight="1"/>
    <row r="10653" ht="15.75" customHeight="1"/>
    <row r="10654" ht="15.75" customHeight="1"/>
    <row r="10655" ht="15.75" customHeight="1"/>
    <row r="10656" ht="15.75" customHeight="1"/>
    <row r="10657" ht="15.75" customHeight="1"/>
    <row r="10658" ht="15.75" customHeight="1"/>
    <row r="10659" ht="15.75" customHeight="1"/>
    <row r="10660" ht="15.75" customHeight="1"/>
    <row r="10661" ht="15.75" customHeight="1"/>
    <row r="10662" ht="15.75" customHeight="1"/>
    <row r="10663" ht="15.75" customHeight="1"/>
    <row r="10664" ht="15.75" customHeight="1"/>
    <row r="10665" ht="15.75" customHeight="1"/>
    <row r="10666" ht="15.75" customHeight="1"/>
    <row r="10667" ht="15.75" customHeight="1"/>
    <row r="10668" ht="15.75" customHeight="1"/>
    <row r="10669" ht="15.75" customHeight="1"/>
    <row r="10670" ht="15.75" customHeight="1"/>
    <row r="10671" ht="15.75" customHeight="1"/>
    <row r="10672" ht="15.75" customHeight="1"/>
    <row r="10673" ht="15.75" customHeight="1"/>
    <row r="10674" ht="15.75" customHeight="1"/>
    <row r="10675" ht="15.75" customHeight="1"/>
    <row r="10676" ht="15.75" customHeight="1"/>
    <row r="10677" ht="15.75" customHeight="1"/>
    <row r="10678" ht="15.75" customHeight="1"/>
    <row r="10679" ht="15.75" customHeight="1"/>
    <row r="10680" ht="15.75" customHeight="1"/>
    <row r="10681" ht="15.75" customHeight="1"/>
    <row r="10682" ht="15.75" customHeight="1"/>
    <row r="10683" ht="15.75" customHeight="1"/>
    <row r="10684" ht="15.75" customHeight="1"/>
    <row r="10685" ht="15.75" customHeight="1"/>
    <row r="10686" ht="15.75" customHeight="1"/>
    <row r="10687" ht="15.75" customHeight="1"/>
    <row r="10688" ht="15.75" customHeight="1"/>
    <row r="10689" ht="15.75" customHeight="1"/>
    <row r="10690" ht="15.75" customHeight="1"/>
    <row r="10691" ht="15.75" customHeight="1"/>
    <row r="10692" ht="15.75" customHeight="1"/>
    <row r="10693" ht="15.75" customHeight="1"/>
    <row r="10694" ht="15.75" customHeight="1"/>
    <row r="10695" ht="15.75" customHeight="1"/>
    <row r="10696" ht="15.75" customHeight="1"/>
    <row r="10697" ht="15.75" customHeight="1"/>
    <row r="10698" ht="15.75" customHeight="1"/>
    <row r="10699" ht="15.75" customHeight="1"/>
    <row r="10700" ht="15.75" customHeight="1"/>
    <row r="10701" ht="15.75" customHeight="1"/>
    <row r="10702" ht="15.75" customHeight="1"/>
    <row r="10703" ht="15.75" customHeight="1"/>
    <row r="10704" ht="15.75" customHeight="1"/>
    <row r="10705" ht="15.75" customHeight="1"/>
    <row r="10706" ht="15.75" customHeight="1"/>
    <row r="10707" ht="15.75" customHeight="1"/>
    <row r="10708" ht="15.75" customHeight="1"/>
    <row r="10709" ht="15.75" customHeight="1"/>
    <row r="10710" ht="15.75" customHeight="1"/>
    <row r="10711" ht="15.75" customHeight="1"/>
    <row r="10712" ht="15.75" customHeight="1"/>
    <row r="10713" ht="15.75" customHeight="1"/>
    <row r="10714" ht="15.75" customHeight="1"/>
    <row r="10715" ht="15.75" customHeight="1"/>
    <row r="10716" ht="15.75" customHeight="1"/>
    <row r="10717" ht="15.75" customHeight="1"/>
    <row r="10718" ht="15.75" customHeight="1"/>
    <row r="10719" ht="15.75" customHeight="1"/>
    <row r="10720" ht="15.75" customHeight="1"/>
    <row r="10721" ht="15.75" customHeight="1"/>
    <row r="10722" ht="15.75" customHeight="1"/>
    <row r="10723" ht="15.75" customHeight="1"/>
    <row r="10724" ht="15.75" customHeight="1"/>
    <row r="10725" ht="15.75" customHeight="1"/>
    <row r="10726" ht="15.75" customHeight="1"/>
    <row r="10727" ht="15.75" customHeight="1"/>
    <row r="10728" ht="15.75" customHeight="1"/>
    <row r="10729" ht="15.75" customHeight="1"/>
    <row r="10730" ht="15.75" customHeight="1"/>
    <row r="10731" ht="15.75" customHeight="1"/>
    <row r="10732" ht="15.75" customHeight="1"/>
    <row r="10733" ht="15.75" customHeight="1"/>
    <row r="10734" ht="15.75" customHeight="1"/>
    <row r="10735" ht="15.75" customHeight="1"/>
    <row r="10736" ht="15.75" customHeight="1"/>
    <row r="10737" ht="15.75" customHeight="1"/>
    <row r="10738" ht="15.75" customHeight="1"/>
    <row r="10739" ht="15.75" customHeight="1"/>
    <row r="10740" ht="15.75" customHeight="1"/>
    <row r="10741" ht="15.75" customHeight="1"/>
    <row r="10742" ht="15.75" customHeight="1"/>
    <row r="10743" ht="15.75" customHeight="1"/>
    <row r="10744" ht="15.75" customHeight="1"/>
    <row r="10745" ht="15.75" customHeight="1"/>
    <row r="10746" ht="15.75" customHeight="1"/>
    <row r="10747" ht="15.75" customHeight="1"/>
    <row r="10748" ht="15.75" customHeight="1"/>
    <row r="10749" ht="15.75" customHeight="1"/>
    <row r="10750" ht="15.75" customHeight="1"/>
    <row r="10751" ht="15.75" customHeight="1"/>
    <row r="10752" ht="15.75" customHeight="1"/>
    <row r="10753" ht="15.75" customHeight="1"/>
    <row r="10754" ht="15.75" customHeight="1"/>
    <row r="10755" ht="15.75" customHeight="1"/>
    <row r="10756" ht="15.75" customHeight="1"/>
    <row r="10757" ht="15.75" customHeight="1"/>
    <row r="10758" ht="15.75" customHeight="1"/>
    <row r="10759" ht="15.75" customHeight="1"/>
    <row r="10760" ht="15.75" customHeight="1"/>
    <row r="10761" ht="15.75" customHeight="1"/>
    <row r="10762" ht="15.75" customHeight="1"/>
    <row r="10763" ht="15.75" customHeight="1"/>
    <row r="10764" ht="15.75" customHeight="1"/>
    <row r="10765" ht="15.75" customHeight="1"/>
    <row r="10766" ht="15.75" customHeight="1"/>
    <row r="10767" ht="15.75" customHeight="1"/>
    <row r="10768" ht="15.75" customHeight="1"/>
    <row r="10769" ht="15.75" customHeight="1"/>
    <row r="10770" ht="15.75" customHeight="1"/>
    <row r="10771" ht="15.75" customHeight="1"/>
    <row r="10772" ht="15.75" customHeight="1"/>
    <row r="10773" ht="15.75" customHeight="1"/>
    <row r="10774" ht="15.75" customHeight="1"/>
    <row r="10775" ht="15.75" customHeight="1"/>
    <row r="10776" ht="15.75" customHeight="1"/>
    <row r="10777" ht="15.75" customHeight="1"/>
    <row r="10778" ht="15.75" customHeight="1"/>
    <row r="10779" ht="15.75" customHeight="1"/>
    <row r="10780" ht="15.75" customHeight="1"/>
    <row r="10781" ht="15.75" customHeight="1"/>
    <row r="10782" ht="15.75" customHeight="1"/>
    <row r="10783" ht="15.75" customHeight="1"/>
    <row r="10784" ht="15.75" customHeight="1"/>
    <row r="10785" ht="15.75" customHeight="1"/>
    <row r="10786" ht="15.75" customHeight="1"/>
    <row r="10787" ht="15.75" customHeight="1"/>
    <row r="10788" ht="15.75" customHeight="1"/>
    <row r="10789" ht="15.75" customHeight="1"/>
    <row r="10790" ht="15.75" customHeight="1"/>
    <row r="10791" ht="15.75" customHeight="1"/>
    <row r="10792" ht="15.75" customHeight="1"/>
    <row r="10793" ht="15.75" customHeight="1"/>
    <row r="10794" ht="15.75" customHeight="1"/>
    <row r="10795" ht="15.75" customHeight="1"/>
    <row r="10796" ht="15.75" customHeight="1"/>
    <row r="10797" ht="15.75" customHeight="1"/>
    <row r="10798" ht="15.75" customHeight="1"/>
    <row r="10799" ht="15.75" customHeight="1"/>
    <row r="10800" ht="15.75" customHeight="1"/>
    <row r="10801" ht="15.75" customHeight="1"/>
    <row r="10802" ht="15.75" customHeight="1"/>
    <row r="10803" ht="15.75" customHeight="1"/>
    <row r="10804" ht="15.75" customHeight="1"/>
    <row r="10805" ht="15.75" customHeight="1"/>
    <row r="10806" ht="15.75" customHeight="1"/>
    <row r="10807" ht="15.75" customHeight="1"/>
    <row r="10808" ht="15.75" customHeight="1"/>
    <row r="10809" ht="15.75" customHeight="1"/>
    <row r="10810" ht="15.75" customHeight="1"/>
    <row r="10811" ht="15.75" customHeight="1"/>
    <row r="10812" ht="15.75" customHeight="1"/>
    <row r="10813" ht="15.75" customHeight="1"/>
    <row r="10814" ht="15.75" customHeight="1"/>
    <row r="10815" ht="15.75" customHeight="1"/>
    <row r="10816" ht="15.75" customHeight="1"/>
    <row r="10817" ht="15.75" customHeight="1"/>
    <row r="10818" ht="15.75" customHeight="1"/>
    <row r="10819" ht="15.75" customHeight="1"/>
    <row r="10820" ht="15.75" customHeight="1"/>
    <row r="10821" ht="15.75" customHeight="1"/>
    <row r="10822" ht="15.75" customHeight="1"/>
    <row r="10823" ht="15.75" customHeight="1"/>
    <row r="10824" ht="15.75" customHeight="1"/>
    <row r="10825" ht="15.75" customHeight="1"/>
    <row r="10826" ht="15.75" customHeight="1"/>
    <row r="10827" ht="15.75" customHeight="1"/>
    <row r="10828" ht="15.75" customHeight="1"/>
    <row r="10829" ht="15.75" customHeight="1"/>
    <row r="10830" ht="15.75" customHeight="1"/>
    <row r="10831" ht="15.75" customHeight="1"/>
    <row r="10832" ht="15.75" customHeight="1"/>
    <row r="10833" ht="15.75" customHeight="1"/>
    <row r="10834" ht="15.75" customHeight="1"/>
    <row r="10835" ht="15.75" customHeight="1"/>
    <row r="10836" ht="15.75" customHeight="1"/>
    <row r="10837" ht="15.75" customHeight="1"/>
    <row r="10838" ht="15.75" customHeight="1"/>
    <row r="10839" ht="15.75" customHeight="1"/>
    <row r="10840" ht="15.75" customHeight="1"/>
    <row r="10841" ht="15.75" customHeight="1"/>
    <row r="10842" ht="15.75" customHeight="1"/>
    <row r="10843" ht="15.75" customHeight="1"/>
    <row r="10844" ht="15.75" customHeight="1"/>
    <row r="10845" ht="15.75" customHeight="1"/>
    <row r="10846" ht="15.75" customHeight="1"/>
    <row r="10847" ht="15.75" customHeight="1"/>
    <row r="10848" ht="15.75" customHeight="1"/>
    <row r="10849" ht="15.75" customHeight="1"/>
    <row r="10850" ht="15.75" customHeight="1"/>
    <row r="10851" ht="15.75" customHeight="1"/>
    <row r="10852" ht="15.75" customHeight="1"/>
    <row r="10853" ht="15.75" customHeight="1"/>
    <row r="10854" ht="15.75" customHeight="1"/>
    <row r="10855" ht="15.75" customHeight="1"/>
    <row r="10856" ht="15.75" customHeight="1"/>
    <row r="10857" ht="15.75" customHeight="1"/>
    <row r="10858" ht="15.75" customHeight="1"/>
    <row r="10859" ht="15.75" customHeight="1"/>
    <row r="10860" ht="15.75" customHeight="1"/>
    <row r="10861" ht="15.75" customHeight="1"/>
    <row r="10862" ht="15.75" customHeight="1"/>
    <row r="10863" ht="15.75" customHeight="1"/>
    <row r="10864" ht="15.75" customHeight="1"/>
    <row r="10865" ht="15.75" customHeight="1"/>
    <row r="10866" ht="15.75" customHeight="1"/>
    <row r="10867" ht="15.75" customHeight="1"/>
    <row r="10868" ht="15.75" customHeight="1"/>
    <row r="10869" ht="15.75" customHeight="1"/>
    <row r="10870" ht="15.75" customHeight="1"/>
    <row r="10871" ht="15.75" customHeight="1"/>
    <row r="10872" ht="15.75" customHeight="1"/>
    <row r="10873" ht="15.75" customHeight="1"/>
    <row r="10874" ht="15.75" customHeight="1"/>
    <row r="10875" ht="15.75" customHeight="1"/>
    <row r="10876" ht="15.75" customHeight="1"/>
    <row r="10877" ht="15.75" customHeight="1"/>
    <row r="10878" ht="15.75" customHeight="1"/>
    <row r="10879" ht="15.75" customHeight="1"/>
    <row r="10880" ht="15.75" customHeight="1"/>
    <row r="10881" ht="15.75" customHeight="1"/>
    <row r="10882" ht="15.75" customHeight="1"/>
    <row r="10883" ht="15.75" customHeight="1"/>
    <row r="10884" ht="15.75" customHeight="1"/>
    <row r="10885" ht="15.75" customHeight="1"/>
    <row r="10886" ht="15.75" customHeight="1"/>
    <row r="10887" ht="15.75" customHeight="1"/>
    <row r="10888" ht="15.75" customHeight="1"/>
    <row r="10889" ht="15.75" customHeight="1"/>
    <row r="10890" ht="15.75" customHeight="1"/>
    <row r="10891" ht="15.75" customHeight="1"/>
    <row r="10892" ht="15.75" customHeight="1"/>
    <row r="10893" ht="15.75" customHeight="1"/>
    <row r="10894" ht="15.75" customHeight="1"/>
    <row r="10895" ht="15.75" customHeight="1"/>
    <row r="10896" ht="15.75" customHeight="1"/>
    <row r="10897" ht="15.75" customHeight="1"/>
    <row r="10898" ht="15.75" customHeight="1"/>
    <row r="10899" ht="15.75" customHeight="1"/>
    <row r="10900" ht="15.75" customHeight="1"/>
    <row r="10901" ht="15.75" customHeight="1"/>
    <row r="10902" ht="15.75" customHeight="1"/>
    <row r="10903" ht="15.75" customHeight="1"/>
    <row r="10904" ht="15.75" customHeight="1"/>
    <row r="10905" ht="15.75" customHeight="1"/>
    <row r="10906" ht="15.75" customHeight="1"/>
    <row r="10907" ht="15.75" customHeight="1"/>
    <row r="10908" ht="15.75" customHeight="1"/>
    <row r="10909" ht="15.75" customHeight="1"/>
    <row r="10910" ht="15.75" customHeight="1"/>
    <row r="10911" ht="15.75" customHeight="1"/>
    <row r="10912" ht="15.75" customHeight="1"/>
    <row r="10913" ht="15.75" customHeight="1"/>
    <row r="10914" ht="15.75" customHeight="1"/>
    <row r="10915" ht="15.75" customHeight="1"/>
    <row r="10916" ht="15.75" customHeight="1"/>
    <row r="10917" ht="15.75" customHeight="1"/>
    <row r="10918" ht="15.75" customHeight="1"/>
    <row r="10919" ht="15.75" customHeight="1"/>
    <row r="10920" ht="15.75" customHeight="1"/>
    <row r="10921" ht="15.75" customHeight="1"/>
    <row r="10922" ht="15.75" customHeight="1"/>
    <row r="10923" ht="15.75" customHeight="1"/>
    <row r="10924" ht="15.75" customHeight="1"/>
    <row r="10925" ht="15.75" customHeight="1"/>
    <row r="10926" ht="15.75" customHeight="1"/>
    <row r="10927" ht="15.75" customHeight="1"/>
    <row r="10928" ht="15.75" customHeight="1"/>
    <row r="10929" ht="15.75" customHeight="1"/>
    <row r="10930" ht="15.75" customHeight="1"/>
    <row r="10931" ht="15.75" customHeight="1"/>
    <row r="10932" ht="15.75" customHeight="1"/>
    <row r="10933" ht="15.75" customHeight="1"/>
    <row r="10934" ht="15.75" customHeight="1"/>
    <row r="10935" ht="15.75" customHeight="1"/>
    <row r="10936" ht="15.75" customHeight="1"/>
    <row r="10937" ht="15.75" customHeight="1"/>
    <row r="10938" ht="15.75" customHeight="1"/>
    <row r="10939" ht="15.75" customHeight="1"/>
    <row r="10940" ht="15.75" customHeight="1"/>
    <row r="10941" ht="15.75" customHeight="1"/>
    <row r="10942" ht="15.75" customHeight="1"/>
    <row r="10943" ht="15.75" customHeight="1"/>
    <row r="10944" ht="15.75" customHeight="1"/>
    <row r="10945" ht="15.75" customHeight="1"/>
    <row r="10946" ht="15.75" customHeight="1"/>
    <row r="10947" ht="15.75" customHeight="1"/>
    <row r="10948" ht="15.75" customHeight="1"/>
    <row r="10949" ht="15.75" customHeight="1"/>
    <row r="10950" ht="15.75" customHeight="1"/>
    <row r="10951" ht="15.75" customHeight="1"/>
    <row r="10952" ht="15.75" customHeight="1"/>
    <row r="10953" ht="15.75" customHeight="1"/>
    <row r="10954" ht="15.75" customHeight="1"/>
    <row r="10955" ht="15.75" customHeight="1"/>
    <row r="10956" ht="15.75" customHeight="1"/>
    <row r="10957" ht="15.75" customHeight="1"/>
    <row r="10958" ht="15.75" customHeight="1"/>
    <row r="10959" ht="15.75" customHeight="1"/>
    <row r="10960" ht="15.75" customHeight="1"/>
    <row r="10961" ht="15.75" customHeight="1"/>
    <row r="10962" ht="15.75" customHeight="1"/>
    <row r="10963" ht="15.75" customHeight="1"/>
    <row r="10964" ht="15.75" customHeight="1"/>
    <row r="10965" ht="15.75" customHeight="1"/>
    <row r="10966" ht="15.75" customHeight="1"/>
    <row r="10967" ht="15.75" customHeight="1"/>
    <row r="10968" ht="15.75" customHeight="1"/>
    <row r="10969" ht="15.75" customHeight="1"/>
    <row r="10970" ht="15.75" customHeight="1"/>
    <row r="10971" ht="15.75" customHeight="1"/>
    <row r="10972" ht="15.75" customHeight="1"/>
    <row r="10973" ht="15.75" customHeight="1"/>
    <row r="10974" ht="15.75" customHeight="1"/>
    <row r="10975" ht="15.75" customHeight="1"/>
    <row r="10976" ht="15.75" customHeight="1"/>
    <row r="10977" ht="15.75" customHeight="1"/>
    <row r="10978" ht="15.75" customHeight="1"/>
    <row r="10979" ht="15.75" customHeight="1"/>
    <row r="10980" ht="15.75" customHeight="1"/>
    <row r="10981" ht="15.75" customHeight="1"/>
    <row r="10982" ht="15.75" customHeight="1"/>
    <row r="10983" ht="15.75" customHeight="1"/>
    <row r="10984" ht="15.75" customHeight="1"/>
    <row r="10985" ht="15.75" customHeight="1"/>
    <row r="10986" ht="15.75" customHeight="1"/>
    <row r="10987" ht="15.75" customHeight="1"/>
    <row r="10988" ht="15.75" customHeight="1"/>
    <row r="10989" ht="15.75" customHeight="1"/>
    <row r="10990" ht="15.75" customHeight="1"/>
    <row r="10991" ht="15.75" customHeight="1"/>
    <row r="10992" ht="15.75" customHeight="1"/>
    <row r="10993" ht="15.75" customHeight="1"/>
    <row r="10994" ht="15.75" customHeight="1"/>
    <row r="10995" ht="15.75" customHeight="1"/>
    <row r="10996" ht="15.75" customHeight="1"/>
    <row r="10997" ht="15.75" customHeight="1"/>
    <row r="10998" ht="15.75" customHeight="1"/>
    <row r="10999" ht="15.75" customHeight="1"/>
    <row r="11000" ht="15.75" customHeight="1"/>
    <row r="11001" ht="15.75" customHeight="1"/>
    <row r="11002" ht="15.75" customHeight="1"/>
    <row r="11003" ht="15.75" customHeight="1"/>
    <row r="11004" ht="15.75" customHeight="1"/>
    <row r="11005" ht="15.75" customHeight="1"/>
    <row r="11006" ht="15.75" customHeight="1"/>
    <row r="11007" ht="15.75" customHeight="1"/>
    <row r="11008" ht="15.75" customHeight="1"/>
    <row r="11009" ht="15.75" customHeight="1"/>
    <row r="11010" ht="15.75" customHeight="1"/>
    <row r="11011" ht="15.75" customHeight="1"/>
    <row r="11012" ht="15.75" customHeight="1"/>
    <row r="11013" ht="15.75" customHeight="1"/>
    <row r="11014" ht="15.75" customHeight="1"/>
    <row r="11015" ht="15.75" customHeight="1"/>
    <row r="11016" ht="15.75" customHeight="1"/>
    <row r="11017" ht="15.75" customHeight="1"/>
    <row r="11018" ht="15.75" customHeight="1"/>
    <row r="11019" ht="15.75" customHeight="1"/>
    <row r="11020" ht="15.75" customHeight="1"/>
    <row r="11021" ht="15.75" customHeight="1"/>
    <row r="11022" ht="15.75" customHeight="1"/>
    <row r="11023" ht="15.75" customHeight="1"/>
    <row r="11024" ht="15.75" customHeight="1"/>
    <row r="11025" ht="15.75" customHeight="1"/>
    <row r="11026" ht="15.75" customHeight="1"/>
    <row r="11027" ht="15.75" customHeight="1"/>
    <row r="11028" ht="15.75" customHeight="1"/>
    <row r="11029" ht="15.75" customHeight="1"/>
    <row r="11030" ht="15.75" customHeight="1"/>
    <row r="11031" ht="15.75" customHeight="1"/>
    <row r="11032" ht="15.75" customHeight="1"/>
    <row r="11033" ht="15.75" customHeight="1"/>
    <row r="11034" ht="15.75" customHeight="1"/>
    <row r="11035" ht="15.75" customHeight="1"/>
    <row r="11036" ht="15.75" customHeight="1"/>
    <row r="11037" ht="15.75" customHeight="1"/>
    <row r="11038" ht="15.75" customHeight="1"/>
    <row r="11039" ht="15.75" customHeight="1"/>
    <row r="11040" ht="15.75" customHeight="1"/>
    <row r="11041" ht="15.75" customHeight="1"/>
    <row r="11042" ht="15.75" customHeight="1"/>
    <row r="11043" ht="15.75" customHeight="1"/>
    <row r="11044" ht="15.75" customHeight="1"/>
    <row r="11045" ht="15.75" customHeight="1"/>
    <row r="11046" ht="15.75" customHeight="1"/>
    <row r="11047" ht="15.75" customHeight="1"/>
    <row r="11048" ht="15.75" customHeight="1"/>
    <row r="11049" ht="15.75" customHeight="1"/>
    <row r="11050" ht="15.75" customHeight="1"/>
    <row r="11051" ht="15.75" customHeight="1"/>
    <row r="11052" ht="15.75" customHeight="1"/>
    <row r="11053" ht="15.75" customHeight="1"/>
    <row r="11054" ht="15.75" customHeight="1"/>
    <row r="11055" ht="15.75" customHeight="1"/>
    <row r="11056" ht="15.75" customHeight="1"/>
    <row r="11057" ht="15.75" customHeight="1"/>
    <row r="11058" ht="15.75" customHeight="1"/>
    <row r="11059" ht="15.75" customHeight="1"/>
    <row r="11060" ht="15.75" customHeight="1"/>
    <row r="11061" ht="15.75" customHeight="1"/>
    <row r="11062" ht="15.75" customHeight="1"/>
    <row r="11063" ht="15.75" customHeight="1"/>
    <row r="11064" ht="15.75" customHeight="1"/>
    <row r="11065" ht="15.75" customHeight="1"/>
    <row r="11066" ht="15.75" customHeight="1"/>
    <row r="11067" ht="15.75" customHeight="1"/>
    <row r="11068" ht="15.75" customHeight="1"/>
    <row r="11069" ht="15.75" customHeight="1"/>
    <row r="11070" ht="15.75" customHeight="1"/>
    <row r="11071" ht="15.75" customHeight="1"/>
    <row r="11072" ht="15.75" customHeight="1"/>
    <row r="11073" ht="15.75" customHeight="1"/>
    <row r="11074" ht="15.75" customHeight="1"/>
    <row r="11075" ht="15.75" customHeight="1"/>
    <row r="11076" ht="15.75" customHeight="1"/>
    <row r="11077" ht="15.75" customHeight="1"/>
    <row r="11078" ht="15.75" customHeight="1"/>
    <row r="11079" ht="15.75" customHeight="1"/>
    <row r="11080" ht="15.75" customHeight="1"/>
    <row r="11081" ht="15.75" customHeight="1"/>
    <row r="11082" ht="15.75" customHeight="1"/>
    <row r="11083" ht="15.75" customHeight="1"/>
    <row r="11084" ht="15.75" customHeight="1"/>
    <row r="11085" ht="15.75" customHeight="1"/>
    <row r="11086" ht="15.75" customHeight="1"/>
    <row r="11087" ht="15.75" customHeight="1"/>
    <row r="11088" ht="15.75" customHeight="1"/>
    <row r="11089" ht="15.75" customHeight="1"/>
    <row r="11090" ht="15.75" customHeight="1"/>
    <row r="11091" ht="15.75" customHeight="1"/>
    <row r="11092" ht="15.75" customHeight="1"/>
    <row r="11093" ht="15.75" customHeight="1"/>
    <row r="11094" ht="15.75" customHeight="1"/>
    <row r="11095" ht="15.75" customHeight="1"/>
    <row r="11096" ht="15.75" customHeight="1"/>
    <row r="11097" ht="15.75" customHeight="1"/>
    <row r="11098" ht="15.75" customHeight="1"/>
    <row r="11099" ht="15.75" customHeight="1"/>
    <row r="11100" ht="15.75" customHeight="1"/>
    <row r="11101" ht="15.75" customHeight="1"/>
    <row r="11102" ht="15.75" customHeight="1"/>
    <row r="11103" ht="15.75" customHeight="1"/>
    <row r="11104" ht="15.75" customHeight="1"/>
    <row r="11105" ht="15.75" customHeight="1"/>
    <row r="11106" ht="15.75" customHeight="1"/>
    <row r="11107" ht="15.75" customHeight="1"/>
    <row r="11108" ht="15.75" customHeight="1"/>
    <row r="11109" ht="15.75" customHeight="1"/>
    <row r="11110" ht="15.75" customHeight="1"/>
    <row r="11111" ht="15.75" customHeight="1"/>
    <row r="11112" ht="15.75" customHeight="1"/>
    <row r="11113" ht="15.75" customHeight="1"/>
    <row r="11114" ht="15.75" customHeight="1"/>
    <row r="11115" ht="15.75" customHeight="1"/>
    <row r="11116" ht="15.75" customHeight="1"/>
    <row r="11117" ht="15.75" customHeight="1"/>
    <row r="11118" ht="15.75" customHeight="1"/>
    <row r="11119" ht="15.75" customHeight="1"/>
    <row r="11120" ht="15.75" customHeight="1"/>
    <row r="11121" ht="15.75" customHeight="1"/>
    <row r="11122" ht="15.75" customHeight="1"/>
    <row r="11123" ht="15.75" customHeight="1"/>
    <row r="11124" ht="15.75" customHeight="1"/>
    <row r="11125" ht="15.75" customHeight="1"/>
    <row r="11126" ht="15.75" customHeight="1"/>
    <row r="11127" ht="15.75" customHeight="1"/>
    <row r="11128" ht="15.75" customHeight="1"/>
    <row r="11129" ht="15.75" customHeight="1"/>
    <row r="11130" ht="15.75" customHeight="1"/>
    <row r="11131" ht="15.75" customHeight="1"/>
    <row r="11132" ht="15.75" customHeight="1"/>
    <row r="11133" ht="15.75" customHeight="1"/>
    <row r="11134" ht="15.75" customHeight="1"/>
    <row r="11135" ht="15.75" customHeight="1"/>
    <row r="11136" ht="15.75" customHeight="1"/>
    <row r="11137" ht="15.75" customHeight="1"/>
    <row r="11138" ht="15.75" customHeight="1"/>
    <row r="11139" ht="15.75" customHeight="1"/>
    <row r="11140" ht="15.75" customHeight="1"/>
    <row r="11141" ht="15.75" customHeight="1"/>
    <row r="11142" ht="15.75" customHeight="1"/>
    <row r="11143" ht="15.75" customHeight="1"/>
    <row r="11144" ht="15.75" customHeight="1"/>
    <row r="11145" ht="15.75" customHeight="1"/>
    <row r="11146" ht="15.75" customHeight="1"/>
    <row r="11147" ht="15.75" customHeight="1"/>
    <row r="11148" ht="15.75" customHeight="1"/>
    <row r="11149" ht="15.75" customHeight="1"/>
    <row r="11150" ht="15.75" customHeight="1"/>
    <row r="11151" ht="15.75" customHeight="1"/>
    <row r="11152" ht="15.75" customHeight="1"/>
    <row r="11153" ht="15.75" customHeight="1"/>
    <row r="11154" ht="15.75" customHeight="1"/>
    <row r="11155" ht="15.75" customHeight="1"/>
    <row r="11156" ht="15.75" customHeight="1"/>
    <row r="11157" ht="15.75" customHeight="1"/>
    <row r="11158" ht="15.75" customHeight="1"/>
    <row r="11159" ht="15.75" customHeight="1"/>
    <row r="11160" ht="15.75" customHeight="1"/>
    <row r="11161" ht="15.75" customHeight="1"/>
    <row r="11162" ht="15.75" customHeight="1"/>
    <row r="11163" ht="15.75" customHeight="1"/>
    <row r="11164" ht="15.75" customHeight="1"/>
    <row r="11165" ht="15.75" customHeight="1"/>
    <row r="11166" ht="15.75" customHeight="1"/>
    <row r="11167" ht="15.75" customHeight="1"/>
    <row r="11168" ht="15.75" customHeight="1"/>
    <row r="11169" ht="15.75" customHeight="1"/>
    <row r="11170" ht="15.75" customHeight="1"/>
    <row r="11171" ht="15.75" customHeight="1"/>
    <row r="11172" ht="15.75" customHeight="1"/>
    <row r="11173" ht="15.75" customHeight="1"/>
    <row r="11174" ht="15.75" customHeight="1"/>
    <row r="11175" ht="15.75" customHeight="1"/>
    <row r="11176" ht="15.75" customHeight="1"/>
    <row r="11177" ht="15.75" customHeight="1"/>
    <row r="11178" ht="15.75" customHeight="1"/>
    <row r="11179" ht="15.75" customHeight="1"/>
    <row r="11180" ht="15.75" customHeight="1"/>
    <row r="11181" ht="15.75" customHeight="1"/>
    <row r="11182" ht="15.75" customHeight="1"/>
    <row r="11183" ht="15.75" customHeight="1"/>
    <row r="11184" ht="15.75" customHeight="1"/>
    <row r="11185" ht="15.75" customHeight="1"/>
    <row r="11186" ht="15.75" customHeight="1"/>
    <row r="11187" ht="15.75" customHeight="1"/>
    <row r="11188" ht="15.75" customHeight="1"/>
    <row r="11189" ht="15.75" customHeight="1"/>
    <row r="11190" ht="15.75" customHeight="1"/>
    <row r="11191" ht="15.75" customHeight="1"/>
    <row r="11192" ht="15.75" customHeight="1"/>
    <row r="11193" ht="15.75" customHeight="1"/>
    <row r="11194" ht="15.75" customHeight="1"/>
    <row r="11195" ht="15.75" customHeight="1"/>
    <row r="11196" ht="15.75" customHeight="1"/>
    <row r="11197" ht="15.75" customHeight="1"/>
    <row r="11198" ht="15.75" customHeight="1"/>
    <row r="11199" ht="15.75" customHeight="1"/>
    <row r="11200" ht="15.75" customHeight="1"/>
    <row r="11201" ht="15.75" customHeight="1"/>
    <row r="11202" ht="15.75" customHeight="1"/>
    <row r="11203" ht="15.75" customHeight="1"/>
    <row r="11204" ht="15.75" customHeight="1"/>
    <row r="11205" ht="15.75" customHeight="1"/>
    <row r="11206" ht="15.75" customHeight="1"/>
    <row r="11207" ht="15.75" customHeight="1"/>
    <row r="11208" ht="15.75" customHeight="1"/>
    <row r="11209" ht="15.75" customHeight="1"/>
    <row r="11210" ht="15.75" customHeight="1"/>
    <row r="11211" ht="15.75" customHeight="1"/>
    <row r="11212" ht="15.75" customHeight="1"/>
    <row r="11213" ht="15.75" customHeight="1"/>
    <row r="11214" ht="15.75" customHeight="1"/>
    <row r="11215" ht="15.75" customHeight="1"/>
    <row r="11216" ht="15.75" customHeight="1"/>
    <row r="11217" ht="15.75" customHeight="1"/>
    <row r="11218" ht="15.75" customHeight="1"/>
    <row r="11219" ht="15.75" customHeight="1"/>
    <row r="11220" ht="15.75" customHeight="1"/>
    <row r="11221" ht="15.75" customHeight="1"/>
    <row r="11222" ht="15.75" customHeight="1"/>
    <row r="11223" ht="15.75" customHeight="1"/>
    <row r="11224" ht="15.75" customHeight="1"/>
    <row r="11225" ht="15.75" customHeight="1"/>
    <row r="11226" ht="15.75" customHeight="1"/>
    <row r="11227" ht="15.75" customHeight="1"/>
    <row r="11228" ht="15.75" customHeight="1"/>
    <row r="11229" ht="15.75" customHeight="1"/>
    <row r="11230" ht="15.75" customHeight="1"/>
    <row r="11231" ht="15.75" customHeight="1"/>
    <row r="11232" ht="15.75" customHeight="1"/>
    <row r="11233" ht="15.75" customHeight="1"/>
    <row r="11234" ht="15.75" customHeight="1"/>
    <row r="11235" ht="15.75" customHeight="1"/>
    <row r="11236" ht="15.75" customHeight="1"/>
    <row r="11237" ht="15.75" customHeight="1"/>
    <row r="11238" ht="15.75" customHeight="1"/>
    <row r="11239" ht="15.75" customHeight="1"/>
    <row r="11240" ht="15.75" customHeight="1"/>
    <row r="11241" ht="15.75" customHeight="1"/>
    <row r="11242" ht="15.75" customHeight="1"/>
    <row r="11243" ht="15.75" customHeight="1"/>
    <row r="11244" ht="15.75" customHeight="1"/>
    <row r="11245" ht="15.75" customHeight="1"/>
    <row r="11246" ht="15.75" customHeight="1"/>
    <row r="11247" ht="15.75" customHeight="1"/>
    <row r="11248" ht="15.75" customHeight="1"/>
    <row r="11249" ht="15.75" customHeight="1"/>
    <row r="11250" ht="15.75" customHeight="1"/>
    <row r="11251" ht="15.75" customHeight="1"/>
    <row r="11252" ht="15.75" customHeight="1"/>
    <row r="11253" ht="15.75" customHeight="1"/>
    <row r="11254" ht="15.75" customHeight="1"/>
    <row r="11255" ht="15.75" customHeight="1"/>
    <row r="11256" ht="15.75" customHeight="1"/>
    <row r="11257" ht="15.75" customHeight="1"/>
    <row r="11258" ht="15.75" customHeight="1"/>
    <row r="11259" ht="15.75" customHeight="1"/>
    <row r="11260" ht="15.75" customHeight="1"/>
    <row r="11261" ht="15.75" customHeight="1"/>
    <row r="11262" ht="15.75" customHeight="1"/>
    <row r="11263" ht="15.75" customHeight="1"/>
    <row r="11264" ht="15.75" customHeight="1"/>
    <row r="11265" ht="15.75" customHeight="1"/>
    <row r="11266" ht="15.75" customHeight="1"/>
    <row r="11267" ht="15.75" customHeight="1"/>
    <row r="11268" ht="15.75" customHeight="1"/>
    <row r="11269" ht="15.75" customHeight="1"/>
    <row r="11270" ht="15.75" customHeight="1"/>
    <row r="11271" ht="15.75" customHeight="1"/>
    <row r="11272" ht="15.75" customHeight="1"/>
    <row r="11273" ht="15.75" customHeight="1"/>
    <row r="11274" ht="15.75" customHeight="1"/>
    <row r="11275" ht="15.75" customHeight="1"/>
    <row r="11276" ht="15.75" customHeight="1"/>
    <row r="11277" ht="15.75" customHeight="1"/>
    <row r="11278" ht="15.75" customHeight="1"/>
    <row r="11279" ht="15.75" customHeight="1"/>
    <row r="11280" ht="15.75" customHeight="1"/>
    <row r="11281" ht="15.75" customHeight="1"/>
    <row r="11282" ht="15.75" customHeight="1"/>
    <row r="11283" ht="15.75" customHeight="1"/>
    <row r="11284" ht="15.75" customHeight="1"/>
    <row r="11285" ht="15.75" customHeight="1"/>
    <row r="11286" ht="15.75" customHeight="1"/>
    <row r="11287" ht="15.75" customHeight="1"/>
    <row r="11288" ht="15.75" customHeight="1"/>
    <row r="11289" ht="15.75" customHeight="1"/>
    <row r="11290" ht="15.75" customHeight="1"/>
    <row r="11291" ht="15.75" customHeight="1"/>
    <row r="11292" ht="15.75" customHeight="1"/>
    <row r="11293" ht="15.75" customHeight="1"/>
    <row r="11294" ht="15.75" customHeight="1"/>
    <row r="11295" ht="15.75" customHeight="1"/>
    <row r="11296" ht="15.75" customHeight="1"/>
    <row r="11297" ht="15.75" customHeight="1"/>
    <row r="11298" ht="15.75" customHeight="1"/>
    <row r="11299" ht="15.75" customHeight="1"/>
    <row r="11300" ht="15.75" customHeight="1"/>
    <row r="11301" ht="15.75" customHeight="1"/>
    <row r="11302" ht="15.75" customHeight="1"/>
    <row r="11303" ht="15.75" customHeight="1"/>
    <row r="11304" ht="15.75" customHeight="1"/>
    <row r="11305" ht="15.75" customHeight="1"/>
    <row r="11306" ht="15.75" customHeight="1"/>
    <row r="11307" ht="15.75" customHeight="1"/>
    <row r="11308" ht="15.75" customHeight="1"/>
    <row r="11309" ht="15.75" customHeight="1"/>
    <row r="11310" ht="15.75" customHeight="1"/>
    <row r="11311" ht="15.75" customHeight="1"/>
    <row r="11312" ht="15.75" customHeight="1"/>
    <row r="11313" ht="15.75" customHeight="1"/>
    <row r="11314" ht="15.75" customHeight="1"/>
    <row r="11315" ht="15.75" customHeight="1"/>
    <row r="11316" ht="15.75" customHeight="1"/>
    <row r="11317" ht="15.75" customHeight="1"/>
    <row r="11318" ht="15.75" customHeight="1"/>
    <row r="11319" ht="15.75" customHeight="1"/>
    <row r="11320" ht="15.75" customHeight="1"/>
    <row r="11321" ht="15.75" customHeight="1"/>
    <row r="11322" ht="15.75" customHeight="1"/>
    <row r="11323" ht="15.75" customHeight="1"/>
    <row r="11324" ht="15.75" customHeight="1"/>
    <row r="11325" ht="15.75" customHeight="1"/>
    <row r="11326" ht="15.75" customHeight="1"/>
    <row r="11327" ht="15.75" customHeight="1"/>
    <row r="11328" ht="15.75" customHeight="1"/>
    <row r="11329" ht="15.75" customHeight="1"/>
    <row r="11330" ht="15.75" customHeight="1"/>
    <row r="11331" ht="15.75" customHeight="1"/>
    <row r="11332" ht="15.75" customHeight="1"/>
    <row r="11333" ht="15.75" customHeight="1"/>
    <row r="11334" ht="15.75" customHeight="1"/>
    <row r="11335" ht="15.75" customHeight="1"/>
    <row r="11336" ht="15.75" customHeight="1"/>
    <row r="11337" ht="15.75" customHeight="1"/>
    <row r="11338" ht="15.75" customHeight="1"/>
    <row r="11339" ht="15.75" customHeight="1"/>
    <row r="11340" ht="15.75" customHeight="1"/>
    <row r="11341" ht="15.75" customHeight="1"/>
    <row r="11342" ht="15.75" customHeight="1"/>
    <row r="11343" ht="15.75" customHeight="1"/>
    <row r="11344" ht="15.75" customHeight="1"/>
    <row r="11345" ht="15.75" customHeight="1"/>
    <row r="11346" ht="15.75" customHeight="1"/>
    <row r="11347" ht="15.75" customHeight="1"/>
    <row r="11348" ht="15.75" customHeight="1"/>
    <row r="11349" ht="15.75" customHeight="1"/>
    <row r="11350" ht="15.75" customHeight="1"/>
    <row r="11351" ht="15.75" customHeight="1"/>
    <row r="11352" ht="15.75" customHeight="1"/>
    <row r="11353" ht="15.75" customHeight="1"/>
    <row r="11354" ht="15.75" customHeight="1"/>
    <row r="11355" ht="15.75" customHeight="1"/>
    <row r="11356" ht="15.75" customHeight="1"/>
    <row r="11357" ht="15.75" customHeight="1"/>
    <row r="11358" ht="15.75" customHeight="1"/>
    <row r="11359" ht="15.75" customHeight="1"/>
    <row r="11360" ht="15.75" customHeight="1"/>
    <row r="11361" ht="15.75" customHeight="1"/>
    <row r="11362" ht="15.75" customHeight="1"/>
    <row r="11363" ht="15.75" customHeight="1"/>
    <row r="11364" ht="15.75" customHeight="1"/>
    <row r="11365" ht="15.75" customHeight="1"/>
    <row r="11366" ht="15.75" customHeight="1"/>
    <row r="11367" ht="15.75" customHeight="1"/>
    <row r="11368" ht="15.75" customHeight="1"/>
    <row r="11369" ht="15.75" customHeight="1"/>
    <row r="11370" ht="15.75" customHeight="1"/>
    <row r="11371" ht="15.75" customHeight="1"/>
    <row r="11372" ht="15.75" customHeight="1"/>
    <row r="11373" ht="15.75" customHeight="1"/>
    <row r="11374" ht="15.75" customHeight="1"/>
    <row r="11375" ht="15.75" customHeight="1"/>
    <row r="11376" ht="15.75" customHeight="1"/>
    <row r="11377" ht="15.75" customHeight="1"/>
    <row r="11378" ht="15.75" customHeight="1"/>
    <row r="11379" ht="15.75" customHeight="1"/>
    <row r="11380" ht="15.75" customHeight="1"/>
    <row r="11381" ht="15.75" customHeight="1"/>
    <row r="11382" ht="15.75" customHeight="1"/>
    <row r="11383" ht="15.75" customHeight="1"/>
    <row r="11384" ht="15.75" customHeight="1"/>
    <row r="11385" ht="15.75" customHeight="1"/>
    <row r="11386" ht="15.75" customHeight="1"/>
    <row r="11387" ht="15.75" customHeight="1"/>
    <row r="11388" ht="15.75" customHeight="1"/>
    <row r="11389" ht="15.75" customHeight="1"/>
    <row r="11390" ht="15.75" customHeight="1"/>
    <row r="11391" ht="15.75" customHeight="1"/>
    <row r="11392" ht="15.75" customHeight="1"/>
    <row r="11393" ht="15.75" customHeight="1"/>
    <row r="11394" ht="15.75" customHeight="1"/>
    <row r="11395" ht="15.75" customHeight="1"/>
    <row r="11396" ht="15.75" customHeight="1"/>
    <row r="11397" ht="15.75" customHeight="1"/>
    <row r="11398" ht="15.75" customHeight="1"/>
    <row r="11399" ht="15.75" customHeight="1"/>
    <row r="11400" ht="15.75" customHeight="1"/>
    <row r="11401" ht="15.75" customHeight="1"/>
    <row r="11402" ht="15.75" customHeight="1"/>
    <row r="11403" ht="15.75" customHeight="1"/>
    <row r="11404" ht="15.75" customHeight="1"/>
    <row r="11405" ht="15.75" customHeight="1"/>
    <row r="11406" ht="15.75" customHeight="1"/>
    <row r="11407" ht="15.75" customHeight="1"/>
    <row r="11408" ht="15.75" customHeight="1"/>
    <row r="11409" ht="15.75" customHeight="1"/>
    <row r="11410" ht="15.75" customHeight="1"/>
    <row r="11411" ht="15.75" customHeight="1"/>
    <row r="11412" ht="15.75" customHeight="1"/>
    <row r="11413" ht="15.75" customHeight="1"/>
    <row r="11414" ht="15.75" customHeight="1"/>
    <row r="11415" ht="15.75" customHeight="1"/>
    <row r="11416" ht="15.75" customHeight="1"/>
    <row r="11417" ht="15.75" customHeight="1"/>
    <row r="11418" ht="15.75" customHeight="1"/>
    <row r="11419" ht="15.75" customHeight="1"/>
    <row r="11420" ht="15.75" customHeight="1"/>
    <row r="11421" ht="15.75" customHeight="1"/>
    <row r="11422" ht="15.75" customHeight="1"/>
    <row r="11423" ht="15.75" customHeight="1"/>
    <row r="11424" ht="15.75" customHeight="1"/>
    <row r="11425" ht="15.75" customHeight="1"/>
    <row r="11426" ht="15.75" customHeight="1"/>
    <row r="11427" ht="15.75" customHeight="1"/>
    <row r="11428" ht="15.75" customHeight="1"/>
    <row r="11429" ht="15.75" customHeight="1"/>
    <row r="11430" ht="15.75" customHeight="1"/>
    <row r="11431" ht="15.75" customHeight="1"/>
    <row r="11432" ht="15.75" customHeight="1"/>
    <row r="11433" ht="15.75" customHeight="1"/>
    <row r="11434" ht="15.75" customHeight="1"/>
    <row r="11435" ht="15.75" customHeight="1"/>
    <row r="11436" ht="15.75" customHeight="1"/>
    <row r="11437" ht="15.75" customHeight="1"/>
    <row r="11438" ht="15.75" customHeight="1"/>
    <row r="11439" ht="15.75" customHeight="1"/>
    <row r="11440" ht="15.75" customHeight="1"/>
    <row r="11441" ht="15.75" customHeight="1"/>
    <row r="11442" ht="15.75" customHeight="1"/>
    <row r="11443" ht="15.75" customHeight="1"/>
    <row r="11444" ht="15.75" customHeight="1"/>
    <row r="11445" ht="15.75" customHeight="1"/>
    <row r="11446" ht="15.75" customHeight="1"/>
    <row r="11447" ht="15.75" customHeight="1"/>
    <row r="11448" ht="15.75" customHeight="1"/>
    <row r="11449" ht="15.75" customHeight="1"/>
    <row r="11450" ht="15.75" customHeight="1"/>
    <row r="11451" ht="15.75" customHeight="1"/>
    <row r="11452" ht="15.75" customHeight="1"/>
    <row r="11453" ht="15.75" customHeight="1"/>
    <row r="11454" ht="15.75" customHeight="1"/>
    <row r="11455" ht="15.75" customHeight="1"/>
    <row r="11456" ht="15.75" customHeight="1"/>
    <row r="11457" ht="15.75" customHeight="1"/>
    <row r="11458" ht="15.75" customHeight="1"/>
    <row r="11459" ht="15.75" customHeight="1"/>
    <row r="11460" ht="15.75" customHeight="1"/>
    <row r="11461" ht="15.75" customHeight="1"/>
    <row r="11462" ht="15.75" customHeight="1"/>
    <row r="11463" ht="15.75" customHeight="1"/>
    <row r="11464" ht="15.75" customHeight="1"/>
    <row r="11465" ht="15.75" customHeight="1"/>
    <row r="11466" ht="15.75" customHeight="1"/>
    <row r="11467" ht="15.75" customHeight="1"/>
    <row r="11468" ht="15.75" customHeight="1"/>
    <row r="11469" ht="15.75" customHeight="1"/>
    <row r="11470" ht="15.75" customHeight="1"/>
    <row r="11471" ht="15.75" customHeight="1"/>
    <row r="11472" ht="15.75" customHeight="1"/>
    <row r="11473" ht="15.75" customHeight="1"/>
    <row r="11474" ht="15.75" customHeight="1"/>
    <row r="11475" ht="15.75" customHeight="1"/>
    <row r="11476" ht="15.75" customHeight="1"/>
    <row r="11477" ht="15.75" customHeight="1"/>
    <row r="11478" ht="15.75" customHeight="1"/>
    <row r="11479" ht="15.75" customHeight="1"/>
    <row r="11480" ht="15.75" customHeight="1"/>
    <row r="11481" ht="15.75" customHeight="1"/>
    <row r="11482" ht="15.75" customHeight="1"/>
    <row r="11483" ht="15.75" customHeight="1"/>
    <row r="11484" ht="15.75" customHeight="1"/>
    <row r="11485" ht="15.75" customHeight="1"/>
    <row r="11486" ht="15.75" customHeight="1"/>
    <row r="11487" ht="15.75" customHeight="1"/>
    <row r="11488" ht="15.75" customHeight="1"/>
    <row r="11489" ht="15.75" customHeight="1"/>
    <row r="11490" ht="15.75" customHeight="1"/>
    <row r="11491" ht="15.75" customHeight="1"/>
    <row r="11492" ht="15.75" customHeight="1"/>
    <row r="11493" ht="15.75" customHeight="1"/>
    <row r="11494" ht="15.75" customHeight="1"/>
    <row r="11495" ht="15.75" customHeight="1"/>
    <row r="11496" ht="15.75" customHeight="1"/>
    <row r="11497" ht="15.75" customHeight="1"/>
    <row r="11498" ht="15.75" customHeight="1"/>
    <row r="11499" ht="15.75" customHeight="1"/>
    <row r="11500" ht="15.75" customHeight="1"/>
    <row r="11501" ht="15.75" customHeight="1"/>
    <row r="11502" ht="15.75" customHeight="1"/>
    <row r="11503" ht="15.75" customHeight="1"/>
    <row r="11504" ht="15.75" customHeight="1"/>
    <row r="11505" ht="15.75" customHeight="1"/>
    <row r="11506" ht="15.75" customHeight="1"/>
    <row r="11507" ht="15.75" customHeight="1"/>
    <row r="11508" ht="15.75" customHeight="1"/>
    <row r="11509" ht="15.75" customHeight="1"/>
    <row r="11510" ht="15.75" customHeight="1"/>
    <row r="11511" ht="15.75" customHeight="1"/>
    <row r="11512" ht="15.75" customHeight="1"/>
    <row r="11513" ht="15.75" customHeight="1"/>
    <row r="11514" ht="15.75" customHeight="1"/>
    <row r="11515" ht="15.75" customHeight="1"/>
    <row r="11516" ht="15.75" customHeight="1"/>
    <row r="11517" ht="15.75" customHeight="1"/>
    <row r="11518" ht="15.75" customHeight="1"/>
    <row r="11519" ht="15.75" customHeight="1"/>
    <row r="11520" ht="15.75" customHeight="1"/>
    <row r="11521" ht="15.75" customHeight="1"/>
    <row r="11522" ht="15.75" customHeight="1"/>
    <row r="11523" ht="15.75" customHeight="1"/>
    <row r="11524" ht="15.75" customHeight="1"/>
    <row r="11525" ht="15.75" customHeight="1"/>
    <row r="11526" ht="15.75" customHeight="1"/>
    <row r="11527" ht="15.75" customHeight="1"/>
    <row r="11528" ht="15.75" customHeight="1"/>
    <row r="11529" ht="15.75" customHeight="1"/>
    <row r="11530" ht="15.75" customHeight="1"/>
    <row r="11531" ht="15.75" customHeight="1"/>
    <row r="11532" ht="15.75" customHeight="1"/>
    <row r="11533" ht="15.75" customHeight="1"/>
    <row r="11534" ht="15.75" customHeight="1"/>
    <row r="11535" ht="15.75" customHeight="1"/>
    <row r="11536" ht="15.75" customHeight="1"/>
    <row r="11537" ht="15.75" customHeight="1"/>
    <row r="11538" ht="15.75" customHeight="1"/>
    <row r="11539" ht="15.75" customHeight="1"/>
    <row r="11540" ht="15.75" customHeight="1"/>
    <row r="11541" ht="15.75" customHeight="1"/>
    <row r="11542" ht="15.75" customHeight="1"/>
    <row r="11543" ht="15.75" customHeight="1"/>
    <row r="11544" ht="15.75" customHeight="1"/>
    <row r="11545" ht="15.75" customHeight="1"/>
    <row r="11546" ht="15.75" customHeight="1"/>
    <row r="11547" ht="15.75" customHeight="1"/>
    <row r="11548" ht="15.75" customHeight="1"/>
    <row r="11549" ht="15.75" customHeight="1"/>
    <row r="11550" ht="15.75" customHeight="1"/>
    <row r="11551" ht="15.75" customHeight="1"/>
    <row r="11552" ht="15.75" customHeight="1"/>
    <row r="11553" ht="15.75" customHeight="1"/>
    <row r="11554" ht="15.75" customHeight="1"/>
    <row r="11555" ht="15.75" customHeight="1"/>
    <row r="11556" ht="15.75" customHeight="1"/>
    <row r="11557" ht="15.75" customHeight="1"/>
    <row r="11558" ht="15.75" customHeight="1"/>
    <row r="11559" ht="15.75" customHeight="1"/>
    <row r="11560" ht="15.75" customHeight="1"/>
    <row r="11561" ht="15.75" customHeight="1"/>
    <row r="11562" ht="15.75" customHeight="1"/>
    <row r="11563" ht="15.75" customHeight="1"/>
    <row r="11564" ht="15.75" customHeight="1"/>
    <row r="11565" ht="15.75" customHeight="1"/>
    <row r="11566" ht="15.75" customHeight="1"/>
    <row r="11567" ht="15.75" customHeight="1"/>
    <row r="11568" ht="15.75" customHeight="1"/>
    <row r="11569" ht="15.75" customHeight="1"/>
    <row r="11570" ht="15.75" customHeight="1"/>
    <row r="11571" ht="15.75" customHeight="1"/>
    <row r="11572" ht="15.75" customHeight="1"/>
    <row r="11573" ht="15.75" customHeight="1"/>
    <row r="11574" ht="15.75" customHeight="1"/>
    <row r="11575" ht="15.75" customHeight="1"/>
    <row r="11576" ht="15.75" customHeight="1"/>
    <row r="11577" ht="15.75" customHeight="1"/>
    <row r="11578" ht="15.75" customHeight="1"/>
    <row r="11579" ht="15.75" customHeight="1"/>
    <row r="11580" ht="15.75" customHeight="1"/>
    <row r="11581" ht="15.75" customHeight="1"/>
    <row r="11582" ht="15.75" customHeight="1"/>
    <row r="11583" ht="15.75" customHeight="1"/>
    <row r="11584" ht="15.75" customHeight="1"/>
    <row r="11585" ht="15.75" customHeight="1"/>
    <row r="11586" ht="15.75" customHeight="1"/>
    <row r="11587" ht="15.75" customHeight="1"/>
    <row r="11588" ht="15.75" customHeight="1"/>
    <row r="11589" ht="15.75" customHeight="1"/>
    <row r="11590" ht="15.75" customHeight="1"/>
    <row r="11591" ht="15.75" customHeight="1"/>
    <row r="11592" ht="15.75" customHeight="1"/>
    <row r="11593" ht="15.75" customHeight="1"/>
    <row r="11594" ht="15.75" customHeight="1"/>
    <row r="11595" ht="15.75" customHeight="1"/>
    <row r="11596" ht="15.75" customHeight="1"/>
    <row r="11597" ht="15.75" customHeight="1"/>
    <row r="11598" ht="15.75" customHeight="1"/>
    <row r="11599" ht="15.75" customHeight="1"/>
    <row r="11600" ht="15.75" customHeight="1"/>
    <row r="11601" ht="15.75" customHeight="1"/>
    <row r="11602" ht="15.75" customHeight="1"/>
    <row r="11603" ht="15.75" customHeight="1"/>
    <row r="11604" ht="15.75" customHeight="1"/>
    <row r="11605" ht="15.75" customHeight="1"/>
    <row r="11606" ht="15.75" customHeight="1"/>
    <row r="11607" ht="15.75" customHeight="1"/>
    <row r="11608" ht="15.75" customHeight="1"/>
    <row r="11609" ht="15.75" customHeight="1"/>
    <row r="11610" ht="15.75" customHeight="1"/>
    <row r="11611" ht="15.75" customHeight="1"/>
    <row r="11612" ht="15.75" customHeight="1"/>
    <row r="11613" ht="15.75" customHeight="1"/>
    <row r="11614" ht="15.75" customHeight="1"/>
    <row r="11615" ht="15.75" customHeight="1"/>
    <row r="11616" ht="15.75" customHeight="1"/>
    <row r="11617" ht="15.75" customHeight="1"/>
    <row r="11618" ht="15.75" customHeight="1"/>
    <row r="11619" ht="15.75" customHeight="1"/>
    <row r="11620" ht="15.75" customHeight="1"/>
    <row r="11621" ht="15.75" customHeight="1"/>
    <row r="11622" ht="15.75" customHeight="1"/>
    <row r="11623" ht="15.75" customHeight="1"/>
    <row r="11624" ht="15.75" customHeight="1"/>
    <row r="11625" ht="15.75" customHeight="1"/>
    <row r="11626" ht="15.75" customHeight="1"/>
    <row r="11627" ht="15.75" customHeight="1"/>
    <row r="11628" ht="15.75" customHeight="1"/>
    <row r="11629" ht="15.75" customHeight="1"/>
    <row r="11630" ht="15.75" customHeight="1"/>
    <row r="11631" ht="15.75" customHeight="1"/>
    <row r="11632" ht="15.75" customHeight="1"/>
    <row r="11633" ht="15.75" customHeight="1"/>
    <row r="11634" ht="15.75" customHeight="1"/>
    <row r="11635" ht="15.75" customHeight="1"/>
    <row r="11636" ht="15.75" customHeight="1"/>
    <row r="11637" ht="15.75" customHeight="1"/>
    <row r="11638" ht="15.75" customHeight="1"/>
    <row r="11639" ht="15.75" customHeight="1"/>
    <row r="11640" ht="15.75" customHeight="1"/>
    <row r="11641" ht="15.75" customHeight="1"/>
    <row r="11642" ht="15.75" customHeight="1"/>
    <row r="11643" ht="15.75" customHeight="1"/>
    <row r="11644" ht="15.75" customHeight="1"/>
    <row r="11645" ht="15.75" customHeight="1"/>
    <row r="11646" ht="15.75" customHeight="1"/>
    <row r="11647" ht="15.75" customHeight="1"/>
    <row r="11648" ht="15.75" customHeight="1"/>
    <row r="11649" ht="15.75" customHeight="1"/>
    <row r="11650" ht="15.75" customHeight="1"/>
    <row r="11651" ht="15.75" customHeight="1"/>
    <row r="11652" ht="15.75" customHeight="1"/>
    <row r="11653" ht="15.75" customHeight="1"/>
    <row r="11654" ht="15.75" customHeight="1"/>
    <row r="11655" ht="15.75" customHeight="1"/>
    <row r="11656" ht="15.75" customHeight="1"/>
    <row r="11657" ht="15.75" customHeight="1"/>
    <row r="11658" ht="15.75" customHeight="1"/>
    <row r="11659" ht="15.75" customHeight="1"/>
    <row r="11660" ht="15.75" customHeight="1"/>
    <row r="11661" ht="15.75" customHeight="1"/>
    <row r="11662" ht="15.75" customHeight="1"/>
    <row r="11663" ht="15.75" customHeight="1"/>
    <row r="11664" ht="15.75" customHeight="1"/>
    <row r="11665" ht="15.75" customHeight="1"/>
    <row r="11666" ht="15.75" customHeight="1"/>
    <row r="11667" ht="15.75" customHeight="1"/>
    <row r="11668" ht="15.75" customHeight="1"/>
    <row r="11669" ht="15.75" customHeight="1"/>
    <row r="11670" ht="15.75" customHeight="1"/>
    <row r="11671" ht="15.75" customHeight="1"/>
    <row r="11672" ht="15.75" customHeight="1"/>
    <row r="11673" ht="15.75" customHeight="1"/>
    <row r="11674" ht="15.75" customHeight="1"/>
    <row r="11675" ht="15.75" customHeight="1"/>
    <row r="11676" ht="15.75" customHeight="1"/>
    <row r="11677" ht="15.75" customHeight="1"/>
    <row r="11678" ht="15.75" customHeight="1"/>
    <row r="11679" ht="15.75" customHeight="1"/>
    <row r="11680" ht="15.75" customHeight="1"/>
    <row r="11681" ht="15.75" customHeight="1"/>
    <row r="11682" ht="15.75" customHeight="1"/>
    <row r="11683" ht="15.75" customHeight="1"/>
    <row r="11684" ht="15.75" customHeight="1"/>
    <row r="11685" ht="15.75" customHeight="1"/>
    <row r="11686" ht="15.75" customHeight="1"/>
    <row r="11687" ht="15.75" customHeight="1"/>
    <row r="11688" ht="15.75" customHeight="1"/>
    <row r="11689" ht="15.75" customHeight="1"/>
    <row r="11690" ht="15.75" customHeight="1"/>
    <row r="11691" ht="15.75" customHeight="1"/>
    <row r="11692" ht="15.75" customHeight="1"/>
    <row r="11693" ht="15.75" customHeight="1"/>
    <row r="11694" ht="15.75" customHeight="1"/>
    <row r="11695" ht="15.75" customHeight="1"/>
    <row r="11696" ht="15.75" customHeight="1"/>
    <row r="11697" ht="15.75" customHeight="1"/>
    <row r="11698" ht="15.75" customHeight="1"/>
    <row r="11699" ht="15.75" customHeight="1"/>
    <row r="11700" ht="15.75" customHeight="1"/>
    <row r="11701" ht="15.75" customHeight="1"/>
    <row r="11702" ht="15.75" customHeight="1"/>
    <row r="11703" ht="15.75" customHeight="1"/>
    <row r="11704" ht="15.75" customHeight="1"/>
    <row r="11705" ht="15.75" customHeight="1"/>
    <row r="11706" ht="15.75" customHeight="1"/>
    <row r="11707" ht="15.75" customHeight="1"/>
    <row r="11708" ht="15.75" customHeight="1"/>
    <row r="11709" ht="15.75" customHeight="1"/>
    <row r="11710" ht="15.75" customHeight="1"/>
    <row r="11711" ht="15.75" customHeight="1"/>
    <row r="11712" ht="15.75" customHeight="1"/>
    <row r="11713" ht="15.75" customHeight="1"/>
    <row r="11714" ht="15.75" customHeight="1"/>
    <row r="11715" ht="15.75" customHeight="1"/>
    <row r="11716" ht="15.75" customHeight="1"/>
    <row r="11717" ht="15.75" customHeight="1"/>
    <row r="11718" ht="15.75" customHeight="1"/>
    <row r="11719" ht="15.75" customHeight="1"/>
    <row r="11720" ht="15.75" customHeight="1"/>
    <row r="11721" ht="15.75" customHeight="1"/>
    <row r="11722" ht="15.75" customHeight="1"/>
    <row r="11723" ht="15.75" customHeight="1"/>
    <row r="11724" ht="15.75" customHeight="1"/>
    <row r="11725" ht="15.75" customHeight="1"/>
    <row r="11726" ht="15.75" customHeight="1"/>
    <row r="11727" ht="15.75" customHeight="1"/>
    <row r="11728" ht="15.75" customHeight="1"/>
    <row r="11729" ht="15.75" customHeight="1"/>
    <row r="11730" ht="15.75" customHeight="1"/>
    <row r="11731" ht="15.75" customHeight="1"/>
    <row r="11732" ht="15.75" customHeight="1"/>
    <row r="11733" ht="15.75" customHeight="1"/>
    <row r="11734" ht="15.75" customHeight="1"/>
    <row r="11735" ht="15.75" customHeight="1"/>
    <row r="11736" ht="15.75" customHeight="1"/>
    <row r="11737" ht="15.75" customHeight="1"/>
    <row r="11738" ht="15.75" customHeight="1"/>
    <row r="11739" ht="15.75" customHeight="1"/>
    <row r="11740" ht="15.75" customHeight="1"/>
    <row r="11741" ht="15.75" customHeight="1"/>
    <row r="11742" ht="15.75" customHeight="1"/>
    <row r="11743" ht="15.75" customHeight="1"/>
    <row r="11744" ht="15.75" customHeight="1"/>
    <row r="11745" ht="15.75" customHeight="1"/>
    <row r="11746" ht="15.75" customHeight="1"/>
    <row r="11747" ht="15.75" customHeight="1"/>
    <row r="11748" ht="15.75" customHeight="1"/>
    <row r="11749" ht="15.75" customHeight="1"/>
    <row r="11750" ht="15.75" customHeight="1"/>
    <row r="11751" ht="15.75" customHeight="1"/>
    <row r="11752" ht="15.75" customHeight="1"/>
    <row r="11753" ht="15.75" customHeight="1"/>
    <row r="11754" ht="15.75" customHeight="1"/>
    <row r="11755" ht="15.75" customHeight="1"/>
    <row r="11756" ht="15.75" customHeight="1"/>
    <row r="11757" ht="15.75" customHeight="1"/>
    <row r="11758" ht="15.75" customHeight="1"/>
    <row r="11759" ht="15.75" customHeight="1"/>
    <row r="11760" ht="15.75" customHeight="1"/>
    <row r="11761" ht="15.75" customHeight="1"/>
    <row r="11762" ht="15.75" customHeight="1"/>
    <row r="11763" ht="15.75" customHeight="1"/>
    <row r="11764" ht="15.75" customHeight="1"/>
    <row r="11765" ht="15.75" customHeight="1"/>
    <row r="11766" ht="15.75" customHeight="1"/>
    <row r="11767" ht="15.75" customHeight="1"/>
    <row r="11768" ht="15.75" customHeight="1"/>
    <row r="11769" ht="15.75" customHeight="1"/>
    <row r="11770" ht="15.75" customHeight="1"/>
    <row r="11771" ht="15.75" customHeight="1"/>
    <row r="11772" ht="15.75" customHeight="1"/>
    <row r="11773" ht="15.75" customHeight="1"/>
    <row r="11774" ht="15.75" customHeight="1"/>
    <row r="11775" ht="15.75" customHeight="1"/>
    <row r="11776" ht="15.75" customHeight="1"/>
    <row r="11777" ht="15.75" customHeight="1"/>
    <row r="11778" ht="15.75" customHeight="1"/>
    <row r="11779" ht="15.75" customHeight="1"/>
    <row r="11780" ht="15.75" customHeight="1"/>
    <row r="11781" ht="15.75" customHeight="1"/>
    <row r="11782" ht="15.75" customHeight="1"/>
    <row r="11783" ht="15.75" customHeight="1"/>
    <row r="11784" ht="15.75" customHeight="1"/>
    <row r="11785" ht="15.75" customHeight="1"/>
    <row r="11786" ht="15.75" customHeight="1"/>
    <row r="11787" ht="15.75" customHeight="1"/>
    <row r="11788" ht="15.75" customHeight="1"/>
    <row r="11789" ht="15.75" customHeight="1"/>
    <row r="11790" ht="15.75" customHeight="1"/>
    <row r="11791" ht="15.75" customHeight="1"/>
    <row r="11792" ht="15.75" customHeight="1"/>
    <row r="11793" ht="15.75" customHeight="1"/>
    <row r="11794" ht="15.75" customHeight="1"/>
    <row r="11795" ht="15.75" customHeight="1"/>
    <row r="11796" ht="15.75" customHeight="1"/>
    <row r="11797" ht="15.75" customHeight="1"/>
    <row r="11798" ht="15.75" customHeight="1"/>
    <row r="11799" ht="15.75" customHeight="1"/>
    <row r="11800" ht="15.75" customHeight="1"/>
    <row r="11801" ht="15.75" customHeight="1"/>
    <row r="11802" ht="15.75" customHeight="1"/>
    <row r="11803" ht="15.75" customHeight="1"/>
    <row r="11804" ht="15.75" customHeight="1"/>
    <row r="11805" ht="15.75" customHeight="1"/>
    <row r="11806" ht="15.75" customHeight="1"/>
    <row r="11807" ht="15.75" customHeight="1"/>
    <row r="11808" ht="15.75" customHeight="1"/>
    <row r="11809" ht="15.75" customHeight="1"/>
    <row r="11810" ht="15.75" customHeight="1"/>
    <row r="11811" ht="15.75" customHeight="1"/>
    <row r="11812" ht="15.75" customHeight="1"/>
    <row r="11813" ht="15.75" customHeight="1"/>
    <row r="11814" ht="15.75" customHeight="1"/>
    <row r="11815" ht="15.75" customHeight="1"/>
    <row r="11816" ht="15.75" customHeight="1"/>
    <row r="11817" ht="15.75" customHeight="1"/>
    <row r="11818" ht="15.75" customHeight="1"/>
    <row r="11819" ht="15.75" customHeight="1"/>
    <row r="11820" ht="15.75" customHeight="1"/>
    <row r="11821" ht="15.75" customHeight="1"/>
    <row r="11822" ht="15.75" customHeight="1"/>
    <row r="11823" ht="15.75" customHeight="1"/>
    <row r="11824" ht="15.75" customHeight="1"/>
    <row r="11825" ht="15.75" customHeight="1"/>
    <row r="11826" ht="15.75" customHeight="1"/>
    <row r="11827" ht="15.75" customHeight="1"/>
    <row r="11828" ht="15.75" customHeight="1"/>
    <row r="11829" ht="15.75" customHeight="1"/>
    <row r="11830" ht="15.75" customHeight="1"/>
    <row r="11831" ht="15.75" customHeight="1"/>
    <row r="11832" ht="15.75" customHeight="1"/>
    <row r="11833" ht="15.75" customHeight="1"/>
    <row r="11834" ht="15.75" customHeight="1"/>
    <row r="11835" ht="15.75" customHeight="1"/>
    <row r="11836" ht="15.75" customHeight="1"/>
    <row r="11837" ht="15.75" customHeight="1"/>
    <row r="11838" ht="15.75" customHeight="1"/>
    <row r="11839" ht="15.75" customHeight="1"/>
    <row r="11840" ht="15.75" customHeight="1"/>
    <row r="11841" ht="15.75" customHeight="1"/>
    <row r="11842" ht="15.75" customHeight="1"/>
    <row r="11843" ht="15.75" customHeight="1"/>
    <row r="11844" ht="15.75" customHeight="1"/>
    <row r="11845" ht="15.75" customHeight="1"/>
    <row r="11846" ht="15.75" customHeight="1"/>
    <row r="11847" ht="15.75" customHeight="1"/>
    <row r="11848" ht="15.75" customHeight="1"/>
    <row r="11849" ht="15.75" customHeight="1"/>
    <row r="11850" ht="15.75" customHeight="1"/>
    <row r="11851" ht="15.75" customHeight="1"/>
    <row r="11852" ht="15.75" customHeight="1"/>
    <row r="11853" ht="15.75" customHeight="1"/>
    <row r="11854" ht="15.75" customHeight="1"/>
    <row r="11855" ht="15.75" customHeight="1"/>
    <row r="11856" ht="15.75" customHeight="1"/>
    <row r="11857" ht="15.75" customHeight="1"/>
    <row r="11858" ht="15.75" customHeight="1"/>
    <row r="11859" ht="15.75" customHeight="1"/>
    <row r="11860" ht="15.75" customHeight="1"/>
    <row r="11861" ht="15.75" customHeight="1"/>
    <row r="11862" ht="15.75" customHeight="1"/>
    <row r="11863" ht="15.75" customHeight="1"/>
    <row r="11864" ht="15.75" customHeight="1"/>
    <row r="11865" ht="15.75" customHeight="1"/>
    <row r="11866" ht="15.75" customHeight="1"/>
    <row r="11867" ht="15.75" customHeight="1"/>
    <row r="11868" ht="15.75" customHeight="1"/>
    <row r="11869" ht="15.75" customHeight="1"/>
    <row r="11870" ht="15.75" customHeight="1"/>
    <row r="11871" ht="15.75" customHeight="1"/>
    <row r="11872" ht="15.75" customHeight="1"/>
    <row r="11873" ht="15.75" customHeight="1"/>
    <row r="11874" ht="15.75" customHeight="1"/>
    <row r="11875" ht="15.75" customHeight="1"/>
    <row r="11876" ht="15.75" customHeight="1"/>
    <row r="11877" ht="15.75" customHeight="1"/>
    <row r="11878" ht="15.75" customHeight="1"/>
    <row r="11879" ht="15.75" customHeight="1"/>
    <row r="11880" ht="15.75" customHeight="1"/>
    <row r="11881" ht="15.75" customHeight="1"/>
    <row r="11882" ht="15.75" customHeight="1"/>
    <row r="11883" ht="15.75" customHeight="1"/>
    <row r="11884" ht="15.75" customHeight="1"/>
    <row r="11885" ht="15.75" customHeight="1"/>
    <row r="11886" ht="15.75" customHeight="1"/>
    <row r="11887" ht="15.75" customHeight="1"/>
    <row r="11888" ht="15.75" customHeight="1"/>
    <row r="11889" ht="15.75" customHeight="1"/>
    <row r="11890" ht="15.75" customHeight="1"/>
    <row r="11891" ht="15.75" customHeight="1"/>
    <row r="11892" ht="15.75" customHeight="1"/>
    <row r="11893" ht="15.75" customHeight="1"/>
    <row r="11894" ht="15.75" customHeight="1"/>
    <row r="11895" ht="15.75" customHeight="1"/>
    <row r="11896" ht="15.75" customHeight="1"/>
    <row r="11897" ht="15.75" customHeight="1"/>
    <row r="11898" ht="15.75" customHeight="1"/>
    <row r="11899" ht="15.75" customHeight="1"/>
    <row r="11900" ht="15.75" customHeight="1"/>
    <row r="11901" ht="15.75" customHeight="1"/>
    <row r="11902" ht="15.75" customHeight="1"/>
    <row r="11903" ht="15.75" customHeight="1"/>
    <row r="11904" ht="15.75" customHeight="1"/>
    <row r="11905" ht="15.75" customHeight="1"/>
    <row r="11906" ht="15.75" customHeight="1"/>
    <row r="11907" ht="15.75" customHeight="1"/>
    <row r="11908" ht="15.75" customHeight="1"/>
    <row r="11909" ht="15.75" customHeight="1"/>
    <row r="11910" ht="15.75" customHeight="1"/>
    <row r="11911" ht="15.75" customHeight="1"/>
    <row r="11912" ht="15.75" customHeight="1"/>
    <row r="11913" ht="15.75" customHeight="1"/>
    <row r="11914" ht="15.75" customHeight="1"/>
    <row r="11915" ht="15.75" customHeight="1"/>
    <row r="11916" ht="15.75" customHeight="1"/>
    <row r="11917" ht="15.75" customHeight="1"/>
    <row r="11918" ht="15.75" customHeight="1"/>
    <row r="11919" ht="15.75" customHeight="1"/>
    <row r="11920" ht="15.75" customHeight="1"/>
    <row r="11921" ht="15.75" customHeight="1"/>
    <row r="11922" ht="15.75" customHeight="1"/>
    <row r="11923" ht="15.75" customHeight="1"/>
    <row r="11924" ht="15.75" customHeight="1"/>
    <row r="11925" ht="15.75" customHeight="1"/>
    <row r="11926" ht="15.75" customHeight="1"/>
    <row r="11927" ht="15.75" customHeight="1"/>
    <row r="11928" ht="15.75" customHeight="1"/>
    <row r="11929" ht="15.75" customHeight="1"/>
    <row r="11930" ht="15.75" customHeight="1"/>
    <row r="11931" ht="15.75" customHeight="1"/>
    <row r="11932" ht="15.75" customHeight="1"/>
    <row r="11933" ht="15.75" customHeight="1"/>
    <row r="11934" ht="15.75" customHeight="1"/>
    <row r="11935" ht="15.75" customHeight="1"/>
    <row r="11936" ht="15.75" customHeight="1"/>
    <row r="11937" ht="15.75" customHeight="1"/>
    <row r="11938" ht="15.75" customHeight="1"/>
    <row r="11939" ht="15.75" customHeight="1"/>
    <row r="11940" ht="15.75" customHeight="1"/>
    <row r="11941" ht="15.75" customHeight="1"/>
    <row r="11942" ht="15.75" customHeight="1"/>
    <row r="11943" ht="15.75" customHeight="1"/>
    <row r="11944" ht="15.75" customHeight="1"/>
    <row r="11945" ht="15.75" customHeight="1"/>
    <row r="11946" ht="15.75" customHeight="1"/>
    <row r="11947" ht="15.75" customHeight="1"/>
    <row r="11948" ht="15.75" customHeight="1"/>
    <row r="11949" ht="15.75" customHeight="1"/>
    <row r="11950" ht="15.75" customHeight="1"/>
    <row r="11951" ht="15.75" customHeight="1"/>
    <row r="11952" ht="15.75" customHeight="1"/>
    <row r="11953" ht="15.75" customHeight="1"/>
    <row r="11954" ht="15.75" customHeight="1"/>
    <row r="11955" ht="15.75" customHeight="1"/>
    <row r="11956" ht="15.75" customHeight="1"/>
    <row r="11957" ht="15.75" customHeight="1"/>
    <row r="11958" ht="15.75" customHeight="1"/>
    <row r="11959" ht="15.75" customHeight="1"/>
    <row r="11960" ht="15.75" customHeight="1"/>
    <row r="11961" ht="15.75" customHeight="1"/>
    <row r="11962" ht="15.75" customHeight="1"/>
    <row r="11963" ht="15.75" customHeight="1"/>
    <row r="11964" ht="15.75" customHeight="1"/>
    <row r="11965" ht="15.75" customHeight="1"/>
    <row r="11966" ht="15.75" customHeight="1"/>
    <row r="11967" ht="15.75" customHeight="1"/>
    <row r="11968" ht="15.75" customHeight="1"/>
    <row r="11969" ht="15.75" customHeight="1"/>
    <row r="11970" ht="15.75" customHeight="1"/>
    <row r="11971" ht="15.75" customHeight="1"/>
    <row r="11972" ht="15.75" customHeight="1"/>
    <row r="11973" ht="15.75" customHeight="1"/>
    <row r="11974" ht="15.75" customHeight="1"/>
    <row r="11975" ht="15.75" customHeight="1"/>
    <row r="11976" ht="15.75" customHeight="1"/>
    <row r="11977" ht="15.75" customHeight="1"/>
    <row r="11978" ht="15.75" customHeight="1"/>
    <row r="11979" ht="15.75" customHeight="1"/>
    <row r="11980" ht="15.75" customHeight="1"/>
    <row r="11981" ht="15.75" customHeight="1"/>
    <row r="11982" ht="15.75" customHeight="1"/>
    <row r="11983" ht="15.75" customHeight="1"/>
    <row r="11984" ht="15.75" customHeight="1"/>
    <row r="11985" ht="15.75" customHeight="1"/>
    <row r="11986" ht="15.75" customHeight="1"/>
    <row r="11987" ht="15.75" customHeight="1"/>
    <row r="11988" ht="15.75" customHeight="1"/>
    <row r="11989" ht="15.75" customHeight="1"/>
    <row r="11990" ht="15.75" customHeight="1"/>
    <row r="11991" ht="15.75" customHeight="1"/>
    <row r="11992" ht="15.75" customHeight="1"/>
    <row r="11993" ht="15.75" customHeight="1"/>
    <row r="11994" ht="15.75" customHeight="1"/>
    <row r="11995" ht="15.75" customHeight="1"/>
    <row r="11996" ht="15.75" customHeight="1"/>
    <row r="11997" ht="15.75" customHeight="1"/>
    <row r="11998" ht="15.75" customHeight="1"/>
    <row r="11999" ht="15.75" customHeight="1"/>
    <row r="12000" ht="15.75" customHeight="1"/>
    <row r="12001" ht="15.75" customHeight="1"/>
    <row r="12002" ht="15.75" customHeight="1"/>
    <row r="12003" ht="15.75" customHeight="1"/>
    <row r="12004" ht="15.75" customHeight="1"/>
    <row r="12005" ht="15.75" customHeight="1"/>
    <row r="12006" ht="15.75" customHeight="1"/>
    <row r="12007" ht="15.75" customHeight="1"/>
    <row r="12008" ht="15.75" customHeight="1"/>
    <row r="12009" ht="15.75" customHeight="1"/>
    <row r="12010" ht="15.75" customHeight="1"/>
    <row r="12011" ht="15.75" customHeight="1"/>
    <row r="12012" ht="15.75" customHeight="1"/>
    <row r="12013" ht="15.75" customHeight="1"/>
    <row r="12014" ht="15.75" customHeight="1"/>
    <row r="12015" ht="15.75" customHeight="1"/>
    <row r="12016" ht="15.75" customHeight="1"/>
    <row r="12017" ht="15.75" customHeight="1"/>
    <row r="12018" ht="15.75" customHeight="1"/>
    <row r="12019" ht="15.75" customHeight="1"/>
    <row r="12020" ht="15.75" customHeight="1"/>
    <row r="12021" ht="15.75" customHeight="1"/>
    <row r="12022" ht="15.75" customHeight="1"/>
    <row r="12023" ht="15.75" customHeight="1"/>
    <row r="12024" ht="15.75" customHeight="1"/>
    <row r="12025" ht="15.75" customHeight="1"/>
    <row r="12026" ht="15.75" customHeight="1"/>
    <row r="12027" ht="15.75" customHeight="1"/>
    <row r="12028" ht="15.75" customHeight="1"/>
    <row r="12029" ht="15.75" customHeight="1"/>
    <row r="12030" ht="15.75" customHeight="1"/>
    <row r="12031" ht="15.75" customHeight="1"/>
    <row r="12032" ht="15.75" customHeight="1"/>
    <row r="12033" ht="15.75" customHeight="1"/>
    <row r="12034" ht="15.75" customHeight="1"/>
    <row r="12035" ht="15.75" customHeight="1"/>
    <row r="12036" ht="15.75" customHeight="1"/>
    <row r="12037" ht="15.75" customHeight="1"/>
    <row r="12038" ht="15.75" customHeight="1"/>
    <row r="12039" ht="15.75" customHeight="1"/>
    <row r="12040" ht="15.75" customHeight="1"/>
    <row r="12041" ht="15.75" customHeight="1"/>
    <row r="12042" ht="15.75" customHeight="1"/>
    <row r="12043" ht="15.75" customHeight="1"/>
    <row r="12044" ht="15.75" customHeight="1"/>
    <row r="12045" ht="15.75" customHeight="1"/>
    <row r="12046" ht="15.75" customHeight="1"/>
    <row r="12047" ht="15.75" customHeight="1"/>
    <row r="12048" ht="15.75" customHeight="1"/>
    <row r="12049" ht="15.75" customHeight="1"/>
    <row r="12050" ht="15.75" customHeight="1"/>
    <row r="12051" ht="15.75" customHeight="1"/>
    <row r="12052" ht="15.75" customHeight="1"/>
    <row r="12053" ht="15.75" customHeight="1"/>
    <row r="12054" ht="15.75" customHeight="1"/>
    <row r="12055" ht="15.75" customHeight="1"/>
    <row r="12056" ht="15.75" customHeight="1"/>
    <row r="12057" ht="15.75" customHeight="1"/>
    <row r="12058" ht="15.75" customHeight="1"/>
    <row r="12059" ht="15.75" customHeight="1"/>
    <row r="12060" ht="15.75" customHeight="1"/>
    <row r="12061" ht="15.75" customHeight="1"/>
    <row r="12062" ht="15.75" customHeight="1"/>
    <row r="12063" ht="15.75" customHeight="1"/>
    <row r="12064" ht="15.75" customHeight="1"/>
    <row r="12065" ht="15.75" customHeight="1"/>
    <row r="12066" ht="15.75" customHeight="1"/>
    <row r="12067" ht="15.75" customHeight="1"/>
    <row r="12068" ht="15.75" customHeight="1"/>
    <row r="12069" ht="15.75" customHeight="1"/>
    <row r="12070" ht="15.75" customHeight="1"/>
    <row r="12071" ht="15.75" customHeight="1"/>
    <row r="12072" ht="15.75" customHeight="1"/>
    <row r="12073" ht="15.75" customHeight="1"/>
    <row r="12074" ht="15.75" customHeight="1"/>
    <row r="12075" ht="15.75" customHeight="1"/>
    <row r="12076" ht="15.75" customHeight="1"/>
    <row r="12077" ht="15.75" customHeight="1"/>
    <row r="12078" ht="15.75" customHeight="1"/>
    <row r="12079" ht="15.75" customHeight="1"/>
    <row r="12080" ht="15.75" customHeight="1"/>
    <row r="12081" ht="15.75" customHeight="1"/>
    <row r="12082" ht="15.75" customHeight="1"/>
    <row r="12083" ht="15.75" customHeight="1"/>
    <row r="12084" ht="15.75" customHeight="1"/>
    <row r="12085" ht="15.75" customHeight="1"/>
    <row r="12086" ht="15.75" customHeight="1"/>
    <row r="12087" ht="15.75" customHeight="1"/>
    <row r="12088" ht="15.75" customHeight="1"/>
    <row r="12089" ht="15.75" customHeight="1"/>
    <row r="12090" ht="15.75" customHeight="1"/>
    <row r="12091" ht="15.75" customHeight="1"/>
    <row r="12092" ht="15.75" customHeight="1"/>
    <row r="12093" ht="15.75" customHeight="1"/>
    <row r="12094" ht="15.75" customHeight="1"/>
    <row r="12095" ht="15.75" customHeight="1"/>
    <row r="12096" ht="15.75" customHeight="1"/>
    <row r="12097" ht="15.75" customHeight="1"/>
    <row r="12098" ht="15.75" customHeight="1"/>
    <row r="12099" ht="15.75" customHeight="1"/>
    <row r="12100" ht="15.75" customHeight="1"/>
    <row r="12101" ht="15.75" customHeight="1"/>
    <row r="12102" ht="15.75" customHeight="1"/>
    <row r="12103" ht="15.75" customHeight="1"/>
    <row r="12104" ht="15.75" customHeight="1"/>
    <row r="12105" ht="15.75" customHeight="1"/>
    <row r="12106" ht="15.75" customHeight="1"/>
    <row r="12107" ht="15.75" customHeight="1"/>
    <row r="12108" ht="15.75" customHeight="1"/>
    <row r="12109" ht="15.75" customHeight="1"/>
    <row r="12110" ht="15.75" customHeight="1"/>
    <row r="12111" ht="15.75" customHeight="1"/>
    <row r="12112" ht="15.75" customHeight="1"/>
    <row r="12113" ht="15.75" customHeight="1"/>
    <row r="12114" ht="15.75" customHeight="1"/>
    <row r="12115" ht="15.75" customHeight="1"/>
    <row r="12116" ht="15.75" customHeight="1"/>
    <row r="12117" ht="15.75" customHeight="1"/>
    <row r="12118" ht="15.75" customHeight="1"/>
    <row r="12119" ht="15.75" customHeight="1"/>
    <row r="12120" ht="15.75" customHeight="1"/>
    <row r="12121" ht="15.75" customHeight="1"/>
    <row r="12122" ht="15.75" customHeight="1"/>
    <row r="12123" ht="15.75" customHeight="1"/>
    <row r="12124" ht="15.75" customHeight="1"/>
    <row r="12125" ht="15.75" customHeight="1"/>
    <row r="12126" ht="15.75" customHeight="1"/>
    <row r="12127" ht="15.75" customHeight="1"/>
    <row r="12128" ht="15.75" customHeight="1"/>
    <row r="12129" ht="15.75" customHeight="1"/>
    <row r="12130" ht="15.75" customHeight="1"/>
    <row r="12131" ht="15.75" customHeight="1"/>
    <row r="12132" ht="15.75" customHeight="1"/>
    <row r="12133" ht="15.75" customHeight="1"/>
    <row r="12134" ht="15.75" customHeight="1"/>
    <row r="12135" ht="15.75" customHeight="1"/>
    <row r="12136" ht="15.75" customHeight="1"/>
    <row r="12137" ht="15.75" customHeight="1"/>
    <row r="12138" ht="15.75" customHeight="1"/>
    <row r="12139" ht="15.75" customHeight="1"/>
    <row r="12140" ht="15.75" customHeight="1"/>
    <row r="12141" ht="15.75" customHeight="1"/>
    <row r="12142" ht="15.75" customHeight="1"/>
    <row r="12143" ht="15.75" customHeight="1"/>
    <row r="12144" ht="15.75" customHeight="1"/>
    <row r="12145" ht="15.75" customHeight="1"/>
    <row r="12146" ht="15.75" customHeight="1"/>
    <row r="12147" ht="15.75" customHeight="1"/>
    <row r="12148" ht="15.75" customHeight="1"/>
    <row r="12149" ht="15.75" customHeight="1"/>
    <row r="12150" ht="15.75" customHeight="1"/>
    <row r="12151" ht="15.75" customHeight="1"/>
    <row r="12152" ht="15.75" customHeight="1"/>
    <row r="12153" ht="15.75" customHeight="1"/>
    <row r="12154" ht="15.75" customHeight="1"/>
    <row r="12155" ht="15.75" customHeight="1"/>
    <row r="12156" ht="15.75" customHeight="1"/>
    <row r="12157" ht="15.75" customHeight="1"/>
    <row r="12158" ht="15.75" customHeight="1"/>
    <row r="12159" ht="15.75" customHeight="1"/>
    <row r="12160" ht="15.75" customHeight="1"/>
    <row r="12161" ht="15.75" customHeight="1"/>
    <row r="12162" ht="15.75" customHeight="1"/>
    <row r="12163" ht="15.75" customHeight="1"/>
    <row r="12164" ht="15.75" customHeight="1"/>
    <row r="12165" ht="15.75" customHeight="1"/>
    <row r="12166" ht="15.75" customHeight="1"/>
    <row r="12167" ht="15.75" customHeight="1"/>
    <row r="12168" ht="15.75" customHeight="1"/>
    <row r="12169" ht="15.75" customHeight="1"/>
    <row r="12170" ht="15.75" customHeight="1"/>
    <row r="12171" ht="15.75" customHeight="1"/>
    <row r="12172" ht="15.75" customHeight="1"/>
    <row r="12173" ht="15.75" customHeight="1"/>
    <row r="12174" ht="15.75" customHeight="1"/>
    <row r="12175" ht="15.75" customHeight="1"/>
    <row r="12176" ht="15.75" customHeight="1"/>
    <row r="12177" ht="15.75" customHeight="1"/>
    <row r="12178" ht="15.75" customHeight="1"/>
    <row r="12179" ht="15.75" customHeight="1"/>
    <row r="12180" ht="15.75" customHeight="1"/>
    <row r="12181" ht="15.75" customHeight="1"/>
    <row r="12182" ht="15.75" customHeight="1"/>
    <row r="12183" ht="15.75" customHeight="1"/>
    <row r="12184" ht="15.75" customHeight="1"/>
    <row r="12185" ht="15.75" customHeight="1"/>
    <row r="12186" ht="15.75" customHeight="1"/>
    <row r="12187" ht="15.75" customHeight="1"/>
    <row r="12188" ht="15.75" customHeight="1"/>
    <row r="12189" ht="15.75" customHeight="1"/>
    <row r="12190" ht="15.75" customHeight="1"/>
    <row r="12191" ht="15.75" customHeight="1"/>
    <row r="12192" ht="15.75" customHeight="1"/>
    <row r="12193" ht="15.75" customHeight="1"/>
    <row r="12194" ht="15.75" customHeight="1"/>
    <row r="12195" ht="15.75" customHeight="1"/>
    <row r="12196" ht="15.75" customHeight="1"/>
    <row r="12197" ht="15.75" customHeight="1"/>
    <row r="12198" ht="15.75" customHeight="1"/>
    <row r="12199" ht="15.75" customHeight="1"/>
    <row r="12200" ht="15.75" customHeight="1"/>
    <row r="12201" ht="15.75" customHeight="1"/>
    <row r="12202" ht="15.75" customHeight="1"/>
    <row r="12203" ht="15.75" customHeight="1"/>
    <row r="12204" ht="15.75" customHeight="1"/>
    <row r="12205" ht="15.75" customHeight="1"/>
    <row r="12206" ht="15.75" customHeight="1"/>
    <row r="12207" ht="15.75" customHeight="1"/>
    <row r="12208" ht="15.75" customHeight="1"/>
    <row r="12209" ht="15.75" customHeight="1"/>
    <row r="12210" ht="15.75" customHeight="1"/>
    <row r="12211" ht="15.75" customHeight="1"/>
    <row r="12212" ht="15.75" customHeight="1"/>
    <row r="12213" ht="15.75" customHeight="1"/>
    <row r="12214" ht="15.75" customHeight="1"/>
    <row r="12215" ht="15.75" customHeight="1"/>
    <row r="12216" ht="15.75" customHeight="1"/>
    <row r="12217" ht="15.75" customHeight="1"/>
    <row r="12218" ht="15.75" customHeight="1"/>
    <row r="12219" ht="15.75" customHeight="1"/>
    <row r="12220" ht="15.75" customHeight="1"/>
    <row r="12221" ht="15.75" customHeight="1"/>
    <row r="12222" ht="15.75" customHeight="1"/>
    <row r="12223" ht="15.75" customHeight="1"/>
    <row r="12224" ht="15.75" customHeight="1"/>
    <row r="12225" ht="15.75" customHeight="1"/>
    <row r="12226" ht="15.75" customHeight="1"/>
    <row r="12227" ht="15.75" customHeight="1"/>
    <row r="12228" ht="15.75" customHeight="1"/>
    <row r="12229" ht="15.75" customHeight="1"/>
    <row r="12230" ht="15.75" customHeight="1"/>
    <row r="12231" ht="15.75" customHeight="1"/>
    <row r="12232" ht="15.75" customHeight="1"/>
    <row r="12233" ht="15.75" customHeight="1"/>
    <row r="12234" ht="15.75" customHeight="1"/>
    <row r="12235" ht="15.75" customHeight="1"/>
    <row r="12236" ht="15.75" customHeight="1"/>
    <row r="12237" ht="15.75" customHeight="1"/>
    <row r="12238" ht="15.75" customHeight="1"/>
    <row r="12239" ht="15.75" customHeight="1"/>
    <row r="12240" ht="15.75" customHeight="1"/>
    <row r="12241" ht="15.75" customHeight="1"/>
    <row r="12242" ht="15.75" customHeight="1"/>
    <row r="12243" ht="15.75" customHeight="1"/>
    <row r="12244" ht="15.75" customHeight="1"/>
    <row r="12245" ht="15.75" customHeight="1"/>
    <row r="12246" ht="15.75" customHeight="1"/>
    <row r="12247" ht="15.75" customHeight="1"/>
    <row r="12248" ht="15.75" customHeight="1"/>
    <row r="12249" ht="15.75" customHeight="1"/>
    <row r="12250" ht="15.75" customHeight="1"/>
    <row r="12251" ht="15.75" customHeight="1"/>
    <row r="12252" ht="15.75" customHeight="1"/>
    <row r="12253" ht="15.75" customHeight="1"/>
    <row r="12254" ht="15.75" customHeight="1"/>
    <row r="12255" ht="15.75" customHeight="1"/>
    <row r="12256" ht="15.75" customHeight="1"/>
    <row r="12257" ht="15.75" customHeight="1"/>
    <row r="12258" ht="15.75" customHeight="1"/>
    <row r="12259" ht="15.75" customHeight="1"/>
    <row r="12260" ht="15.75" customHeight="1"/>
    <row r="12261" ht="15.75" customHeight="1"/>
    <row r="12262" ht="15.75" customHeight="1"/>
    <row r="12263" ht="15.75" customHeight="1"/>
    <row r="12264" ht="15.75" customHeight="1"/>
    <row r="12265" ht="15.75" customHeight="1"/>
    <row r="12266" ht="15.75" customHeight="1"/>
    <row r="12267" ht="15.75" customHeight="1"/>
    <row r="12268" ht="15.75" customHeight="1"/>
    <row r="12269" ht="15.75" customHeight="1"/>
    <row r="12270" ht="15.75" customHeight="1"/>
    <row r="12271" ht="15.75" customHeight="1"/>
    <row r="12272" ht="15.75" customHeight="1"/>
    <row r="12273" ht="15.75" customHeight="1"/>
    <row r="12274" ht="15.75" customHeight="1"/>
    <row r="12275" ht="15.75" customHeight="1"/>
    <row r="12276" ht="15.75" customHeight="1"/>
    <row r="12277" ht="15.75" customHeight="1"/>
    <row r="12278" ht="15.75" customHeight="1"/>
    <row r="12279" ht="15.75" customHeight="1"/>
    <row r="12280" ht="15.75" customHeight="1"/>
    <row r="12281" ht="15.75" customHeight="1"/>
    <row r="12282" ht="15.75" customHeight="1"/>
    <row r="12283" ht="15.75" customHeight="1"/>
    <row r="12284" ht="15.75" customHeight="1"/>
    <row r="12285" ht="15.75" customHeight="1"/>
    <row r="12286" ht="15.75" customHeight="1"/>
    <row r="12287" ht="15.75" customHeight="1"/>
    <row r="12288" ht="15.75" customHeight="1"/>
    <row r="12289" ht="15.75" customHeight="1"/>
    <row r="12290" ht="15.75" customHeight="1"/>
    <row r="12291" ht="15.75" customHeight="1"/>
    <row r="12292" ht="15.75" customHeight="1"/>
    <row r="12293" ht="15.75" customHeight="1"/>
    <row r="12294" ht="15.75" customHeight="1"/>
    <row r="12295" ht="15.75" customHeight="1"/>
    <row r="12296" ht="15.75" customHeight="1"/>
    <row r="12297" ht="15.75" customHeight="1"/>
    <row r="12298" ht="15.75" customHeight="1"/>
    <row r="12299" ht="15.75" customHeight="1"/>
    <row r="12300" ht="15.75" customHeight="1"/>
    <row r="12301" ht="15.75" customHeight="1"/>
    <row r="12302" ht="15.75" customHeight="1"/>
    <row r="12303" ht="15.75" customHeight="1"/>
    <row r="12304" ht="15.75" customHeight="1"/>
    <row r="12305" ht="15.75" customHeight="1"/>
    <row r="12306" ht="15.75" customHeight="1"/>
    <row r="12307" ht="15.75" customHeight="1"/>
    <row r="12308" ht="15.75" customHeight="1"/>
    <row r="12309" ht="15.75" customHeight="1"/>
    <row r="12310" ht="15.75" customHeight="1"/>
    <row r="12311" ht="15.75" customHeight="1"/>
    <row r="12312" ht="15.75" customHeight="1"/>
    <row r="12313" ht="15.75" customHeight="1"/>
    <row r="12314" ht="15.75" customHeight="1"/>
    <row r="12315" ht="15.75" customHeight="1"/>
    <row r="12316" ht="15.75" customHeight="1"/>
    <row r="12317" ht="15.75" customHeight="1"/>
    <row r="12318" ht="15.75" customHeight="1"/>
    <row r="12319" ht="15.75" customHeight="1"/>
    <row r="12320" ht="15.75" customHeight="1"/>
    <row r="12321" ht="15.75" customHeight="1"/>
    <row r="12322" ht="15.75" customHeight="1"/>
    <row r="12323" ht="15.75" customHeight="1"/>
    <row r="12324" ht="15.75" customHeight="1"/>
    <row r="12325" ht="15.75" customHeight="1"/>
    <row r="12326" ht="15.75" customHeight="1"/>
    <row r="12327" ht="15.75" customHeight="1"/>
    <row r="12328" ht="15.75" customHeight="1"/>
    <row r="12329" ht="15.75" customHeight="1"/>
    <row r="12330" ht="15.75" customHeight="1"/>
    <row r="12331" ht="15.75" customHeight="1"/>
    <row r="12332" ht="15.75" customHeight="1"/>
    <row r="12333" ht="15.75" customHeight="1"/>
    <row r="12334" ht="15.75" customHeight="1"/>
    <row r="12335" ht="15.75" customHeight="1"/>
    <row r="12336" ht="15.75" customHeight="1"/>
    <row r="12337" ht="15.75" customHeight="1"/>
    <row r="12338" ht="15.75" customHeight="1"/>
    <row r="12339" ht="15.75" customHeight="1"/>
    <row r="12340" ht="15.75" customHeight="1"/>
    <row r="12341" ht="15.75" customHeight="1"/>
    <row r="12342" ht="15.75" customHeight="1"/>
    <row r="12343" ht="15.75" customHeight="1"/>
    <row r="12344" ht="15.75" customHeight="1"/>
    <row r="12345" ht="15.75" customHeight="1"/>
    <row r="12346" ht="15.75" customHeight="1"/>
    <row r="12347" ht="15.75" customHeight="1"/>
    <row r="12348" ht="15.75" customHeight="1"/>
    <row r="12349" ht="15.75" customHeight="1"/>
    <row r="12350" ht="15.75" customHeight="1"/>
    <row r="12351" ht="15.75" customHeight="1"/>
    <row r="12352" ht="15.75" customHeight="1"/>
    <row r="12353" ht="15.75" customHeight="1"/>
    <row r="12354" ht="15.75" customHeight="1"/>
    <row r="12355" ht="15.75" customHeight="1"/>
    <row r="12356" ht="15.75" customHeight="1"/>
    <row r="12357" ht="15.75" customHeight="1"/>
    <row r="12358" ht="15.75" customHeight="1"/>
    <row r="12359" ht="15.75" customHeight="1"/>
    <row r="12360" ht="15.75" customHeight="1"/>
    <row r="12361" ht="15.75" customHeight="1"/>
    <row r="12362" ht="15.75" customHeight="1"/>
    <row r="12363" ht="15.75" customHeight="1"/>
    <row r="12364" ht="15.75" customHeight="1"/>
    <row r="12365" ht="15.75" customHeight="1"/>
    <row r="12366" ht="15.75" customHeight="1"/>
    <row r="12367" ht="15.75" customHeight="1"/>
    <row r="12368" ht="15.75" customHeight="1"/>
    <row r="12369" ht="15.75" customHeight="1"/>
    <row r="12370" ht="15.75" customHeight="1"/>
    <row r="12371" ht="15.75" customHeight="1"/>
    <row r="12372" ht="15.75" customHeight="1"/>
    <row r="12373" ht="15.75" customHeight="1"/>
    <row r="12374" ht="15.75" customHeight="1"/>
    <row r="12375" ht="15.75" customHeight="1"/>
    <row r="12376" ht="15.75" customHeight="1"/>
    <row r="12377" ht="15.75" customHeight="1"/>
    <row r="12378" ht="15.75" customHeight="1"/>
    <row r="12379" ht="15.75" customHeight="1"/>
    <row r="12380" ht="15.75" customHeight="1"/>
    <row r="12381" ht="15.75" customHeight="1"/>
    <row r="12382" ht="15.75" customHeight="1"/>
    <row r="12383" ht="15.75" customHeight="1"/>
    <row r="12384" ht="15.75" customHeight="1"/>
    <row r="12385" ht="15.75" customHeight="1"/>
    <row r="12386" ht="15.75" customHeight="1"/>
    <row r="12387" ht="15.75" customHeight="1"/>
    <row r="12388" ht="15.75" customHeight="1"/>
    <row r="12389" ht="15.75" customHeight="1"/>
    <row r="12390" ht="15.75" customHeight="1"/>
    <row r="12391" ht="15.75" customHeight="1"/>
    <row r="12392" ht="15.75" customHeight="1"/>
    <row r="12393" ht="15.75" customHeight="1"/>
    <row r="12394" ht="15.75" customHeight="1"/>
    <row r="12395" ht="15.75" customHeight="1"/>
    <row r="12396" ht="15.75" customHeight="1"/>
    <row r="12397" ht="15.75" customHeight="1"/>
    <row r="12398" ht="15.75" customHeight="1"/>
    <row r="12399" ht="15.75" customHeight="1"/>
    <row r="12400" ht="15.75" customHeight="1"/>
    <row r="12401" ht="15.75" customHeight="1"/>
    <row r="12402" ht="15.75" customHeight="1"/>
    <row r="12403" ht="15.75" customHeight="1"/>
    <row r="12404" ht="15.75" customHeight="1"/>
    <row r="12405" ht="15.75" customHeight="1"/>
    <row r="12406" ht="15.75" customHeight="1"/>
    <row r="12407" ht="15.75" customHeight="1"/>
    <row r="12408" ht="15.75" customHeight="1"/>
    <row r="12409" ht="15.75" customHeight="1"/>
    <row r="12410" ht="15.75" customHeight="1"/>
    <row r="12411" ht="15.75" customHeight="1"/>
    <row r="12412" ht="15.75" customHeight="1"/>
    <row r="12413" ht="15.75" customHeight="1"/>
    <row r="12414" ht="15.75" customHeight="1"/>
    <row r="12415" ht="15.75" customHeight="1"/>
    <row r="12416" ht="15.75" customHeight="1"/>
    <row r="12417" ht="15.75" customHeight="1"/>
    <row r="12418" ht="15.75" customHeight="1"/>
    <row r="12419" ht="15.75" customHeight="1"/>
    <row r="12420" ht="15.75" customHeight="1"/>
    <row r="12421" ht="15.75" customHeight="1"/>
    <row r="12422" ht="15.75" customHeight="1"/>
    <row r="12423" ht="15.75" customHeight="1"/>
    <row r="12424" ht="15.75" customHeight="1"/>
    <row r="12425" ht="15.75" customHeight="1"/>
    <row r="12426" ht="15.75" customHeight="1"/>
    <row r="12427" ht="15.75" customHeight="1"/>
    <row r="12428" ht="15.75" customHeight="1"/>
    <row r="12429" ht="15.75" customHeight="1"/>
    <row r="12430" ht="15.75" customHeight="1"/>
    <row r="12431" ht="15.75" customHeight="1"/>
    <row r="12432" ht="15.75" customHeight="1"/>
    <row r="12433" ht="15.75" customHeight="1"/>
    <row r="12434" ht="15.75" customHeight="1"/>
    <row r="12435" ht="15.75" customHeight="1"/>
    <row r="12436" ht="15.75" customHeight="1"/>
    <row r="12437" ht="15.75" customHeight="1"/>
    <row r="12438" ht="15.75" customHeight="1"/>
    <row r="12439" ht="15.75" customHeight="1"/>
    <row r="12440" ht="15.75" customHeight="1"/>
    <row r="12441" ht="15.75" customHeight="1"/>
    <row r="12442" ht="15.75" customHeight="1"/>
    <row r="12443" ht="15.75" customHeight="1"/>
    <row r="12444" ht="15.75" customHeight="1"/>
    <row r="12445" ht="15.75" customHeight="1"/>
    <row r="12446" ht="15.75" customHeight="1"/>
    <row r="12447" ht="15.75" customHeight="1"/>
    <row r="12448" ht="15.75" customHeight="1"/>
    <row r="12449" ht="15.75" customHeight="1"/>
    <row r="12450" ht="15.75" customHeight="1"/>
    <row r="12451" ht="15.75" customHeight="1"/>
    <row r="12452" ht="15.75" customHeight="1"/>
    <row r="12453" ht="15.75" customHeight="1"/>
    <row r="12454" ht="15.75" customHeight="1"/>
    <row r="12455" ht="15.75" customHeight="1"/>
    <row r="12456" ht="15.75" customHeight="1"/>
    <row r="12457" ht="15.75" customHeight="1"/>
    <row r="12458" ht="15.75" customHeight="1"/>
    <row r="12459" ht="15.75" customHeight="1"/>
    <row r="12460" ht="15.75" customHeight="1"/>
    <row r="12461" ht="15.75" customHeight="1"/>
    <row r="12462" ht="15.75" customHeight="1"/>
    <row r="12463" ht="15.75" customHeight="1"/>
    <row r="12464" ht="15.75" customHeight="1"/>
    <row r="12465" ht="15.75" customHeight="1"/>
    <row r="12466" ht="15.75" customHeight="1"/>
    <row r="12467" ht="15.75" customHeight="1"/>
    <row r="12468" ht="15.75" customHeight="1"/>
    <row r="12469" ht="15.75" customHeight="1"/>
    <row r="12470" ht="15.75" customHeight="1"/>
    <row r="12471" ht="15.75" customHeight="1"/>
    <row r="12472" ht="15.75" customHeight="1"/>
    <row r="12473" ht="15.75" customHeight="1"/>
    <row r="12474" ht="15.75" customHeight="1"/>
    <row r="12475" ht="15.75" customHeight="1"/>
    <row r="12476" ht="15.75" customHeight="1"/>
    <row r="12477" ht="15.75" customHeight="1"/>
    <row r="12478" ht="15.75" customHeight="1"/>
    <row r="12479" ht="15.75" customHeight="1"/>
    <row r="12480" ht="15.75" customHeight="1"/>
    <row r="12481" ht="15.75" customHeight="1"/>
    <row r="12482" ht="15.75" customHeight="1"/>
    <row r="12483" ht="15.75" customHeight="1"/>
    <row r="12484" ht="15.75" customHeight="1"/>
    <row r="12485" ht="15.75" customHeight="1"/>
    <row r="12486" ht="15.75" customHeight="1"/>
    <row r="12487" ht="15.75" customHeight="1"/>
    <row r="12488" ht="15.75" customHeight="1"/>
    <row r="12489" ht="15.75" customHeight="1"/>
    <row r="12490" ht="15.75" customHeight="1"/>
    <row r="12491" ht="15.75" customHeight="1"/>
    <row r="12492" ht="15.75" customHeight="1"/>
    <row r="12493" ht="15.75" customHeight="1"/>
    <row r="12494" ht="15.75" customHeight="1"/>
    <row r="12495" ht="15.75" customHeight="1"/>
    <row r="12496" ht="15.75" customHeight="1"/>
    <row r="12497" ht="15.75" customHeight="1"/>
    <row r="12498" ht="15.75" customHeight="1"/>
    <row r="12499" ht="15.75" customHeight="1"/>
    <row r="12500" ht="15.75" customHeight="1"/>
    <row r="12501" ht="15.75" customHeight="1"/>
    <row r="12502" ht="15.75" customHeight="1"/>
    <row r="12503" ht="15.75" customHeight="1"/>
    <row r="12504" ht="15.75" customHeight="1"/>
    <row r="12505" ht="15.75" customHeight="1"/>
    <row r="12506" ht="15.75" customHeight="1"/>
    <row r="12507" ht="15.75" customHeight="1"/>
    <row r="12508" ht="15.75" customHeight="1"/>
    <row r="12509" ht="15.75" customHeight="1"/>
    <row r="12510" ht="15.75" customHeight="1"/>
    <row r="12511" ht="15.75" customHeight="1"/>
    <row r="12512" ht="15.75" customHeight="1"/>
    <row r="12513" ht="15.75" customHeight="1"/>
    <row r="12514" ht="15.75" customHeight="1"/>
    <row r="12515" ht="15.75" customHeight="1"/>
    <row r="12516" ht="15.75" customHeight="1"/>
    <row r="12517" ht="15.75" customHeight="1"/>
    <row r="12518" ht="15.75" customHeight="1"/>
    <row r="12519" ht="15.75" customHeight="1"/>
    <row r="12520" ht="15.75" customHeight="1"/>
    <row r="12521" ht="15.75" customHeight="1"/>
    <row r="12522" ht="15.75" customHeight="1"/>
    <row r="12523" ht="15.75" customHeight="1"/>
    <row r="12524" ht="15.75" customHeight="1"/>
    <row r="12525" ht="15.75" customHeight="1"/>
    <row r="12526" ht="15.75" customHeight="1"/>
    <row r="12527" ht="15.75" customHeight="1"/>
    <row r="12528" ht="15.75" customHeight="1"/>
    <row r="12529" ht="15.75" customHeight="1"/>
    <row r="12530" ht="15.75" customHeight="1"/>
    <row r="12531" ht="15.75" customHeight="1"/>
    <row r="12532" ht="15.75" customHeight="1"/>
    <row r="12533" ht="15.75" customHeight="1"/>
    <row r="12534" ht="15.75" customHeight="1"/>
    <row r="12535" ht="15.75" customHeight="1"/>
    <row r="12536" ht="15.75" customHeight="1"/>
    <row r="12537" ht="15.75" customHeight="1"/>
    <row r="12538" ht="15.75" customHeight="1"/>
    <row r="12539" ht="15.75" customHeight="1"/>
    <row r="12540" ht="15.75" customHeight="1"/>
    <row r="12541" ht="15.75" customHeight="1"/>
    <row r="12542" ht="15.75" customHeight="1"/>
    <row r="12543" ht="15.75" customHeight="1"/>
    <row r="12544" ht="15.75" customHeight="1"/>
    <row r="12545" ht="15.75" customHeight="1"/>
    <row r="12546" ht="15.75" customHeight="1"/>
    <row r="12547" ht="15.75" customHeight="1"/>
    <row r="12548" ht="15.75" customHeight="1"/>
    <row r="12549" ht="15.75" customHeight="1"/>
    <row r="12550" ht="15.75" customHeight="1"/>
    <row r="12551" ht="15.75" customHeight="1"/>
    <row r="12552" ht="15.75" customHeight="1"/>
    <row r="12553" ht="15.75" customHeight="1"/>
    <row r="12554" ht="15.75" customHeight="1"/>
    <row r="12555" ht="15.75" customHeight="1"/>
    <row r="12556" ht="15.75" customHeight="1"/>
    <row r="12557" ht="15.75" customHeight="1"/>
    <row r="12558" ht="15.75" customHeight="1"/>
    <row r="12559" ht="15.75" customHeight="1"/>
    <row r="12560" ht="15.75" customHeight="1"/>
    <row r="12561" ht="15.75" customHeight="1"/>
    <row r="12562" ht="15.75" customHeight="1"/>
    <row r="12563" ht="15.75" customHeight="1"/>
    <row r="12564" ht="15.75" customHeight="1"/>
    <row r="12565" ht="15.75" customHeight="1"/>
    <row r="12566" ht="15.75" customHeight="1"/>
    <row r="12567" ht="15.75" customHeight="1"/>
    <row r="12568" ht="15.75" customHeight="1"/>
    <row r="12569" ht="15.75" customHeight="1"/>
    <row r="12570" ht="15.75" customHeight="1"/>
    <row r="12571" ht="15.75" customHeight="1"/>
    <row r="12572" ht="15.75" customHeight="1"/>
    <row r="12573" ht="15.75" customHeight="1"/>
    <row r="12574" ht="15.75" customHeight="1"/>
    <row r="12575" ht="15.75" customHeight="1"/>
    <row r="12576" ht="15.75" customHeight="1"/>
    <row r="12577" ht="15.75" customHeight="1"/>
    <row r="12578" ht="15.75" customHeight="1"/>
    <row r="12579" ht="15.75" customHeight="1"/>
    <row r="12580" ht="15.75" customHeight="1"/>
    <row r="12581" ht="15.75" customHeight="1"/>
    <row r="12582" ht="15.75" customHeight="1"/>
    <row r="12583" ht="15.75" customHeight="1"/>
    <row r="12584" ht="15.75" customHeight="1"/>
    <row r="12585" ht="15.75" customHeight="1"/>
    <row r="12586" ht="15.75" customHeight="1"/>
    <row r="12587" ht="15.75" customHeight="1"/>
    <row r="12588" ht="15.75" customHeight="1"/>
    <row r="12589" ht="15.75" customHeight="1"/>
    <row r="12590" ht="15.75" customHeight="1"/>
    <row r="12591" ht="15.75" customHeight="1"/>
    <row r="12592" ht="15.75" customHeight="1"/>
    <row r="12593" ht="15.75" customHeight="1"/>
    <row r="12594" ht="15.75" customHeight="1"/>
    <row r="12595" ht="15.75" customHeight="1"/>
    <row r="12596" ht="15.75" customHeight="1"/>
    <row r="12597" ht="15.75" customHeight="1"/>
    <row r="12598" ht="15.75" customHeight="1"/>
    <row r="12599" ht="15.75" customHeight="1"/>
    <row r="12600" ht="15.75" customHeight="1"/>
    <row r="12601" ht="15.75" customHeight="1"/>
    <row r="12602" ht="15.75" customHeight="1"/>
    <row r="12603" ht="15.75" customHeight="1"/>
    <row r="12604" ht="15.75" customHeight="1"/>
    <row r="12605" ht="15.75" customHeight="1"/>
    <row r="12606" ht="15.75" customHeight="1"/>
    <row r="12607" ht="15.75" customHeight="1"/>
    <row r="12608" ht="15.75" customHeight="1"/>
    <row r="12609" ht="15.75" customHeight="1"/>
    <row r="12610" ht="15.75" customHeight="1"/>
    <row r="12611" ht="15.75" customHeight="1"/>
    <row r="12612" ht="15.75" customHeight="1"/>
    <row r="12613" ht="15.75" customHeight="1"/>
    <row r="12614" ht="15.75" customHeight="1"/>
    <row r="12615" ht="15.75" customHeight="1"/>
    <row r="12616" ht="15.75" customHeight="1"/>
    <row r="12617" ht="15.75" customHeight="1"/>
    <row r="12618" ht="15.75" customHeight="1"/>
    <row r="12619" ht="15.75" customHeight="1"/>
    <row r="12620" ht="15.75" customHeight="1"/>
    <row r="12621" ht="15.75" customHeight="1"/>
    <row r="12622" ht="15.75" customHeight="1"/>
    <row r="12623" ht="15.75" customHeight="1"/>
    <row r="12624" ht="15.75" customHeight="1"/>
    <row r="12625" ht="15.75" customHeight="1"/>
    <row r="12626" ht="15.75" customHeight="1"/>
    <row r="12627" ht="15.75" customHeight="1"/>
    <row r="12628" ht="15.75" customHeight="1"/>
    <row r="12629" ht="15.75" customHeight="1"/>
    <row r="12630" ht="15.75" customHeight="1"/>
    <row r="12631" ht="15.75" customHeight="1"/>
    <row r="12632" ht="15.75" customHeight="1"/>
    <row r="12633" ht="15.75" customHeight="1"/>
    <row r="12634" ht="15.75" customHeight="1"/>
    <row r="12635" ht="15.75" customHeight="1"/>
    <row r="12636" ht="15.75" customHeight="1"/>
    <row r="12637" ht="15.75" customHeight="1"/>
    <row r="12638" ht="15.75" customHeight="1"/>
    <row r="12639" ht="15.75" customHeight="1"/>
    <row r="12640" ht="15.75" customHeight="1"/>
    <row r="12641" ht="15.75" customHeight="1"/>
    <row r="12642" ht="15.75" customHeight="1"/>
    <row r="12643" ht="15.75" customHeight="1"/>
    <row r="12644" ht="15.75" customHeight="1"/>
    <row r="12645" ht="15.75" customHeight="1"/>
    <row r="12646" ht="15.75" customHeight="1"/>
    <row r="12647" ht="15.75" customHeight="1"/>
    <row r="12648" ht="15.75" customHeight="1"/>
    <row r="12649" ht="15.75" customHeight="1"/>
    <row r="12650" ht="15.75" customHeight="1"/>
    <row r="12651" ht="15.75" customHeight="1"/>
    <row r="12652" ht="15.75" customHeight="1"/>
    <row r="12653" ht="15.75" customHeight="1"/>
    <row r="12654" ht="15.75" customHeight="1"/>
    <row r="12655" ht="15.75" customHeight="1"/>
    <row r="12656" ht="15.75" customHeight="1"/>
    <row r="12657" ht="15.75" customHeight="1"/>
    <row r="12658" ht="15.75" customHeight="1"/>
    <row r="12659" ht="15.75" customHeight="1"/>
    <row r="12660" ht="15.75" customHeight="1"/>
    <row r="12661" ht="15.75" customHeight="1"/>
    <row r="12662" ht="15.75" customHeight="1"/>
    <row r="12663" ht="15.75" customHeight="1"/>
    <row r="12664" ht="15.75" customHeight="1"/>
    <row r="12665" ht="15.75" customHeight="1"/>
    <row r="12666" ht="15.75" customHeight="1"/>
    <row r="12667" ht="15.75" customHeight="1"/>
    <row r="12668" ht="15.75" customHeight="1"/>
    <row r="12669" ht="15.75" customHeight="1"/>
    <row r="12670" ht="15.75" customHeight="1"/>
    <row r="12671" ht="15.75" customHeight="1"/>
    <row r="12672" ht="15.75" customHeight="1"/>
    <row r="12673" ht="15.75" customHeight="1"/>
    <row r="12674" ht="15.75" customHeight="1"/>
    <row r="12675" ht="15.75" customHeight="1"/>
    <row r="12676" ht="15.75" customHeight="1"/>
    <row r="12677" ht="15.75" customHeight="1"/>
    <row r="12678" ht="15.75" customHeight="1"/>
    <row r="12679" ht="15.75" customHeight="1"/>
    <row r="12680" ht="15.75" customHeight="1"/>
    <row r="12681" ht="15.75" customHeight="1"/>
    <row r="12682" ht="15.75" customHeight="1"/>
    <row r="12683" ht="15.75" customHeight="1"/>
    <row r="12684" ht="15.75" customHeight="1"/>
    <row r="12685" ht="15.75" customHeight="1"/>
    <row r="12686" ht="15.75" customHeight="1"/>
    <row r="12687" ht="15.75" customHeight="1"/>
    <row r="12688" ht="15.75" customHeight="1"/>
    <row r="12689" ht="15.75" customHeight="1"/>
    <row r="12690" ht="15.75" customHeight="1"/>
    <row r="12691" ht="15.75" customHeight="1"/>
    <row r="12692" ht="15.75" customHeight="1"/>
    <row r="12693" ht="15.75" customHeight="1"/>
    <row r="12694" ht="15.75" customHeight="1"/>
    <row r="12695" ht="15.75" customHeight="1"/>
    <row r="12696" ht="15.75" customHeight="1"/>
    <row r="12697" ht="15.75" customHeight="1"/>
    <row r="12698" ht="15.75" customHeight="1"/>
    <row r="12699" ht="15.75" customHeight="1"/>
    <row r="12700" ht="15.75" customHeight="1"/>
    <row r="12701" ht="15.75" customHeight="1"/>
    <row r="12702" ht="15.75" customHeight="1"/>
    <row r="12703" ht="15.75" customHeight="1"/>
    <row r="12704" ht="15.75" customHeight="1"/>
    <row r="12705" ht="15.75" customHeight="1"/>
    <row r="12706" ht="15.75" customHeight="1"/>
    <row r="12707" ht="15.75" customHeight="1"/>
    <row r="12708" ht="15.75" customHeight="1"/>
    <row r="12709" ht="15.75" customHeight="1"/>
    <row r="12710" ht="15.75" customHeight="1"/>
    <row r="12711" ht="15.75" customHeight="1"/>
    <row r="12712" ht="15.75" customHeight="1"/>
    <row r="12713" ht="15.75" customHeight="1"/>
    <row r="12714" ht="15.75" customHeight="1"/>
    <row r="12715" ht="15.75" customHeight="1"/>
    <row r="12716" ht="15.75" customHeight="1"/>
    <row r="12717" ht="15.75" customHeight="1"/>
    <row r="12718" ht="15.75" customHeight="1"/>
    <row r="12719" ht="15.75" customHeight="1"/>
    <row r="12720" ht="15.75" customHeight="1"/>
    <row r="12721" ht="15.75" customHeight="1"/>
    <row r="12722" ht="15.75" customHeight="1"/>
    <row r="12723" ht="15.75" customHeight="1"/>
    <row r="12724" ht="15.75" customHeight="1"/>
    <row r="12725" ht="15.75" customHeight="1"/>
    <row r="12726" ht="15.75" customHeight="1"/>
    <row r="12727" ht="15.75" customHeight="1"/>
    <row r="12728" ht="15.75" customHeight="1"/>
    <row r="12729" ht="15.75" customHeight="1"/>
    <row r="12730" ht="15.75" customHeight="1"/>
    <row r="12731" ht="15.75" customHeight="1"/>
    <row r="12732" ht="15.75" customHeight="1"/>
    <row r="12733" ht="15.75" customHeight="1"/>
    <row r="12734" ht="15.75" customHeight="1"/>
    <row r="12735" ht="15.75" customHeight="1"/>
    <row r="12736" ht="15.75" customHeight="1"/>
    <row r="12737" ht="15.75" customHeight="1"/>
    <row r="12738" ht="15.75" customHeight="1"/>
    <row r="12739" ht="15.75" customHeight="1"/>
    <row r="12740" ht="15.75" customHeight="1"/>
    <row r="12741" ht="15.75" customHeight="1"/>
    <row r="12742" ht="15.75" customHeight="1"/>
    <row r="12743" ht="15.75" customHeight="1"/>
    <row r="12744" ht="15.75" customHeight="1"/>
    <row r="12745" ht="15.75" customHeight="1"/>
    <row r="12746" ht="15.75" customHeight="1"/>
    <row r="12747" ht="15.75" customHeight="1"/>
    <row r="12748" ht="15.75" customHeight="1"/>
    <row r="12749" ht="15.75" customHeight="1"/>
    <row r="12750" ht="15.75" customHeight="1"/>
    <row r="12751" ht="15.75" customHeight="1"/>
    <row r="12752" ht="15.75" customHeight="1"/>
    <row r="12753" ht="15.75" customHeight="1"/>
    <row r="12754" ht="15.75" customHeight="1"/>
    <row r="12755" ht="15.75" customHeight="1"/>
    <row r="12756" ht="15.75" customHeight="1"/>
    <row r="12757" ht="15.75" customHeight="1"/>
    <row r="12758" ht="15.75" customHeight="1"/>
    <row r="12759" ht="15.75" customHeight="1"/>
    <row r="12760" ht="15.75" customHeight="1"/>
    <row r="12761" ht="15.75" customHeight="1"/>
    <row r="12762" ht="15.75" customHeight="1"/>
    <row r="12763" ht="15.75" customHeight="1"/>
    <row r="12764" ht="15.75" customHeight="1"/>
    <row r="12765" ht="15.75" customHeight="1"/>
    <row r="12766" ht="15.75" customHeight="1"/>
    <row r="12767" ht="15.75" customHeight="1"/>
    <row r="12768" ht="15.75" customHeight="1"/>
    <row r="12769" ht="15.75" customHeight="1"/>
    <row r="12770" ht="15.75" customHeight="1"/>
    <row r="12771" ht="15.75" customHeight="1"/>
    <row r="12772" ht="15.75" customHeight="1"/>
    <row r="12773" ht="15.75" customHeight="1"/>
    <row r="12774" ht="15.75" customHeight="1"/>
    <row r="12775" ht="15.75" customHeight="1"/>
    <row r="12776" ht="15.75" customHeight="1"/>
    <row r="12777" ht="15.75" customHeight="1"/>
    <row r="12778" ht="15.75" customHeight="1"/>
    <row r="12779" ht="15.75" customHeight="1"/>
    <row r="12780" ht="15.75" customHeight="1"/>
    <row r="12781" ht="15.75" customHeight="1"/>
    <row r="12782" ht="15.75" customHeight="1"/>
    <row r="12783" ht="15.75" customHeight="1"/>
    <row r="12784" ht="15.75" customHeight="1"/>
    <row r="12785" ht="15.75" customHeight="1"/>
    <row r="12786" ht="15.75" customHeight="1"/>
    <row r="12787" ht="15.75" customHeight="1"/>
    <row r="12788" ht="15.75" customHeight="1"/>
    <row r="12789" ht="15.75" customHeight="1"/>
    <row r="12790" ht="15.75" customHeight="1"/>
    <row r="12791" ht="15.75" customHeight="1"/>
    <row r="12792" ht="15.75" customHeight="1"/>
    <row r="12793" ht="15.75" customHeight="1"/>
    <row r="12794" ht="15.75" customHeight="1"/>
    <row r="12795" ht="15.75" customHeight="1"/>
    <row r="12796" ht="15.75" customHeight="1"/>
    <row r="12797" ht="15.75" customHeight="1"/>
    <row r="12798" ht="15.75" customHeight="1"/>
    <row r="12799" ht="15.75" customHeight="1"/>
    <row r="12800" ht="15.75" customHeight="1"/>
    <row r="12801" ht="15.75" customHeight="1"/>
    <row r="12802" ht="15.75" customHeight="1"/>
    <row r="12803" ht="15.75" customHeight="1"/>
    <row r="12804" ht="15.75" customHeight="1"/>
    <row r="12805" ht="15.75" customHeight="1"/>
    <row r="12806" ht="15.75" customHeight="1"/>
    <row r="12807" ht="15.75" customHeight="1"/>
    <row r="12808" ht="15.75" customHeight="1"/>
    <row r="12809" ht="15.75" customHeight="1"/>
    <row r="12810" ht="15.75" customHeight="1"/>
    <row r="12811" ht="15.75" customHeight="1"/>
    <row r="12812" ht="15.75" customHeight="1"/>
    <row r="12813" ht="15.75" customHeight="1"/>
    <row r="12814" ht="15.75" customHeight="1"/>
    <row r="12815" ht="15.75" customHeight="1"/>
    <row r="12816" ht="15.75" customHeight="1"/>
    <row r="12817" ht="15.75" customHeight="1"/>
    <row r="12818" ht="15.75" customHeight="1"/>
    <row r="12819" ht="15.75" customHeight="1"/>
    <row r="12820" ht="15.75" customHeight="1"/>
    <row r="12821" ht="15.75" customHeight="1"/>
    <row r="12822" ht="15.75" customHeight="1"/>
    <row r="12823" ht="15.75" customHeight="1"/>
    <row r="12824" ht="15.75" customHeight="1"/>
    <row r="12825" ht="15.75" customHeight="1"/>
    <row r="12826" ht="15.75" customHeight="1"/>
    <row r="12827" ht="15.75" customHeight="1"/>
    <row r="12828" ht="15.75" customHeight="1"/>
    <row r="12829" ht="15.75" customHeight="1"/>
    <row r="12830" ht="15.75" customHeight="1"/>
    <row r="12831" ht="15.75" customHeight="1"/>
    <row r="12832" ht="15.75" customHeight="1"/>
    <row r="12833" ht="15.75" customHeight="1"/>
    <row r="12834" ht="15.75" customHeight="1"/>
    <row r="12835" ht="15.75" customHeight="1"/>
    <row r="12836" ht="15.75" customHeight="1"/>
    <row r="12837" ht="15.75" customHeight="1"/>
    <row r="12838" ht="15.75" customHeight="1"/>
    <row r="12839" ht="15.75" customHeight="1"/>
    <row r="12840" ht="15.75" customHeight="1"/>
    <row r="12841" ht="15.75" customHeight="1"/>
    <row r="12842" ht="15.75" customHeight="1"/>
    <row r="12843" ht="15.75" customHeight="1"/>
    <row r="12844" ht="15.75" customHeight="1"/>
    <row r="12845" ht="15.75" customHeight="1"/>
    <row r="12846" ht="15.75" customHeight="1"/>
    <row r="12847" ht="15.75" customHeight="1"/>
    <row r="12848" ht="15.75" customHeight="1"/>
    <row r="12849" ht="15.75" customHeight="1"/>
    <row r="12850" ht="15.75" customHeight="1"/>
    <row r="12851" ht="15.75" customHeight="1"/>
    <row r="12852" ht="15.75" customHeight="1"/>
    <row r="12853" ht="15.75" customHeight="1"/>
    <row r="12854" ht="15.75" customHeight="1"/>
    <row r="12855" ht="15.75" customHeight="1"/>
    <row r="12856" ht="15.75" customHeight="1"/>
    <row r="12857" ht="15.75" customHeight="1"/>
    <row r="12858" ht="15.75" customHeight="1"/>
    <row r="12859" ht="15.75" customHeight="1"/>
    <row r="12860" ht="15.75" customHeight="1"/>
    <row r="12861" ht="15.75" customHeight="1"/>
    <row r="12862" ht="15.75" customHeight="1"/>
    <row r="12863" ht="15.75" customHeight="1"/>
    <row r="12864" ht="15.75" customHeight="1"/>
    <row r="12865" ht="15.75" customHeight="1"/>
    <row r="12866" ht="15.75" customHeight="1"/>
    <row r="12867" ht="15.75" customHeight="1"/>
    <row r="12868" ht="15.75" customHeight="1"/>
    <row r="12869" ht="15.75" customHeight="1"/>
    <row r="12870" ht="15.75" customHeight="1"/>
    <row r="12871" ht="15.75" customHeight="1"/>
    <row r="12872" ht="15.75" customHeight="1"/>
    <row r="12873" ht="15.75" customHeight="1"/>
    <row r="12874" ht="15.75" customHeight="1"/>
    <row r="12875" ht="15.75" customHeight="1"/>
    <row r="12876" ht="15.75" customHeight="1"/>
    <row r="12877" ht="15.75" customHeight="1"/>
    <row r="12878" ht="15.75" customHeight="1"/>
    <row r="12879" ht="15.75" customHeight="1"/>
    <row r="12880" ht="15.75" customHeight="1"/>
    <row r="12881" ht="15.75" customHeight="1"/>
    <row r="12882" ht="15.75" customHeight="1"/>
    <row r="12883" ht="15.75" customHeight="1"/>
    <row r="12884" ht="15.75" customHeight="1"/>
    <row r="12885" ht="15.75" customHeight="1"/>
    <row r="12886" ht="15.75" customHeight="1"/>
    <row r="12887" ht="15.75" customHeight="1"/>
    <row r="12888" ht="15.75" customHeight="1"/>
    <row r="12889" ht="15.75" customHeight="1"/>
    <row r="12890" ht="15.75" customHeight="1"/>
    <row r="12891" ht="15.75" customHeight="1"/>
    <row r="12892" ht="15.75" customHeight="1"/>
    <row r="12893" ht="15.75" customHeight="1"/>
    <row r="12894" ht="15.75" customHeight="1"/>
    <row r="12895" ht="15.75" customHeight="1"/>
    <row r="12896" ht="15.75" customHeight="1"/>
    <row r="12897" ht="15.75" customHeight="1"/>
    <row r="12898" ht="15.75" customHeight="1"/>
    <row r="12899" ht="15.75" customHeight="1"/>
    <row r="12900" ht="15.75" customHeight="1"/>
    <row r="12901" ht="15.75" customHeight="1"/>
    <row r="12902" ht="15.75" customHeight="1"/>
    <row r="12903" ht="15.75" customHeight="1"/>
    <row r="12904" ht="15.75" customHeight="1"/>
    <row r="12905" ht="15.75" customHeight="1"/>
    <row r="12906" ht="15.75" customHeight="1"/>
    <row r="12907" ht="15.75" customHeight="1"/>
    <row r="12908" ht="15.75" customHeight="1"/>
    <row r="12909" ht="15.75" customHeight="1"/>
    <row r="12910" ht="15.75" customHeight="1"/>
    <row r="12911" ht="15.75" customHeight="1"/>
    <row r="12912" ht="15.75" customHeight="1"/>
    <row r="12913" ht="15.75" customHeight="1"/>
    <row r="12914" ht="15.75" customHeight="1"/>
    <row r="12915" ht="15.75" customHeight="1"/>
    <row r="12916" ht="15.75" customHeight="1"/>
    <row r="12917" ht="15.75" customHeight="1"/>
    <row r="12918" ht="15.75" customHeight="1"/>
    <row r="12919" ht="15.75" customHeight="1"/>
    <row r="12920" ht="15.75" customHeight="1"/>
    <row r="12921" ht="15.75" customHeight="1"/>
    <row r="12922" ht="15.75" customHeight="1"/>
    <row r="12923" ht="15.75" customHeight="1"/>
    <row r="12924" ht="15.75" customHeight="1"/>
    <row r="12925" ht="15.75" customHeight="1"/>
    <row r="12926" ht="15.75" customHeight="1"/>
    <row r="12927" ht="15.75" customHeight="1"/>
    <row r="12928" ht="15.75" customHeight="1"/>
    <row r="12929" ht="15.75" customHeight="1"/>
    <row r="12930" ht="15.75" customHeight="1"/>
    <row r="12931" ht="15.75" customHeight="1"/>
    <row r="12932" ht="15.75" customHeight="1"/>
    <row r="12933" ht="15.75" customHeight="1"/>
    <row r="12934" ht="15.75" customHeight="1"/>
    <row r="12935" ht="15.75" customHeight="1"/>
    <row r="12936" ht="15.75" customHeight="1"/>
    <row r="12937" ht="15.75" customHeight="1"/>
    <row r="12938" ht="15.75" customHeight="1"/>
    <row r="12939" ht="15.75" customHeight="1"/>
    <row r="12940" ht="15.75" customHeight="1"/>
    <row r="12941" ht="15.75" customHeight="1"/>
    <row r="12942" ht="15.75" customHeight="1"/>
    <row r="12943" ht="15.75" customHeight="1"/>
    <row r="12944" ht="15.75" customHeight="1"/>
    <row r="12945" ht="15.75" customHeight="1"/>
    <row r="12946" ht="15.75" customHeight="1"/>
    <row r="12947" ht="15.75" customHeight="1"/>
    <row r="12948" ht="15.75" customHeight="1"/>
    <row r="12949" ht="15.75" customHeight="1"/>
    <row r="12950" ht="15.75" customHeight="1"/>
    <row r="12951" ht="15.75" customHeight="1"/>
    <row r="12952" ht="15.75" customHeight="1"/>
    <row r="12953" ht="15.75" customHeight="1"/>
    <row r="12954" ht="15.75" customHeight="1"/>
    <row r="12955" ht="15.75" customHeight="1"/>
    <row r="12956" ht="15.75" customHeight="1"/>
    <row r="12957" ht="15.75" customHeight="1"/>
    <row r="12958" ht="15.75" customHeight="1"/>
    <row r="12959" ht="15.75" customHeight="1"/>
    <row r="12960" ht="15.75" customHeight="1"/>
    <row r="12961" ht="15.75" customHeight="1"/>
    <row r="12962" ht="15.75" customHeight="1"/>
    <row r="12963" ht="15.75" customHeight="1"/>
    <row r="12964" ht="15.75" customHeight="1"/>
    <row r="12965" ht="15.75" customHeight="1"/>
    <row r="12966" ht="15.75" customHeight="1"/>
    <row r="12967" ht="15.75" customHeight="1"/>
    <row r="12968" ht="15.75" customHeight="1"/>
    <row r="12969" ht="15.75" customHeight="1"/>
    <row r="12970" ht="15.75" customHeight="1"/>
    <row r="12971" ht="15.75" customHeight="1"/>
    <row r="12972" ht="15.75" customHeight="1"/>
    <row r="12973" ht="15.75" customHeight="1"/>
    <row r="12974" ht="15.75" customHeight="1"/>
    <row r="12975" ht="15.75" customHeight="1"/>
    <row r="12976" ht="15.75" customHeight="1"/>
    <row r="12977" ht="15.75" customHeight="1"/>
    <row r="12978" ht="15.75" customHeight="1"/>
    <row r="12979" ht="15.75" customHeight="1"/>
    <row r="12980" ht="15.75" customHeight="1"/>
    <row r="12981" ht="15.75" customHeight="1"/>
    <row r="12982" ht="15.75" customHeight="1"/>
    <row r="12983" ht="15.75" customHeight="1"/>
    <row r="12984" ht="15.75" customHeight="1"/>
    <row r="12985" ht="15.75" customHeight="1"/>
    <row r="12986" ht="15.75" customHeight="1"/>
    <row r="12987" ht="15.75" customHeight="1"/>
    <row r="12988" ht="15.75" customHeight="1"/>
    <row r="12989" ht="15.75" customHeight="1"/>
    <row r="12990" ht="15.75" customHeight="1"/>
    <row r="12991" ht="15.75" customHeight="1"/>
    <row r="12992" ht="15.75" customHeight="1"/>
    <row r="12993" ht="15.75" customHeight="1"/>
    <row r="12994" ht="15.75" customHeight="1"/>
    <row r="12995" ht="15.75" customHeight="1"/>
    <row r="12996" ht="15.75" customHeight="1"/>
    <row r="12997" ht="15.75" customHeight="1"/>
    <row r="12998" ht="15.75" customHeight="1"/>
    <row r="12999" ht="15.75" customHeight="1"/>
    <row r="13000" ht="15.75" customHeight="1"/>
    <row r="13001" ht="15.75" customHeight="1"/>
    <row r="13002" ht="15.75" customHeight="1"/>
    <row r="13003" ht="15.75" customHeight="1"/>
    <row r="13004" ht="15.75" customHeight="1"/>
    <row r="13005" ht="15.75" customHeight="1"/>
    <row r="13006" ht="15.75" customHeight="1"/>
    <row r="13007" ht="15.75" customHeight="1"/>
    <row r="13008" ht="15.75" customHeight="1"/>
    <row r="13009" ht="15.75" customHeight="1"/>
    <row r="13010" ht="15.75" customHeight="1"/>
    <row r="13011" ht="15.75" customHeight="1"/>
    <row r="13012" ht="15.75" customHeight="1"/>
    <row r="13013" ht="15.75" customHeight="1"/>
    <row r="13014" ht="15.75" customHeight="1"/>
    <row r="13015" ht="15.75" customHeight="1"/>
    <row r="13016" ht="15.75" customHeight="1"/>
    <row r="13017" ht="15.75" customHeight="1"/>
    <row r="13018" ht="15.75" customHeight="1"/>
    <row r="13019" ht="15.75" customHeight="1"/>
    <row r="13020" ht="15.75" customHeight="1"/>
    <row r="13021" ht="15.75" customHeight="1"/>
    <row r="13022" ht="15.75" customHeight="1"/>
    <row r="13023" ht="15.75" customHeight="1"/>
    <row r="13024" ht="15.75" customHeight="1"/>
    <row r="13025" ht="15.75" customHeight="1"/>
    <row r="13026" ht="15.75" customHeight="1"/>
    <row r="13027" ht="15.75" customHeight="1"/>
    <row r="13028" ht="15.75" customHeight="1"/>
    <row r="13029" ht="15.75" customHeight="1"/>
    <row r="13030" ht="15.75" customHeight="1"/>
    <row r="13031" ht="15.75" customHeight="1"/>
    <row r="13032" ht="15.75" customHeight="1"/>
    <row r="13033" ht="15.75" customHeight="1"/>
    <row r="13034" ht="15.75" customHeight="1"/>
    <row r="13035" ht="15.75" customHeight="1"/>
    <row r="13036" ht="15.75" customHeight="1"/>
    <row r="13037" ht="15.75" customHeight="1"/>
    <row r="13038" ht="15.75" customHeight="1"/>
    <row r="13039" ht="15.75" customHeight="1"/>
    <row r="13040" ht="15.75" customHeight="1"/>
    <row r="13041" ht="15.75" customHeight="1"/>
    <row r="13042" ht="15.75" customHeight="1"/>
    <row r="13043" ht="15.75" customHeight="1"/>
    <row r="13044" ht="15.75" customHeight="1"/>
    <row r="13045" ht="15.75" customHeight="1"/>
    <row r="13046" ht="15.75" customHeight="1"/>
    <row r="13047" ht="15.75" customHeight="1"/>
    <row r="13048" ht="15.75" customHeight="1"/>
    <row r="13049" ht="15.75" customHeight="1"/>
    <row r="13050" ht="15.75" customHeight="1"/>
    <row r="13051" ht="15.75" customHeight="1"/>
    <row r="13052" ht="15.75" customHeight="1"/>
    <row r="13053" ht="15.75" customHeight="1"/>
    <row r="13054" ht="15.75" customHeight="1"/>
    <row r="13055" ht="15.75" customHeight="1"/>
    <row r="13056" ht="15.75" customHeight="1"/>
    <row r="13057" ht="15.75" customHeight="1"/>
    <row r="13058" ht="15.75" customHeight="1"/>
    <row r="13059" ht="15.75" customHeight="1"/>
    <row r="13060" ht="15.75" customHeight="1"/>
    <row r="13061" ht="15.75" customHeight="1"/>
    <row r="13062" ht="15.75" customHeight="1"/>
    <row r="13063" ht="15.75" customHeight="1"/>
    <row r="13064" ht="15.75" customHeight="1"/>
    <row r="13065" ht="15.75" customHeight="1"/>
    <row r="13066" ht="15.75" customHeight="1"/>
    <row r="13067" ht="15.75" customHeight="1"/>
    <row r="13068" ht="15.75" customHeight="1"/>
    <row r="13069" ht="15.75" customHeight="1"/>
    <row r="13070" ht="15.75" customHeight="1"/>
    <row r="13071" ht="15.75" customHeight="1"/>
    <row r="13072" ht="15.75" customHeight="1"/>
    <row r="13073" ht="15.75" customHeight="1"/>
    <row r="13074" ht="15.75" customHeight="1"/>
    <row r="13075" ht="15.75" customHeight="1"/>
    <row r="13076" ht="15.75" customHeight="1"/>
    <row r="13077" ht="15.75" customHeight="1"/>
    <row r="13078" ht="15.75" customHeight="1"/>
    <row r="13079" ht="15.75" customHeight="1"/>
    <row r="13080" ht="15.75" customHeight="1"/>
    <row r="13081" ht="15.75" customHeight="1"/>
    <row r="13082" ht="15.75" customHeight="1"/>
    <row r="13083" ht="15.75" customHeight="1"/>
    <row r="13084" ht="15.75" customHeight="1"/>
    <row r="13085" ht="15.75" customHeight="1"/>
    <row r="13086" ht="15.75" customHeight="1"/>
    <row r="13087" ht="15.75" customHeight="1"/>
    <row r="13088" ht="15.75" customHeight="1"/>
    <row r="13089" ht="15.75" customHeight="1"/>
    <row r="13090" ht="15.75" customHeight="1"/>
    <row r="13091" ht="15.75" customHeight="1"/>
    <row r="13092" ht="15.75" customHeight="1"/>
    <row r="13093" ht="15.75" customHeight="1"/>
    <row r="13094" ht="15.75" customHeight="1"/>
    <row r="13095" ht="15.75" customHeight="1"/>
    <row r="13096" ht="15.75" customHeight="1"/>
    <row r="13097" ht="15.75" customHeight="1"/>
    <row r="13098" ht="15.75" customHeight="1"/>
    <row r="13099" ht="15.75" customHeight="1"/>
    <row r="13100" ht="15.75" customHeight="1"/>
    <row r="13101" ht="15.75" customHeight="1"/>
    <row r="13102" ht="15.75" customHeight="1"/>
    <row r="13103" ht="15.75" customHeight="1"/>
    <row r="13104" ht="15.75" customHeight="1"/>
    <row r="13105" ht="15.75" customHeight="1"/>
    <row r="13106" ht="15.75" customHeight="1"/>
    <row r="13107" ht="15.75" customHeight="1"/>
    <row r="13108" ht="15.75" customHeight="1"/>
    <row r="13109" ht="15.75" customHeight="1"/>
    <row r="13110" ht="15.75" customHeight="1"/>
    <row r="13111" ht="15.75" customHeight="1"/>
    <row r="13112" ht="15.75" customHeight="1"/>
    <row r="13113" ht="15.75" customHeight="1"/>
    <row r="13114" ht="15.75" customHeight="1"/>
    <row r="13115" ht="15.75" customHeight="1"/>
    <row r="13116" ht="15.75" customHeight="1"/>
    <row r="13117" ht="15.75" customHeight="1"/>
    <row r="13118" ht="15.75" customHeight="1"/>
    <row r="13119" ht="15.75" customHeight="1"/>
    <row r="13120" ht="15.75" customHeight="1"/>
    <row r="13121" ht="15.75" customHeight="1"/>
    <row r="13122" ht="15.75" customHeight="1"/>
    <row r="13123" ht="15.75" customHeight="1"/>
    <row r="13124" ht="15.75" customHeight="1"/>
    <row r="13125" ht="15.75" customHeight="1"/>
    <row r="13126" ht="15.75" customHeight="1"/>
    <row r="13127" ht="15.75" customHeight="1"/>
    <row r="13128" ht="15.75" customHeight="1"/>
    <row r="13129" ht="15.75" customHeight="1"/>
    <row r="13130" ht="15.75" customHeight="1"/>
    <row r="13131" ht="15.75" customHeight="1"/>
    <row r="13132" ht="15.75" customHeight="1"/>
    <row r="13133" ht="15.75" customHeight="1"/>
    <row r="13134" ht="15.75" customHeight="1"/>
    <row r="13135" ht="15.75" customHeight="1"/>
    <row r="13136" ht="15.75" customHeight="1"/>
    <row r="13137" ht="15.75" customHeight="1"/>
    <row r="13138" ht="15.75" customHeight="1"/>
    <row r="13139" ht="15.75" customHeight="1"/>
    <row r="13140" ht="15.75" customHeight="1"/>
    <row r="13141" ht="15.75" customHeight="1"/>
    <row r="13142" ht="15.75" customHeight="1"/>
    <row r="13143" ht="15.75" customHeight="1"/>
    <row r="13144" ht="15.75" customHeight="1"/>
    <row r="13145" ht="15.75" customHeight="1"/>
    <row r="13146" ht="15.75" customHeight="1"/>
    <row r="13147" ht="15.75" customHeight="1"/>
    <row r="13148" ht="15.75" customHeight="1"/>
    <row r="13149" ht="15.75" customHeight="1"/>
    <row r="13150" ht="15.75" customHeight="1"/>
    <row r="13151" ht="15.75" customHeight="1"/>
    <row r="13152" ht="15.75" customHeight="1"/>
    <row r="13153" ht="15.75" customHeight="1"/>
    <row r="13154" ht="15.75" customHeight="1"/>
    <row r="13155" ht="15.75" customHeight="1"/>
    <row r="13156" ht="15.75" customHeight="1"/>
    <row r="13157" ht="15.75" customHeight="1"/>
    <row r="13158" ht="15.75" customHeight="1"/>
    <row r="13159" ht="15.75" customHeight="1"/>
    <row r="13160" ht="15.75" customHeight="1"/>
    <row r="13161" ht="15.75" customHeight="1"/>
    <row r="13162" ht="15.75" customHeight="1"/>
    <row r="13163" ht="15.75" customHeight="1"/>
    <row r="13164" ht="15.75" customHeight="1"/>
    <row r="13165" ht="15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>
      <pane ySplit="1" topLeftCell="A2" activePane="bottomLeft" state="frozen"/>
      <selection pane="bottomLeft" activeCell="B3" sqref="B3"/>
    </sheetView>
  </sheetViews>
  <sheetFormatPr defaultColWidth="12.625" defaultRowHeight="15" customHeight="1"/>
  <cols>
    <col min="1" max="1" width="22" customWidth="1"/>
    <col min="2" max="2" width="43" customWidth="1"/>
    <col min="3" max="8" width="22" customWidth="1"/>
    <col min="9" max="10" width="52" customWidth="1"/>
    <col min="11" max="26" width="22" customWidth="1"/>
  </cols>
  <sheetData>
    <row r="1" spans="1:26" ht="42" customHeight="1">
      <c r="A1" s="1" t="s">
        <v>7576</v>
      </c>
      <c r="B1" s="1" t="s">
        <v>7577</v>
      </c>
      <c r="C1" s="1" t="s">
        <v>7578</v>
      </c>
      <c r="D1" s="1" t="s">
        <v>7579</v>
      </c>
      <c r="E1" s="1" t="s">
        <v>7580</v>
      </c>
      <c r="F1" s="1" t="s">
        <v>7581</v>
      </c>
      <c r="G1" s="1" t="s">
        <v>7582</v>
      </c>
      <c r="H1" s="1" t="s">
        <v>7583</v>
      </c>
      <c r="I1" s="1" t="s">
        <v>7584</v>
      </c>
      <c r="J1" s="1" t="s">
        <v>7585</v>
      </c>
      <c r="K1" s="1" t="s">
        <v>7586</v>
      </c>
      <c r="L1" s="1" t="s">
        <v>7587</v>
      </c>
      <c r="M1" s="1" t="s">
        <v>7588</v>
      </c>
      <c r="N1" s="1" t="s">
        <v>7589</v>
      </c>
      <c r="O1" s="1" t="s">
        <v>7590</v>
      </c>
      <c r="P1" s="1" t="s">
        <v>7591</v>
      </c>
      <c r="Q1" s="1" t="s">
        <v>7592</v>
      </c>
      <c r="R1" s="1" t="s">
        <v>7593</v>
      </c>
      <c r="S1" s="1" t="s">
        <v>7594</v>
      </c>
      <c r="T1" s="1" t="s">
        <v>7595</v>
      </c>
      <c r="U1" s="1" t="s">
        <v>7596</v>
      </c>
      <c r="V1" s="1" t="s">
        <v>7597</v>
      </c>
      <c r="W1" s="1" t="s">
        <v>7598</v>
      </c>
      <c r="X1" s="1" t="s">
        <v>7599</v>
      </c>
      <c r="Y1" s="1" t="s">
        <v>7600</v>
      </c>
      <c r="Z1" s="1" t="s">
        <v>7601</v>
      </c>
    </row>
    <row r="2" spans="1:26" ht="21" customHeight="1">
      <c r="A2" s="2" t="s">
        <v>7602</v>
      </c>
      <c r="B2" s="2" t="s">
        <v>7603</v>
      </c>
      <c r="C2" s="2" t="s">
        <v>7604</v>
      </c>
      <c r="D2" s="3">
        <v>12000</v>
      </c>
      <c r="E2" s="3">
        <v>4200</v>
      </c>
      <c r="F2" s="2">
        <v>3</v>
      </c>
      <c r="G2" s="3">
        <v>18</v>
      </c>
      <c r="H2" s="2" t="s">
        <v>7605</v>
      </c>
      <c r="I2" s="2" t="s">
        <v>7606</v>
      </c>
      <c r="J2" s="2" t="s">
        <v>7607</v>
      </c>
      <c r="K2" s="2" t="s">
        <v>7608</v>
      </c>
      <c r="L2" s="3">
        <v>0.35</v>
      </c>
      <c r="M2" s="3">
        <v>0.6</v>
      </c>
      <c r="N2" s="3">
        <v>0.75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0.12</v>
      </c>
      <c r="V2" s="3">
        <v>0.25</v>
      </c>
      <c r="W2" s="3">
        <v>0.35</v>
      </c>
      <c r="X2" s="3">
        <v>0</v>
      </c>
      <c r="Y2" s="3">
        <v>0</v>
      </c>
      <c r="Z2" s="3">
        <v>0</v>
      </c>
    </row>
    <row r="3" spans="1:26" ht="21" customHeight="1">
      <c r="A3" s="2" t="s">
        <v>7609</v>
      </c>
      <c r="B3" s="2" t="s">
        <v>7610</v>
      </c>
      <c r="C3" s="2" t="s">
        <v>7611</v>
      </c>
      <c r="D3" s="3">
        <v>40000</v>
      </c>
      <c r="E3" s="3">
        <v>18000</v>
      </c>
      <c r="F3" s="2">
        <v>2</v>
      </c>
      <c r="G3" s="3">
        <v>60</v>
      </c>
      <c r="H3" s="2" t="s">
        <v>7605</v>
      </c>
      <c r="I3" s="2" t="s">
        <v>7612</v>
      </c>
      <c r="J3" s="2" t="s">
        <v>7613</v>
      </c>
      <c r="K3" s="2" t="s">
        <v>7614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</row>
    <row r="4" spans="1:26" ht="21" customHeight="1">
      <c r="A4" s="2" t="s">
        <v>7615</v>
      </c>
      <c r="B4" s="2" t="s">
        <v>7616</v>
      </c>
      <c r="C4" s="2" t="s">
        <v>77</v>
      </c>
      <c r="D4" s="3">
        <v>22000</v>
      </c>
      <c r="E4" s="3">
        <v>6500</v>
      </c>
      <c r="F4" s="2">
        <v>2</v>
      </c>
      <c r="G4" s="3">
        <v>32</v>
      </c>
      <c r="H4" s="2" t="s">
        <v>7605</v>
      </c>
      <c r="I4" s="2" t="s">
        <v>7617</v>
      </c>
      <c r="J4" s="2" t="s">
        <v>7618</v>
      </c>
      <c r="K4" s="2" t="s">
        <v>7619</v>
      </c>
      <c r="L4" s="3">
        <v>0.1</v>
      </c>
      <c r="M4" s="3">
        <v>0.2</v>
      </c>
      <c r="N4" s="3">
        <v>0.3</v>
      </c>
      <c r="O4" s="3">
        <v>0.15</v>
      </c>
      <c r="P4" s="3">
        <v>0.3</v>
      </c>
      <c r="Q4" s="3">
        <v>0.4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</row>
    <row r="5" spans="1:26" ht="21" customHeight="1">
      <c r="A5" s="2" t="s">
        <v>7620</v>
      </c>
      <c r="B5" s="2" t="s">
        <v>7621</v>
      </c>
      <c r="C5" s="2" t="s">
        <v>77</v>
      </c>
      <c r="D5" s="3">
        <v>28000</v>
      </c>
      <c r="E5" s="3">
        <v>3000</v>
      </c>
      <c r="F5" s="2">
        <v>1</v>
      </c>
      <c r="G5" s="3">
        <v>20</v>
      </c>
      <c r="H5" s="2" t="s">
        <v>7605</v>
      </c>
      <c r="I5" s="5" t="s">
        <v>7622</v>
      </c>
      <c r="J5" s="2" t="s">
        <v>7623</v>
      </c>
      <c r="K5" s="2" t="s">
        <v>7619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0.35</v>
      </c>
      <c r="S5" s="3">
        <v>0.6</v>
      </c>
      <c r="T5" s="3">
        <v>0.75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</row>
    <row r="6" spans="1:26" ht="21" customHeight="1">
      <c r="A6" s="2" t="s">
        <v>7624</v>
      </c>
      <c r="B6" s="2" t="s">
        <v>7625</v>
      </c>
      <c r="C6" s="2" t="s">
        <v>7604</v>
      </c>
      <c r="D6" s="3">
        <v>42000</v>
      </c>
      <c r="E6" s="3">
        <v>1500</v>
      </c>
      <c r="F6" s="2">
        <v>4</v>
      </c>
      <c r="G6" s="3">
        <v>24</v>
      </c>
      <c r="H6" s="2" t="s">
        <v>7626</v>
      </c>
      <c r="I6" s="2" t="s">
        <v>7627</v>
      </c>
      <c r="J6" s="2" t="s">
        <v>7628</v>
      </c>
      <c r="K6" s="2" t="s">
        <v>7608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0.3</v>
      </c>
      <c r="V6" s="3">
        <v>0.5</v>
      </c>
      <c r="W6" s="3">
        <v>0.65</v>
      </c>
      <c r="X6" s="3">
        <v>0</v>
      </c>
      <c r="Y6" s="3">
        <v>0</v>
      </c>
      <c r="Z6" s="3">
        <v>0</v>
      </c>
    </row>
    <row r="7" spans="1:26" ht="21" customHeight="1">
      <c r="A7" s="2" t="s">
        <v>7629</v>
      </c>
      <c r="B7" s="2" t="s">
        <v>7630</v>
      </c>
      <c r="C7" s="2" t="s">
        <v>77</v>
      </c>
      <c r="D7" s="3">
        <v>6000</v>
      </c>
      <c r="E7" s="3">
        <v>1200</v>
      </c>
      <c r="F7" s="2">
        <v>1</v>
      </c>
      <c r="G7" s="3">
        <v>0</v>
      </c>
      <c r="H7" s="2" t="s">
        <v>7605</v>
      </c>
      <c r="I7" s="2" t="s">
        <v>7631</v>
      </c>
      <c r="J7" s="2" t="s">
        <v>7632</v>
      </c>
      <c r="K7" s="2" t="s">
        <v>7614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1000"/>
  <sheetViews>
    <sheetView showGridLines="0" workbookViewId="0">
      <pane ySplit="1" topLeftCell="A2" activePane="bottomLeft" state="frozen"/>
      <selection pane="bottomLeft" activeCell="C12" sqref="C12"/>
    </sheetView>
  </sheetViews>
  <sheetFormatPr defaultColWidth="12.625" defaultRowHeight="15" customHeight="1"/>
  <cols>
    <col min="1" max="9" width="22" customWidth="1"/>
    <col min="10" max="10" width="52" customWidth="1"/>
    <col min="11" max="11" width="22" customWidth="1"/>
    <col min="12" max="13" width="22" style="13" customWidth="1"/>
    <col min="14" max="19" width="22" customWidth="1"/>
    <col min="20" max="20" width="22" style="13" customWidth="1"/>
    <col min="21" max="26" width="8.875" customWidth="1"/>
  </cols>
  <sheetData>
    <row r="1" spans="1:20" ht="42" customHeight="1">
      <c r="A1" s="1" t="s">
        <v>7633</v>
      </c>
      <c r="B1" s="1" t="s">
        <v>53</v>
      </c>
      <c r="C1" s="1" t="s">
        <v>0</v>
      </c>
      <c r="D1" s="1" t="s">
        <v>1</v>
      </c>
      <c r="E1" s="1" t="s">
        <v>974</v>
      </c>
      <c r="F1" s="1" t="s">
        <v>7634</v>
      </c>
      <c r="G1" s="1" t="s">
        <v>7635</v>
      </c>
      <c r="H1" s="1" t="s">
        <v>7636</v>
      </c>
      <c r="I1" s="1" t="s">
        <v>7637</v>
      </c>
      <c r="J1" s="1" t="s">
        <v>7638</v>
      </c>
      <c r="K1" s="1" t="s">
        <v>7639</v>
      </c>
      <c r="L1" s="11" t="s">
        <v>7640</v>
      </c>
      <c r="M1" s="11" t="s">
        <v>7641</v>
      </c>
      <c r="N1" s="1" t="s">
        <v>7642</v>
      </c>
      <c r="O1" s="1" t="s">
        <v>7643</v>
      </c>
      <c r="P1" s="1" t="s">
        <v>7644</v>
      </c>
      <c r="Q1" s="1" t="s">
        <v>7645</v>
      </c>
      <c r="R1" s="1" t="s">
        <v>7646</v>
      </c>
      <c r="S1" s="1" t="s">
        <v>7647</v>
      </c>
      <c r="T1" s="11" t="s">
        <v>7648</v>
      </c>
    </row>
    <row r="2" spans="1:20" ht="21" customHeight="1">
      <c r="A2" s="2" t="s">
        <v>7649</v>
      </c>
      <c r="B2" s="2" t="s">
        <v>82</v>
      </c>
      <c r="C2" s="2" t="s">
        <v>18</v>
      </c>
      <c r="D2" s="2" t="s">
        <v>19</v>
      </c>
      <c r="E2" s="4">
        <v>45663.5</v>
      </c>
      <c r="F2" s="2" t="s">
        <v>7650</v>
      </c>
      <c r="G2" s="2" t="s">
        <v>7651</v>
      </c>
      <c r="H2" s="2">
        <v>5</v>
      </c>
      <c r="I2" s="2">
        <v>2</v>
      </c>
      <c r="J2" s="2" t="s">
        <v>7652</v>
      </c>
      <c r="K2" s="2" t="s">
        <v>7653</v>
      </c>
      <c r="L2" s="12">
        <v>45693</v>
      </c>
      <c r="M2" s="12">
        <v>45678</v>
      </c>
      <c r="N2" s="2" t="s">
        <v>7654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12">
        <v>46296</v>
      </c>
    </row>
    <row r="3" spans="1:20" ht="21" customHeight="1">
      <c r="A3" s="2" t="s">
        <v>7655</v>
      </c>
      <c r="B3" s="2" t="s">
        <v>104</v>
      </c>
      <c r="C3" s="2" t="s">
        <v>18</v>
      </c>
      <c r="D3" s="2" t="s">
        <v>19</v>
      </c>
      <c r="E3" s="4">
        <v>45756.5</v>
      </c>
      <c r="F3" s="2" t="s">
        <v>7656</v>
      </c>
      <c r="G3" s="2" t="s">
        <v>7657</v>
      </c>
      <c r="H3" s="2">
        <v>5</v>
      </c>
      <c r="I3" s="2">
        <v>2</v>
      </c>
      <c r="J3" s="2" t="s">
        <v>7658</v>
      </c>
      <c r="K3" s="2" t="s">
        <v>7653</v>
      </c>
      <c r="L3" s="12">
        <v>45786</v>
      </c>
      <c r="M3" s="12">
        <v>45771</v>
      </c>
      <c r="N3" s="2" t="s">
        <v>7654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12">
        <v>46296</v>
      </c>
    </row>
    <row r="4" spans="1:20" ht="21" customHeight="1">
      <c r="A4" s="2" t="s">
        <v>7659</v>
      </c>
      <c r="B4" s="2" t="s">
        <v>112</v>
      </c>
      <c r="C4" s="2" t="s">
        <v>18</v>
      </c>
      <c r="D4" s="2" t="s">
        <v>19</v>
      </c>
      <c r="E4" s="4">
        <v>45818.5</v>
      </c>
      <c r="F4" s="2" t="s">
        <v>7660</v>
      </c>
      <c r="G4" s="2" t="s">
        <v>7657</v>
      </c>
      <c r="H4" s="2">
        <v>3</v>
      </c>
      <c r="I4" s="2">
        <v>2</v>
      </c>
      <c r="J4" s="2" t="s">
        <v>7661</v>
      </c>
      <c r="K4" s="2" t="s">
        <v>7653</v>
      </c>
      <c r="L4" s="12">
        <v>45848</v>
      </c>
      <c r="M4" s="12">
        <v>45833</v>
      </c>
      <c r="N4" s="2" t="s">
        <v>7654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12">
        <v>46296</v>
      </c>
    </row>
    <row r="5" spans="1:20" ht="21" customHeight="1">
      <c r="A5" s="2" t="s">
        <v>7662</v>
      </c>
      <c r="B5" s="2" t="s">
        <v>124</v>
      </c>
      <c r="C5" s="2" t="s">
        <v>18</v>
      </c>
      <c r="D5" s="2" t="s">
        <v>19</v>
      </c>
      <c r="E5" s="4">
        <v>45878.5</v>
      </c>
      <c r="F5" s="2" t="s">
        <v>7663</v>
      </c>
      <c r="G5" s="2" t="s">
        <v>7651</v>
      </c>
      <c r="H5" s="2">
        <v>5</v>
      </c>
      <c r="I5" s="2">
        <v>2</v>
      </c>
      <c r="J5" s="2" t="s">
        <v>7664</v>
      </c>
      <c r="K5" s="2" t="s">
        <v>7653</v>
      </c>
      <c r="L5" s="12">
        <v>45908</v>
      </c>
      <c r="M5" s="12">
        <v>45893</v>
      </c>
      <c r="N5" s="2" t="s">
        <v>7654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12">
        <v>46296</v>
      </c>
    </row>
    <row r="6" spans="1:20" ht="21" customHeight="1">
      <c r="A6" s="2" t="s">
        <v>7665</v>
      </c>
      <c r="B6" s="2" t="s">
        <v>130</v>
      </c>
      <c r="C6" s="2" t="s">
        <v>18</v>
      </c>
      <c r="D6" s="2" t="s">
        <v>19</v>
      </c>
      <c r="E6" s="4">
        <v>45934.5</v>
      </c>
      <c r="F6" s="2" t="s">
        <v>7666</v>
      </c>
      <c r="G6" s="2" t="s">
        <v>7667</v>
      </c>
      <c r="H6" s="2">
        <v>3</v>
      </c>
      <c r="I6" s="2">
        <v>2</v>
      </c>
      <c r="J6" s="2" t="s">
        <v>7668</v>
      </c>
      <c r="K6" s="2" t="s">
        <v>7653</v>
      </c>
      <c r="L6" s="12">
        <v>45964</v>
      </c>
      <c r="M6" s="12"/>
      <c r="N6" s="2" t="s">
        <v>7669</v>
      </c>
      <c r="O6" s="3">
        <v>4000</v>
      </c>
      <c r="P6" s="3">
        <v>0</v>
      </c>
      <c r="Q6" s="3">
        <v>8</v>
      </c>
      <c r="R6" s="3">
        <v>0.3</v>
      </c>
      <c r="S6" s="3">
        <v>0.3</v>
      </c>
      <c r="T6" s="12">
        <v>46296</v>
      </c>
    </row>
    <row r="7" spans="1:20" ht="21" customHeight="1">
      <c r="A7" s="2" t="s">
        <v>7670</v>
      </c>
      <c r="B7" s="2" t="s">
        <v>138</v>
      </c>
      <c r="C7" s="2" t="s">
        <v>18</v>
      </c>
      <c r="D7" s="2" t="s">
        <v>19</v>
      </c>
      <c r="E7" s="4">
        <v>45980.5</v>
      </c>
      <c r="F7" s="2" t="s">
        <v>7671</v>
      </c>
      <c r="G7" s="2" t="s">
        <v>7651</v>
      </c>
      <c r="H7" s="2">
        <v>3</v>
      </c>
      <c r="I7" s="2">
        <v>2</v>
      </c>
      <c r="J7" s="2" t="s">
        <v>7672</v>
      </c>
      <c r="K7" s="2" t="s">
        <v>7653</v>
      </c>
      <c r="L7" s="12">
        <v>46010</v>
      </c>
      <c r="M7" s="12">
        <v>45995</v>
      </c>
      <c r="N7" s="2" t="s">
        <v>7654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12">
        <v>46296</v>
      </c>
    </row>
    <row r="8" spans="1:20" ht="21" customHeight="1">
      <c r="A8" s="2" t="s">
        <v>7673</v>
      </c>
      <c r="B8" s="2" t="s">
        <v>220</v>
      </c>
      <c r="C8" s="2" t="s">
        <v>28</v>
      </c>
      <c r="D8" s="2" t="s">
        <v>29</v>
      </c>
      <c r="E8" s="4">
        <v>45664.5</v>
      </c>
      <c r="F8" s="2" t="s">
        <v>7650</v>
      </c>
      <c r="G8" s="2" t="s">
        <v>7651</v>
      </c>
      <c r="H8" s="2">
        <v>5</v>
      </c>
      <c r="I8" s="2">
        <v>2</v>
      </c>
      <c r="J8" s="2" t="s">
        <v>7652</v>
      </c>
      <c r="K8" s="2" t="s">
        <v>7653</v>
      </c>
      <c r="L8" s="12">
        <v>45694</v>
      </c>
      <c r="M8" s="12"/>
      <c r="N8" s="2" t="s">
        <v>7669</v>
      </c>
      <c r="O8" s="3">
        <v>4500</v>
      </c>
      <c r="P8" s="3">
        <v>500</v>
      </c>
      <c r="Q8" s="3">
        <v>8</v>
      </c>
      <c r="R8" s="3">
        <v>0</v>
      </c>
      <c r="S8" s="3">
        <v>0</v>
      </c>
      <c r="T8" s="12">
        <v>46296</v>
      </c>
    </row>
    <row r="9" spans="1:20" ht="21" customHeight="1">
      <c r="A9" s="2" t="s">
        <v>7674</v>
      </c>
      <c r="B9" s="2" t="s">
        <v>228</v>
      </c>
      <c r="C9" s="2" t="s">
        <v>28</v>
      </c>
      <c r="D9" s="2" t="s">
        <v>29</v>
      </c>
      <c r="E9" s="4">
        <v>45722.5</v>
      </c>
      <c r="F9" s="2" t="s">
        <v>7656</v>
      </c>
      <c r="G9" s="2" t="s">
        <v>7657</v>
      </c>
      <c r="H9" s="2">
        <v>5</v>
      </c>
      <c r="I9" s="2">
        <v>2</v>
      </c>
      <c r="J9" s="2" t="s">
        <v>7658</v>
      </c>
      <c r="K9" s="2" t="s">
        <v>7653</v>
      </c>
      <c r="L9" s="12">
        <v>45752</v>
      </c>
      <c r="M9" s="12"/>
      <c r="N9" s="2" t="s">
        <v>7669</v>
      </c>
      <c r="O9" s="3">
        <v>4500</v>
      </c>
      <c r="P9" s="3">
        <v>0</v>
      </c>
      <c r="Q9" s="3">
        <v>8</v>
      </c>
      <c r="R9" s="3">
        <v>0</v>
      </c>
      <c r="S9" s="3">
        <v>0</v>
      </c>
      <c r="T9" s="12">
        <v>46296</v>
      </c>
    </row>
    <row r="10" spans="1:20" ht="21" customHeight="1">
      <c r="A10" s="2" t="s">
        <v>7675</v>
      </c>
      <c r="B10" s="2" t="s">
        <v>236</v>
      </c>
      <c r="C10" s="2" t="s">
        <v>28</v>
      </c>
      <c r="D10" s="2" t="s">
        <v>29</v>
      </c>
      <c r="E10" s="4">
        <v>45815.5</v>
      </c>
      <c r="F10" s="2" t="s">
        <v>7660</v>
      </c>
      <c r="G10" s="2" t="s">
        <v>7657</v>
      </c>
      <c r="H10" s="2">
        <v>3</v>
      </c>
      <c r="I10" s="2">
        <v>2</v>
      </c>
      <c r="J10" s="2" t="s">
        <v>7661</v>
      </c>
      <c r="K10" s="2" t="s">
        <v>7653</v>
      </c>
      <c r="L10" s="12">
        <v>45845</v>
      </c>
      <c r="M10" s="12">
        <v>45830</v>
      </c>
      <c r="N10" s="2" t="s">
        <v>7654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12">
        <v>46296</v>
      </c>
    </row>
    <row r="11" spans="1:20" ht="21" customHeight="1">
      <c r="A11" s="2" t="s">
        <v>7676</v>
      </c>
      <c r="B11" s="2" t="s">
        <v>244</v>
      </c>
      <c r="C11" s="2" t="s">
        <v>28</v>
      </c>
      <c r="D11" s="2" t="s">
        <v>29</v>
      </c>
      <c r="E11" s="4">
        <v>45874.5</v>
      </c>
      <c r="F11" s="2" t="s">
        <v>7663</v>
      </c>
      <c r="G11" s="2" t="s">
        <v>7651</v>
      </c>
      <c r="H11" s="2">
        <v>5</v>
      </c>
      <c r="I11" s="2">
        <v>2</v>
      </c>
      <c r="J11" s="2" t="s">
        <v>7664</v>
      </c>
      <c r="K11" s="2" t="s">
        <v>7653</v>
      </c>
      <c r="L11" s="12">
        <v>45904</v>
      </c>
      <c r="M11" s="12">
        <v>45889</v>
      </c>
      <c r="N11" s="2" t="s">
        <v>7654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12">
        <v>46296</v>
      </c>
    </row>
    <row r="12" spans="1:20" ht="21" customHeight="1">
      <c r="A12" s="2" t="s">
        <v>7677</v>
      </c>
      <c r="B12" s="2" t="s">
        <v>250</v>
      </c>
      <c r="C12" s="2" t="s">
        <v>28</v>
      </c>
      <c r="D12" s="2" t="s">
        <v>29</v>
      </c>
      <c r="E12" s="4">
        <v>45919.5</v>
      </c>
      <c r="F12" s="2" t="s">
        <v>7666</v>
      </c>
      <c r="G12" s="2" t="s">
        <v>7667</v>
      </c>
      <c r="H12" s="2">
        <v>3</v>
      </c>
      <c r="I12" s="2">
        <v>2</v>
      </c>
      <c r="J12" s="2" t="s">
        <v>7668</v>
      </c>
      <c r="K12" s="2" t="s">
        <v>7653</v>
      </c>
      <c r="L12" s="12">
        <v>45949</v>
      </c>
      <c r="M12" s="12"/>
      <c r="N12" s="2" t="s">
        <v>7669</v>
      </c>
      <c r="O12" s="3">
        <v>4500</v>
      </c>
      <c r="P12" s="3">
        <v>0</v>
      </c>
      <c r="Q12" s="3">
        <v>8</v>
      </c>
      <c r="R12" s="3">
        <v>0.5</v>
      </c>
      <c r="S12" s="3">
        <v>0.5</v>
      </c>
      <c r="T12" s="12">
        <v>46296</v>
      </c>
    </row>
    <row r="13" spans="1:20" ht="21" customHeight="1">
      <c r="A13" s="2" t="s">
        <v>7678</v>
      </c>
      <c r="B13" s="2" t="s">
        <v>258</v>
      </c>
      <c r="C13" s="2" t="s">
        <v>28</v>
      </c>
      <c r="D13" s="2" t="s">
        <v>29</v>
      </c>
      <c r="E13" s="4">
        <v>45967.5</v>
      </c>
      <c r="F13" s="2" t="s">
        <v>7671</v>
      </c>
      <c r="G13" s="2" t="s">
        <v>7651</v>
      </c>
      <c r="H13" s="2">
        <v>3</v>
      </c>
      <c r="I13" s="2">
        <v>2</v>
      </c>
      <c r="J13" s="2" t="s">
        <v>7672</v>
      </c>
      <c r="K13" s="2" t="s">
        <v>7653</v>
      </c>
      <c r="L13" s="12">
        <v>45997</v>
      </c>
      <c r="M13" s="12">
        <v>45982</v>
      </c>
      <c r="N13" s="2" t="s">
        <v>7654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12">
        <v>46296</v>
      </c>
    </row>
    <row r="14" spans="1:20" ht="21" customHeight="1">
      <c r="A14" s="2" t="s">
        <v>7679</v>
      </c>
      <c r="B14" s="2" t="s">
        <v>356</v>
      </c>
      <c r="C14" s="2" t="s">
        <v>33</v>
      </c>
      <c r="D14" s="2" t="s">
        <v>34</v>
      </c>
      <c r="E14" s="4">
        <v>45667.5</v>
      </c>
      <c r="F14" s="2" t="s">
        <v>7650</v>
      </c>
      <c r="G14" s="2" t="s">
        <v>7651</v>
      </c>
      <c r="H14" s="2">
        <v>5</v>
      </c>
      <c r="I14" s="2">
        <v>2</v>
      </c>
      <c r="J14" s="2" t="s">
        <v>7652</v>
      </c>
      <c r="K14" s="2" t="s">
        <v>7653</v>
      </c>
      <c r="L14" s="12">
        <v>45697</v>
      </c>
      <c r="M14" s="12">
        <v>45682</v>
      </c>
      <c r="N14" s="2" t="s">
        <v>7654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12">
        <v>46296</v>
      </c>
    </row>
    <row r="15" spans="1:20" ht="21" customHeight="1">
      <c r="A15" s="2" t="s">
        <v>7680</v>
      </c>
      <c r="B15" s="2" t="s">
        <v>364</v>
      </c>
      <c r="C15" s="2" t="s">
        <v>33</v>
      </c>
      <c r="D15" s="2" t="s">
        <v>34</v>
      </c>
      <c r="E15" s="4">
        <v>45754.5</v>
      </c>
      <c r="F15" s="2" t="s">
        <v>7656</v>
      </c>
      <c r="G15" s="2" t="s">
        <v>7657</v>
      </c>
      <c r="H15" s="2">
        <v>5</v>
      </c>
      <c r="I15" s="2">
        <v>2</v>
      </c>
      <c r="J15" s="2" t="s">
        <v>7658</v>
      </c>
      <c r="K15" s="2" t="s">
        <v>7653</v>
      </c>
      <c r="L15" s="12">
        <v>45784</v>
      </c>
      <c r="M15" s="12">
        <v>45769</v>
      </c>
      <c r="N15" s="2" t="s">
        <v>7654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12">
        <v>46296</v>
      </c>
    </row>
    <row r="16" spans="1:20" ht="21" customHeight="1">
      <c r="A16" s="2" t="s">
        <v>7681</v>
      </c>
      <c r="B16" s="2" t="s">
        <v>372</v>
      </c>
      <c r="C16" s="2" t="s">
        <v>33</v>
      </c>
      <c r="D16" s="2" t="s">
        <v>34</v>
      </c>
      <c r="E16" s="4">
        <v>45846.5</v>
      </c>
      <c r="F16" s="2" t="s">
        <v>7660</v>
      </c>
      <c r="G16" s="2" t="s">
        <v>7657</v>
      </c>
      <c r="H16" s="2">
        <v>3</v>
      </c>
      <c r="I16" s="2">
        <v>2</v>
      </c>
      <c r="J16" s="2" t="s">
        <v>7661</v>
      </c>
      <c r="K16" s="2" t="s">
        <v>7653</v>
      </c>
      <c r="L16" s="12">
        <v>45876</v>
      </c>
      <c r="M16" s="12">
        <v>45861</v>
      </c>
      <c r="N16" s="2" t="s">
        <v>7654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12">
        <v>46296</v>
      </c>
    </row>
    <row r="17" spans="1:20" ht="21" customHeight="1">
      <c r="A17" s="2" t="s">
        <v>7682</v>
      </c>
      <c r="B17" s="2" t="s">
        <v>380</v>
      </c>
      <c r="C17" s="2" t="s">
        <v>33</v>
      </c>
      <c r="D17" s="2" t="s">
        <v>34</v>
      </c>
      <c r="E17" s="4">
        <v>45937.5</v>
      </c>
      <c r="F17" s="2" t="s">
        <v>7663</v>
      </c>
      <c r="G17" s="2" t="s">
        <v>7651</v>
      </c>
      <c r="H17" s="2">
        <v>5</v>
      </c>
      <c r="I17" s="2">
        <v>2</v>
      </c>
      <c r="J17" s="2" t="s">
        <v>7664</v>
      </c>
      <c r="K17" s="2" t="s">
        <v>7653</v>
      </c>
      <c r="L17" s="12">
        <v>45967</v>
      </c>
      <c r="M17" s="12">
        <v>45952</v>
      </c>
      <c r="N17" s="2" t="s">
        <v>7654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12">
        <v>46296</v>
      </c>
    </row>
    <row r="18" spans="1:20" ht="21" customHeight="1">
      <c r="A18" s="2" t="s">
        <v>7683</v>
      </c>
      <c r="B18" s="2" t="s">
        <v>388</v>
      </c>
      <c r="C18" s="2" t="s">
        <v>36</v>
      </c>
      <c r="D18" s="2" t="s">
        <v>34</v>
      </c>
      <c r="E18" s="4">
        <v>45662.5</v>
      </c>
      <c r="F18" s="2" t="s">
        <v>7666</v>
      </c>
      <c r="G18" s="2" t="s">
        <v>7667</v>
      </c>
      <c r="H18" s="2">
        <v>3</v>
      </c>
      <c r="I18" s="2">
        <v>2</v>
      </c>
      <c r="J18" s="2" t="s">
        <v>7668</v>
      </c>
      <c r="K18" s="2" t="s">
        <v>7653</v>
      </c>
      <c r="L18" s="12">
        <v>45692</v>
      </c>
      <c r="M18" s="12">
        <v>45677</v>
      </c>
      <c r="N18" s="2" t="s">
        <v>7654</v>
      </c>
      <c r="O18" s="3">
        <v>0</v>
      </c>
      <c r="P18" s="3">
        <v>0</v>
      </c>
      <c r="Q18" s="3">
        <v>0</v>
      </c>
      <c r="R18" s="3">
        <v>0.7</v>
      </c>
      <c r="S18" s="3">
        <v>0.7</v>
      </c>
      <c r="T18" s="12">
        <v>46296</v>
      </c>
    </row>
    <row r="19" spans="1:20" ht="21" customHeight="1">
      <c r="A19" s="2" t="s">
        <v>7684</v>
      </c>
      <c r="B19" s="2" t="s">
        <v>396</v>
      </c>
      <c r="C19" s="2" t="s">
        <v>36</v>
      </c>
      <c r="D19" s="2" t="s">
        <v>34</v>
      </c>
      <c r="E19" s="4">
        <v>45726.5</v>
      </c>
      <c r="F19" s="2" t="s">
        <v>7671</v>
      </c>
      <c r="G19" s="2" t="s">
        <v>7651</v>
      </c>
      <c r="H19" s="2">
        <v>3</v>
      </c>
      <c r="I19" s="2">
        <v>2</v>
      </c>
      <c r="J19" s="2" t="s">
        <v>7672</v>
      </c>
      <c r="K19" s="2" t="s">
        <v>7653</v>
      </c>
      <c r="L19" s="12">
        <v>45756</v>
      </c>
      <c r="M19" s="12">
        <v>45741</v>
      </c>
      <c r="N19" s="2" t="s">
        <v>7654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12">
        <v>46296</v>
      </c>
    </row>
    <row r="20" spans="1:20" ht="21" customHeight="1">
      <c r="A20" s="2" t="s">
        <v>7685</v>
      </c>
      <c r="B20" s="2" t="s">
        <v>460</v>
      </c>
      <c r="C20" s="2" t="s">
        <v>38</v>
      </c>
      <c r="D20" s="2" t="s">
        <v>39</v>
      </c>
      <c r="E20" s="4">
        <v>45665.5</v>
      </c>
      <c r="F20" s="2" t="s">
        <v>7650</v>
      </c>
      <c r="G20" s="2" t="s">
        <v>7651</v>
      </c>
      <c r="H20" s="2">
        <v>5</v>
      </c>
      <c r="I20" s="2">
        <v>3</v>
      </c>
      <c r="J20" s="2" t="s">
        <v>7652</v>
      </c>
      <c r="K20" s="2" t="s">
        <v>7653</v>
      </c>
      <c r="L20" s="12">
        <v>45695</v>
      </c>
      <c r="M20" s="12"/>
      <c r="N20" s="2" t="s">
        <v>7669</v>
      </c>
      <c r="O20" s="3">
        <v>5500</v>
      </c>
      <c r="P20" s="3">
        <v>500</v>
      </c>
      <c r="Q20" s="3">
        <v>8</v>
      </c>
      <c r="R20" s="3">
        <v>0</v>
      </c>
      <c r="S20" s="3">
        <v>0</v>
      </c>
      <c r="T20" s="12">
        <v>46296</v>
      </c>
    </row>
    <row r="21" spans="1:20" ht="21" customHeight="1">
      <c r="A21" s="2" t="s">
        <v>7686</v>
      </c>
      <c r="B21" s="2" t="s">
        <v>468</v>
      </c>
      <c r="C21" s="2" t="s">
        <v>38</v>
      </c>
      <c r="D21" s="2" t="s">
        <v>39</v>
      </c>
      <c r="E21" s="4">
        <v>45724.5</v>
      </c>
      <c r="F21" s="2" t="s">
        <v>7656</v>
      </c>
      <c r="G21" s="2" t="s">
        <v>7657</v>
      </c>
      <c r="H21" s="2">
        <v>5</v>
      </c>
      <c r="I21" s="2">
        <v>3</v>
      </c>
      <c r="J21" s="2" t="s">
        <v>7658</v>
      </c>
      <c r="K21" s="2" t="s">
        <v>7653</v>
      </c>
      <c r="L21" s="12">
        <v>45754</v>
      </c>
      <c r="M21" s="12"/>
      <c r="N21" s="2" t="s">
        <v>7669</v>
      </c>
      <c r="O21" s="3">
        <v>5500</v>
      </c>
      <c r="P21" s="3">
        <v>0</v>
      </c>
      <c r="Q21" s="3">
        <v>8</v>
      </c>
      <c r="R21" s="3">
        <v>0</v>
      </c>
      <c r="S21" s="3">
        <v>0</v>
      </c>
      <c r="T21" s="12">
        <v>46296</v>
      </c>
    </row>
    <row r="22" spans="1:20" ht="21" customHeight="1">
      <c r="A22" s="2" t="s">
        <v>7687</v>
      </c>
      <c r="B22" s="2" t="s">
        <v>474</v>
      </c>
      <c r="C22" s="2" t="s">
        <v>38</v>
      </c>
      <c r="D22" s="2" t="s">
        <v>39</v>
      </c>
      <c r="E22" s="4">
        <v>45768.5</v>
      </c>
      <c r="F22" s="2" t="s">
        <v>7660</v>
      </c>
      <c r="G22" s="2" t="s">
        <v>7657</v>
      </c>
      <c r="H22" s="2">
        <v>3</v>
      </c>
      <c r="I22" s="2">
        <v>3</v>
      </c>
      <c r="J22" s="2" t="s">
        <v>7661</v>
      </c>
      <c r="K22" s="2" t="s">
        <v>7653</v>
      </c>
      <c r="L22" s="12">
        <v>45798</v>
      </c>
      <c r="M22" s="12">
        <v>45783</v>
      </c>
      <c r="N22" s="2" t="s">
        <v>7654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12">
        <v>46296</v>
      </c>
    </row>
    <row r="23" spans="1:20" ht="21" customHeight="1">
      <c r="A23" s="2" t="s">
        <v>7688</v>
      </c>
      <c r="B23" s="2" t="s">
        <v>482</v>
      </c>
      <c r="C23" s="2" t="s">
        <v>38</v>
      </c>
      <c r="D23" s="2" t="s">
        <v>39</v>
      </c>
      <c r="E23" s="4">
        <v>45816.5</v>
      </c>
      <c r="F23" s="2" t="s">
        <v>7663</v>
      </c>
      <c r="G23" s="2" t="s">
        <v>7651</v>
      </c>
      <c r="H23" s="2">
        <v>5</v>
      </c>
      <c r="I23" s="2">
        <v>3</v>
      </c>
      <c r="J23" s="2" t="s">
        <v>7664</v>
      </c>
      <c r="K23" s="2" t="s">
        <v>7653</v>
      </c>
      <c r="L23" s="12">
        <v>45846</v>
      </c>
      <c r="M23" s="12">
        <v>45831</v>
      </c>
      <c r="N23" s="2" t="s">
        <v>7654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12">
        <v>46296</v>
      </c>
    </row>
    <row r="24" spans="1:20" ht="21" customHeight="1">
      <c r="A24" s="2" t="s">
        <v>7689</v>
      </c>
      <c r="B24" s="2" t="s">
        <v>488</v>
      </c>
      <c r="C24" s="2" t="s">
        <v>38</v>
      </c>
      <c r="D24" s="2" t="s">
        <v>39</v>
      </c>
      <c r="E24" s="4">
        <v>45858.5</v>
      </c>
      <c r="F24" s="2" t="s">
        <v>7666</v>
      </c>
      <c r="G24" s="2" t="s">
        <v>7667</v>
      </c>
      <c r="H24" s="2">
        <v>3</v>
      </c>
      <c r="I24" s="2">
        <v>3</v>
      </c>
      <c r="J24" s="2" t="s">
        <v>7668</v>
      </c>
      <c r="K24" s="2" t="s">
        <v>7653</v>
      </c>
      <c r="L24" s="12">
        <v>45888</v>
      </c>
      <c r="M24" s="12"/>
      <c r="N24" s="2" t="s">
        <v>7669</v>
      </c>
      <c r="O24" s="3">
        <v>5500</v>
      </c>
      <c r="P24" s="3">
        <v>0</v>
      </c>
      <c r="Q24" s="3">
        <v>8</v>
      </c>
      <c r="R24" s="3">
        <v>0.9</v>
      </c>
      <c r="S24" s="3">
        <v>0.9</v>
      </c>
      <c r="T24" s="12">
        <v>46296</v>
      </c>
    </row>
    <row r="25" spans="1:20" ht="21" customHeight="1">
      <c r="A25" s="2" t="s">
        <v>7690</v>
      </c>
      <c r="B25" s="2" t="s">
        <v>496</v>
      </c>
      <c r="C25" s="2" t="s">
        <v>38</v>
      </c>
      <c r="D25" s="2" t="s">
        <v>39</v>
      </c>
      <c r="E25" s="4">
        <v>45904.5</v>
      </c>
      <c r="F25" s="2" t="s">
        <v>7671</v>
      </c>
      <c r="G25" s="2" t="s">
        <v>7651</v>
      </c>
      <c r="H25" s="2">
        <v>3</v>
      </c>
      <c r="I25" s="2">
        <v>3</v>
      </c>
      <c r="J25" s="2" t="s">
        <v>7672</v>
      </c>
      <c r="K25" s="2" t="s">
        <v>7653</v>
      </c>
      <c r="L25" s="12">
        <v>45934</v>
      </c>
      <c r="M25" s="12">
        <v>45919</v>
      </c>
      <c r="N25" s="2" t="s">
        <v>7654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12">
        <v>46296</v>
      </c>
    </row>
    <row r="26" spans="1:20" ht="21" customHeight="1">
      <c r="A26" s="2" t="s">
        <v>7691</v>
      </c>
      <c r="B26" s="2" t="s">
        <v>620</v>
      </c>
      <c r="C26" s="2" t="s">
        <v>43</v>
      </c>
      <c r="D26" s="2" t="s">
        <v>44</v>
      </c>
      <c r="E26" s="4">
        <v>45662.5</v>
      </c>
      <c r="F26" s="2" t="s">
        <v>7650</v>
      </c>
      <c r="G26" s="2" t="s">
        <v>7651</v>
      </c>
      <c r="H26" s="2">
        <v>5</v>
      </c>
      <c r="I26" s="2">
        <v>2</v>
      </c>
      <c r="J26" s="2" t="s">
        <v>7652</v>
      </c>
      <c r="K26" s="2" t="s">
        <v>7653</v>
      </c>
      <c r="L26" s="12">
        <v>45692</v>
      </c>
      <c r="M26" s="12">
        <v>45677</v>
      </c>
      <c r="N26" s="2" t="s">
        <v>7654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12">
        <v>46296</v>
      </c>
    </row>
    <row r="27" spans="1:20" ht="21" customHeight="1">
      <c r="A27" s="2" t="s">
        <v>7692</v>
      </c>
      <c r="B27" s="2" t="s">
        <v>628</v>
      </c>
      <c r="C27" s="2" t="s">
        <v>43</v>
      </c>
      <c r="D27" s="2" t="s">
        <v>44</v>
      </c>
      <c r="E27" s="4">
        <v>45735.5</v>
      </c>
      <c r="F27" s="2" t="s">
        <v>7656</v>
      </c>
      <c r="G27" s="2" t="s">
        <v>7657</v>
      </c>
      <c r="H27" s="2">
        <v>5</v>
      </c>
      <c r="I27" s="2">
        <v>2</v>
      </c>
      <c r="J27" s="2" t="s">
        <v>7658</v>
      </c>
      <c r="K27" s="2" t="s">
        <v>7653</v>
      </c>
      <c r="L27" s="12">
        <v>45765</v>
      </c>
      <c r="M27" s="12">
        <v>45750</v>
      </c>
      <c r="N27" s="2" t="s">
        <v>7654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12">
        <v>46296</v>
      </c>
    </row>
    <row r="28" spans="1:20" ht="21" customHeight="1">
      <c r="A28" s="2" t="s">
        <v>7693</v>
      </c>
      <c r="B28" s="2" t="s">
        <v>636</v>
      </c>
      <c r="C28" s="2" t="s">
        <v>43</v>
      </c>
      <c r="D28" s="2" t="s">
        <v>44</v>
      </c>
      <c r="E28" s="4">
        <v>45784.5</v>
      </c>
      <c r="F28" s="2" t="s">
        <v>7660</v>
      </c>
      <c r="G28" s="2" t="s">
        <v>7657</v>
      </c>
      <c r="H28" s="2">
        <v>3</v>
      </c>
      <c r="I28" s="2">
        <v>2</v>
      </c>
      <c r="J28" s="2" t="s">
        <v>7661</v>
      </c>
      <c r="K28" s="2" t="s">
        <v>7653</v>
      </c>
      <c r="L28" s="12">
        <v>45814</v>
      </c>
      <c r="M28" s="12">
        <v>45799</v>
      </c>
      <c r="N28" s="2" t="s">
        <v>7654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12">
        <v>46296</v>
      </c>
    </row>
    <row r="29" spans="1:20" ht="21" customHeight="1">
      <c r="A29" s="2" t="s">
        <v>7694</v>
      </c>
      <c r="B29" s="2" t="s">
        <v>642</v>
      </c>
      <c r="C29" s="2" t="s">
        <v>43</v>
      </c>
      <c r="D29" s="2" t="s">
        <v>44</v>
      </c>
      <c r="E29" s="4">
        <v>45846.5</v>
      </c>
      <c r="F29" s="2" t="s">
        <v>7663</v>
      </c>
      <c r="G29" s="2" t="s">
        <v>7651</v>
      </c>
      <c r="H29" s="2">
        <v>5</v>
      </c>
      <c r="I29" s="2">
        <v>2</v>
      </c>
      <c r="J29" s="2" t="s">
        <v>7664</v>
      </c>
      <c r="K29" s="2" t="s">
        <v>7653</v>
      </c>
      <c r="L29" s="12">
        <v>45876</v>
      </c>
      <c r="M29" s="12">
        <v>45861</v>
      </c>
      <c r="N29" s="2" t="s">
        <v>7654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12">
        <v>46296</v>
      </c>
    </row>
    <row r="30" spans="1:20" ht="21" customHeight="1">
      <c r="A30" s="2" t="s">
        <v>7695</v>
      </c>
      <c r="B30" s="2" t="s">
        <v>650</v>
      </c>
      <c r="C30" s="2" t="s">
        <v>43</v>
      </c>
      <c r="D30" s="2" t="s">
        <v>44</v>
      </c>
      <c r="E30" s="4">
        <v>45910.5</v>
      </c>
      <c r="F30" s="2" t="s">
        <v>7666</v>
      </c>
      <c r="G30" s="2" t="s">
        <v>7667</v>
      </c>
      <c r="H30" s="2">
        <v>3</v>
      </c>
      <c r="I30" s="2">
        <v>2</v>
      </c>
      <c r="J30" s="2" t="s">
        <v>7668</v>
      </c>
      <c r="K30" s="2" t="s">
        <v>7653</v>
      </c>
      <c r="L30" s="12">
        <v>45940</v>
      </c>
      <c r="M30" s="12"/>
      <c r="N30" s="2" t="s">
        <v>7669</v>
      </c>
      <c r="O30" s="3">
        <v>6000</v>
      </c>
      <c r="P30" s="3">
        <v>0</v>
      </c>
      <c r="Q30" s="3">
        <v>8</v>
      </c>
      <c r="R30" s="3">
        <v>1.1000000000000001</v>
      </c>
      <c r="S30" s="3">
        <v>1.1000000000000001</v>
      </c>
      <c r="T30" s="12">
        <v>46296</v>
      </c>
    </row>
    <row r="31" spans="1:20" ht="21" customHeight="1">
      <c r="A31" s="2" t="s">
        <v>7696</v>
      </c>
      <c r="B31" s="2" t="s">
        <v>658</v>
      </c>
      <c r="C31" s="2" t="s">
        <v>43</v>
      </c>
      <c r="D31" s="2" t="s">
        <v>44</v>
      </c>
      <c r="E31" s="4">
        <v>45995.5</v>
      </c>
      <c r="F31" s="2" t="s">
        <v>7671</v>
      </c>
      <c r="G31" s="2" t="s">
        <v>7651</v>
      </c>
      <c r="H31" s="2">
        <v>3</v>
      </c>
      <c r="I31" s="2">
        <v>2</v>
      </c>
      <c r="J31" s="2" t="s">
        <v>7672</v>
      </c>
      <c r="K31" s="2" t="s">
        <v>7653</v>
      </c>
      <c r="L31" s="12">
        <v>46025</v>
      </c>
      <c r="M31" s="12">
        <v>46010</v>
      </c>
      <c r="N31" s="2" t="s">
        <v>7654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12">
        <v>46296</v>
      </c>
    </row>
    <row r="32" spans="1:20" ht="21" customHeight="1">
      <c r="A32" s="2" t="s">
        <v>7697</v>
      </c>
      <c r="B32" s="2" t="s">
        <v>736</v>
      </c>
      <c r="C32" s="2" t="s">
        <v>48</v>
      </c>
      <c r="D32" s="2" t="s">
        <v>49</v>
      </c>
      <c r="E32" s="4">
        <v>45666.5</v>
      </c>
      <c r="F32" s="2" t="s">
        <v>7650</v>
      </c>
      <c r="G32" s="2" t="s">
        <v>7651</v>
      </c>
      <c r="H32" s="2">
        <v>5</v>
      </c>
      <c r="I32" s="2">
        <v>2</v>
      </c>
      <c r="J32" s="2" t="s">
        <v>7652</v>
      </c>
      <c r="K32" s="2" t="s">
        <v>7653</v>
      </c>
      <c r="L32" s="12">
        <v>45696</v>
      </c>
      <c r="M32" s="12"/>
      <c r="N32" s="2" t="s">
        <v>7669</v>
      </c>
      <c r="O32" s="3">
        <v>6500</v>
      </c>
      <c r="P32" s="3">
        <v>500</v>
      </c>
      <c r="Q32" s="3">
        <v>8</v>
      </c>
      <c r="R32" s="3">
        <v>0</v>
      </c>
      <c r="S32" s="3">
        <v>0</v>
      </c>
      <c r="T32" s="12">
        <v>46296</v>
      </c>
    </row>
    <row r="33" spans="1:20" ht="21" customHeight="1">
      <c r="A33" s="2" t="s">
        <v>7698</v>
      </c>
      <c r="B33" s="2" t="s">
        <v>744</v>
      </c>
      <c r="C33" s="2" t="s">
        <v>48</v>
      </c>
      <c r="D33" s="2" t="s">
        <v>49</v>
      </c>
      <c r="E33" s="4">
        <v>45726.5</v>
      </c>
      <c r="F33" s="2" t="s">
        <v>7656</v>
      </c>
      <c r="G33" s="2" t="s">
        <v>7657</v>
      </c>
      <c r="H33" s="2">
        <v>5</v>
      </c>
      <c r="I33" s="2">
        <v>2</v>
      </c>
      <c r="J33" s="2" t="s">
        <v>7658</v>
      </c>
      <c r="K33" s="2" t="s">
        <v>7653</v>
      </c>
      <c r="L33" s="12">
        <v>45756</v>
      </c>
      <c r="M33" s="12"/>
      <c r="N33" s="2" t="s">
        <v>7669</v>
      </c>
      <c r="O33" s="3">
        <v>6500</v>
      </c>
      <c r="P33" s="3">
        <v>0</v>
      </c>
      <c r="Q33" s="3">
        <v>8</v>
      </c>
      <c r="R33" s="3">
        <v>0</v>
      </c>
      <c r="S33" s="3">
        <v>0</v>
      </c>
      <c r="T33" s="12">
        <v>46296</v>
      </c>
    </row>
    <row r="34" spans="1:20" ht="21" customHeight="1">
      <c r="A34" s="2" t="s">
        <v>7699</v>
      </c>
      <c r="B34" s="2" t="s">
        <v>752</v>
      </c>
      <c r="C34" s="2" t="s">
        <v>48</v>
      </c>
      <c r="D34" s="2" t="s">
        <v>49</v>
      </c>
      <c r="E34" s="4">
        <v>45787.5</v>
      </c>
      <c r="F34" s="2" t="s">
        <v>7660</v>
      </c>
      <c r="G34" s="2" t="s">
        <v>7657</v>
      </c>
      <c r="H34" s="2">
        <v>3</v>
      </c>
      <c r="I34" s="2">
        <v>2</v>
      </c>
      <c r="J34" s="2" t="s">
        <v>7661</v>
      </c>
      <c r="K34" s="2" t="s">
        <v>7653</v>
      </c>
      <c r="L34" s="12">
        <v>45817</v>
      </c>
      <c r="M34" s="12">
        <v>45802</v>
      </c>
      <c r="N34" s="2" t="s">
        <v>7654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12">
        <v>46296</v>
      </c>
    </row>
    <row r="35" spans="1:20" ht="21" customHeight="1">
      <c r="A35" s="2" t="s">
        <v>7700</v>
      </c>
      <c r="B35" s="2" t="s">
        <v>758</v>
      </c>
      <c r="C35" s="2" t="s">
        <v>48</v>
      </c>
      <c r="D35" s="2" t="s">
        <v>49</v>
      </c>
      <c r="E35" s="4">
        <v>45846.5</v>
      </c>
      <c r="F35" s="2" t="s">
        <v>7663</v>
      </c>
      <c r="G35" s="2" t="s">
        <v>7651</v>
      </c>
      <c r="H35" s="2">
        <v>5</v>
      </c>
      <c r="I35" s="2">
        <v>2</v>
      </c>
      <c r="J35" s="2" t="s">
        <v>7664</v>
      </c>
      <c r="K35" s="2" t="s">
        <v>7653</v>
      </c>
      <c r="L35" s="12">
        <v>45876</v>
      </c>
      <c r="M35" s="12">
        <v>45861</v>
      </c>
      <c r="N35" s="2" t="s">
        <v>7654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12">
        <v>46296</v>
      </c>
    </row>
    <row r="36" spans="1:20" ht="21" customHeight="1">
      <c r="A36" s="2" t="s">
        <v>7701</v>
      </c>
      <c r="B36" s="2" t="s">
        <v>766</v>
      </c>
      <c r="C36" s="2" t="s">
        <v>48</v>
      </c>
      <c r="D36" s="2" t="s">
        <v>49</v>
      </c>
      <c r="E36" s="4">
        <v>45888.5</v>
      </c>
      <c r="F36" s="2" t="s">
        <v>7666</v>
      </c>
      <c r="G36" s="2" t="s">
        <v>7667</v>
      </c>
      <c r="H36" s="2">
        <v>3</v>
      </c>
      <c r="I36" s="2">
        <v>2</v>
      </c>
      <c r="J36" s="2" t="s">
        <v>7668</v>
      </c>
      <c r="K36" s="2" t="s">
        <v>7653</v>
      </c>
      <c r="L36" s="12">
        <v>45918</v>
      </c>
      <c r="M36" s="12"/>
      <c r="N36" s="2" t="s">
        <v>7669</v>
      </c>
      <c r="O36" s="3">
        <v>6500</v>
      </c>
      <c r="P36" s="3">
        <v>0</v>
      </c>
      <c r="Q36" s="3">
        <v>8</v>
      </c>
      <c r="R36" s="3">
        <v>1.3</v>
      </c>
      <c r="S36" s="3">
        <v>1.3</v>
      </c>
      <c r="T36" s="12">
        <v>46296</v>
      </c>
    </row>
    <row r="37" spans="1:20" ht="21" customHeight="1">
      <c r="A37" s="2" t="s">
        <v>7702</v>
      </c>
      <c r="B37" s="2" t="s">
        <v>772</v>
      </c>
      <c r="C37" s="2" t="s">
        <v>48</v>
      </c>
      <c r="D37" s="2" t="s">
        <v>49</v>
      </c>
      <c r="E37" s="4">
        <v>45952.5</v>
      </c>
      <c r="F37" s="2" t="s">
        <v>7671</v>
      </c>
      <c r="G37" s="2" t="s">
        <v>7651</v>
      </c>
      <c r="H37" s="2">
        <v>3</v>
      </c>
      <c r="I37" s="2">
        <v>2</v>
      </c>
      <c r="J37" s="2" t="s">
        <v>7672</v>
      </c>
      <c r="K37" s="2" t="s">
        <v>7653</v>
      </c>
      <c r="L37" s="12">
        <v>45982</v>
      </c>
      <c r="M37" s="12">
        <v>45967</v>
      </c>
      <c r="N37" s="2" t="s">
        <v>7654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12">
        <v>46296</v>
      </c>
    </row>
    <row r="38" spans="1:20" ht="15.75" customHeight="1"/>
    <row r="39" spans="1:20" ht="15.75" customHeight="1">
      <c r="L39"/>
      <c r="M39"/>
      <c r="T39"/>
    </row>
    <row r="40" spans="1:20" ht="15.75" customHeight="1">
      <c r="L40"/>
      <c r="M40"/>
      <c r="T40"/>
    </row>
    <row r="41" spans="1:20" ht="15.75" customHeight="1">
      <c r="L41"/>
      <c r="M41"/>
      <c r="T41"/>
    </row>
    <row r="42" spans="1:20" ht="15.75" customHeight="1">
      <c r="L42"/>
      <c r="M42"/>
      <c r="T42"/>
    </row>
    <row r="43" spans="1:20" ht="15.75" customHeight="1">
      <c r="L43"/>
      <c r="M43"/>
      <c r="T43"/>
    </row>
    <row r="44" spans="1:20" ht="15.75" customHeight="1">
      <c r="L44"/>
      <c r="M44"/>
      <c r="T44"/>
    </row>
    <row r="45" spans="1:20" ht="15.75" customHeight="1">
      <c r="L45"/>
      <c r="M45"/>
      <c r="T45"/>
    </row>
    <row r="46" spans="1:20" ht="15.75" customHeight="1">
      <c r="L46"/>
      <c r="M46"/>
      <c r="T46"/>
    </row>
    <row r="47" spans="1:20" ht="15.75" customHeight="1">
      <c r="L47"/>
      <c r="M47"/>
      <c r="T47"/>
    </row>
    <row r="48" spans="1:20" ht="15.75" customHeight="1">
      <c r="L48"/>
      <c r="M48"/>
      <c r="T48"/>
    </row>
    <row r="49" customFormat="1" ht="15.75" customHeight="1"/>
    <row r="50" customFormat="1" ht="15.75" customHeight="1"/>
    <row r="51" customFormat="1" ht="15.75" customHeight="1"/>
    <row r="52" customFormat="1" ht="15.75" customHeight="1"/>
    <row r="53" customFormat="1" ht="15.75" customHeight="1"/>
    <row r="54" customFormat="1" ht="15.75" customHeight="1"/>
    <row r="55" customFormat="1" ht="15.75" customHeight="1"/>
    <row r="56" customFormat="1" ht="15.75" customHeight="1"/>
    <row r="57" customFormat="1" ht="15.75" customHeight="1"/>
    <row r="58" customFormat="1" ht="15.75" customHeight="1"/>
    <row r="59" customFormat="1" ht="15.75" customHeight="1"/>
    <row r="60" customFormat="1" ht="15.75" customHeight="1"/>
    <row r="61" customFormat="1" ht="15.75" customHeight="1"/>
    <row r="62" customFormat="1" ht="15.75" customHeight="1"/>
    <row r="63" customFormat="1" ht="15.75" customHeight="1"/>
    <row r="64" customFormat="1" ht="15.75" customHeight="1"/>
    <row r="65" customFormat="1" ht="15.75" customHeight="1"/>
    <row r="66" customFormat="1" ht="15.75" customHeight="1"/>
    <row r="67" customFormat="1" ht="15.75" customHeight="1"/>
    <row r="68" customFormat="1" ht="15.75" customHeight="1"/>
    <row r="69" customFormat="1" ht="15.75" customHeight="1"/>
    <row r="70" customFormat="1" ht="15.75" customHeight="1"/>
    <row r="71" customFormat="1" ht="15.75" customHeight="1"/>
    <row r="72" customFormat="1" ht="15.75" customHeight="1"/>
    <row r="73" customFormat="1" ht="15.75" customHeight="1"/>
    <row r="74" customFormat="1" ht="15.75" customHeight="1"/>
    <row r="75" customFormat="1" ht="15.75" customHeight="1"/>
    <row r="76" customFormat="1" ht="15.75" customHeight="1"/>
    <row r="77" customFormat="1" ht="15.75" customHeight="1"/>
    <row r="78" customFormat="1" ht="15.75" customHeight="1"/>
    <row r="79" customFormat="1" ht="15.75" customHeight="1"/>
    <row r="80" customFormat="1" ht="15.75" customHeight="1"/>
    <row r="81" spans="4:4" customFormat="1" ht="15.75" customHeight="1"/>
    <row r="82" spans="4:4" customFormat="1" ht="15.75" customHeight="1"/>
    <row r="83" spans="4:4" customFormat="1" ht="15.75" customHeight="1">
      <c r="D83" s="25"/>
    </row>
    <row r="84" spans="4:4" customFormat="1" ht="15.75" customHeight="1">
      <c r="D84" s="25"/>
    </row>
    <row r="85" spans="4:4" customFormat="1" ht="15.75" customHeight="1">
      <c r="D85" s="25"/>
    </row>
    <row r="86" spans="4:4" customFormat="1" ht="15.75" customHeight="1">
      <c r="D86" s="25"/>
    </row>
    <row r="87" spans="4:4" customFormat="1" ht="15.75" customHeight="1">
      <c r="D87" s="25"/>
    </row>
    <row r="88" spans="4:4" customFormat="1" ht="15.75" customHeight="1">
      <c r="D88" s="25"/>
    </row>
    <row r="89" spans="4:4" customFormat="1" ht="15.75" customHeight="1">
      <c r="D89" s="25"/>
    </row>
    <row r="90" spans="4:4" customFormat="1" ht="15.75" customHeight="1">
      <c r="D90" s="25"/>
    </row>
    <row r="91" spans="4:4" customFormat="1" ht="15.75" customHeight="1">
      <c r="D91" s="25"/>
    </row>
    <row r="92" spans="4:4" customFormat="1" ht="15.75" customHeight="1">
      <c r="D92" s="25"/>
    </row>
    <row r="93" spans="4:4" customFormat="1" ht="15.75" customHeight="1">
      <c r="D93" s="25"/>
    </row>
    <row r="94" spans="4:4" customFormat="1" ht="15.75" customHeight="1">
      <c r="D94" s="25"/>
    </row>
    <row r="95" spans="4:4" customFormat="1" ht="15.75" customHeight="1">
      <c r="D95" s="25"/>
    </row>
    <row r="96" spans="4:4" customFormat="1" ht="15.75" customHeight="1">
      <c r="D96" s="25"/>
    </row>
    <row r="97" spans="4:4" customFormat="1" ht="15.75" customHeight="1">
      <c r="D97" s="25"/>
    </row>
    <row r="98" spans="4:4" customFormat="1" ht="15.75" customHeight="1"/>
    <row r="99" spans="4:4" customFormat="1" ht="15.75" customHeight="1"/>
    <row r="100" spans="4:4" customFormat="1" ht="15.75" customHeight="1"/>
    <row r="101" spans="4:4" customFormat="1" ht="15.75" customHeight="1"/>
    <row r="102" spans="4:4" customFormat="1" ht="15.75" customHeight="1"/>
    <row r="103" spans="4:4" customFormat="1" ht="15.75" customHeight="1"/>
    <row r="104" spans="4:4" customFormat="1" ht="15.75" customHeight="1"/>
    <row r="105" spans="4:4" customFormat="1" ht="15.75" customHeight="1"/>
    <row r="106" spans="4:4" customFormat="1" ht="15.75" customHeight="1"/>
    <row r="107" spans="4:4" customFormat="1" ht="15.75" customHeight="1"/>
    <row r="108" spans="4:4" customFormat="1" ht="15.75" customHeight="1"/>
    <row r="109" spans="4:4" customFormat="1" ht="15.75" customHeight="1"/>
    <row r="110" spans="4:4" customFormat="1" ht="15.75" customHeight="1"/>
    <row r="111" spans="4:4" customFormat="1" ht="15.75" customHeight="1"/>
    <row r="112" spans="4:4" customFormat="1" ht="15.75" customHeight="1"/>
    <row r="113" customFormat="1" ht="15.75" customHeight="1"/>
    <row r="114" customFormat="1" ht="15.75" customHeight="1"/>
    <row r="115" customFormat="1" ht="15.75" customHeight="1"/>
    <row r="116" customFormat="1" ht="15.75" customHeight="1"/>
    <row r="117" customFormat="1" ht="15.75" customHeight="1"/>
    <row r="118" customFormat="1" ht="15.75" customHeight="1"/>
    <row r="119" customFormat="1" ht="15.75" customHeight="1"/>
    <row r="120" customFormat="1" ht="15.75" customHeight="1"/>
    <row r="121" customFormat="1" ht="15.75" customHeight="1"/>
    <row r="122" customFormat="1" ht="15.75" customHeight="1"/>
    <row r="123" customFormat="1" ht="15.75" customHeight="1"/>
    <row r="124" customFormat="1" ht="15.75" customHeight="1"/>
    <row r="125" customFormat="1" ht="15.75" customHeight="1"/>
    <row r="126" customFormat="1" ht="15.75" customHeight="1"/>
    <row r="127" customFormat="1" ht="15.75" customHeight="1"/>
    <row r="128" customFormat="1" ht="15.75" customHeight="1"/>
    <row r="129" customFormat="1" ht="15.75" customHeight="1"/>
    <row r="130" customFormat="1" ht="15.75" customHeight="1"/>
    <row r="131" customFormat="1" ht="15.75" customHeight="1"/>
    <row r="132" customFormat="1" ht="15.75" customHeight="1"/>
    <row r="133" customFormat="1" ht="15.75" customHeight="1"/>
    <row r="134" customFormat="1" ht="15.75" customHeight="1"/>
    <row r="135" customFormat="1" ht="15.75" customHeight="1"/>
    <row r="136" customFormat="1" ht="15.75" customHeight="1"/>
    <row r="137" customFormat="1" ht="15.75" customHeight="1"/>
    <row r="138" customFormat="1" ht="15.75" customHeight="1"/>
    <row r="139" customFormat="1" ht="15.75" customHeight="1"/>
    <row r="140" customFormat="1" ht="15.75" customHeight="1"/>
    <row r="141" customFormat="1" ht="15.75" customHeight="1"/>
    <row r="142" customFormat="1" ht="15.75" customHeight="1"/>
    <row r="143" customFormat="1" ht="15.75" customHeight="1"/>
    <row r="144" customFormat="1" ht="15.75" customHeight="1"/>
    <row r="145" customFormat="1" ht="15.75" customHeight="1"/>
    <row r="146" customFormat="1" ht="15.75" customHeight="1"/>
    <row r="147" customFormat="1" ht="15.75" customHeight="1"/>
    <row r="148" customFormat="1" ht="15.75" customHeight="1"/>
    <row r="149" customFormat="1" ht="15.75" customHeight="1"/>
    <row r="150" customFormat="1" ht="15.75" customHeight="1"/>
    <row r="151" customFormat="1" ht="15.75" customHeight="1"/>
    <row r="152" customFormat="1" ht="15.75" customHeight="1"/>
    <row r="153" customFormat="1" ht="15.75" customHeight="1"/>
    <row r="154" customFormat="1" ht="15.75" customHeight="1"/>
    <row r="155" customFormat="1" ht="15.75" customHeight="1"/>
    <row r="156" customFormat="1" ht="15.75" customHeight="1"/>
    <row r="157" customFormat="1" ht="15.75" customHeight="1"/>
    <row r="158" customFormat="1" ht="15.75" customHeight="1"/>
    <row r="159" customFormat="1" ht="15.75" customHeight="1"/>
    <row r="160" customFormat="1" ht="15.75" customHeight="1"/>
    <row r="161" customFormat="1" ht="15.75" customHeight="1"/>
    <row r="162" customFormat="1" ht="15.75" customHeight="1"/>
    <row r="163" customFormat="1" ht="15.75" customHeight="1"/>
    <row r="164" customFormat="1" ht="15.75" customHeight="1"/>
    <row r="165" customFormat="1" ht="15.75" customHeight="1"/>
    <row r="166" customFormat="1" ht="15.75" customHeight="1"/>
    <row r="167" customFormat="1" ht="15.75" customHeight="1"/>
    <row r="168" customFormat="1" ht="15.75" customHeight="1"/>
    <row r="169" customFormat="1" ht="15.75" customHeight="1"/>
    <row r="170" customFormat="1" ht="15.75" customHeight="1"/>
    <row r="171" customFormat="1" ht="15.75" customHeight="1"/>
    <row r="172" customFormat="1" ht="15.75" customHeight="1"/>
    <row r="173" customFormat="1" ht="15.75" customHeight="1"/>
    <row r="174" customFormat="1" ht="15.75" customHeight="1"/>
    <row r="175" customFormat="1" ht="15.75" customHeight="1"/>
    <row r="176" customFormat="1" ht="15.75" customHeight="1"/>
    <row r="177" spans="4:4" customFormat="1" ht="15.75" customHeight="1"/>
    <row r="178" spans="4:4" customFormat="1" ht="15.75" customHeight="1"/>
    <row r="179" spans="4:4" customFormat="1" ht="15.75" customHeight="1"/>
    <row r="180" spans="4:4" customFormat="1" ht="15.75" customHeight="1"/>
    <row r="181" spans="4:4" customFormat="1" ht="15.75" customHeight="1"/>
    <row r="182" spans="4:4" customFormat="1" ht="15.75" customHeight="1"/>
    <row r="183" spans="4:4" customFormat="1" ht="15.75" customHeight="1"/>
    <row r="184" spans="4:4" customFormat="1" ht="15.75" customHeight="1"/>
    <row r="185" spans="4:4" customFormat="1" ht="15.75" customHeight="1"/>
    <row r="186" spans="4:4" customFormat="1" ht="15.75" customHeight="1"/>
    <row r="187" spans="4:4" customFormat="1" ht="15.75" customHeight="1"/>
    <row r="188" spans="4:4" customFormat="1" ht="15.75" customHeight="1"/>
    <row r="189" spans="4:4" customFormat="1" ht="15.75" customHeight="1"/>
    <row r="190" spans="4:4" customFormat="1" ht="15.75" customHeight="1"/>
    <row r="191" spans="4:4" customFormat="1" ht="15.75" customHeight="1">
      <c r="D191" s="25"/>
    </row>
    <row r="192" spans="4:4" customFormat="1" ht="15.75" customHeight="1">
      <c r="D192" s="25"/>
    </row>
    <row r="193" spans="4:4" customFormat="1" ht="15.75" customHeight="1">
      <c r="D193" s="25"/>
    </row>
    <row r="194" spans="4:4" customFormat="1" ht="15.75" customHeight="1">
      <c r="D194" s="25"/>
    </row>
    <row r="195" spans="4:4" customFormat="1" ht="15.75" customHeight="1">
      <c r="D195" s="25"/>
    </row>
    <row r="196" spans="4:4" customFormat="1" ht="15.75" customHeight="1">
      <c r="D196" s="25"/>
    </row>
    <row r="197" spans="4:4" customFormat="1" ht="15.75" customHeight="1">
      <c r="D197" s="25"/>
    </row>
    <row r="198" spans="4:4" customFormat="1" ht="15.75" customHeight="1">
      <c r="D198" s="25"/>
    </row>
    <row r="199" spans="4:4" customFormat="1" ht="15.75" customHeight="1">
      <c r="D199" s="25"/>
    </row>
    <row r="200" spans="4:4" customFormat="1" ht="15.75" customHeight="1"/>
    <row r="201" spans="4:4" customFormat="1" ht="15.75" customHeight="1"/>
    <row r="202" spans="4:4" customFormat="1" ht="15.75" customHeight="1"/>
    <row r="203" spans="4:4" customFormat="1" ht="15.75" customHeight="1"/>
    <row r="204" spans="4:4" customFormat="1" ht="15.75" customHeight="1"/>
    <row r="205" spans="4:4" customFormat="1" ht="15.75" customHeight="1"/>
    <row r="206" spans="4:4" customFormat="1" ht="15.75" customHeight="1"/>
    <row r="207" spans="4:4" customFormat="1" ht="15.75" customHeight="1"/>
    <row r="208" spans="4:4" customFormat="1" ht="15.75" customHeight="1"/>
    <row r="209" customFormat="1" ht="15.75" customHeight="1"/>
    <row r="210" customFormat="1" ht="15.75" customHeight="1"/>
    <row r="211" customFormat="1" ht="15.75" customHeight="1"/>
    <row r="212" customFormat="1" ht="15.75" customHeight="1"/>
    <row r="213" customFormat="1" ht="15.75" customHeight="1"/>
    <row r="214" customFormat="1" ht="15.75" customHeight="1"/>
    <row r="215" customFormat="1" ht="15.75" customHeight="1"/>
    <row r="216" customFormat="1" ht="15.75" customHeight="1"/>
    <row r="217" customFormat="1" ht="15.75" customHeight="1"/>
    <row r="218" customFormat="1" ht="15.75" customHeight="1"/>
    <row r="219" customFormat="1" ht="15.75" customHeight="1"/>
    <row r="220" customFormat="1" ht="15.75" customHeight="1"/>
    <row r="221" customFormat="1" ht="15.75" customHeight="1"/>
    <row r="222" customFormat="1" ht="15.75" customHeight="1"/>
    <row r="223" customFormat="1" ht="15.75" customHeight="1"/>
    <row r="224" customFormat="1" ht="15.75" customHeight="1"/>
    <row r="225" customFormat="1" ht="15.75" customHeight="1"/>
    <row r="226" customFormat="1" ht="15.75" customHeight="1"/>
    <row r="227" customFormat="1" ht="15.75" customHeight="1"/>
    <row r="228" customFormat="1" ht="15.75" customHeight="1"/>
    <row r="229" customFormat="1" ht="15.75" customHeight="1"/>
    <row r="230" customFormat="1" ht="15.75" customHeight="1"/>
    <row r="231" customFormat="1" ht="15.75" customHeight="1"/>
    <row r="232" customFormat="1" ht="15.75" customHeight="1"/>
    <row r="233" customFormat="1" ht="15.75" customHeight="1"/>
    <row r="234" customFormat="1" ht="15.75" customHeight="1"/>
    <row r="235" customFormat="1" ht="15.75" customHeight="1"/>
    <row r="236" customFormat="1" ht="15.75" customHeight="1"/>
    <row r="237" customFormat="1" ht="15.75" customHeight="1"/>
    <row r="238" customFormat="1" ht="15.75" customHeight="1"/>
    <row r="239" customFormat="1" ht="15.75" customHeight="1"/>
    <row r="240" customFormat="1" ht="15.75" customHeight="1"/>
    <row r="241" customFormat="1" ht="15.75" customHeight="1"/>
    <row r="242" customFormat="1" ht="15.75" customHeight="1"/>
    <row r="243" customFormat="1" ht="15.75" customHeight="1"/>
    <row r="244" customFormat="1" ht="15.75" customHeight="1"/>
    <row r="245" customFormat="1" ht="15.75" customHeight="1"/>
    <row r="246" customFormat="1" ht="15.75" customHeight="1"/>
    <row r="247" customFormat="1" ht="15.75" customHeight="1"/>
    <row r="248" customFormat="1" ht="15.75" customHeight="1"/>
    <row r="249" customFormat="1" ht="15.75" customHeight="1"/>
    <row r="250" customFormat="1" ht="15.75" customHeight="1"/>
    <row r="251" customFormat="1" ht="15.75" customHeight="1"/>
    <row r="252" customFormat="1" ht="15.75" customHeight="1"/>
    <row r="253" customFormat="1" ht="15.75" customHeight="1"/>
    <row r="254" customFormat="1" ht="15.75" customHeight="1"/>
    <row r="255" customFormat="1" ht="15.75" customHeight="1"/>
    <row r="256" customFormat="1" ht="15.75" customHeight="1"/>
    <row r="257" customFormat="1" ht="15.75" customHeight="1"/>
    <row r="258" customFormat="1" ht="15.75" customHeight="1"/>
    <row r="259" customFormat="1" ht="15.75" customHeight="1"/>
    <row r="260" customFormat="1" ht="15.75" customHeight="1"/>
    <row r="261" customFormat="1" ht="15.75" customHeight="1"/>
    <row r="262" customFormat="1" ht="15.75" customHeight="1"/>
    <row r="263" customFormat="1" ht="15.75" customHeight="1"/>
    <row r="264" customFormat="1" ht="15.75" customHeight="1"/>
    <row r="265" customFormat="1" ht="15.75" customHeight="1"/>
    <row r="266" customFormat="1" ht="15.75" customHeight="1"/>
    <row r="267" customFormat="1" ht="15.75" customHeight="1"/>
    <row r="268" customFormat="1" ht="15.75" customHeight="1"/>
    <row r="269" customFormat="1" ht="15.75" customHeight="1"/>
    <row r="270" customFormat="1" ht="15.75" customHeight="1"/>
    <row r="271" customFormat="1" ht="15.75" customHeight="1"/>
    <row r="272" customFormat="1" ht="15.75" customHeight="1"/>
    <row r="273" customFormat="1" ht="15.75" customHeight="1"/>
    <row r="274" customFormat="1" ht="15.75" customHeight="1"/>
    <row r="275" customFormat="1" ht="15.75" customHeight="1"/>
    <row r="276" customFormat="1" ht="15.75" customHeight="1"/>
    <row r="277" customFormat="1" ht="15.75" customHeight="1"/>
    <row r="278" customFormat="1" ht="15.75" customHeight="1"/>
    <row r="279" customFormat="1" ht="15.75" customHeight="1"/>
    <row r="280" customFormat="1" ht="15.75" customHeight="1"/>
    <row r="281" customFormat="1" ht="15.75" customHeight="1"/>
    <row r="282" customFormat="1" ht="15.75" customHeight="1"/>
    <row r="283" customFormat="1" ht="15.75" customHeight="1"/>
    <row r="284" customFormat="1" ht="15.75" customHeight="1"/>
    <row r="285" customFormat="1" ht="15.75" customHeight="1"/>
    <row r="286" customFormat="1" ht="15.75" customHeight="1"/>
    <row r="287" customFormat="1" ht="15.75" customHeight="1"/>
    <row r="288" customFormat="1" ht="15.75" customHeight="1"/>
    <row r="289" customFormat="1" ht="15.75" customHeight="1"/>
    <row r="290" customFormat="1" ht="15.75" customHeight="1"/>
    <row r="291" customFormat="1" ht="15.75" customHeight="1"/>
    <row r="292" customFormat="1" ht="15.75" customHeight="1"/>
    <row r="293" customFormat="1" ht="15.75" customHeight="1"/>
    <row r="294" customFormat="1" ht="15.75" customHeight="1"/>
    <row r="295" customFormat="1" ht="15.75" customHeight="1"/>
    <row r="296" customFormat="1" ht="15.75" customHeight="1"/>
    <row r="297" customFormat="1" ht="15.75" customHeight="1"/>
    <row r="298" customFormat="1" ht="15.75" customHeight="1"/>
    <row r="299" customFormat="1" ht="15.75" customHeight="1"/>
    <row r="300" customFormat="1" ht="15.75" customHeight="1"/>
    <row r="301" customFormat="1" ht="15.75" customHeight="1"/>
    <row r="302" customFormat="1" ht="15.75" customHeight="1"/>
    <row r="303" customFormat="1" ht="15.75" customHeight="1"/>
    <row r="304" customFormat="1" ht="15.75" customHeight="1"/>
    <row r="305" customFormat="1" ht="15.75" customHeight="1"/>
    <row r="306" customFormat="1" ht="15.75" customHeight="1"/>
    <row r="307" customFormat="1" ht="15.75" customHeight="1"/>
    <row r="308" customFormat="1" ht="15.75" customHeight="1"/>
    <row r="309" customFormat="1" ht="15.75" customHeight="1"/>
    <row r="310" customFormat="1" ht="15.75" customHeight="1"/>
    <row r="311" customFormat="1" ht="15.75" customHeight="1"/>
    <row r="312" customFormat="1" ht="15.75" customHeight="1"/>
    <row r="313" customFormat="1" ht="15.75" customHeight="1"/>
    <row r="314" customFormat="1" ht="15.75" customHeight="1"/>
    <row r="315" customFormat="1" ht="15.75" customHeight="1"/>
    <row r="316" customFormat="1" ht="15.75" customHeight="1"/>
    <row r="317" customFormat="1" ht="15.75" customHeight="1"/>
    <row r="318" customFormat="1" ht="15.75" customHeight="1"/>
    <row r="319" customFormat="1" ht="15.75" customHeight="1"/>
    <row r="320" customFormat="1" ht="15.75" customHeight="1"/>
    <row r="321" customFormat="1" ht="15.75" customHeight="1"/>
    <row r="322" customFormat="1" ht="15.75" customHeight="1"/>
    <row r="323" customFormat="1" ht="15.75" customHeight="1"/>
    <row r="324" customFormat="1" ht="15.75" customHeight="1"/>
    <row r="325" customFormat="1" ht="15.75" customHeight="1"/>
    <row r="326" customFormat="1" ht="15.75" customHeight="1"/>
    <row r="327" customFormat="1" ht="15.75" customHeight="1"/>
    <row r="328" customFormat="1" ht="15.75" customHeight="1"/>
    <row r="329" customFormat="1" ht="15.75" customHeight="1"/>
    <row r="330" customFormat="1" ht="15.75" customHeight="1"/>
    <row r="331" customFormat="1" ht="15.75" customHeight="1"/>
    <row r="332" customFormat="1" ht="15.75" customHeight="1"/>
    <row r="333" customFormat="1" ht="15.75" customHeight="1"/>
    <row r="334" customFormat="1" ht="15.75" customHeight="1"/>
    <row r="335" customFormat="1" ht="15.75" customHeight="1"/>
    <row r="336" customFormat="1" ht="15.75" customHeight="1"/>
    <row r="337" customFormat="1" ht="15.75" customHeight="1"/>
    <row r="338" customFormat="1" ht="15.75" customHeight="1"/>
    <row r="339" customFormat="1" ht="15.75" customHeight="1"/>
    <row r="340" customFormat="1" ht="15.75" customHeight="1"/>
    <row r="341" customFormat="1" ht="15.75" customHeight="1"/>
    <row r="342" customFormat="1" ht="15.75" customHeight="1"/>
    <row r="343" customFormat="1" ht="15.75" customHeight="1"/>
    <row r="344" customFormat="1" ht="15.75" customHeight="1"/>
    <row r="345" customFormat="1" ht="15.75" customHeight="1"/>
    <row r="346" customFormat="1" ht="15.75" customHeight="1"/>
    <row r="347" customFormat="1" ht="15.75" customHeight="1"/>
    <row r="348" customFormat="1" ht="15.75" customHeight="1"/>
    <row r="349" customFormat="1" ht="15.75" customHeight="1"/>
    <row r="350" customFormat="1" ht="15.75" customHeight="1"/>
    <row r="351" customFormat="1" ht="15.75" customHeight="1"/>
    <row r="352" customFormat="1" ht="15.75" customHeight="1"/>
    <row r="353" customFormat="1" ht="15.75" customHeight="1"/>
    <row r="354" customFormat="1" ht="15.75" customHeight="1"/>
    <row r="355" customFormat="1" ht="15.75" customHeight="1"/>
    <row r="356" customFormat="1" ht="15.75" customHeight="1"/>
    <row r="357" customFormat="1" ht="15.75" customHeight="1"/>
    <row r="358" customFormat="1" ht="15.75" customHeight="1"/>
    <row r="359" customFormat="1" ht="15.75" customHeight="1"/>
    <row r="360" customFormat="1" ht="15.75" customHeight="1"/>
    <row r="361" customFormat="1" ht="15.75" customHeight="1"/>
    <row r="362" customFormat="1" ht="15.75" customHeight="1"/>
    <row r="363" customFormat="1" ht="15.75" customHeight="1"/>
    <row r="364" customFormat="1" ht="15.75" customHeight="1"/>
    <row r="365" customFormat="1" ht="15.75" customHeight="1"/>
    <row r="366" customFormat="1" ht="15.75" customHeight="1"/>
    <row r="367" customFormat="1" ht="15.75" customHeight="1"/>
    <row r="368" customFormat="1" ht="15.75" customHeight="1"/>
    <row r="369" customFormat="1" ht="15.75" customHeight="1"/>
    <row r="370" customFormat="1" ht="15.75" customHeight="1"/>
    <row r="371" customFormat="1" ht="15.75" customHeight="1"/>
    <row r="372" customFormat="1" ht="15.75" customHeight="1"/>
    <row r="373" customFormat="1" ht="15.75" customHeight="1"/>
    <row r="374" customFormat="1" ht="15.75" customHeight="1"/>
    <row r="375" customFormat="1" ht="15.75" customHeight="1"/>
    <row r="376" customFormat="1" ht="15.75" customHeight="1"/>
    <row r="377" customFormat="1" ht="15.75" customHeight="1"/>
    <row r="378" customFormat="1" ht="15.75" customHeight="1"/>
    <row r="379" customFormat="1" ht="15.75" customHeight="1"/>
    <row r="380" customFormat="1" ht="15.75" customHeight="1"/>
    <row r="381" customFormat="1" ht="15.75" customHeight="1"/>
    <row r="382" customFormat="1" ht="15.75" customHeight="1"/>
    <row r="383" customFormat="1" ht="15.75" customHeight="1"/>
    <row r="384" customFormat="1" ht="15.75" customHeight="1"/>
    <row r="385" customFormat="1" ht="15.75" customHeight="1"/>
    <row r="386" customFormat="1" ht="15.75" customHeight="1"/>
    <row r="387" customFormat="1" ht="15.75" customHeight="1"/>
    <row r="388" customFormat="1" ht="15.75" customHeight="1"/>
    <row r="389" customFormat="1" ht="15.75" customHeight="1"/>
    <row r="390" customFormat="1" ht="15.75" customHeight="1"/>
    <row r="391" customFormat="1" ht="15.75" customHeight="1"/>
    <row r="392" customFormat="1" ht="15.75" customHeight="1"/>
    <row r="393" customFormat="1" ht="15.75" customHeight="1"/>
    <row r="394" customFormat="1" ht="15.75" customHeight="1"/>
    <row r="395" customFormat="1" ht="15.75" customHeight="1"/>
    <row r="396" customFormat="1" ht="15.75" customHeight="1"/>
    <row r="397" customFormat="1" ht="15.75" customHeight="1"/>
    <row r="398" customFormat="1" ht="15.75" customHeight="1"/>
    <row r="399" customFormat="1" ht="15.75" customHeight="1"/>
    <row r="400" customFormat="1" ht="15.75" customHeight="1"/>
    <row r="401" customFormat="1" ht="15.75" customHeight="1"/>
    <row r="402" customFormat="1" ht="15.75" customHeight="1"/>
    <row r="403" customFormat="1" ht="15.75" customHeight="1"/>
    <row r="404" customFormat="1" ht="15.75" customHeight="1"/>
    <row r="405" customFormat="1" ht="15.75" customHeight="1"/>
    <row r="406" customFormat="1" ht="15.75" customHeight="1"/>
    <row r="407" customFormat="1" ht="15.75" customHeight="1"/>
    <row r="408" customFormat="1" ht="15.75" customHeight="1"/>
    <row r="409" customFormat="1" ht="15.75" customHeight="1"/>
    <row r="410" customFormat="1" ht="15.75" customHeight="1"/>
    <row r="411" customFormat="1" ht="15.75" customHeight="1"/>
    <row r="412" customFormat="1" ht="15.75" customHeight="1"/>
    <row r="413" customFormat="1" ht="15.75" customHeight="1"/>
    <row r="414" customFormat="1" ht="15.75" customHeight="1"/>
    <row r="415" customFormat="1" ht="15.75" customHeight="1"/>
    <row r="416" customFormat="1" ht="15.75" customHeight="1"/>
    <row r="417" customFormat="1" ht="15.75" customHeight="1"/>
    <row r="418" customFormat="1" ht="15.75" customHeight="1"/>
    <row r="419" customFormat="1" ht="15.75" customHeight="1"/>
    <row r="420" customFormat="1" ht="15.75" customHeight="1"/>
    <row r="421" customFormat="1" ht="15.75" customHeight="1"/>
    <row r="422" customFormat="1" ht="15.75" customHeight="1"/>
    <row r="423" customFormat="1" ht="15.75" customHeight="1"/>
    <row r="424" customFormat="1" ht="15.75" customHeight="1"/>
    <row r="425" customFormat="1" ht="15.75" customHeight="1"/>
    <row r="426" customFormat="1" ht="15.75" customHeight="1"/>
    <row r="427" customFormat="1" ht="15.75" customHeight="1"/>
    <row r="428" customFormat="1" ht="15.75" customHeight="1"/>
    <row r="429" customFormat="1" ht="15.75" customHeight="1"/>
    <row r="430" customFormat="1" ht="15.75" customHeight="1"/>
    <row r="431" customFormat="1" ht="15.75" customHeight="1"/>
    <row r="432" customFormat="1" ht="15.75" customHeight="1"/>
    <row r="433" customFormat="1" ht="15.75" customHeight="1"/>
    <row r="434" customFormat="1" ht="15.75" customHeight="1"/>
    <row r="435" customFormat="1" ht="15.75" customHeight="1"/>
    <row r="436" customFormat="1" ht="15.75" customHeight="1"/>
    <row r="437" customFormat="1" ht="15.75" customHeight="1"/>
    <row r="438" customFormat="1" ht="15.75" customHeight="1"/>
    <row r="439" customFormat="1" ht="15.75" customHeight="1"/>
    <row r="440" customFormat="1" ht="15.75" customHeight="1"/>
    <row r="441" customFormat="1" ht="15.75" customHeight="1"/>
    <row r="442" customFormat="1" ht="15.75" customHeight="1"/>
    <row r="443" customFormat="1" ht="15.75" customHeight="1"/>
    <row r="444" customFormat="1" ht="15.75" customHeight="1"/>
    <row r="445" customFormat="1" ht="15.75" customHeight="1"/>
    <row r="446" customFormat="1" ht="15.75" customHeight="1"/>
    <row r="447" customFormat="1" ht="15.75" customHeight="1"/>
    <row r="448" customFormat="1" ht="15.75" customHeight="1"/>
    <row r="449" customFormat="1" ht="15.75" customHeight="1"/>
    <row r="450" customFormat="1" ht="15.75" customHeight="1"/>
    <row r="451" customFormat="1" ht="15.75" customHeight="1"/>
    <row r="452" customFormat="1" ht="15.75" customHeight="1"/>
    <row r="453" customFormat="1" ht="15.75" customHeight="1"/>
    <row r="454" customFormat="1" ht="15.75" customHeight="1"/>
    <row r="455" customFormat="1" ht="15.75" customHeight="1"/>
    <row r="456" customFormat="1" ht="15.75" customHeight="1"/>
    <row r="457" customFormat="1" ht="15.75" customHeight="1"/>
    <row r="458" customFormat="1" ht="15.75" customHeight="1"/>
    <row r="459" customFormat="1" ht="15.75" customHeight="1"/>
    <row r="460" customFormat="1" ht="15.75" customHeight="1"/>
    <row r="461" customFormat="1" ht="15.75" customHeight="1"/>
    <row r="462" customFormat="1" ht="15.75" customHeight="1"/>
    <row r="463" customFormat="1" ht="15.75" customHeight="1"/>
    <row r="464" customFormat="1" ht="15.75" customHeight="1"/>
    <row r="465" customFormat="1" ht="15.75" customHeight="1"/>
    <row r="466" customFormat="1" ht="15.75" customHeight="1"/>
    <row r="467" customFormat="1" ht="15.75" customHeight="1"/>
    <row r="468" customFormat="1" ht="15.75" customHeight="1"/>
    <row r="469" customFormat="1" ht="15.75" customHeight="1"/>
    <row r="470" customFormat="1" ht="15.75" customHeight="1"/>
    <row r="471" customFormat="1" ht="15.75" customHeight="1"/>
    <row r="472" customFormat="1" ht="15.75" customHeight="1"/>
    <row r="473" customFormat="1" ht="15.75" customHeight="1"/>
    <row r="474" customFormat="1" ht="15.75" customHeight="1"/>
    <row r="475" customFormat="1" ht="15.75" customHeight="1"/>
    <row r="476" customFormat="1" ht="15.75" customHeight="1"/>
    <row r="477" customFormat="1" ht="15.75" customHeight="1"/>
    <row r="478" customFormat="1" ht="15.75" customHeight="1"/>
    <row r="479" customFormat="1" ht="15.75" customHeight="1"/>
    <row r="480" customFormat="1" ht="15.75" customHeight="1"/>
    <row r="481" customFormat="1" ht="15.75" customHeight="1"/>
    <row r="482" customFormat="1" ht="15.75" customHeight="1"/>
    <row r="483" customFormat="1" ht="15.75" customHeight="1"/>
    <row r="484" customFormat="1" ht="15.75" customHeight="1"/>
    <row r="485" customFormat="1" ht="15.75" customHeight="1"/>
    <row r="486" customFormat="1" ht="15.75" customHeight="1"/>
    <row r="487" customFormat="1" ht="15.75" customHeight="1"/>
    <row r="488" customFormat="1" ht="15.75" customHeight="1"/>
    <row r="489" customFormat="1" ht="15.75" customHeight="1"/>
    <row r="490" customFormat="1" ht="15.75" customHeight="1"/>
    <row r="491" customFormat="1" ht="15.75" customHeight="1"/>
    <row r="492" customFormat="1" ht="15.75" customHeight="1"/>
    <row r="493" customFormat="1" ht="15.75" customHeight="1"/>
    <row r="494" customFormat="1" ht="15.75" customHeight="1"/>
    <row r="495" customFormat="1" ht="15.75" customHeight="1"/>
    <row r="496" customFormat="1" ht="15.75" customHeight="1"/>
    <row r="497" customFormat="1" ht="15.75" customHeight="1"/>
    <row r="498" customFormat="1" ht="15.75" customHeight="1"/>
    <row r="499" customFormat="1" ht="15.75" customHeight="1"/>
    <row r="500" customFormat="1" ht="15.75" customHeight="1"/>
    <row r="501" customFormat="1" ht="15.75" customHeight="1"/>
    <row r="502" customFormat="1" ht="15.75" customHeight="1"/>
    <row r="503" customFormat="1" ht="15.75" customHeight="1"/>
    <row r="504" customFormat="1" ht="15.75" customHeight="1"/>
    <row r="505" customFormat="1" ht="15.75" customHeight="1"/>
    <row r="506" customFormat="1" ht="15.75" customHeight="1"/>
    <row r="507" customFormat="1" ht="15.75" customHeight="1"/>
    <row r="508" customFormat="1" ht="15.75" customHeight="1"/>
    <row r="509" customFormat="1" ht="15.75" customHeight="1"/>
    <row r="510" customFormat="1" ht="15.75" customHeight="1"/>
    <row r="511" customFormat="1" ht="15.75" customHeight="1"/>
    <row r="512" customFormat="1" ht="15.75" customHeight="1"/>
    <row r="513" customFormat="1" ht="15.75" customHeight="1"/>
    <row r="514" customFormat="1" ht="15.75" customHeight="1"/>
    <row r="515" customFormat="1" ht="15.75" customHeight="1"/>
    <row r="516" customFormat="1" ht="15.75" customHeight="1"/>
    <row r="517" customFormat="1" ht="15.75" customHeight="1"/>
    <row r="518" customFormat="1" ht="15.75" customHeight="1"/>
    <row r="519" customFormat="1" ht="15.75" customHeight="1"/>
    <row r="520" customFormat="1" ht="15.75" customHeight="1"/>
    <row r="521" customFormat="1" ht="15.75" customHeight="1"/>
    <row r="522" customFormat="1" ht="15.75" customHeight="1"/>
    <row r="523" customFormat="1" ht="15.75" customHeight="1"/>
    <row r="524" customFormat="1" ht="15.75" customHeight="1"/>
    <row r="525" customFormat="1" ht="15.75" customHeight="1"/>
    <row r="526" customFormat="1" ht="15.75" customHeight="1"/>
    <row r="527" customFormat="1" ht="15.75" customHeight="1"/>
    <row r="528" customFormat="1" ht="15.75" customHeight="1"/>
    <row r="529" customFormat="1" ht="15.75" customHeight="1"/>
    <row r="530" customFormat="1" ht="15.75" customHeight="1"/>
    <row r="531" customFormat="1" ht="15.75" customHeight="1"/>
    <row r="532" customFormat="1" ht="15.75" customHeight="1"/>
    <row r="533" customFormat="1" ht="15.75" customHeight="1"/>
    <row r="534" customFormat="1" ht="15.75" customHeight="1"/>
    <row r="535" customFormat="1" ht="15.75" customHeight="1"/>
    <row r="536" customFormat="1" ht="15.75" customHeight="1"/>
    <row r="537" customFormat="1" ht="15.75" customHeight="1"/>
    <row r="538" customFormat="1" ht="15.75" customHeight="1"/>
    <row r="539" customFormat="1" ht="15.75" customHeight="1"/>
    <row r="540" customFormat="1" ht="15.75" customHeight="1"/>
    <row r="541" customFormat="1" ht="15.75" customHeight="1"/>
    <row r="542" customFormat="1" ht="15.75" customHeight="1"/>
    <row r="543" customFormat="1" ht="15.75" customHeight="1"/>
    <row r="544" customFormat="1" ht="15.75" customHeight="1"/>
    <row r="545" customFormat="1" ht="15.75" customHeight="1"/>
    <row r="546" customFormat="1" ht="15.75" customHeight="1"/>
    <row r="547" customFormat="1" ht="15.75" customHeight="1"/>
    <row r="548" customFormat="1" ht="15.75" customHeight="1"/>
    <row r="549" customFormat="1" ht="15.75" customHeight="1"/>
    <row r="550" customFormat="1" ht="15.75" customHeight="1"/>
    <row r="551" customFormat="1" ht="15.75" customHeight="1"/>
    <row r="552" customFormat="1" ht="15.75" customHeight="1"/>
    <row r="553" customFormat="1" ht="15.75" customHeight="1"/>
    <row r="554" customFormat="1" ht="15.75" customHeight="1"/>
    <row r="555" customFormat="1" ht="15.75" customHeight="1"/>
    <row r="556" customFormat="1" ht="15.75" customHeight="1"/>
    <row r="557" customFormat="1" ht="15.75" customHeight="1"/>
    <row r="558" customFormat="1" ht="15.75" customHeight="1"/>
    <row r="559" customFormat="1" ht="15.75" customHeight="1"/>
    <row r="560" customFormat="1" ht="15.75" customHeight="1"/>
    <row r="561" customFormat="1" ht="15.75" customHeight="1"/>
    <row r="562" customFormat="1" ht="15.75" customHeight="1"/>
    <row r="563" customFormat="1" ht="15.75" customHeight="1"/>
    <row r="564" customFormat="1" ht="15.75" customHeight="1"/>
    <row r="565" customFormat="1" ht="15.75" customHeight="1"/>
    <row r="566" customFormat="1" ht="15.75" customHeight="1"/>
    <row r="567" customFormat="1" ht="15.75" customHeight="1"/>
    <row r="568" customFormat="1" ht="15.75" customHeight="1"/>
    <row r="569" customFormat="1" ht="15.75" customHeight="1"/>
    <row r="570" customFormat="1" ht="15.75" customHeight="1"/>
    <row r="571" customFormat="1" ht="15.75" customHeight="1"/>
    <row r="572" customFormat="1" ht="15.75" customHeight="1"/>
    <row r="573" customFormat="1" ht="15.75" customHeight="1"/>
    <row r="574" customFormat="1" ht="15.75" customHeight="1"/>
    <row r="575" customFormat="1" ht="15.75" customHeight="1"/>
    <row r="576" customFormat="1" ht="15.75" customHeight="1"/>
    <row r="577" customFormat="1" ht="15.75" customHeight="1"/>
    <row r="578" customFormat="1" ht="15.75" customHeight="1"/>
    <row r="579" customFormat="1" ht="15.75" customHeight="1"/>
    <row r="580" customFormat="1" ht="15.75" customHeight="1"/>
    <row r="581" customFormat="1" ht="15.75" customHeight="1"/>
    <row r="582" customFormat="1" ht="15.75" customHeight="1"/>
    <row r="583" customFormat="1" ht="15.75" customHeight="1"/>
    <row r="584" customFormat="1" ht="15.75" customHeight="1"/>
    <row r="585" customFormat="1" ht="15.75" customHeight="1"/>
    <row r="586" customFormat="1" ht="15.75" customHeight="1"/>
    <row r="587" customFormat="1" ht="15.75" customHeight="1"/>
    <row r="588" customFormat="1" ht="15.75" customHeight="1"/>
    <row r="589" customFormat="1" ht="15.75" customHeight="1"/>
    <row r="590" customFormat="1" ht="15.75" customHeight="1"/>
    <row r="591" customFormat="1" ht="15.75" customHeight="1"/>
    <row r="592" customFormat="1" ht="15.75" customHeight="1"/>
    <row r="593" customFormat="1" ht="15.75" customHeight="1"/>
    <row r="594" customFormat="1" ht="15.75" customHeight="1"/>
    <row r="595" customFormat="1" ht="15.75" customHeight="1"/>
    <row r="596" customFormat="1" ht="15.75" customHeight="1"/>
    <row r="597" customFormat="1" ht="15.75" customHeight="1"/>
    <row r="598" customFormat="1" ht="15.75" customHeight="1"/>
    <row r="599" customFormat="1" ht="15.75" customHeight="1"/>
    <row r="600" customFormat="1" ht="15.75" customHeight="1"/>
    <row r="601" customFormat="1" ht="15.75" customHeight="1"/>
    <row r="602" customFormat="1" ht="15.75" customHeight="1"/>
    <row r="603" customFormat="1" ht="15.75" customHeight="1"/>
    <row r="604" customFormat="1" ht="15.75" customHeight="1"/>
    <row r="605" customFormat="1" ht="15.75" customHeight="1"/>
    <row r="606" customFormat="1" ht="15.75" customHeight="1"/>
    <row r="607" customFormat="1" ht="15.75" customHeight="1"/>
    <row r="608" customFormat="1" ht="15.75" customHeight="1"/>
    <row r="609" customFormat="1" ht="15.75" customHeight="1"/>
    <row r="610" customFormat="1" ht="15.75" customHeight="1"/>
    <row r="611" customFormat="1" ht="15.75" customHeight="1"/>
    <row r="612" customFormat="1" ht="15.75" customHeight="1"/>
    <row r="613" customFormat="1" ht="15.75" customHeight="1"/>
    <row r="614" customFormat="1" ht="15.75" customHeight="1"/>
    <row r="615" customFormat="1" ht="15.75" customHeight="1"/>
    <row r="616" customFormat="1" ht="15.75" customHeight="1"/>
    <row r="617" customFormat="1" ht="15.75" customHeight="1"/>
    <row r="618" customFormat="1" ht="15.75" customHeight="1"/>
    <row r="619" customFormat="1" ht="15.75" customHeight="1"/>
    <row r="620" customFormat="1" ht="15.75" customHeight="1"/>
    <row r="621" customFormat="1" ht="15.75" customHeight="1"/>
    <row r="622" customFormat="1" ht="15.75" customHeight="1"/>
    <row r="623" customFormat="1" ht="15.75" customHeight="1"/>
    <row r="624" customFormat="1" ht="15.75" customHeight="1"/>
    <row r="625" customFormat="1" ht="15.75" customHeight="1"/>
    <row r="626" customFormat="1" ht="15.75" customHeight="1"/>
    <row r="627" customFormat="1" ht="15.75" customHeight="1"/>
    <row r="628" customFormat="1" ht="15.75" customHeight="1"/>
    <row r="629" customFormat="1" ht="15.75" customHeight="1"/>
    <row r="630" customFormat="1" ht="15.75" customHeight="1"/>
    <row r="631" customFormat="1" ht="15.75" customHeight="1"/>
    <row r="632" customFormat="1" ht="15.75" customHeight="1"/>
    <row r="633" customFormat="1" ht="15.75" customHeight="1"/>
    <row r="634" customFormat="1" ht="15.75" customHeight="1"/>
    <row r="635" customFormat="1" ht="15.75" customHeight="1"/>
    <row r="636" customFormat="1" ht="15.75" customHeight="1"/>
    <row r="637" customFormat="1" ht="15.75" customHeight="1"/>
    <row r="638" customFormat="1" ht="15.75" customHeight="1"/>
    <row r="639" customFormat="1" ht="15.75" customHeight="1"/>
    <row r="640" customFormat="1" ht="15.75" customHeight="1"/>
    <row r="641" customFormat="1" ht="15.75" customHeight="1"/>
    <row r="642" customFormat="1" ht="15.75" customHeight="1"/>
    <row r="643" customFormat="1" ht="15.75" customHeight="1"/>
    <row r="644" customFormat="1" ht="15.75" customHeight="1"/>
    <row r="645" customFormat="1" ht="15.75" customHeight="1"/>
    <row r="646" customFormat="1" ht="15.75" customHeight="1"/>
    <row r="647" customFormat="1" ht="15.75" customHeight="1"/>
    <row r="648" customFormat="1" ht="15.75" customHeight="1"/>
    <row r="649" customFormat="1" ht="15.75" customHeight="1"/>
    <row r="650" customFormat="1" ht="15.75" customHeight="1"/>
    <row r="651" customFormat="1" ht="15.75" customHeight="1"/>
    <row r="652" customFormat="1" ht="15.75" customHeight="1"/>
    <row r="653" customFormat="1" ht="15.75" customHeight="1"/>
    <row r="654" customFormat="1" ht="15.75" customHeight="1"/>
    <row r="655" customFormat="1" ht="15.75" customHeight="1"/>
    <row r="656" customFormat="1" ht="15.75" customHeight="1"/>
    <row r="657" customFormat="1" ht="15.75" customHeight="1"/>
    <row r="658" customFormat="1" ht="15.75" customHeight="1"/>
    <row r="659" customFormat="1" ht="15.75" customHeight="1"/>
    <row r="660" customFormat="1" ht="15.75" customHeight="1"/>
    <row r="661" customFormat="1" ht="15.75" customHeight="1"/>
    <row r="662" customFormat="1" ht="15.75" customHeight="1"/>
    <row r="663" customFormat="1" ht="15.75" customHeight="1"/>
    <row r="664" customFormat="1" ht="15.75" customHeight="1"/>
    <row r="665" customFormat="1" ht="15.75" customHeight="1"/>
    <row r="666" customFormat="1" ht="15.75" customHeight="1"/>
    <row r="667" customFormat="1" ht="15.75" customHeight="1"/>
    <row r="668" customFormat="1" ht="15.75" customHeight="1"/>
    <row r="669" customFormat="1" ht="15.75" customHeight="1"/>
    <row r="670" customFormat="1" ht="15.75" customHeight="1"/>
    <row r="671" customFormat="1" ht="15.75" customHeight="1"/>
    <row r="672" customFormat="1" ht="15.75" customHeight="1"/>
    <row r="673" customFormat="1" ht="15.75" customHeight="1"/>
    <row r="674" customFormat="1" ht="15.75" customHeight="1"/>
    <row r="675" customFormat="1" ht="15.75" customHeight="1"/>
    <row r="676" customFormat="1" ht="15.75" customHeight="1"/>
    <row r="677" customFormat="1" ht="15.75" customHeight="1"/>
    <row r="678" customFormat="1" ht="15.75" customHeight="1"/>
    <row r="679" customFormat="1" ht="15.75" customHeight="1"/>
    <row r="680" customFormat="1" ht="15.75" customHeight="1"/>
    <row r="681" customFormat="1" ht="15.75" customHeight="1"/>
    <row r="682" customFormat="1" ht="15.75" customHeight="1"/>
    <row r="683" customFormat="1" ht="15.75" customHeight="1"/>
    <row r="684" customFormat="1" ht="15.75" customHeight="1"/>
    <row r="685" customFormat="1" ht="15.75" customHeight="1"/>
    <row r="686" customFormat="1" ht="15.75" customHeight="1"/>
    <row r="687" customFormat="1" ht="15.75" customHeight="1"/>
    <row r="688" customFormat="1" ht="15.75" customHeight="1"/>
    <row r="689" customFormat="1" ht="15.75" customHeight="1"/>
    <row r="690" customFormat="1" ht="15.75" customHeight="1"/>
    <row r="691" customFormat="1" ht="15.75" customHeight="1"/>
    <row r="692" customFormat="1" ht="15.75" customHeight="1"/>
    <row r="693" customFormat="1" ht="15.75" customHeight="1"/>
    <row r="694" customFormat="1" ht="15.75" customHeight="1"/>
    <row r="695" customFormat="1" ht="15.75" customHeight="1"/>
    <row r="696" customFormat="1" ht="15.75" customHeight="1"/>
    <row r="697" customFormat="1" ht="15.75" customHeight="1"/>
    <row r="698" customFormat="1" ht="15.75" customHeight="1"/>
    <row r="699" customFormat="1" ht="15.75" customHeight="1"/>
    <row r="700" customFormat="1" ht="15.75" customHeight="1"/>
    <row r="701" customFormat="1" ht="15.75" customHeight="1"/>
    <row r="702" customFormat="1" ht="15.75" customHeight="1"/>
    <row r="703" customFormat="1" ht="15.75" customHeight="1"/>
    <row r="704" customFormat="1" ht="15.75" customHeight="1"/>
    <row r="705" customFormat="1" ht="15.75" customHeight="1"/>
    <row r="706" customFormat="1" ht="15.75" customHeight="1"/>
    <row r="707" customFormat="1" ht="15.75" customHeight="1"/>
    <row r="708" customFormat="1" ht="15.75" customHeight="1"/>
    <row r="709" customFormat="1" ht="15.75" customHeight="1"/>
    <row r="710" customFormat="1" ht="15.75" customHeight="1"/>
    <row r="711" customFormat="1" ht="15.75" customHeight="1"/>
    <row r="712" customFormat="1" ht="15.75" customHeight="1"/>
    <row r="713" customFormat="1" ht="15.75" customHeight="1"/>
    <row r="714" customFormat="1" ht="15.75" customHeight="1"/>
    <row r="715" customFormat="1" ht="15.75" customHeight="1"/>
    <row r="716" customFormat="1" ht="15.75" customHeight="1"/>
    <row r="717" customFormat="1" ht="15.75" customHeight="1"/>
    <row r="718" customFormat="1" ht="15.75" customHeight="1"/>
    <row r="719" customFormat="1" ht="15.75" customHeight="1"/>
    <row r="720" customFormat="1" ht="15.75" customHeight="1"/>
    <row r="721" customFormat="1" ht="15.75" customHeight="1"/>
    <row r="722" customFormat="1" ht="15.75" customHeight="1"/>
    <row r="723" customFormat="1" ht="15.75" customHeight="1"/>
    <row r="724" customFormat="1" ht="15.75" customHeight="1"/>
    <row r="725" customFormat="1" ht="15.75" customHeight="1"/>
    <row r="726" customFormat="1" ht="15.75" customHeight="1"/>
    <row r="727" customFormat="1" ht="15.75" customHeight="1"/>
    <row r="728" customFormat="1" ht="15.75" customHeight="1"/>
    <row r="729" customFormat="1" ht="15.75" customHeight="1"/>
    <row r="730" customFormat="1" ht="15.75" customHeight="1"/>
    <row r="731" customFormat="1" ht="15.75" customHeight="1"/>
    <row r="732" customFormat="1" ht="15.75" customHeight="1"/>
    <row r="733" customFormat="1" ht="15.75" customHeight="1"/>
    <row r="734" customFormat="1" ht="15.75" customHeight="1"/>
    <row r="735" customFormat="1" ht="15.75" customHeight="1"/>
    <row r="736" customFormat="1" ht="15.75" customHeight="1"/>
    <row r="737" customFormat="1" ht="15.75" customHeight="1"/>
    <row r="738" customFormat="1" ht="15.75" customHeight="1"/>
    <row r="739" customFormat="1" ht="15.75" customHeight="1"/>
    <row r="740" customFormat="1" ht="15.75" customHeight="1"/>
    <row r="741" customFormat="1" ht="15.75" customHeight="1"/>
    <row r="742" customFormat="1" ht="15.75" customHeight="1"/>
    <row r="743" customFormat="1" ht="15.75" customHeight="1"/>
    <row r="744" customFormat="1" ht="15.75" customHeight="1"/>
    <row r="745" customFormat="1" ht="15.75" customHeight="1"/>
    <row r="746" customFormat="1" ht="15.75" customHeight="1"/>
    <row r="747" customFormat="1" ht="15.75" customHeight="1"/>
    <row r="748" customFormat="1" ht="15.75" customHeight="1"/>
    <row r="749" customFormat="1" ht="15.75" customHeight="1"/>
    <row r="750" customFormat="1" ht="15.75" customHeight="1"/>
    <row r="751" customFormat="1" ht="15.75" customHeight="1"/>
    <row r="752" customFormat="1" ht="15.75" customHeight="1"/>
    <row r="753" customFormat="1" ht="15.75" customHeight="1"/>
    <row r="754" customFormat="1" ht="15.75" customHeight="1"/>
    <row r="755" customFormat="1" ht="15.75" customHeight="1"/>
    <row r="756" customFormat="1" ht="15.75" customHeight="1"/>
    <row r="757" customFormat="1" ht="15.75" customHeight="1"/>
    <row r="758" customFormat="1" ht="15.75" customHeight="1"/>
    <row r="759" customFormat="1" ht="15.75" customHeight="1"/>
    <row r="760" customFormat="1" ht="15.75" customHeight="1"/>
    <row r="761" customFormat="1" ht="15.75" customHeight="1"/>
    <row r="762" customFormat="1" ht="15.75" customHeight="1"/>
    <row r="763" customFormat="1" ht="15.75" customHeight="1"/>
    <row r="764" customFormat="1" ht="15.75" customHeight="1"/>
    <row r="765" customFormat="1" ht="15.75" customHeight="1"/>
    <row r="766" customFormat="1" ht="15.75" customHeight="1"/>
    <row r="767" customFormat="1" ht="15.75" customHeight="1"/>
    <row r="768" customFormat="1" ht="15.75" customHeight="1"/>
    <row r="769" customFormat="1" ht="15.75" customHeight="1"/>
    <row r="770" customFormat="1" ht="15.75" customHeight="1"/>
    <row r="771" customFormat="1" ht="15.75" customHeight="1"/>
    <row r="772" customFormat="1" ht="15.75" customHeight="1"/>
    <row r="773" customFormat="1" ht="15.75" customHeight="1"/>
    <row r="774" customFormat="1" ht="15.75" customHeight="1"/>
    <row r="775" customFormat="1" ht="15.75" customHeight="1"/>
    <row r="776" customFormat="1" ht="15.75" customHeight="1"/>
    <row r="777" customFormat="1" ht="15.75" customHeight="1"/>
    <row r="778" customFormat="1" ht="15.75" customHeight="1"/>
    <row r="779" customFormat="1" ht="15.75" customHeight="1"/>
    <row r="780" customFormat="1" ht="15.75" customHeight="1"/>
    <row r="781" customFormat="1" ht="15.75" customHeight="1"/>
    <row r="782" customFormat="1" ht="15.75" customHeight="1"/>
    <row r="783" customFormat="1" ht="15.75" customHeight="1"/>
    <row r="784" customFormat="1" ht="15.75" customHeight="1"/>
    <row r="785" customFormat="1" ht="15.75" customHeight="1"/>
    <row r="786" customFormat="1" ht="15.75" customHeight="1"/>
    <row r="787" customFormat="1" ht="15.75" customHeight="1"/>
    <row r="788" customFormat="1" ht="15.75" customHeight="1"/>
    <row r="789" customFormat="1" ht="15.75" customHeight="1"/>
    <row r="790" customFormat="1" ht="15.75" customHeight="1"/>
    <row r="791" customFormat="1" ht="15.75" customHeight="1"/>
    <row r="792" customFormat="1" ht="15.75" customHeight="1"/>
    <row r="793" customFormat="1" ht="15.75" customHeight="1"/>
    <row r="794" customFormat="1" ht="15.75" customHeight="1"/>
    <row r="795" customFormat="1" ht="15.75" customHeight="1"/>
    <row r="796" customFormat="1" ht="15.75" customHeight="1"/>
    <row r="797" customFormat="1" ht="15.75" customHeight="1"/>
    <row r="798" customFormat="1" ht="15.75" customHeight="1"/>
    <row r="799" customFormat="1" ht="15.75" customHeight="1"/>
    <row r="800" customFormat="1" ht="15.75" customHeight="1"/>
    <row r="801" customFormat="1" ht="15.75" customHeight="1"/>
    <row r="802" customFormat="1" ht="15.75" customHeight="1"/>
    <row r="803" customFormat="1" ht="15.75" customHeight="1"/>
    <row r="804" customFormat="1" ht="15.75" customHeight="1"/>
    <row r="805" customFormat="1" ht="15.75" customHeight="1"/>
    <row r="806" customFormat="1" ht="15.75" customHeight="1"/>
    <row r="807" customFormat="1" ht="15.75" customHeight="1"/>
    <row r="808" customFormat="1" ht="15.75" customHeight="1"/>
    <row r="809" customFormat="1" ht="15.75" customHeight="1"/>
    <row r="810" customFormat="1" ht="15.75" customHeight="1"/>
    <row r="811" customFormat="1" ht="15.75" customHeight="1"/>
    <row r="812" customFormat="1" ht="15.75" customHeight="1"/>
    <row r="813" customFormat="1" ht="15.75" customHeight="1"/>
    <row r="814" customFormat="1" ht="15.75" customHeight="1"/>
    <row r="815" customFormat="1" ht="15.75" customHeight="1"/>
    <row r="816" customFormat="1" ht="15.75" customHeight="1"/>
    <row r="817" customFormat="1" ht="15.75" customHeight="1"/>
    <row r="818" customFormat="1" ht="15.75" customHeight="1"/>
    <row r="819" customFormat="1" ht="15.75" customHeight="1"/>
    <row r="820" customFormat="1" ht="15.75" customHeight="1"/>
    <row r="821" customFormat="1" ht="15.75" customHeight="1"/>
    <row r="822" customFormat="1" ht="15.75" customHeight="1"/>
    <row r="823" customFormat="1" ht="15.75" customHeight="1"/>
    <row r="824" customFormat="1" ht="15.75" customHeight="1"/>
    <row r="825" customFormat="1" ht="15.75" customHeight="1"/>
    <row r="826" customFormat="1" ht="15.75" customHeight="1"/>
    <row r="827" customFormat="1" ht="15.75" customHeight="1"/>
    <row r="828" customFormat="1" ht="15.75" customHeight="1"/>
    <row r="829" customFormat="1" ht="15.75" customHeight="1"/>
    <row r="830" customFormat="1" ht="15.75" customHeight="1"/>
    <row r="831" customFormat="1" ht="15.75" customHeight="1"/>
    <row r="832" customFormat="1" ht="15.75" customHeight="1"/>
    <row r="833" customFormat="1" ht="15.75" customHeight="1"/>
    <row r="834" customFormat="1" ht="15.75" customHeight="1"/>
    <row r="835" customFormat="1" ht="15.75" customHeight="1"/>
    <row r="836" customFormat="1" ht="15.75" customHeight="1"/>
    <row r="837" customFormat="1" ht="15.75" customHeight="1"/>
    <row r="838" customFormat="1" ht="15.75" customHeight="1"/>
    <row r="839" customFormat="1" ht="15.75" customHeight="1"/>
    <row r="840" customFormat="1" ht="15.75" customHeight="1"/>
    <row r="841" customFormat="1" ht="15.75" customHeight="1"/>
    <row r="842" customFormat="1" ht="15.75" customHeight="1"/>
    <row r="843" customFormat="1" ht="15.75" customHeight="1"/>
    <row r="844" customFormat="1" ht="15.75" customHeight="1"/>
    <row r="845" customFormat="1" ht="15.75" customHeight="1"/>
    <row r="846" customFormat="1" ht="15.75" customHeight="1"/>
    <row r="847" customFormat="1" ht="15.75" customHeight="1"/>
    <row r="848" customFormat="1" ht="15.75" customHeight="1"/>
    <row r="849" customFormat="1" ht="15.75" customHeight="1"/>
    <row r="850" customFormat="1" ht="15.75" customHeight="1"/>
    <row r="851" customFormat="1" ht="15.75" customHeight="1"/>
    <row r="852" customFormat="1" ht="15.75" customHeight="1"/>
    <row r="853" customFormat="1" ht="15.75" customHeight="1"/>
    <row r="854" customFormat="1" ht="15.75" customHeight="1"/>
    <row r="855" customFormat="1" ht="15.75" customHeight="1"/>
    <row r="856" customFormat="1" ht="15.75" customHeight="1"/>
    <row r="857" customFormat="1" ht="15.75" customHeight="1"/>
    <row r="858" customFormat="1" ht="15.75" customHeight="1"/>
    <row r="859" customFormat="1" ht="15.75" customHeight="1"/>
    <row r="860" customFormat="1" ht="15.75" customHeight="1"/>
    <row r="861" customFormat="1" ht="15.75" customHeight="1"/>
    <row r="862" customFormat="1" ht="15.75" customHeight="1"/>
    <row r="863" customFormat="1" ht="15.75" customHeight="1"/>
    <row r="864" customFormat="1" ht="15.75" customHeight="1"/>
    <row r="865" customFormat="1" ht="15.75" customHeight="1"/>
    <row r="866" customFormat="1" ht="15.75" customHeight="1"/>
    <row r="867" customFormat="1" ht="15.75" customHeight="1"/>
    <row r="868" customFormat="1" ht="15.75" customHeight="1"/>
    <row r="869" customFormat="1" ht="15.75" customHeight="1"/>
    <row r="870" customFormat="1" ht="15.75" customHeight="1"/>
    <row r="871" customFormat="1" ht="15.75" customHeight="1"/>
    <row r="872" customFormat="1" ht="15.75" customHeight="1"/>
    <row r="873" customFormat="1" ht="15.75" customHeight="1"/>
    <row r="874" customFormat="1" ht="15.75" customHeight="1"/>
    <row r="875" customFormat="1" ht="15.75" customHeight="1"/>
    <row r="876" customFormat="1" ht="15.75" customHeight="1"/>
    <row r="877" customFormat="1" ht="15.75" customHeight="1"/>
    <row r="878" customFormat="1" ht="15.75" customHeight="1"/>
    <row r="879" customFormat="1" ht="15.75" customHeight="1"/>
    <row r="880" customFormat="1" ht="15.75" customHeight="1"/>
    <row r="881" customFormat="1" ht="15.75" customHeight="1"/>
    <row r="882" customFormat="1" ht="15.75" customHeight="1"/>
    <row r="883" customFormat="1" ht="15.75" customHeight="1"/>
    <row r="884" customFormat="1" ht="15.75" customHeight="1"/>
    <row r="885" customFormat="1" ht="15.75" customHeight="1"/>
    <row r="886" customFormat="1" ht="15.75" customHeight="1"/>
    <row r="887" customFormat="1" ht="15.75" customHeight="1"/>
    <row r="888" customFormat="1" ht="15.75" customHeight="1"/>
    <row r="889" customFormat="1" ht="15.75" customHeight="1"/>
    <row r="890" customFormat="1" ht="15.75" customHeight="1"/>
    <row r="891" customFormat="1" ht="15.75" customHeight="1"/>
    <row r="892" customFormat="1" ht="15.75" customHeight="1"/>
    <row r="893" customFormat="1" ht="15.75" customHeight="1"/>
    <row r="894" customFormat="1" ht="15.75" customHeight="1"/>
    <row r="895" customFormat="1" ht="15.75" customHeight="1"/>
    <row r="896" customFormat="1" ht="15.75" customHeight="1"/>
    <row r="897" customFormat="1" ht="15.75" customHeight="1"/>
    <row r="898" customFormat="1" ht="15.75" customHeight="1"/>
    <row r="899" customFormat="1" ht="15.75" customHeight="1"/>
    <row r="900" customFormat="1" ht="15.75" customHeight="1"/>
    <row r="901" customFormat="1" ht="15.75" customHeight="1"/>
    <row r="902" customFormat="1" ht="15.75" customHeight="1"/>
    <row r="903" customFormat="1" ht="15.75" customHeight="1"/>
    <row r="904" customFormat="1" ht="15.75" customHeight="1"/>
    <row r="905" customFormat="1" ht="15.75" customHeight="1"/>
    <row r="906" customFormat="1" ht="15.75" customHeight="1"/>
    <row r="907" customFormat="1" ht="15.75" customHeight="1"/>
    <row r="908" customFormat="1" ht="15.75" customHeight="1"/>
    <row r="909" customFormat="1" ht="15.75" customHeight="1"/>
    <row r="910" customFormat="1" ht="15.75" customHeight="1"/>
    <row r="911" customFormat="1" ht="15.75" customHeight="1"/>
    <row r="912" customFormat="1" ht="15.75" customHeight="1"/>
    <row r="913" customFormat="1" ht="15.75" customHeight="1"/>
    <row r="914" customFormat="1" ht="15.75" customHeight="1"/>
    <row r="915" customFormat="1" ht="15.75" customHeight="1"/>
    <row r="916" customFormat="1" ht="15.75" customHeight="1"/>
    <row r="917" customFormat="1" ht="15.75" customHeight="1"/>
    <row r="918" customFormat="1" ht="15.75" customHeight="1"/>
    <row r="919" customFormat="1" ht="15.75" customHeight="1"/>
    <row r="920" customFormat="1" ht="15.75" customHeight="1"/>
    <row r="921" customFormat="1" ht="15.75" customHeight="1"/>
    <row r="922" customFormat="1" ht="15.75" customHeight="1"/>
    <row r="923" customFormat="1" ht="15.75" customHeight="1"/>
    <row r="924" customFormat="1" ht="15.75" customHeight="1"/>
    <row r="925" customFormat="1" ht="15.75" customHeight="1"/>
    <row r="926" customFormat="1" ht="15.75" customHeight="1"/>
    <row r="927" customFormat="1" ht="15.75" customHeight="1"/>
    <row r="928" customFormat="1" ht="15.75" customHeight="1"/>
    <row r="929" customFormat="1" ht="15.75" customHeight="1"/>
    <row r="930" customFormat="1" ht="15.75" customHeight="1"/>
    <row r="931" customFormat="1" ht="15.75" customHeight="1"/>
    <row r="932" customFormat="1" ht="15.75" customHeight="1"/>
    <row r="933" customFormat="1" ht="15.75" customHeight="1"/>
    <row r="934" customFormat="1" ht="15.75" customHeight="1"/>
    <row r="935" customFormat="1" ht="15.75" customHeight="1"/>
    <row r="936" customFormat="1" ht="15.75" customHeight="1"/>
    <row r="937" customFormat="1" ht="15.75" customHeight="1"/>
    <row r="938" customFormat="1" ht="15.75" customHeight="1"/>
    <row r="939" customFormat="1" ht="15.75" customHeight="1"/>
    <row r="940" customFormat="1" ht="15.75" customHeight="1"/>
    <row r="941" customFormat="1" ht="15.75" customHeight="1"/>
    <row r="942" customFormat="1" ht="15.75" customHeight="1"/>
    <row r="943" customFormat="1" ht="15.75" customHeight="1"/>
    <row r="944" customFormat="1" ht="15.75" customHeight="1"/>
    <row r="945" customFormat="1" ht="15.75" customHeight="1"/>
    <row r="946" customFormat="1" ht="15.75" customHeight="1"/>
    <row r="947" customFormat="1" ht="15.75" customHeight="1"/>
    <row r="948" customFormat="1" ht="15.75" customHeight="1"/>
    <row r="949" customFormat="1" ht="15.75" customHeight="1"/>
    <row r="950" customFormat="1" ht="15.75" customHeight="1"/>
    <row r="951" customFormat="1" ht="15.75" customHeight="1"/>
    <row r="952" customFormat="1" ht="15.75" customHeight="1"/>
    <row r="953" customFormat="1" ht="15.75" customHeight="1"/>
    <row r="954" customFormat="1" ht="15.75" customHeight="1"/>
    <row r="955" customFormat="1" ht="15.75" customHeight="1"/>
    <row r="956" customFormat="1" ht="15.75" customHeight="1"/>
    <row r="957" customFormat="1" ht="15.75" customHeight="1"/>
    <row r="958" customFormat="1" ht="15.75" customHeight="1"/>
    <row r="959" customFormat="1" ht="15.75" customHeight="1"/>
    <row r="960" customFormat="1" ht="15.75" customHeight="1"/>
    <row r="961" customFormat="1" ht="15.75" customHeight="1"/>
    <row r="962" customFormat="1" ht="15.75" customHeight="1"/>
    <row r="963" customFormat="1" ht="15.75" customHeight="1"/>
    <row r="964" customFormat="1" ht="15.75" customHeight="1"/>
    <row r="965" customFormat="1" ht="15.75" customHeight="1"/>
    <row r="966" customFormat="1" ht="15.75" customHeight="1"/>
    <row r="967" customFormat="1" ht="15.75" customHeight="1"/>
    <row r="968" customFormat="1" ht="15.75" customHeight="1"/>
    <row r="969" customFormat="1" ht="15.75" customHeight="1"/>
    <row r="970" customFormat="1" ht="15.75" customHeight="1"/>
    <row r="971" customFormat="1" ht="15.75" customHeight="1"/>
    <row r="972" customFormat="1" ht="15.75" customHeight="1"/>
    <row r="973" customFormat="1" ht="15.75" customHeight="1"/>
    <row r="974" customFormat="1" ht="15.75" customHeight="1"/>
    <row r="975" customFormat="1" ht="15.75" customHeight="1"/>
    <row r="976" customFormat="1" ht="15.75" customHeight="1"/>
    <row r="977" customFormat="1" ht="15.75" customHeight="1"/>
    <row r="978" customFormat="1" ht="15.75" customHeight="1"/>
    <row r="979" customFormat="1" ht="15.75" customHeight="1"/>
    <row r="980" customFormat="1" ht="15.75" customHeight="1"/>
    <row r="981" customFormat="1" ht="15.75" customHeight="1"/>
    <row r="982" customFormat="1" ht="15.75" customHeight="1"/>
    <row r="983" customFormat="1" ht="15.75" customHeight="1"/>
    <row r="984" customFormat="1" ht="15.75" customHeight="1"/>
    <row r="985" customFormat="1" ht="15.75" customHeight="1"/>
    <row r="986" customFormat="1" ht="15.75" customHeight="1"/>
    <row r="987" customFormat="1" ht="15.75" customHeight="1"/>
    <row r="988" customFormat="1" ht="15.75" customHeight="1"/>
    <row r="989" customFormat="1" ht="15.75" customHeight="1"/>
    <row r="990" customFormat="1" ht="15.75" customHeight="1"/>
    <row r="991" customFormat="1" ht="15.75" customHeight="1"/>
    <row r="992" customFormat="1" ht="15.75" customHeight="1"/>
    <row r="993" customFormat="1" ht="15.75" customHeight="1"/>
    <row r="994" customFormat="1" ht="15.75" customHeight="1"/>
    <row r="995" customFormat="1" ht="15.75" customHeight="1"/>
    <row r="996" customFormat="1" ht="15.75" customHeight="1"/>
    <row r="997" customFormat="1" ht="15.75" customHeight="1"/>
    <row r="998" customFormat="1" ht="15.75" customHeight="1"/>
    <row r="999" customFormat="1" ht="15.75" customHeight="1"/>
    <row r="1000" customFormat="1" ht="15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showGridLines="0" workbookViewId="0">
      <pane ySplit="1" topLeftCell="A16" activePane="bottomLeft" state="frozen"/>
      <selection pane="bottomLeft" activeCell="B17" sqref="B17"/>
    </sheetView>
  </sheetViews>
  <sheetFormatPr defaultColWidth="12.625" defaultRowHeight="15" customHeight="1"/>
  <cols>
    <col min="1" max="1" width="28" customWidth="1"/>
    <col min="2" max="2" width="112" customWidth="1"/>
    <col min="3" max="26" width="8.875" customWidth="1"/>
  </cols>
  <sheetData>
    <row r="1" spans="1:2" ht="42" customHeight="1">
      <c r="A1" s="1" t="s">
        <v>7703</v>
      </c>
      <c r="B1" s="1" t="s">
        <v>7704</v>
      </c>
    </row>
    <row r="2" spans="1:2" ht="79.5" customHeight="1">
      <c r="A2" s="6" t="s">
        <v>7705</v>
      </c>
      <c r="B2" s="6" t="s">
        <v>7706</v>
      </c>
    </row>
    <row r="3" spans="1:2" ht="79.5" customHeight="1">
      <c r="A3" s="6" t="s">
        <v>7707</v>
      </c>
      <c r="B3" s="6" t="s">
        <v>7708</v>
      </c>
    </row>
    <row r="4" spans="1:2" ht="79.5" customHeight="1">
      <c r="A4" s="6" t="s">
        <v>7709</v>
      </c>
      <c r="B4" s="6" t="s">
        <v>7710</v>
      </c>
    </row>
    <row r="5" spans="1:2" ht="79.5" customHeight="1">
      <c r="A5" s="6" t="s">
        <v>7711</v>
      </c>
      <c r="B5" s="6" t="s">
        <v>7712</v>
      </c>
    </row>
    <row r="6" spans="1:2" ht="79.5" customHeight="1">
      <c r="A6" s="6" t="s">
        <v>7713</v>
      </c>
      <c r="B6" s="6" t="s">
        <v>7714</v>
      </c>
    </row>
    <row r="7" spans="1:2" ht="79.5" customHeight="1">
      <c r="A7" s="6" t="s">
        <v>7715</v>
      </c>
      <c r="B7" s="6" t="s">
        <v>7716</v>
      </c>
    </row>
    <row r="8" spans="1:2" ht="79.5" customHeight="1">
      <c r="A8" s="6" t="s">
        <v>7717</v>
      </c>
      <c r="B8" s="6" t="s">
        <v>7718</v>
      </c>
    </row>
    <row r="9" spans="1:2" ht="79.5" customHeight="1">
      <c r="A9" s="6" t="s">
        <v>7719</v>
      </c>
      <c r="B9" s="6" t="s">
        <v>7720</v>
      </c>
    </row>
    <row r="10" spans="1:2" ht="79.5" customHeight="1">
      <c r="A10" s="6" t="s">
        <v>880</v>
      </c>
      <c r="B10" s="6" t="s">
        <v>7721</v>
      </c>
    </row>
    <row r="11" spans="1:2" ht="79.5" customHeight="1">
      <c r="A11" s="6" t="s">
        <v>7722</v>
      </c>
      <c r="B11" s="6" t="s">
        <v>7723</v>
      </c>
    </row>
    <row r="12" spans="1:2" ht="79.5" customHeight="1">
      <c r="A12" s="6" t="s">
        <v>7724</v>
      </c>
      <c r="B12" s="6" t="s">
        <v>7725</v>
      </c>
    </row>
    <row r="13" spans="1:2" ht="79.5" customHeight="1">
      <c r="A13" s="6" t="s">
        <v>7726</v>
      </c>
      <c r="B13" s="6" t="s">
        <v>7727</v>
      </c>
    </row>
    <row r="14" spans="1:2" ht="79.5" customHeight="1">
      <c r="A14" s="6" t="s">
        <v>7728</v>
      </c>
      <c r="B14" s="6" t="s">
        <v>7729</v>
      </c>
    </row>
    <row r="15" spans="1:2" ht="79.5" customHeight="1">
      <c r="A15" s="6" t="s">
        <v>7730</v>
      </c>
      <c r="B15" s="6" t="s">
        <v>7731</v>
      </c>
    </row>
    <row r="16" spans="1:2" ht="79.5" customHeight="1">
      <c r="A16" s="6" t="s">
        <v>7732</v>
      </c>
      <c r="B16" s="6" t="s">
        <v>7733</v>
      </c>
    </row>
    <row r="17" spans="1:2" ht="79.5" customHeight="1">
      <c r="A17" s="6" t="s">
        <v>7734</v>
      </c>
      <c r="B17" s="6" t="s">
        <v>7735</v>
      </c>
    </row>
    <row r="18" spans="1:2" ht="79.5" customHeight="1">
      <c r="A18" s="6" t="s">
        <v>7736</v>
      </c>
      <c r="B18" s="6" t="s">
        <v>7737</v>
      </c>
    </row>
    <row r="19" spans="1:2" ht="79.5" customHeight="1">
      <c r="A19" s="6" t="s">
        <v>7738</v>
      </c>
      <c r="B19" s="6" t="s">
        <v>7739</v>
      </c>
    </row>
    <row r="20" spans="1:2" ht="79.5" customHeight="1">
      <c r="A20" s="6" t="s">
        <v>7740</v>
      </c>
      <c r="B20" s="6" t="s">
        <v>7741</v>
      </c>
    </row>
    <row r="21" spans="1:2" ht="79.5" customHeight="1">
      <c r="A21" s="6" t="s">
        <v>7742</v>
      </c>
      <c r="B21" s="6" t="s">
        <v>7743</v>
      </c>
    </row>
    <row r="22" spans="1:2" ht="79.5" customHeight="1">
      <c r="A22" s="6" t="s">
        <v>7744</v>
      </c>
      <c r="B22" s="6" t="s">
        <v>7745</v>
      </c>
    </row>
    <row r="23" spans="1:2" ht="79.5" customHeight="1">
      <c r="A23" s="6" t="s">
        <v>7746</v>
      </c>
      <c r="B23" s="6" t="s">
        <v>7747</v>
      </c>
    </row>
    <row r="24" spans="1:2" ht="79.5" customHeight="1">
      <c r="A24" s="6" t="s">
        <v>7748</v>
      </c>
      <c r="B24" s="6" t="s">
        <v>7749</v>
      </c>
    </row>
    <row r="25" spans="1:2" ht="79.5" customHeight="1">
      <c r="A25" s="6" t="s">
        <v>7750</v>
      </c>
      <c r="B25" s="6" t="s">
        <v>7751</v>
      </c>
    </row>
    <row r="26" spans="1:2" ht="79.5" customHeight="1">
      <c r="A26" s="6" t="s">
        <v>7752</v>
      </c>
      <c r="B26" s="6" t="s">
        <v>7753</v>
      </c>
    </row>
    <row r="27" spans="1:2" ht="15.75" customHeight="1"/>
    <row r="28" spans="1:2" ht="15.75" customHeight="1"/>
    <row r="29" spans="1:2" ht="15.75" customHeight="1"/>
    <row r="30" spans="1:2" ht="15.75" customHeight="1"/>
    <row r="31" spans="1:2" ht="15.75" customHeight="1"/>
    <row r="32" spans="1: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topLeftCell="C1" workbookViewId="0">
      <pane ySplit="1" topLeftCell="A60" activePane="bottomLeft" state="frozen"/>
      <selection pane="bottomLeft" activeCell="C62" sqref="C62"/>
    </sheetView>
  </sheetViews>
  <sheetFormatPr defaultColWidth="12.625" defaultRowHeight="15" customHeight="1"/>
  <cols>
    <col min="1" max="2" width="22" customWidth="1"/>
    <col min="3" max="6" width="46" customWidth="1"/>
    <col min="7" max="26" width="8.875" customWidth="1"/>
  </cols>
  <sheetData>
    <row r="1" spans="1:6" ht="42" customHeight="1">
      <c r="A1" s="1" t="s">
        <v>7754</v>
      </c>
      <c r="B1" s="1" t="s">
        <v>7755</v>
      </c>
      <c r="C1" s="1" t="s">
        <v>7756</v>
      </c>
      <c r="D1" s="1" t="s">
        <v>7757</v>
      </c>
      <c r="E1" s="1" t="s">
        <v>7758</v>
      </c>
      <c r="F1" s="1" t="s">
        <v>7759</v>
      </c>
    </row>
    <row r="2" spans="1:6" ht="61.5" customHeight="1">
      <c r="A2" s="6" t="s">
        <v>7760</v>
      </c>
      <c r="B2" s="6" t="s">
        <v>0</v>
      </c>
      <c r="C2" s="6" t="s">
        <v>7761</v>
      </c>
      <c r="D2" s="6" t="s">
        <v>7762</v>
      </c>
      <c r="E2" s="6" t="s">
        <v>7763</v>
      </c>
      <c r="F2" s="6" t="s">
        <v>7764</v>
      </c>
    </row>
    <row r="3" spans="1:6" ht="61.5" customHeight="1">
      <c r="A3" s="6" t="s">
        <v>7760</v>
      </c>
      <c r="B3" s="6" t="s">
        <v>1</v>
      </c>
      <c r="C3" s="6" t="s">
        <v>7765</v>
      </c>
      <c r="D3" s="6" t="s">
        <v>7762</v>
      </c>
      <c r="E3" s="6" t="s">
        <v>7766</v>
      </c>
      <c r="F3" s="6" t="s">
        <v>7767</v>
      </c>
    </row>
    <row r="4" spans="1:6" ht="61.5" customHeight="1">
      <c r="A4" s="6" t="s">
        <v>7760</v>
      </c>
      <c r="B4" s="6" t="s">
        <v>2</v>
      </c>
      <c r="C4" s="6" t="s">
        <v>7768</v>
      </c>
      <c r="D4" s="6" t="s">
        <v>7769</v>
      </c>
      <c r="E4" s="6" t="s">
        <v>7770</v>
      </c>
      <c r="F4" s="6" t="s">
        <v>7771</v>
      </c>
    </row>
    <row r="5" spans="1:6" ht="61.5" customHeight="1">
      <c r="A5" s="6" t="s">
        <v>7760</v>
      </c>
      <c r="B5" s="6" t="s">
        <v>3</v>
      </c>
      <c r="C5" s="6" t="s">
        <v>7772</v>
      </c>
      <c r="D5" s="6" t="s">
        <v>7773</v>
      </c>
      <c r="E5" s="6" t="s">
        <v>7770</v>
      </c>
      <c r="F5" s="6" t="s">
        <v>7771</v>
      </c>
    </row>
    <row r="6" spans="1:6" ht="61.5" customHeight="1">
      <c r="A6" s="6" t="s">
        <v>7760</v>
      </c>
      <c r="B6" s="6" t="s">
        <v>4</v>
      </c>
      <c r="C6" s="6" t="s">
        <v>7774</v>
      </c>
      <c r="D6" s="6" t="s">
        <v>7775</v>
      </c>
      <c r="E6" s="6" t="s">
        <v>7776</v>
      </c>
      <c r="F6" s="6" t="s">
        <v>7777</v>
      </c>
    </row>
    <row r="7" spans="1:6" ht="61.5" customHeight="1">
      <c r="A7" s="6" t="s">
        <v>7760</v>
      </c>
      <c r="B7" s="6" t="s">
        <v>5</v>
      </c>
      <c r="C7" s="6" t="s">
        <v>7778</v>
      </c>
      <c r="D7" s="6" t="s">
        <v>7769</v>
      </c>
      <c r="E7" s="6" t="s">
        <v>7770</v>
      </c>
      <c r="F7" s="6" t="s">
        <v>7771</v>
      </c>
    </row>
    <row r="8" spans="1:6" ht="61.5" customHeight="1">
      <c r="A8" s="6" t="s">
        <v>7760</v>
      </c>
      <c r="B8" s="6" t="s">
        <v>6</v>
      </c>
      <c r="C8" s="6" t="s">
        <v>7779</v>
      </c>
      <c r="D8" s="6" t="s">
        <v>7780</v>
      </c>
      <c r="E8" s="6" t="s">
        <v>7770</v>
      </c>
      <c r="F8" s="6" t="s">
        <v>7771</v>
      </c>
    </row>
    <row r="9" spans="1:6" ht="61.5" customHeight="1">
      <c r="A9" s="6" t="s">
        <v>7760</v>
      </c>
      <c r="B9" s="6" t="s">
        <v>7</v>
      </c>
      <c r="C9" s="6" t="s">
        <v>7781</v>
      </c>
      <c r="D9" s="6" t="s">
        <v>7782</v>
      </c>
      <c r="E9" s="6" t="s">
        <v>7770</v>
      </c>
      <c r="F9" s="6" t="s">
        <v>7771</v>
      </c>
    </row>
    <row r="10" spans="1:6" ht="61.5" customHeight="1">
      <c r="A10" s="6" t="s">
        <v>7760</v>
      </c>
      <c r="B10" s="6" t="s">
        <v>8</v>
      </c>
      <c r="C10" s="6" t="s">
        <v>7783</v>
      </c>
      <c r="D10" s="6" t="s">
        <v>7784</v>
      </c>
      <c r="E10" s="6" t="s">
        <v>7770</v>
      </c>
      <c r="F10" s="6" t="s">
        <v>7771</v>
      </c>
    </row>
    <row r="11" spans="1:6" ht="61.5" customHeight="1">
      <c r="A11" s="6" t="s">
        <v>7760</v>
      </c>
      <c r="B11" s="6" t="s">
        <v>9</v>
      </c>
      <c r="C11" s="6" t="s">
        <v>7785</v>
      </c>
      <c r="D11" s="6" t="s">
        <v>7769</v>
      </c>
      <c r="E11" s="6" t="s">
        <v>7766</v>
      </c>
      <c r="F11" s="6" t="s">
        <v>7767</v>
      </c>
    </row>
    <row r="12" spans="1:6" ht="61.5" customHeight="1">
      <c r="A12" s="6" t="s">
        <v>7760</v>
      </c>
      <c r="B12" s="6" t="s">
        <v>10</v>
      </c>
      <c r="C12" s="6" t="s">
        <v>7786</v>
      </c>
      <c r="D12" s="6" t="s">
        <v>7787</v>
      </c>
      <c r="E12" s="6" t="s">
        <v>7766</v>
      </c>
      <c r="F12" s="6" t="s">
        <v>7767</v>
      </c>
    </row>
    <row r="13" spans="1:6" ht="61.5" customHeight="1">
      <c r="A13" s="6" t="s">
        <v>7760</v>
      </c>
      <c r="B13" s="6" t="s">
        <v>11</v>
      </c>
      <c r="C13" s="6" t="s">
        <v>7788</v>
      </c>
      <c r="D13" s="6" t="s">
        <v>7789</v>
      </c>
      <c r="E13" s="6" t="s">
        <v>7766</v>
      </c>
      <c r="F13" s="6" t="s">
        <v>7767</v>
      </c>
    </row>
    <row r="14" spans="1:6" ht="61.5" customHeight="1">
      <c r="A14" s="6" t="s">
        <v>7760</v>
      </c>
      <c r="B14" s="6" t="s">
        <v>12</v>
      </c>
      <c r="C14" s="6" t="s">
        <v>7790</v>
      </c>
      <c r="D14" s="6" t="s">
        <v>7787</v>
      </c>
      <c r="E14" s="6" t="s">
        <v>7766</v>
      </c>
      <c r="F14" s="6" t="s">
        <v>7767</v>
      </c>
    </row>
    <row r="15" spans="1:6" ht="61.5" customHeight="1">
      <c r="A15" s="6" t="s">
        <v>7760</v>
      </c>
      <c r="B15" s="6" t="s">
        <v>13</v>
      </c>
      <c r="C15" s="6" t="s">
        <v>7791</v>
      </c>
      <c r="D15" s="6" t="s">
        <v>7792</v>
      </c>
      <c r="E15" s="6" t="s">
        <v>7766</v>
      </c>
      <c r="F15" s="6" t="s">
        <v>7767</v>
      </c>
    </row>
    <row r="16" spans="1:6" ht="61.5" customHeight="1">
      <c r="A16" s="6" t="s">
        <v>7760</v>
      </c>
      <c r="B16" s="6" t="s">
        <v>14</v>
      </c>
      <c r="C16" s="6" t="s">
        <v>7793</v>
      </c>
      <c r="D16" s="6" t="s">
        <v>7794</v>
      </c>
      <c r="E16" s="6" t="s">
        <v>7766</v>
      </c>
      <c r="F16" s="6" t="s">
        <v>7767</v>
      </c>
    </row>
    <row r="17" spans="1:6" ht="61.5" customHeight="1">
      <c r="A17" s="6" t="s">
        <v>7760</v>
      </c>
      <c r="B17" s="6" t="s">
        <v>15</v>
      </c>
      <c r="C17" s="6" t="s">
        <v>7795</v>
      </c>
      <c r="D17" s="6" t="s">
        <v>7796</v>
      </c>
      <c r="E17" s="6" t="s">
        <v>7766</v>
      </c>
      <c r="F17" s="6" t="s">
        <v>7767</v>
      </c>
    </row>
    <row r="18" spans="1:6" ht="61.5" customHeight="1">
      <c r="A18" s="6" t="s">
        <v>7760</v>
      </c>
      <c r="B18" s="6" t="s">
        <v>16</v>
      </c>
      <c r="C18" s="6" t="s">
        <v>7797</v>
      </c>
      <c r="D18" s="6" t="s">
        <v>7794</v>
      </c>
      <c r="E18" s="6" t="s">
        <v>7766</v>
      </c>
      <c r="F18" s="6" t="s">
        <v>7767</v>
      </c>
    </row>
    <row r="19" spans="1:6" ht="61.5" customHeight="1">
      <c r="A19" s="6" t="s">
        <v>7760</v>
      </c>
      <c r="B19" s="6" t="s">
        <v>17</v>
      </c>
      <c r="C19" s="6" t="s">
        <v>7798</v>
      </c>
      <c r="D19" s="6" t="s">
        <v>7799</v>
      </c>
      <c r="E19" s="6" t="s">
        <v>7766</v>
      </c>
      <c r="F19" s="6" t="s">
        <v>7767</v>
      </c>
    </row>
    <row r="20" spans="1:6" ht="61.5" customHeight="1">
      <c r="A20" s="6" t="s">
        <v>876</v>
      </c>
      <c r="B20" s="6" t="s">
        <v>53</v>
      </c>
      <c r="C20" s="6" t="s">
        <v>7800</v>
      </c>
      <c r="D20" s="6" t="s">
        <v>7762</v>
      </c>
      <c r="E20" s="6" t="s">
        <v>7763</v>
      </c>
      <c r="F20" s="6" t="s">
        <v>7764</v>
      </c>
    </row>
    <row r="21" spans="1:6" ht="61.5" customHeight="1">
      <c r="A21" s="6" t="s">
        <v>876</v>
      </c>
      <c r="B21" s="6" t="s">
        <v>0</v>
      </c>
      <c r="C21" s="6" t="s">
        <v>7801</v>
      </c>
      <c r="D21" s="6" t="s">
        <v>7762</v>
      </c>
      <c r="E21" s="6" t="s">
        <v>7763</v>
      </c>
      <c r="F21" s="6" t="s">
        <v>7802</v>
      </c>
    </row>
    <row r="22" spans="1:6" ht="61.5" customHeight="1">
      <c r="A22" s="6" t="s">
        <v>876</v>
      </c>
      <c r="B22" s="6" t="s">
        <v>54</v>
      </c>
      <c r="C22" s="6" t="s">
        <v>7803</v>
      </c>
      <c r="D22" s="6" t="s">
        <v>7804</v>
      </c>
      <c r="E22" s="6" t="s">
        <v>7770</v>
      </c>
      <c r="F22" s="6" t="s">
        <v>7805</v>
      </c>
    </row>
    <row r="23" spans="1:6" ht="61.5" customHeight="1">
      <c r="A23" s="6" t="s">
        <v>876</v>
      </c>
      <c r="B23" s="6" t="s">
        <v>55</v>
      </c>
      <c r="C23" s="6" t="s">
        <v>7806</v>
      </c>
      <c r="D23" s="6" t="s">
        <v>7804</v>
      </c>
      <c r="E23" s="6" t="s">
        <v>7770</v>
      </c>
      <c r="F23" s="6" t="s">
        <v>7805</v>
      </c>
    </row>
    <row r="24" spans="1:6" ht="61.5" customHeight="1">
      <c r="A24" s="6" t="s">
        <v>876</v>
      </c>
      <c r="B24" s="6" t="s">
        <v>56</v>
      </c>
      <c r="C24" s="6" t="s">
        <v>7807</v>
      </c>
      <c r="D24" s="6" t="s">
        <v>7769</v>
      </c>
      <c r="E24" s="6" t="s">
        <v>7770</v>
      </c>
      <c r="F24" s="6" t="s">
        <v>7805</v>
      </c>
    </row>
    <row r="25" spans="1:6" ht="61.5" customHeight="1">
      <c r="A25" s="6" t="s">
        <v>876</v>
      </c>
      <c r="B25" s="6" t="s">
        <v>57</v>
      </c>
      <c r="C25" s="6" t="s">
        <v>7808</v>
      </c>
      <c r="D25" s="6" t="s">
        <v>7769</v>
      </c>
      <c r="E25" s="6" t="s">
        <v>7770</v>
      </c>
      <c r="F25" s="6" t="s">
        <v>7805</v>
      </c>
    </row>
    <row r="26" spans="1:6" ht="61.5" customHeight="1">
      <c r="A26" s="6" t="s">
        <v>876</v>
      </c>
      <c r="B26" s="6" t="s">
        <v>58</v>
      </c>
      <c r="C26" s="6" t="s">
        <v>7809</v>
      </c>
      <c r="D26" s="6" t="s">
        <v>7810</v>
      </c>
      <c r="E26" s="6" t="s">
        <v>7770</v>
      </c>
      <c r="F26" s="6" t="s">
        <v>7771</v>
      </c>
    </row>
    <row r="27" spans="1:6" ht="61.5" customHeight="1">
      <c r="A27" s="6" t="s">
        <v>876</v>
      </c>
      <c r="B27" s="6" t="s">
        <v>59</v>
      </c>
      <c r="C27" s="6" t="s">
        <v>7811</v>
      </c>
      <c r="D27" s="6" t="s">
        <v>7810</v>
      </c>
      <c r="E27" s="6" t="s">
        <v>7770</v>
      </c>
      <c r="F27" s="6" t="s">
        <v>7771</v>
      </c>
    </row>
    <row r="28" spans="1:6" ht="61.5" customHeight="1">
      <c r="A28" s="6" t="s">
        <v>876</v>
      </c>
      <c r="B28" s="6" t="s">
        <v>60</v>
      </c>
      <c r="C28" s="6" t="s">
        <v>7812</v>
      </c>
      <c r="D28" s="6" t="s">
        <v>7810</v>
      </c>
      <c r="E28" s="6" t="s">
        <v>7770</v>
      </c>
      <c r="F28" s="6" t="s">
        <v>7805</v>
      </c>
    </row>
    <row r="29" spans="1:6" ht="61.5" customHeight="1">
      <c r="A29" s="6" t="s">
        <v>876</v>
      </c>
      <c r="B29" s="6" t="s">
        <v>61</v>
      </c>
      <c r="C29" s="6" t="s">
        <v>7813</v>
      </c>
      <c r="D29" s="6" t="s">
        <v>7810</v>
      </c>
      <c r="E29" s="6" t="s">
        <v>7770</v>
      </c>
      <c r="F29" s="6" t="s">
        <v>7771</v>
      </c>
    </row>
    <row r="30" spans="1:6" ht="61.5" customHeight="1">
      <c r="A30" s="6" t="s">
        <v>876</v>
      </c>
      <c r="B30" s="6" t="s">
        <v>62</v>
      </c>
      <c r="C30" s="6" t="s">
        <v>7814</v>
      </c>
      <c r="D30" s="6" t="s">
        <v>7810</v>
      </c>
      <c r="E30" s="6" t="s">
        <v>7770</v>
      </c>
      <c r="F30" s="6" t="s">
        <v>7771</v>
      </c>
    </row>
    <row r="31" spans="1:6" ht="61.5" customHeight="1">
      <c r="A31" s="6" t="s">
        <v>876</v>
      </c>
      <c r="B31" s="6" t="s">
        <v>63</v>
      </c>
      <c r="C31" s="6" t="s">
        <v>7815</v>
      </c>
      <c r="D31" s="6" t="s">
        <v>7810</v>
      </c>
      <c r="E31" s="6" t="s">
        <v>7816</v>
      </c>
      <c r="F31" s="6" t="s">
        <v>7817</v>
      </c>
    </row>
    <row r="32" spans="1:6" ht="61.5" customHeight="1">
      <c r="A32" s="6" t="s">
        <v>876</v>
      </c>
      <c r="B32" s="6" t="s">
        <v>64</v>
      </c>
      <c r="C32" s="6" t="s">
        <v>7818</v>
      </c>
      <c r="D32" s="6" t="s">
        <v>7819</v>
      </c>
      <c r="E32" s="6" t="s">
        <v>7820</v>
      </c>
      <c r="F32" s="6" t="s">
        <v>7821</v>
      </c>
    </row>
    <row r="33" spans="1:6" ht="61.5" customHeight="1">
      <c r="A33" s="6" t="s">
        <v>876</v>
      </c>
      <c r="B33" s="6" t="s">
        <v>65</v>
      </c>
      <c r="C33" s="6" t="s">
        <v>7822</v>
      </c>
      <c r="D33" s="6" t="s">
        <v>7823</v>
      </c>
      <c r="E33" s="6" t="s">
        <v>7824</v>
      </c>
      <c r="F33" s="6" t="s">
        <v>7825</v>
      </c>
    </row>
    <row r="34" spans="1:6" ht="61.5" customHeight="1">
      <c r="A34" s="6" t="s">
        <v>876</v>
      </c>
      <c r="B34" s="6" t="s">
        <v>66</v>
      </c>
      <c r="C34" s="6" t="s">
        <v>7761</v>
      </c>
      <c r="D34" s="6" t="s">
        <v>7762</v>
      </c>
      <c r="E34" s="6" t="s">
        <v>7763</v>
      </c>
      <c r="F34" s="6" t="s">
        <v>7764</v>
      </c>
    </row>
    <row r="35" spans="1:6" ht="61.5" customHeight="1">
      <c r="A35" s="6" t="s">
        <v>876</v>
      </c>
      <c r="B35" s="6" t="s">
        <v>67</v>
      </c>
      <c r="C35" s="6" t="s">
        <v>7826</v>
      </c>
      <c r="D35" s="6" t="s">
        <v>7804</v>
      </c>
      <c r="E35" s="6" t="s">
        <v>7827</v>
      </c>
      <c r="F35" s="6" t="s">
        <v>7828</v>
      </c>
    </row>
    <row r="36" spans="1:6" ht="61.5" customHeight="1">
      <c r="A36" s="6" t="s">
        <v>876</v>
      </c>
      <c r="B36" s="6" t="s">
        <v>68</v>
      </c>
      <c r="C36" s="6" t="s">
        <v>7829</v>
      </c>
      <c r="D36" s="6" t="s">
        <v>7804</v>
      </c>
      <c r="E36" s="6" t="s">
        <v>7830</v>
      </c>
      <c r="F36" s="6" t="s">
        <v>7831</v>
      </c>
    </row>
    <row r="37" spans="1:6" ht="61.5" customHeight="1">
      <c r="A37" s="6" t="s">
        <v>876</v>
      </c>
      <c r="B37" s="6" t="s">
        <v>69</v>
      </c>
      <c r="C37" s="6" t="s">
        <v>7832</v>
      </c>
      <c r="D37" s="6" t="s">
        <v>7769</v>
      </c>
      <c r="E37" s="6" t="s">
        <v>7770</v>
      </c>
      <c r="F37" s="6" t="s">
        <v>7771</v>
      </c>
    </row>
    <row r="38" spans="1:6" ht="61.5" customHeight="1">
      <c r="A38" s="6" t="s">
        <v>876</v>
      </c>
      <c r="B38" s="6" t="s">
        <v>70</v>
      </c>
      <c r="C38" s="6" t="s">
        <v>7833</v>
      </c>
      <c r="D38" s="6" t="s">
        <v>7834</v>
      </c>
      <c r="E38" s="6" t="s">
        <v>7835</v>
      </c>
      <c r="F38" s="6" t="s">
        <v>7836</v>
      </c>
    </row>
    <row r="39" spans="1:6" ht="61.5" customHeight="1">
      <c r="A39" s="6" t="s">
        <v>876</v>
      </c>
      <c r="B39" s="6" t="s">
        <v>71</v>
      </c>
      <c r="C39" s="6" t="s">
        <v>7837</v>
      </c>
      <c r="D39" s="6" t="s">
        <v>7838</v>
      </c>
      <c r="E39" s="6" t="s">
        <v>7770</v>
      </c>
      <c r="F39" s="6" t="s">
        <v>7771</v>
      </c>
    </row>
    <row r="40" spans="1:6" ht="61.5" customHeight="1">
      <c r="A40" s="6" t="s">
        <v>876</v>
      </c>
      <c r="B40" s="6" t="s">
        <v>72</v>
      </c>
      <c r="C40" s="6" t="s">
        <v>7839</v>
      </c>
      <c r="D40" s="6" t="s">
        <v>7784</v>
      </c>
      <c r="E40" s="6" t="s">
        <v>7840</v>
      </c>
      <c r="F40" s="6" t="s">
        <v>7841</v>
      </c>
    </row>
    <row r="41" spans="1:6" ht="61.5" customHeight="1">
      <c r="A41" s="6" t="s">
        <v>876</v>
      </c>
      <c r="B41" s="6" t="s">
        <v>73</v>
      </c>
      <c r="C41" s="6" t="s">
        <v>7842</v>
      </c>
      <c r="D41" s="6" t="s">
        <v>7784</v>
      </c>
      <c r="E41" s="6" t="s">
        <v>7770</v>
      </c>
      <c r="F41" s="6" t="s">
        <v>7771</v>
      </c>
    </row>
    <row r="42" spans="1:6" ht="61.5" customHeight="1">
      <c r="A42" s="6" t="s">
        <v>876</v>
      </c>
      <c r="B42" s="6" t="s">
        <v>74</v>
      </c>
      <c r="C42" s="6" t="s">
        <v>7843</v>
      </c>
      <c r="D42" s="6" t="s">
        <v>7769</v>
      </c>
      <c r="E42" s="6" t="s">
        <v>7770</v>
      </c>
      <c r="F42" s="6" t="s">
        <v>7771</v>
      </c>
    </row>
    <row r="43" spans="1:6" ht="61.5" customHeight="1">
      <c r="A43" s="6" t="s">
        <v>876</v>
      </c>
      <c r="B43" s="6" t="s">
        <v>75</v>
      </c>
      <c r="C43" s="6" t="s">
        <v>7844</v>
      </c>
      <c r="D43" s="6" t="s">
        <v>7769</v>
      </c>
      <c r="E43" s="6" t="s">
        <v>7770</v>
      </c>
      <c r="F43" s="6" t="s">
        <v>7771</v>
      </c>
    </row>
    <row r="44" spans="1:6" ht="61.5" customHeight="1">
      <c r="A44" s="6" t="s">
        <v>876</v>
      </c>
      <c r="B44" s="6" t="s">
        <v>76</v>
      </c>
      <c r="C44" s="6" t="s">
        <v>7845</v>
      </c>
      <c r="D44" s="6" t="s">
        <v>7810</v>
      </c>
      <c r="E44" s="6" t="s">
        <v>7846</v>
      </c>
      <c r="F44" s="6" t="s">
        <v>7847</v>
      </c>
    </row>
    <row r="45" spans="1:6" ht="61.5" customHeight="1">
      <c r="A45" s="6" t="s">
        <v>880</v>
      </c>
      <c r="B45" s="6" t="s">
        <v>0</v>
      </c>
      <c r="C45" s="6" t="s">
        <v>7848</v>
      </c>
      <c r="D45" s="6" t="s">
        <v>7762</v>
      </c>
      <c r="E45" s="6" t="s">
        <v>7763</v>
      </c>
      <c r="F45" s="6" t="s">
        <v>7764</v>
      </c>
    </row>
    <row r="46" spans="1:6" ht="61.5" customHeight="1">
      <c r="A46" s="6" t="s">
        <v>880</v>
      </c>
      <c r="B46" s="6" t="s">
        <v>964</v>
      </c>
      <c r="C46" s="6" t="s">
        <v>7849</v>
      </c>
      <c r="D46" s="6" t="s">
        <v>7850</v>
      </c>
      <c r="E46" s="6" t="s">
        <v>7770</v>
      </c>
      <c r="F46" s="6" t="s">
        <v>7805</v>
      </c>
    </row>
    <row r="47" spans="1:6" ht="61.5" customHeight="1">
      <c r="A47" s="6" t="s">
        <v>880</v>
      </c>
      <c r="B47" s="6" t="s">
        <v>965</v>
      </c>
      <c r="C47" s="6" t="s">
        <v>7851</v>
      </c>
      <c r="D47" s="6" t="s">
        <v>7810</v>
      </c>
      <c r="E47" s="6" t="s">
        <v>7852</v>
      </c>
      <c r="F47" s="6" t="s">
        <v>7853</v>
      </c>
    </row>
    <row r="48" spans="1:6" ht="61.5" customHeight="1">
      <c r="A48" s="6" t="s">
        <v>880</v>
      </c>
      <c r="B48" s="6" t="s">
        <v>966</v>
      </c>
      <c r="C48" s="6" t="s">
        <v>7854</v>
      </c>
      <c r="D48" s="6" t="s">
        <v>7819</v>
      </c>
      <c r="E48" s="6" t="s">
        <v>7855</v>
      </c>
      <c r="F48" s="6" t="s">
        <v>7856</v>
      </c>
    </row>
    <row r="49" spans="1:6" ht="61.5" customHeight="1">
      <c r="A49" s="6" t="s">
        <v>880</v>
      </c>
      <c r="B49" s="6" t="s">
        <v>967</v>
      </c>
      <c r="C49" s="6" t="s">
        <v>7857</v>
      </c>
      <c r="D49" s="6" t="s">
        <v>7819</v>
      </c>
      <c r="E49" s="6" t="s">
        <v>7858</v>
      </c>
      <c r="F49" s="6" t="s">
        <v>7859</v>
      </c>
    </row>
    <row r="50" spans="1:6" ht="61.5" customHeight="1">
      <c r="A50" s="6" t="s">
        <v>880</v>
      </c>
      <c r="B50" s="6" t="s">
        <v>968</v>
      </c>
      <c r="C50" s="6" t="s">
        <v>7860</v>
      </c>
      <c r="D50" s="6" t="s">
        <v>7819</v>
      </c>
      <c r="E50" s="6" t="s">
        <v>7861</v>
      </c>
      <c r="F50" s="6" t="s">
        <v>7862</v>
      </c>
    </row>
    <row r="51" spans="1:6" ht="61.5" customHeight="1">
      <c r="A51" s="6" t="s">
        <v>880</v>
      </c>
      <c r="B51" s="6" t="s">
        <v>969</v>
      </c>
      <c r="C51" s="6" t="s">
        <v>7863</v>
      </c>
      <c r="D51" s="6" t="s">
        <v>7819</v>
      </c>
      <c r="E51" s="6" t="s">
        <v>7864</v>
      </c>
      <c r="F51" s="6" t="s">
        <v>7865</v>
      </c>
    </row>
    <row r="52" spans="1:6" ht="61.5" customHeight="1">
      <c r="A52" s="6" t="s">
        <v>880</v>
      </c>
      <c r="B52" s="6" t="s">
        <v>970</v>
      </c>
      <c r="C52" s="6" t="s">
        <v>7866</v>
      </c>
      <c r="D52" s="6" t="s">
        <v>7867</v>
      </c>
      <c r="E52" s="6" t="s">
        <v>7770</v>
      </c>
      <c r="F52" s="6" t="s">
        <v>7771</v>
      </c>
    </row>
    <row r="53" spans="1:6" ht="61.5" customHeight="1">
      <c r="A53" s="6" t="s">
        <v>880</v>
      </c>
      <c r="B53" s="6" t="s">
        <v>971</v>
      </c>
      <c r="C53" s="6" t="s">
        <v>7868</v>
      </c>
      <c r="D53" s="6" t="s">
        <v>7867</v>
      </c>
      <c r="E53" s="6" t="s">
        <v>7770</v>
      </c>
      <c r="F53" s="6" t="s">
        <v>7771</v>
      </c>
    </row>
    <row r="54" spans="1:6" ht="61.5" customHeight="1">
      <c r="A54" s="6" t="s">
        <v>7869</v>
      </c>
      <c r="B54" s="6" t="s">
        <v>972</v>
      </c>
      <c r="C54" s="6" t="s">
        <v>7870</v>
      </c>
      <c r="D54" s="6" t="s">
        <v>7762</v>
      </c>
      <c r="E54" s="6" t="s">
        <v>7871</v>
      </c>
      <c r="F54" s="6" t="s">
        <v>7872</v>
      </c>
    </row>
    <row r="55" spans="1:6" ht="61.5" customHeight="1">
      <c r="A55" s="6" t="s">
        <v>7869</v>
      </c>
      <c r="B55" s="6" t="s">
        <v>973</v>
      </c>
      <c r="C55" s="6" t="s">
        <v>7873</v>
      </c>
      <c r="D55" s="6" t="s">
        <v>7762</v>
      </c>
      <c r="E55" s="6" t="s">
        <v>7871</v>
      </c>
      <c r="F55" s="6" t="s">
        <v>7874</v>
      </c>
    </row>
    <row r="56" spans="1:6" ht="61.5" customHeight="1">
      <c r="A56" s="6" t="s">
        <v>7869</v>
      </c>
      <c r="B56" s="6" t="s">
        <v>974</v>
      </c>
      <c r="C56" s="6" t="s">
        <v>7875</v>
      </c>
      <c r="D56" s="6" t="s">
        <v>7804</v>
      </c>
      <c r="E56" s="6" t="s">
        <v>7871</v>
      </c>
      <c r="F56" s="6" t="s">
        <v>7874</v>
      </c>
    </row>
    <row r="57" spans="1:6" ht="61.5" customHeight="1">
      <c r="A57" s="6" t="s">
        <v>7869</v>
      </c>
      <c r="B57" s="6" t="s">
        <v>975</v>
      </c>
      <c r="C57" s="6" t="s">
        <v>7876</v>
      </c>
      <c r="D57" s="6" t="s">
        <v>7804</v>
      </c>
      <c r="E57" s="6" t="s">
        <v>7877</v>
      </c>
      <c r="F57" s="6" t="s">
        <v>7878</v>
      </c>
    </row>
    <row r="58" spans="1:6" ht="61.5" customHeight="1">
      <c r="A58" s="6" t="s">
        <v>7869</v>
      </c>
      <c r="B58" s="6" t="s">
        <v>976</v>
      </c>
      <c r="C58" s="6" t="s">
        <v>7879</v>
      </c>
      <c r="D58" s="6" t="s">
        <v>7780</v>
      </c>
      <c r="E58" s="6" t="s">
        <v>7871</v>
      </c>
      <c r="F58" s="6" t="s">
        <v>7874</v>
      </c>
    </row>
    <row r="59" spans="1:6" ht="61.5" customHeight="1">
      <c r="A59" s="6" t="s">
        <v>7869</v>
      </c>
      <c r="B59" s="6" t="s">
        <v>977</v>
      </c>
      <c r="C59" s="6" t="s">
        <v>7880</v>
      </c>
      <c r="D59" s="6" t="s">
        <v>7782</v>
      </c>
      <c r="E59" s="6" t="s">
        <v>7871</v>
      </c>
      <c r="F59" s="6" t="s">
        <v>7874</v>
      </c>
    </row>
    <row r="60" spans="1:6" ht="61.5" customHeight="1">
      <c r="A60" s="6" t="s">
        <v>7869</v>
      </c>
      <c r="B60" s="6" t="s">
        <v>978</v>
      </c>
      <c r="C60" s="6" t="s">
        <v>7881</v>
      </c>
      <c r="D60" s="6" t="s">
        <v>7769</v>
      </c>
      <c r="E60" s="6" t="s">
        <v>7871</v>
      </c>
      <c r="F60" s="6" t="s">
        <v>7872</v>
      </c>
    </row>
    <row r="61" spans="1:6" ht="61.5" customHeight="1">
      <c r="A61" s="6" t="s">
        <v>7869</v>
      </c>
      <c r="B61" s="6" t="s">
        <v>979</v>
      </c>
      <c r="C61" s="20" t="s">
        <v>7882</v>
      </c>
      <c r="D61" s="6" t="s">
        <v>7883</v>
      </c>
      <c r="E61" s="6" t="s">
        <v>7884</v>
      </c>
      <c r="F61" s="6" t="s">
        <v>7885</v>
      </c>
    </row>
    <row r="62" spans="1:6" ht="61.5" customHeight="1">
      <c r="A62" s="6" t="s">
        <v>7869</v>
      </c>
      <c r="B62" s="6" t="s">
        <v>980</v>
      </c>
      <c r="C62" s="6" t="s">
        <v>7886</v>
      </c>
      <c r="D62" s="6" t="s">
        <v>7769</v>
      </c>
      <c r="E62" s="6" t="s">
        <v>7871</v>
      </c>
      <c r="F62" s="6" t="s">
        <v>7872</v>
      </c>
    </row>
    <row r="63" spans="1:6" ht="61.5" customHeight="1">
      <c r="A63" s="6" t="s">
        <v>7869</v>
      </c>
      <c r="B63" s="6" t="s">
        <v>0</v>
      </c>
      <c r="C63" s="6" t="s">
        <v>7887</v>
      </c>
      <c r="D63" s="6" t="s">
        <v>7762</v>
      </c>
      <c r="E63" s="6" t="s">
        <v>7888</v>
      </c>
      <c r="F63" s="6" t="s">
        <v>7889</v>
      </c>
    </row>
    <row r="64" spans="1:6" ht="61.5" customHeight="1">
      <c r="A64" s="6" t="s">
        <v>915</v>
      </c>
      <c r="B64" s="6" t="s">
        <v>7576</v>
      </c>
      <c r="C64" s="6" t="s">
        <v>7761</v>
      </c>
      <c r="D64" s="6" t="s">
        <v>7762</v>
      </c>
      <c r="E64" s="6" t="s">
        <v>7766</v>
      </c>
      <c r="F64" s="6" t="s">
        <v>7767</v>
      </c>
    </row>
    <row r="65" spans="1:6" ht="61.5" customHeight="1">
      <c r="A65" s="6" t="s">
        <v>915</v>
      </c>
      <c r="B65" s="6" t="s">
        <v>7577</v>
      </c>
      <c r="C65" s="6" t="s">
        <v>7890</v>
      </c>
      <c r="D65" s="6" t="s">
        <v>7769</v>
      </c>
      <c r="E65" s="6" t="s">
        <v>7766</v>
      </c>
      <c r="F65" s="6" t="s">
        <v>7767</v>
      </c>
    </row>
    <row r="66" spans="1:6" ht="61.5" customHeight="1">
      <c r="A66" s="6" t="s">
        <v>915</v>
      </c>
      <c r="B66" s="6" t="s">
        <v>7578</v>
      </c>
      <c r="C66" s="6" t="s">
        <v>7891</v>
      </c>
      <c r="D66" s="6" t="s">
        <v>7769</v>
      </c>
      <c r="E66" s="6" t="s">
        <v>7766</v>
      </c>
      <c r="F66" s="6" t="s">
        <v>7767</v>
      </c>
    </row>
    <row r="67" spans="1:6" ht="61.5" customHeight="1">
      <c r="A67" s="6" t="s">
        <v>915</v>
      </c>
      <c r="B67" s="6" t="s">
        <v>7579</v>
      </c>
      <c r="C67" s="6" t="s">
        <v>7892</v>
      </c>
      <c r="D67" s="6" t="s">
        <v>7893</v>
      </c>
      <c r="E67" s="6" t="s">
        <v>7766</v>
      </c>
      <c r="F67" s="6" t="s">
        <v>7767</v>
      </c>
    </row>
    <row r="68" spans="1:6" ht="61.5" customHeight="1">
      <c r="A68" s="6" t="s">
        <v>915</v>
      </c>
      <c r="B68" s="6" t="s">
        <v>7580</v>
      </c>
      <c r="C68" s="6" t="s">
        <v>7894</v>
      </c>
      <c r="D68" s="6" t="s">
        <v>7895</v>
      </c>
      <c r="E68" s="6" t="s">
        <v>7766</v>
      </c>
      <c r="F68" s="6" t="s">
        <v>7767</v>
      </c>
    </row>
    <row r="69" spans="1:6" ht="61.5" customHeight="1">
      <c r="A69" s="6" t="s">
        <v>915</v>
      </c>
      <c r="B69" s="6" t="s">
        <v>7581</v>
      </c>
      <c r="C69" s="6" t="s">
        <v>7896</v>
      </c>
      <c r="D69" s="6" t="s">
        <v>7897</v>
      </c>
      <c r="E69" s="6" t="s">
        <v>7766</v>
      </c>
      <c r="F69" s="6" t="s">
        <v>7767</v>
      </c>
    </row>
    <row r="70" spans="1:6" ht="61.5" customHeight="1">
      <c r="A70" s="6" t="s">
        <v>915</v>
      </c>
      <c r="B70" s="6" t="s">
        <v>7582</v>
      </c>
      <c r="C70" s="6" t="s">
        <v>7898</v>
      </c>
      <c r="D70" s="6" t="s">
        <v>7899</v>
      </c>
      <c r="E70" s="6" t="s">
        <v>7900</v>
      </c>
      <c r="F70" s="6" t="s">
        <v>7901</v>
      </c>
    </row>
    <row r="71" spans="1:6" ht="61.5" customHeight="1">
      <c r="A71" s="6" t="s">
        <v>915</v>
      </c>
      <c r="B71" s="6" t="s">
        <v>7583</v>
      </c>
      <c r="C71" s="6" t="s">
        <v>7902</v>
      </c>
      <c r="D71" s="6" t="s">
        <v>7769</v>
      </c>
      <c r="E71" s="6" t="s">
        <v>7766</v>
      </c>
      <c r="F71" s="6" t="s">
        <v>7767</v>
      </c>
    </row>
    <row r="72" spans="1:6" ht="61.5" customHeight="1">
      <c r="A72" s="6" t="s">
        <v>915</v>
      </c>
      <c r="B72" s="6" t="s">
        <v>7584</v>
      </c>
      <c r="C72" s="6" t="s">
        <v>7903</v>
      </c>
      <c r="D72" s="6" t="s">
        <v>7769</v>
      </c>
      <c r="E72" s="6" t="s">
        <v>7766</v>
      </c>
      <c r="F72" s="6" t="s">
        <v>7767</v>
      </c>
    </row>
    <row r="73" spans="1:6" ht="61.5" customHeight="1">
      <c r="A73" s="6" t="s">
        <v>915</v>
      </c>
      <c r="B73" s="6" t="s">
        <v>7585</v>
      </c>
      <c r="C73" s="6" t="s">
        <v>7904</v>
      </c>
      <c r="D73" s="6" t="s">
        <v>7769</v>
      </c>
      <c r="E73" s="6" t="s">
        <v>7766</v>
      </c>
      <c r="F73" s="6" t="s">
        <v>7767</v>
      </c>
    </row>
    <row r="74" spans="1:6" ht="61.5" customHeight="1">
      <c r="A74" s="6" t="s">
        <v>915</v>
      </c>
      <c r="B74" s="6" t="s">
        <v>7586</v>
      </c>
      <c r="C74" s="6" t="s">
        <v>7905</v>
      </c>
      <c r="D74" s="6" t="s">
        <v>7906</v>
      </c>
      <c r="E74" s="6" t="s">
        <v>7907</v>
      </c>
      <c r="F74" s="6" t="s">
        <v>7908</v>
      </c>
    </row>
    <row r="75" spans="1:6" ht="61.5" customHeight="1">
      <c r="A75" s="6" t="s">
        <v>915</v>
      </c>
      <c r="B75" s="6" t="s">
        <v>7587</v>
      </c>
      <c r="C75" s="6" t="s">
        <v>7905</v>
      </c>
      <c r="D75" s="6" t="s">
        <v>7906</v>
      </c>
      <c r="E75" s="6" t="s">
        <v>7907</v>
      </c>
      <c r="F75" s="6" t="s">
        <v>7909</v>
      </c>
    </row>
    <row r="76" spans="1:6" ht="61.5" customHeight="1">
      <c r="A76" s="6" t="s">
        <v>915</v>
      </c>
      <c r="B76" s="6" t="s">
        <v>7588</v>
      </c>
      <c r="C76" s="6" t="s">
        <v>7905</v>
      </c>
      <c r="D76" s="6" t="s">
        <v>7906</v>
      </c>
      <c r="E76" s="6" t="s">
        <v>7907</v>
      </c>
      <c r="F76" s="6" t="s">
        <v>7909</v>
      </c>
    </row>
    <row r="77" spans="1:6" ht="61.5" customHeight="1">
      <c r="A77" s="6" t="s">
        <v>915</v>
      </c>
      <c r="B77" s="6" t="s">
        <v>7589</v>
      </c>
      <c r="C77" s="6" t="s">
        <v>7905</v>
      </c>
      <c r="D77" s="6" t="s">
        <v>7906</v>
      </c>
      <c r="E77" s="6" t="s">
        <v>7907</v>
      </c>
      <c r="F77" s="6" t="s">
        <v>7909</v>
      </c>
    </row>
    <row r="78" spans="1:6" ht="61.5" customHeight="1">
      <c r="A78" s="6" t="s">
        <v>915</v>
      </c>
      <c r="B78" s="6" t="s">
        <v>7590</v>
      </c>
      <c r="C78" s="6" t="s">
        <v>7905</v>
      </c>
      <c r="D78" s="6" t="s">
        <v>7906</v>
      </c>
      <c r="E78" s="6" t="s">
        <v>7907</v>
      </c>
      <c r="F78" s="6" t="s">
        <v>7909</v>
      </c>
    </row>
    <row r="79" spans="1:6" ht="61.5" customHeight="1">
      <c r="A79" s="6" t="s">
        <v>915</v>
      </c>
      <c r="B79" s="6" t="s">
        <v>7591</v>
      </c>
      <c r="C79" s="6" t="s">
        <v>7905</v>
      </c>
      <c r="D79" s="6" t="s">
        <v>7906</v>
      </c>
      <c r="E79" s="6" t="s">
        <v>7907</v>
      </c>
      <c r="F79" s="6" t="s">
        <v>7909</v>
      </c>
    </row>
    <row r="80" spans="1:6" ht="61.5" customHeight="1">
      <c r="A80" s="6" t="s">
        <v>915</v>
      </c>
      <c r="B80" s="6" t="s">
        <v>7592</v>
      </c>
      <c r="C80" s="6" t="s">
        <v>7905</v>
      </c>
      <c r="D80" s="6" t="s">
        <v>7906</v>
      </c>
      <c r="E80" s="6" t="s">
        <v>7907</v>
      </c>
      <c r="F80" s="6" t="s">
        <v>7909</v>
      </c>
    </row>
    <row r="81" spans="1:6" ht="61.5" customHeight="1">
      <c r="A81" s="6" t="s">
        <v>915</v>
      </c>
      <c r="B81" s="6" t="s">
        <v>7593</v>
      </c>
      <c r="C81" s="6" t="s">
        <v>7905</v>
      </c>
      <c r="D81" s="6" t="s">
        <v>7906</v>
      </c>
      <c r="E81" s="6" t="s">
        <v>7907</v>
      </c>
      <c r="F81" s="6" t="s">
        <v>7909</v>
      </c>
    </row>
    <row r="82" spans="1:6" ht="61.5" customHeight="1">
      <c r="A82" s="6" t="s">
        <v>915</v>
      </c>
      <c r="B82" s="6" t="s">
        <v>7594</v>
      </c>
      <c r="C82" s="6" t="s">
        <v>7905</v>
      </c>
      <c r="D82" s="6" t="s">
        <v>7906</v>
      </c>
      <c r="E82" s="6" t="s">
        <v>7907</v>
      </c>
      <c r="F82" s="6" t="s">
        <v>7909</v>
      </c>
    </row>
    <row r="83" spans="1:6" ht="61.5" customHeight="1">
      <c r="A83" s="6" t="s">
        <v>915</v>
      </c>
      <c r="B83" s="6" t="s">
        <v>7595</v>
      </c>
      <c r="C83" s="6" t="s">
        <v>7905</v>
      </c>
      <c r="D83" s="6" t="s">
        <v>7906</v>
      </c>
      <c r="E83" s="6" t="s">
        <v>7907</v>
      </c>
      <c r="F83" s="6" t="s">
        <v>7909</v>
      </c>
    </row>
    <row r="84" spans="1:6" ht="61.5" customHeight="1">
      <c r="A84" s="6" t="s">
        <v>915</v>
      </c>
      <c r="B84" s="6" t="s">
        <v>7596</v>
      </c>
      <c r="C84" s="6" t="s">
        <v>7905</v>
      </c>
      <c r="D84" s="6" t="s">
        <v>7906</v>
      </c>
      <c r="E84" s="6" t="s">
        <v>7907</v>
      </c>
      <c r="F84" s="6" t="s">
        <v>7909</v>
      </c>
    </row>
    <row r="85" spans="1:6" ht="61.5" customHeight="1">
      <c r="A85" s="6" t="s">
        <v>915</v>
      </c>
      <c r="B85" s="6" t="s">
        <v>7597</v>
      </c>
      <c r="C85" s="6" t="s">
        <v>7905</v>
      </c>
      <c r="D85" s="6" t="s">
        <v>7906</v>
      </c>
      <c r="E85" s="6" t="s">
        <v>7907</v>
      </c>
      <c r="F85" s="6" t="s">
        <v>7909</v>
      </c>
    </row>
    <row r="86" spans="1:6" ht="61.5" customHeight="1">
      <c r="A86" s="6" t="s">
        <v>915</v>
      </c>
      <c r="B86" s="6" t="s">
        <v>7598</v>
      </c>
      <c r="C86" s="6" t="s">
        <v>7905</v>
      </c>
      <c r="D86" s="6" t="s">
        <v>7906</v>
      </c>
      <c r="E86" s="6" t="s">
        <v>7907</v>
      </c>
      <c r="F86" s="6" t="s">
        <v>7909</v>
      </c>
    </row>
    <row r="87" spans="1:6" ht="61.5" customHeight="1">
      <c r="A87" s="6" t="s">
        <v>915</v>
      </c>
      <c r="B87" s="6" t="s">
        <v>7599</v>
      </c>
      <c r="C87" s="6" t="s">
        <v>7905</v>
      </c>
      <c r="D87" s="6" t="s">
        <v>7906</v>
      </c>
      <c r="E87" s="6" t="s">
        <v>7907</v>
      </c>
      <c r="F87" s="6" t="s">
        <v>7909</v>
      </c>
    </row>
    <row r="88" spans="1:6" ht="61.5" customHeight="1">
      <c r="A88" s="6" t="s">
        <v>915</v>
      </c>
      <c r="B88" s="6" t="s">
        <v>7600</v>
      </c>
      <c r="C88" s="6" t="s">
        <v>7905</v>
      </c>
      <c r="D88" s="6" t="s">
        <v>7906</v>
      </c>
      <c r="E88" s="6" t="s">
        <v>7907</v>
      </c>
      <c r="F88" s="6" t="s">
        <v>7909</v>
      </c>
    </row>
    <row r="89" spans="1:6" ht="61.5" customHeight="1">
      <c r="A89" s="6" t="s">
        <v>915</v>
      </c>
      <c r="B89" s="6" t="s">
        <v>7601</v>
      </c>
      <c r="C89" s="6" t="s">
        <v>7905</v>
      </c>
      <c r="D89" s="6" t="s">
        <v>7906</v>
      </c>
      <c r="E89" s="6" t="s">
        <v>7907</v>
      </c>
      <c r="F89" s="6" t="s">
        <v>7909</v>
      </c>
    </row>
    <row r="90" spans="1:6" ht="61.5" customHeight="1">
      <c r="A90" s="6" t="s">
        <v>889</v>
      </c>
      <c r="B90" s="6" t="s">
        <v>7633</v>
      </c>
      <c r="C90" s="6" t="s">
        <v>7910</v>
      </c>
      <c r="D90" s="6" t="s">
        <v>7911</v>
      </c>
      <c r="E90" s="6" t="s">
        <v>7912</v>
      </c>
      <c r="F90" s="6" t="s">
        <v>7913</v>
      </c>
    </row>
    <row r="91" spans="1:6" ht="61.5" customHeight="1">
      <c r="A91" s="6" t="s">
        <v>889</v>
      </c>
      <c r="B91" s="6" t="s">
        <v>53</v>
      </c>
      <c r="C91" s="6" t="s">
        <v>7914</v>
      </c>
      <c r="D91" s="6" t="s">
        <v>7911</v>
      </c>
      <c r="E91" s="6" t="s">
        <v>7912</v>
      </c>
      <c r="F91" s="6" t="s">
        <v>7913</v>
      </c>
    </row>
    <row r="92" spans="1:6" ht="61.5" customHeight="1">
      <c r="A92" s="6" t="s">
        <v>889</v>
      </c>
      <c r="B92" s="6" t="s">
        <v>0</v>
      </c>
      <c r="C92" s="6" t="s">
        <v>7915</v>
      </c>
      <c r="D92" s="6" t="s">
        <v>7911</v>
      </c>
      <c r="E92" s="6" t="s">
        <v>7912</v>
      </c>
      <c r="F92" s="6" t="s">
        <v>7913</v>
      </c>
    </row>
    <row r="93" spans="1:6" ht="61.5" customHeight="1">
      <c r="A93" s="6" t="s">
        <v>889</v>
      </c>
      <c r="B93" s="6" t="s">
        <v>1</v>
      </c>
      <c r="C93" s="6" t="s">
        <v>7916</v>
      </c>
      <c r="D93" s="6" t="s">
        <v>7911</v>
      </c>
      <c r="E93" s="6" t="s">
        <v>7912</v>
      </c>
      <c r="F93" s="6" t="s">
        <v>7913</v>
      </c>
    </row>
    <row r="94" spans="1:6" ht="61.5" customHeight="1">
      <c r="A94" s="6" t="s">
        <v>889</v>
      </c>
      <c r="B94" s="6" t="s">
        <v>974</v>
      </c>
      <c r="C94" s="6" t="s">
        <v>7917</v>
      </c>
      <c r="D94" s="6" t="s">
        <v>7911</v>
      </c>
      <c r="E94" s="6" t="s">
        <v>7912</v>
      </c>
      <c r="F94" s="6" t="s">
        <v>7913</v>
      </c>
    </row>
    <row r="95" spans="1:6" ht="61.5" customHeight="1">
      <c r="A95" s="6" t="s">
        <v>889</v>
      </c>
      <c r="B95" s="6" t="s">
        <v>7634</v>
      </c>
      <c r="C95" s="6" t="s">
        <v>7918</v>
      </c>
      <c r="D95" s="6" t="s">
        <v>7911</v>
      </c>
      <c r="E95" s="6" t="s">
        <v>7912</v>
      </c>
      <c r="F95" s="6" t="s">
        <v>7913</v>
      </c>
    </row>
    <row r="96" spans="1:6" ht="61.5" customHeight="1">
      <c r="A96" s="6" t="s">
        <v>889</v>
      </c>
      <c r="B96" s="6" t="s">
        <v>7635</v>
      </c>
      <c r="C96" s="6" t="s">
        <v>7919</v>
      </c>
      <c r="D96" s="6" t="s">
        <v>7911</v>
      </c>
      <c r="E96" s="6" t="s">
        <v>7912</v>
      </c>
      <c r="F96" s="6" t="s">
        <v>7913</v>
      </c>
    </row>
    <row r="97" spans="1:6" ht="61.5" customHeight="1">
      <c r="A97" s="6" t="s">
        <v>889</v>
      </c>
      <c r="B97" s="6" t="s">
        <v>7636</v>
      </c>
      <c r="C97" s="6" t="s">
        <v>7920</v>
      </c>
      <c r="D97" s="6" t="s">
        <v>7921</v>
      </c>
      <c r="E97" s="6" t="s">
        <v>7912</v>
      </c>
      <c r="F97" s="6" t="s">
        <v>7913</v>
      </c>
    </row>
    <row r="98" spans="1:6" ht="61.5" customHeight="1">
      <c r="A98" s="6" t="s">
        <v>889</v>
      </c>
      <c r="B98" s="6" t="s">
        <v>7637</v>
      </c>
      <c r="C98" s="6" t="s">
        <v>7922</v>
      </c>
      <c r="D98" s="6" t="s">
        <v>7921</v>
      </c>
      <c r="E98" s="6" t="s">
        <v>7912</v>
      </c>
      <c r="F98" s="6" t="s">
        <v>7913</v>
      </c>
    </row>
    <row r="99" spans="1:6" ht="61.5" customHeight="1">
      <c r="A99" s="6" t="s">
        <v>889</v>
      </c>
      <c r="B99" s="6" t="s">
        <v>7638</v>
      </c>
      <c r="C99" s="6" t="s">
        <v>7923</v>
      </c>
      <c r="D99" s="6" t="s">
        <v>7911</v>
      </c>
      <c r="E99" s="6" t="s">
        <v>7912</v>
      </c>
      <c r="F99" s="6" t="s">
        <v>7913</v>
      </c>
    </row>
    <row r="100" spans="1:6" ht="61.5" customHeight="1">
      <c r="A100" s="6" t="s">
        <v>889</v>
      </c>
      <c r="B100" s="6" t="s">
        <v>7639</v>
      </c>
      <c r="C100" s="6" t="s">
        <v>7924</v>
      </c>
      <c r="D100" s="6" t="s">
        <v>7911</v>
      </c>
      <c r="E100" s="6" t="s">
        <v>7912</v>
      </c>
      <c r="F100" s="6" t="s">
        <v>7913</v>
      </c>
    </row>
    <row r="101" spans="1:6" ht="61.5" customHeight="1">
      <c r="A101" s="6" t="s">
        <v>889</v>
      </c>
      <c r="B101" s="6" t="s">
        <v>7640</v>
      </c>
      <c r="C101" s="6" t="s">
        <v>7925</v>
      </c>
      <c r="D101" s="6" t="s">
        <v>7911</v>
      </c>
      <c r="E101" s="6" t="s">
        <v>7912</v>
      </c>
      <c r="F101" s="6" t="s">
        <v>7913</v>
      </c>
    </row>
    <row r="102" spans="1:6" ht="61.5" customHeight="1">
      <c r="A102" s="6" t="s">
        <v>889</v>
      </c>
      <c r="B102" s="6" t="s">
        <v>7641</v>
      </c>
      <c r="C102" s="6" t="s">
        <v>7926</v>
      </c>
      <c r="D102" s="6" t="s">
        <v>7911</v>
      </c>
      <c r="E102" s="6" t="s">
        <v>7912</v>
      </c>
      <c r="F102" s="6" t="s">
        <v>7913</v>
      </c>
    </row>
    <row r="103" spans="1:6" ht="61.5" customHeight="1">
      <c r="A103" s="6" t="s">
        <v>889</v>
      </c>
      <c r="B103" s="6" t="s">
        <v>7642</v>
      </c>
      <c r="C103" s="6" t="s">
        <v>7927</v>
      </c>
      <c r="D103" s="6" t="s">
        <v>7911</v>
      </c>
      <c r="E103" s="6" t="s">
        <v>7912</v>
      </c>
      <c r="F103" s="6" t="s">
        <v>7913</v>
      </c>
    </row>
    <row r="104" spans="1:6" ht="61.5" customHeight="1">
      <c r="A104" s="6" t="s">
        <v>889</v>
      </c>
      <c r="B104" s="6" t="s">
        <v>7643</v>
      </c>
      <c r="C104" s="6" t="s">
        <v>7928</v>
      </c>
      <c r="D104" s="6" t="s">
        <v>7784</v>
      </c>
      <c r="E104" s="6" t="s">
        <v>7912</v>
      </c>
      <c r="F104" s="6" t="s">
        <v>7913</v>
      </c>
    </row>
    <row r="105" spans="1:6" ht="61.5" customHeight="1">
      <c r="A105" s="6" t="s">
        <v>889</v>
      </c>
      <c r="B105" s="6" t="s">
        <v>7644</v>
      </c>
      <c r="C105" s="6" t="s">
        <v>7929</v>
      </c>
      <c r="D105" s="6" t="s">
        <v>7784</v>
      </c>
      <c r="E105" s="6" t="s">
        <v>7912</v>
      </c>
      <c r="F105" s="6" t="s">
        <v>7913</v>
      </c>
    </row>
    <row r="106" spans="1:6" ht="61.5" customHeight="1">
      <c r="A106" s="6" t="s">
        <v>889</v>
      </c>
      <c r="B106" s="6" t="s">
        <v>7645</v>
      </c>
      <c r="C106" s="6" t="s">
        <v>7930</v>
      </c>
      <c r="D106" s="6" t="s">
        <v>7810</v>
      </c>
      <c r="E106" s="6" t="s">
        <v>7912</v>
      </c>
      <c r="F106" s="6" t="s">
        <v>7913</v>
      </c>
    </row>
    <row r="107" spans="1:6" ht="61.5" customHeight="1">
      <c r="A107" s="6" t="s">
        <v>889</v>
      </c>
      <c r="B107" s="6" t="s">
        <v>7646</v>
      </c>
      <c r="C107" s="6" t="s">
        <v>7931</v>
      </c>
      <c r="D107" s="6" t="s">
        <v>7819</v>
      </c>
      <c r="E107" s="6" t="s">
        <v>7912</v>
      </c>
      <c r="F107" s="6" t="s">
        <v>7913</v>
      </c>
    </row>
    <row r="108" spans="1:6" ht="61.5" customHeight="1">
      <c r="A108" s="6" t="s">
        <v>889</v>
      </c>
      <c r="B108" s="6" t="s">
        <v>7647</v>
      </c>
      <c r="C108" s="6" t="s">
        <v>7932</v>
      </c>
      <c r="D108" s="6" t="s">
        <v>7819</v>
      </c>
      <c r="E108" s="6" t="s">
        <v>7912</v>
      </c>
      <c r="F108" s="6" t="s">
        <v>7913</v>
      </c>
    </row>
    <row r="109" spans="1:6" ht="61.5" customHeight="1">
      <c r="A109" s="6" t="s">
        <v>889</v>
      </c>
      <c r="B109" s="6" t="s">
        <v>7648</v>
      </c>
      <c r="C109" s="6" t="s">
        <v>7933</v>
      </c>
      <c r="D109" s="6" t="s">
        <v>7911</v>
      </c>
      <c r="E109" s="6" t="s">
        <v>7912</v>
      </c>
      <c r="F109" s="6" t="s">
        <v>7913</v>
      </c>
    </row>
    <row r="110" spans="1:6" ht="15.75" customHeight="1"/>
    <row r="111" spans="1:6" ht="15.75" customHeight="1"/>
    <row r="112" spans="1:6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2026-10-23T18:30:06Z</dcterms:created>
  <dcterms:modified xsi:type="dcterms:W3CDTF">2026-10-24T20:27:07Z</dcterms:modified>
  <cp:category/>
  <cp:contentStatus/>
</cp:coreProperties>
</file>